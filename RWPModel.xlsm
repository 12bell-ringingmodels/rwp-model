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 activeTab="10"/>
  </bookViews>
  <sheets>
    <sheet name="Front" sheetId="20" r:id="rId1"/>
    <sheet name="Settings" sheetId="46" r:id="rId2"/>
    <sheet name="ProgrammaticSheets" sheetId="67" state="hidden" r:id="rId3"/>
    <sheet name="About" sheetId="68" r:id="rId4"/>
    <sheet name="Team A" sheetId="83" r:id="rId5"/>
    <sheet name="Team A 1" sheetId="84" r:id="rId6"/>
    <sheet name="Team A 2" sheetId="85" r:id="rId7"/>
    <sheet name="Team B" sheetId="86" r:id="rId8"/>
    <sheet name="Team B 1" sheetId="87" r:id="rId9"/>
    <sheet name="Team B 2" sheetId="88" r:id="rId10"/>
    <sheet name="SUMMARY" sheetId="89" r:id="rId11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C5" i="89"/>
  <c r="C4"/>
  <c r="B5"/>
  <c r="B4"/>
  <c r="CB147" i="88"/>
  <c r="CB146"/>
  <c r="CB145"/>
  <c r="CB144"/>
  <c r="CB143"/>
  <c r="CB142"/>
  <c r="CB141"/>
  <c r="CB140"/>
  <c r="CB139"/>
  <c r="CB138"/>
  <c r="CB137"/>
  <c r="CB136"/>
  <c r="CB135"/>
  <c r="CB134"/>
  <c r="CB133"/>
  <c r="CB132"/>
  <c r="CB131"/>
  <c r="CB130"/>
  <c r="CB129"/>
  <c r="CB128"/>
  <c r="CB127"/>
  <c r="CB126"/>
  <c r="CB125"/>
  <c r="CB124"/>
  <c r="CB123"/>
  <c r="CB122"/>
  <c r="CB121"/>
  <c r="CB120"/>
  <c r="CB119"/>
  <c r="CB118"/>
  <c r="CB117"/>
  <c r="CB116"/>
  <c r="CB115"/>
  <c r="CB114"/>
  <c r="CB113"/>
  <c r="CB112"/>
  <c r="CB111"/>
  <c r="CB110"/>
  <c r="CB109"/>
  <c r="CB108"/>
  <c r="CB107"/>
  <c r="CB106"/>
  <c r="CB105"/>
  <c r="CB104"/>
  <c r="CB103"/>
  <c r="CB102"/>
  <c r="CB101"/>
  <c r="CB100"/>
  <c r="CB99"/>
  <c r="CB98"/>
  <c r="CB97"/>
  <c r="CB96"/>
  <c r="CB95"/>
  <c r="CB94"/>
  <c r="CB93"/>
  <c r="CB92"/>
  <c r="CB91"/>
  <c r="CB90"/>
  <c r="CB89"/>
  <c r="CB88"/>
  <c r="CB87"/>
  <c r="CB86"/>
  <c r="CB85"/>
  <c r="CB84"/>
  <c r="CB83"/>
  <c r="CB82"/>
  <c r="CB81"/>
  <c r="CB80"/>
  <c r="CB79"/>
  <c r="CB78"/>
  <c r="CB77"/>
  <c r="CB76"/>
  <c r="CB75"/>
  <c r="CB74"/>
  <c r="CB73"/>
  <c r="CB72"/>
  <c r="CB71"/>
  <c r="CB70"/>
  <c r="CB69"/>
  <c r="CB68"/>
  <c r="CB67"/>
  <c r="CB66"/>
  <c r="CB65"/>
  <c r="CB64"/>
  <c r="CB63"/>
  <c r="CB62"/>
  <c r="CB61"/>
  <c r="CB60"/>
  <c r="CB59"/>
  <c r="CB58"/>
  <c r="CB57"/>
  <c r="CB56"/>
  <c r="CB55"/>
  <c r="CB54"/>
  <c r="CB53"/>
  <c r="CB52"/>
  <c r="CB51"/>
  <c r="CB50"/>
  <c r="CB49"/>
  <c r="CB48"/>
  <c r="CB47"/>
  <c r="CB46"/>
  <c r="CB45"/>
  <c r="CB44"/>
  <c r="CB43"/>
  <c r="CB42"/>
  <c r="CB41"/>
  <c r="CB40"/>
  <c r="CB39"/>
  <c r="CB38"/>
  <c r="CB37"/>
  <c r="CB36"/>
  <c r="CB35"/>
  <c r="CB34"/>
  <c r="CB33"/>
  <c r="CB32"/>
  <c r="CB31"/>
  <c r="CB30"/>
  <c r="CB29"/>
  <c r="CB28"/>
  <c r="CB27"/>
  <c r="CB26"/>
  <c r="CB25"/>
  <c r="CB24"/>
  <c r="CB23"/>
  <c r="CB22"/>
  <c r="CB21"/>
  <c r="CB20"/>
  <c r="CB19"/>
  <c r="CB18"/>
  <c r="CB17"/>
  <c r="CB16"/>
  <c r="CB15"/>
  <c r="CB14"/>
  <c r="CB13"/>
  <c r="CB12"/>
  <c r="CB11"/>
  <c r="CB10"/>
  <c r="CB9"/>
  <c r="CB8"/>
  <c r="CB7"/>
  <c r="CB6"/>
  <c r="CB5"/>
  <c r="CB4"/>
  <c r="CB149" s="1"/>
  <c r="BF147" i="87"/>
  <c r="BF146"/>
  <c r="BF145"/>
  <c r="BF144"/>
  <c r="BF143"/>
  <c r="BF142"/>
  <c r="BF141"/>
  <c r="BF140"/>
  <c r="BF139"/>
  <c r="BF138"/>
  <c r="BF137"/>
  <c r="BF136"/>
  <c r="BF135"/>
  <c r="BF134"/>
  <c r="BF133"/>
  <c r="BF132"/>
  <c r="BF131"/>
  <c r="BF130"/>
  <c r="BF129"/>
  <c r="BF128"/>
  <c r="BF127"/>
  <c r="BF126"/>
  <c r="BF125"/>
  <c r="BF124"/>
  <c r="BF123"/>
  <c r="BF122"/>
  <c r="BF121"/>
  <c r="BF120"/>
  <c r="BF119"/>
  <c r="BF118"/>
  <c r="BF117"/>
  <c r="BF116"/>
  <c r="BF115"/>
  <c r="BF114"/>
  <c r="BF113"/>
  <c r="BF112"/>
  <c r="BF111"/>
  <c r="BF110"/>
  <c r="BF109"/>
  <c r="BF108"/>
  <c r="BF107"/>
  <c r="BF106"/>
  <c r="BF105"/>
  <c r="BF104"/>
  <c r="BF103"/>
  <c r="BF102"/>
  <c r="BF101"/>
  <c r="BF100"/>
  <c r="BF99"/>
  <c r="BF98"/>
  <c r="BF97"/>
  <c r="BF96"/>
  <c r="BF95"/>
  <c r="BF94"/>
  <c r="BF93"/>
  <c r="BF92"/>
  <c r="BF91"/>
  <c r="BF90"/>
  <c r="BF89"/>
  <c r="BF88"/>
  <c r="BF87"/>
  <c r="BF86"/>
  <c r="BF85"/>
  <c r="BF84"/>
  <c r="BF83"/>
  <c r="BF82"/>
  <c r="BF81"/>
  <c r="BF80"/>
  <c r="BF79"/>
  <c r="BF78"/>
  <c r="BF77"/>
  <c r="BF76"/>
  <c r="BF75"/>
  <c r="BF74"/>
  <c r="BF73"/>
  <c r="BF72"/>
  <c r="BF71"/>
  <c r="BF70"/>
  <c r="BF69"/>
  <c r="BF68"/>
  <c r="BF67"/>
  <c r="BF66"/>
  <c r="BF65"/>
  <c r="BF64"/>
  <c r="BF63"/>
  <c r="BF62"/>
  <c r="BF61"/>
  <c r="BF60"/>
  <c r="BF59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BF4"/>
  <c r="BF150" s="1"/>
  <c r="BF3"/>
  <c r="BE147"/>
  <c r="BE146"/>
  <c r="BE145"/>
  <c r="BE144"/>
  <c r="BE143"/>
  <c r="BE142"/>
  <c r="BE141"/>
  <c r="BE140"/>
  <c r="BE139"/>
  <c r="BE138"/>
  <c r="BE137"/>
  <c r="BE136"/>
  <c r="BE135"/>
  <c r="BE134"/>
  <c r="BE133"/>
  <c r="BE132"/>
  <c r="BE131"/>
  <c r="BE130"/>
  <c r="BE129"/>
  <c r="BE128"/>
  <c r="BE127"/>
  <c r="BE126"/>
  <c r="BE125"/>
  <c r="BE124"/>
  <c r="BE123"/>
  <c r="BE122"/>
  <c r="BE121"/>
  <c r="BE120"/>
  <c r="BE119"/>
  <c r="BE118"/>
  <c r="BE117"/>
  <c r="BE116"/>
  <c r="BE115"/>
  <c r="BE114"/>
  <c r="BE113"/>
  <c r="BE112"/>
  <c r="BE111"/>
  <c r="BE110"/>
  <c r="BE109"/>
  <c r="BE108"/>
  <c r="BE107"/>
  <c r="BE106"/>
  <c r="BE105"/>
  <c r="BE104"/>
  <c r="BE103"/>
  <c r="BE102"/>
  <c r="BE101"/>
  <c r="BE100"/>
  <c r="BE99"/>
  <c r="BE98"/>
  <c r="BE97"/>
  <c r="BE96"/>
  <c r="BE95"/>
  <c r="BE94"/>
  <c r="BE93"/>
  <c r="BE92"/>
  <c r="BE91"/>
  <c r="BE90"/>
  <c r="BE89"/>
  <c r="BE88"/>
  <c r="BE87"/>
  <c r="BE86"/>
  <c r="BE85"/>
  <c r="BE84"/>
  <c r="BE83"/>
  <c r="BE82"/>
  <c r="BE81"/>
  <c r="BE80"/>
  <c r="BE79"/>
  <c r="BE78"/>
  <c r="BE77"/>
  <c r="BE76"/>
  <c r="BE75"/>
  <c r="BE74"/>
  <c r="BE73"/>
  <c r="BE72"/>
  <c r="BE71"/>
  <c r="BE70"/>
  <c r="BE69"/>
  <c r="BE68"/>
  <c r="BE67"/>
  <c r="BE66"/>
  <c r="BE65"/>
  <c r="BE64"/>
  <c r="BE63"/>
  <c r="BE62"/>
  <c r="BE61"/>
  <c r="BE60"/>
  <c r="BE59"/>
  <c r="BE58"/>
  <c r="BE57"/>
  <c r="BE56"/>
  <c r="BE55"/>
  <c r="BE54"/>
  <c r="BE53"/>
  <c r="BE52"/>
  <c r="BE51"/>
  <c r="BE50"/>
  <c r="BE49"/>
  <c r="BE48"/>
  <c r="BE47"/>
  <c r="BE46"/>
  <c r="BE45"/>
  <c r="BE44"/>
  <c r="BE43"/>
  <c r="BE42"/>
  <c r="BE41"/>
  <c r="BE40"/>
  <c r="BE39"/>
  <c r="BE38"/>
  <c r="BE37"/>
  <c r="BE36"/>
  <c r="BE35"/>
  <c r="BE34"/>
  <c r="BE33"/>
  <c r="BE32"/>
  <c r="BE31"/>
  <c r="BE30"/>
  <c r="BE29"/>
  <c r="BE28"/>
  <c r="BE27"/>
  <c r="BE26"/>
  <c r="BE25"/>
  <c r="BE24"/>
  <c r="BE23"/>
  <c r="BE22"/>
  <c r="BE21"/>
  <c r="BE20"/>
  <c r="BE19"/>
  <c r="BE18"/>
  <c r="BE17"/>
  <c r="BE16"/>
  <c r="BE15"/>
  <c r="BE14"/>
  <c r="BE13"/>
  <c r="BE12"/>
  <c r="BE11"/>
  <c r="BE10"/>
  <c r="BE9"/>
  <c r="BE8"/>
  <c r="BE7"/>
  <c r="BE6"/>
  <c r="BE5"/>
  <c r="BE4"/>
  <c r="BE150" s="1"/>
  <c r="BE3"/>
  <c r="BD147"/>
  <c r="BD146"/>
  <c r="BD145"/>
  <c r="BD144"/>
  <c r="BD143"/>
  <c r="BD142"/>
  <c r="BD141"/>
  <c r="BD140"/>
  <c r="BD139"/>
  <c r="BD138"/>
  <c r="BD137"/>
  <c r="BD136"/>
  <c r="BD135"/>
  <c r="BD134"/>
  <c r="BD133"/>
  <c r="BD132"/>
  <c r="BD131"/>
  <c r="BD130"/>
  <c r="BD129"/>
  <c r="BD128"/>
  <c r="BD127"/>
  <c r="BD126"/>
  <c r="BD125"/>
  <c r="BD124"/>
  <c r="BD123"/>
  <c r="BD122"/>
  <c r="BD121"/>
  <c r="BD120"/>
  <c r="BD119"/>
  <c r="BD118"/>
  <c r="BD117"/>
  <c r="BD116"/>
  <c r="BD115"/>
  <c r="BD114"/>
  <c r="BD113"/>
  <c r="BD112"/>
  <c r="BD111"/>
  <c r="BD110"/>
  <c r="BD109"/>
  <c r="BD108"/>
  <c r="BD107"/>
  <c r="BD106"/>
  <c r="BD105"/>
  <c r="BD104"/>
  <c r="BD103"/>
  <c r="BD102"/>
  <c r="BD101"/>
  <c r="BD100"/>
  <c r="BD99"/>
  <c r="BD98"/>
  <c r="BD97"/>
  <c r="BD96"/>
  <c r="BD95"/>
  <c r="BD94"/>
  <c r="BD93"/>
  <c r="BD92"/>
  <c r="BD91"/>
  <c r="BD90"/>
  <c r="BD89"/>
  <c r="BD88"/>
  <c r="BD87"/>
  <c r="BD86"/>
  <c r="BD85"/>
  <c r="BD84"/>
  <c r="BD83"/>
  <c r="BD82"/>
  <c r="BD81"/>
  <c r="BD80"/>
  <c r="BD79"/>
  <c r="BD78"/>
  <c r="BD77"/>
  <c r="BD76"/>
  <c r="BD75"/>
  <c r="BD74"/>
  <c r="BD73"/>
  <c r="BD72"/>
  <c r="BD71"/>
  <c r="BD70"/>
  <c r="BD69"/>
  <c r="BD68"/>
  <c r="BD67"/>
  <c r="BD66"/>
  <c r="BD65"/>
  <c r="BD64"/>
  <c r="BD63"/>
  <c r="BD62"/>
  <c r="BD61"/>
  <c r="BD60"/>
  <c r="BD59"/>
  <c r="BD58"/>
  <c r="BD57"/>
  <c r="BD56"/>
  <c r="BD55"/>
  <c r="BD54"/>
  <c r="BD53"/>
  <c r="BD52"/>
  <c r="BD51"/>
  <c r="BD50"/>
  <c r="BD49"/>
  <c r="BD48"/>
  <c r="BD47"/>
  <c r="BD46"/>
  <c r="BD45"/>
  <c r="BD44"/>
  <c r="BD43"/>
  <c r="BD42"/>
  <c r="BD41"/>
  <c r="BD40"/>
  <c r="BD39"/>
  <c r="BD38"/>
  <c r="BD37"/>
  <c r="BD36"/>
  <c r="BD35"/>
  <c r="BD34"/>
  <c r="BD33"/>
  <c r="BD32"/>
  <c r="BD31"/>
  <c r="BD30"/>
  <c r="BD29"/>
  <c r="BD28"/>
  <c r="BD27"/>
  <c r="BD26"/>
  <c r="BD25"/>
  <c r="BD24"/>
  <c r="BD23"/>
  <c r="BD22"/>
  <c r="BD21"/>
  <c r="BD20"/>
  <c r="BD19"/>
  <c r="BD18"/>
  <c r="BD17"/>
  <c r="BD16"/>
  <c r="BD15"/>
  <c r="BD14"/>
  <c r="BD13"/>
  <c r="BD12"/>
  <c r="BD11"/>
  <c r="BD10"/>
  <c r="BD9"/>
  <c r="BD8"/>
  <c r="BD7"/>
  <c r="BD6"/>
  <c r="BD5"/>
  <c r="BD151" s="1"/>
  <c r="BD4"/>
  <c r="BD150" s="1"/>
  <c r="BD3"/>
  <c r="BC147"/>
  <c r="BC146"/>
  <c r="BC145"/>
  <c r="BC144"/>
  <c r="BC143"/>
  <c r="BC142"/>
  <c r="BC141"/>
  <c r="BC140"/>
  <c r="BC139"/>
  <c r="BC138"/>
  <c r="BC137"/>
  <c r="BC136"/>
  <c r="BC135"/>
  <c r="BC134"/>
  <c r="BC133"/>
  <c r="BC132"/>
  <c r="BC131"/>
  <c r="BC130"/>
  <c r="BC129"/>
  <c r="BC128"/>
  <c r="BC127"/>
  <c r="BC126"/>
  <c r="BC125"/>
  <c r="BC124"/>
  <c r="BC123"/>
  <c r="BC122"/>
  <c r="BC121"/>
  <c r="BC120"/>
  <c r="BC119"/>
  <c r="BC118"/>
  <c r="BC117"/>
  <c r="BC116"/>
  <c r="BC115"/>
  <c r="BC114"/>
  <c r="BC113"/>
  <c r="BC112"/>
  <c r="BC111"/>
  <c r="BC110"/>
  <c r="BC109"/>
  <c r="BC108"/>
  <c r="BC107"/>
  <c r="BC106"/>
  <c r="BC105"/>
  <c r="BC104"/>
  <c r="BC103"/>
  <c r="BC102"/>
  <c r="BC101"/>
  <c r="BC100"/>
  <c r="BC99"/>
  <c r="BC98"/>
  <c r="BC97"/>
  <c r="BC96"/>
  <c r="BC95"/>
  <c r="BC94"/>
  <c r="BC93"/>
  <c r="BC92"/>
  <c r="BC91"/>
  <c r="BC90"/>
  <c r="BC89"/>
  <c r="BC88"/>
  <c r="BC87"/>
  <c r="BC86"/>
  <c r="BC85"/>
  <c r="BC84"/>
  <c r="BC83"/>
  <c r="BC82"/>
  <c r="BC81"/>
  <c r="BC80"/>
  <c r="BC79"/>
  <c r="BC78"/>
  <c r="BC77"/>
  <c r="BC76"/>
  <c r="BC75"/>
  <c r="BC74"/>
  <c r="BC73"/>
  <c r="BC72"/>
  <c r="BC71"/>
  <c r="BC70"/>
  <c r="BC69"/>
  <c r="BC68"/>
  <c r="BC67"/>
  <c r="BC66"/>
  <c r="BC65"/>
  <c r="BC64"/>
  <c r="BC63"/>
  <c r="BC62"/>
  <c r="BC61"/>
  <c r="BC60"/>
  <c r="BC59"/>
  <c r="BC58"/>
  <c r="BC57"/>
  <c r="BC56"/>
  <c r="BC55"/>
  <c r="BC54"/>
  <c r="BC53"/>
  <c r="BC52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BC4"/>
  <c r="BC150" s="1"/>
  <c r="BC3"/>
  <c r="BB147"/>
  <c r="BB146"/>
  <c r="BB145"/>
  <c r="BB144"/>
  <c r="BB143"/>
  <c r="BB142"/>
  <c r="BB141"/>
  <c r="BB140"/>
  <c r="BB139"/>
  <c r="BB138"/>
  <c r="BB137"/>
  <c r="BB136"/>
  <c r="BB135"/>
  <c r="BB134"/>
  <c r="BB133"/>
  <c r="BB132"/>
  <c r="BB131"/>
  <c r="BB130"/>
  <c r="BB129"/>
  <c r="BB128"/>
  <c r="BB127"/>
  <c r="BB126"/>
  <c r="BB125"/>
  <c r="BB124"/>
  <c r="BB123"/>
  <c r="BB122"/>
  <c r="BB121"/>
  <c r="BB120"/>
  <c r="BB119"/>
  <c r="BB118"/>
  <c r="BB117"/>
  <c r="BB116"/>
  <c r="BB115"/>
  <c r="BB114"/>
  <c r="BB113"/>
  <c r="BB112"/>
  <c r="BB111"/>
  <c r="BB110"/>
  <c r="BB109"/>
  <c r="BB108"/>
  <c r="BB107"/>
  <c r="BB106"/>
  <c r="BB105"/>
  <c r="BB104"/>
  <c r="BB103"/>
  <c r="BB102"/>
  <c r="BB101"/>
  <c r="BB100"/>
  <c r="BB99"/>
  <c r="BB98"/>
  <c r="BB97"/>
  <c r="BB96"/>
  <c r="BB95"/>
  <c r="BB94"/>
  <c r="BB93"/>
  <c r="BB92"/>
  <c r="BB91"/>
  <c r="BB90"/>
  <c r="BB89"/>
  <c r="BB88"/>
  <c r="BB87"/>
  <c r="BB86"/>
  <c r="BB85"/>
  <c r="BB84"/>
  <c r="BB83"/>
  <c r="BB82"/>
  <c r="BB81"/>
  <c r="BB80"/>
  <c r="BB79"/>
  <c r="BB78"/>
  <c r="BB77"/>
  <c r="BB76"/>
  <c r="BB75"/>
  <c r="BB74"/>
  <c r="BB73"/>
  <c r="BB72"/>
  <c r="BB71"/>
  <c r="BB70"/>
  <c r="BB69"/>
  <c r="BB68"/>
  <c r="BB67"/>
  <c r="BB66"/>
  <c r="BB65"/>
  <c r="BB64"/>
  <c r="BB63"/>
  <c r="BB62"/>
  <c r="BB61"/>
  <c r="BB60"/>
  <c r="BB59"/>
  <c r="BB58"/>
  <c r="BB57"/>
  <c r="BB56"/>
  <c r="BB55"/>
  <c r="BB54"/>
  <c r="BB53"/>
  <c r="BB52"/>
  <c r="BB51"/>
  <c r="BB50"/>
  <c r="BB49"/>
  <c r="BB48"/>
  <c r="BB47"/>
  <c r="BB46"/>
  <c r="BB45"/>
  <c r="BB44"/>
  <c r="BB43"/>
  <c r="BB42"/>
  <c r="BB41"/>
  <c r="BB40"/>
  <c r="BB39"/>
  <c r="BB38"/>
  <c r="BB37"/>
  <c r="BB36"/>
  <c r="BB35"/>
  <c r="BB34"/>
  <c r="BB33"/>
  <c r="BB32"/>
  <c r="BB31"/>
  <c r="BB30"/>
  <c r="BB29"/>
  <c r="BB28"/>
  <c r="BB27"/>
  <c r="BB26"/>
  <c r="BB25"/>
  <c r="BB24"/>
  <c r="BB23"/>
  <c r="BB22"/>
  <c r="BB21"/>
  <c r="BB20"/>
  <c r="BB19"/>
  <c r="BB18"/>
  <c r="BB17"/>
  <c r="BB16"/>
  <c r="BB15"/>
  <c r="BB14"/>
  <c r="BB13"/>
  <c r="BB12"/>
  <c r="BB11"/>
  <c r="BB10"/>
  <c r="BB9"/>
  <c r="BB8"/>
  <c r="BB7"/>
  <c r="BB6"/>
  <c r="BB5"/>
  <c r="BB151" s="1"/>
  <c r="BB4"/>
  <c r="BB150" s="1"/>
  <c r="BB3"/>
  <c r="BA147"/>
  <c r="BA146"/>
  <c r="BA145"/>
  <c r="BA144"/>
  <c r="BA143"/>
  <c r="BA142"/>
  <c r="BA141"/>
  <c r="BA140"/>
  <c r="BA139"/>
  <c r="BA138"/>
  <c r="BA137"/>
  <c r="BA136"/>
  <c r="BA135"/>
  <c r="BA134"/>
  <c r="BA133"/>
  <c r="BA132"/>
  <c r="BA131"/>
  <c r="BA130"/>
  <c r="BA129"/>
  <c r="BA128"/>
  <c r="BA127"/>
  <c r="BA126"/>
  <c r="BA125"/>
  <c r="BA124"/>
  <c r="BA123"/>
  <c r="BA122"/>
  <c r="BA121"/>
  <c r="BA120"/>
  <c r="BA119"/>
  <c r="BA118"/>
  <c r="BA117"/>
  <c r="BA116"/>
  <c r="BA115"/>
  <c r="BA114"/>
  <c r="BA113"/>
  <c r="BA112"/>
  <c r="BA111"/>
  <c r="BA110"/>
  <c r="BA109"/>
  <c r="BA108"/>
  <c r="BA107"/>
  <c r="BA106"/>
  <c r="BA105"/>
  <c r="BA104"/>
  <c r="BA103"/>
  <c r="BA102"/>
  <c r="BA101"/>
  <c r="BA100"/>
  <c r="BA99"/>
  <c r="BA98"/>
  <c r="BA97"/>
  <c r="BA96"/>
  <c r="BA95"/>
  <c r="BA94"/>
  <c r="BA93"/>
  <c r="BA92"/>
  <c r="BA91"/>
  <c r="BA90"/>
  <c r="BA89"/>
  <c r="BA88"/>
  <c r="BA87"/>
  <c r="BA86"/>
  <c r="BA85"/>
  <c r="BA84"/>
  <c r="BA83"/>
  <c r="BA82"/>
  <c r="BA81"/>
  <c r="BA80"/>
  <c r="BA79"/>
  <c r="BA78"/>
  <c r="BA77"/>
  <c r="BA76"/>
  <c r="BA75"/>
  <c r="BA74"/>
  <c r="BA73"/>
  <c r="BA72"/>
  <c r="BA71"/>
  <c r="BA70"/>
  <c r="BA69"/>
  <c r="BA68"/>
  <c r="BA67"/>
  <c r="BA66"/>
  <c r="BA65"/>
  <c r="BA64"/>
  <c r="BA63"/>
  <c r="BA62"/>
  <c r="BA61"/>
  <c r="BA60"/>
  <c r="BA59"/>
  <c r="BA58"/>
  <c r="BA57"/>
  <c r="BA56"/>
  <c r="BA55"/>
  <c r="BA54"/>
  <c r="BA53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BA4"/>
  <c r="BA150" s="1"/>
  <c r="BA3"/>
  <c r="AZ147"/>
  <c r="AZ146"/>
  <c r="AZ145"/>
  <c r="AZ144"/>
  <c r="AZ143"/>
  <c r="AZ142"/>
  <c r="AZ141"/>
  <c r="AZ140"/>
  <c r="AZ139"/>
  <c r="AZ138"/>
  <c r="AZ137"/>
  <c r="AZ136"/>
  <c r="AZ135"/>
  <c r="AZ134"/>
  <c r="AZ133"/>
  <c r="AZ132"/>
  <c r="AZ131"/>
  <c r="AZ130"/>
  <c r="AZ129"/>
  <c r="AZ128"/>
  <c r="AZ127"/>
  <c r="AZ126"/>
  <c r="AZ125"/>
  <c r="AZ124"/>
  <c r="AZ123"/>
  <c r="AZ122"/>
  <c r="AZ121"/>
  <c r="AZ120"/>
  <c r="AZ119"/>
  <c r="AZ118"/>
  <c r="AZ117"/>
  <c r="AZ116"/>
  <c r="AZ115"/>
  <c r="AZ114"/>
  <c r="AZ113"/>
  <c r="AZ112"/>
  <c r="AZ111"/>
  <c r="AZ110"/>
  <c r="AZ109"/>
  <c r="AZ108"/>
  <c r="AZ107"/>
  <c r="AZ106"/>
  <c r="AZ105"/>
  <c r="AZ104"/>
  <c r="AZ103"/>
  <c r="AZ102"/>
  <c r="AZ101"/>
  <c r="AZ100"/>
  <c r="AZ99"/>
  <c r="AZ98"/>
  <c r="AZ97"/>
  <c r="AZ96"/>
  <c r="AZ95"/>
  <c r="AZ94"/>
  <c r="AZ93"/>
  <c r="AZ92"/>
  <c r="AZ91"/>
  <c r="AZ90"/>
  <c r="AZ89"/>
  <c r="AZ88"/>
  <c r="AZ87"/>
  <c r="AZ86"/>
  <c r="AZ85"/>
  <c r="AZ84"/>
  <c r="AZ83"/>
  <c r="AZ82"/>
  <c r="AZ81"/>
  <c r="AZ80"/>
  <c r="AZ79"/>
  <c r="AZ78"/>
  <c r="AZ77"/>
  <c r="AZ76"/>
  <c r="AZ75"/>
  <c r="AZ74"/>
  <c r="AZ73"/>
  <c r="AZ72"/>
  <c r="AZ71"/>
  <c r="AZ70"/>
  <c r="AZ69"/>
  <c r="AZ68"/>
  <c r="AZ67"/>
  <c r="AZ66"/>
  <c r="AZ65"/>
  <c r="AZ64"/>
  <c r="AZ63"/>
  <c r="AZ62"/>
  <c r="AZ61"/>
  <c r="AZ60"/>
  <c r="AZ59"/>
  <c r="AZ58"/>
  <c r="AZ57"/>
  <c r="AZ56"/>
  <c r="AZ55"/>
  <c r="AZ54"/>
  <c r="AZ53"/>
  <c r="AZ52"/>
  <c r="AZ51"/>
  <c r="AZ50"/>
  <c r="AZ49"/>
  <c r="AZ48"/>
  <c r="AZ47"/>
  <c r="AZ46"/>
  <c r="AZ45"/>
  <c r="AZ44"/>
  <c r="AZ43"/>
  <c r="AZ42"/>
  <c r="AZ41"/>
  <c r="AZ40"/>
  <c r="AZ39"/>
  <c r="AZ38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7"/>
  <c r="AZ16"/>
  <c r="AZ15"/>
  <c r="AZ14"/>
  <c r="AZ13"/>
  <c r="AZ12"/>
  <c r="AZ11"/>
  <c r="AZ10"/>
  <c r="AZ9"/>
  <c r="AZ8"/>
  <c r="AZ7"/>
  <c r="AZ6"/>
  <c r="AZ5"/>
  <c r="AZ151" s="1"/>
  <c r="AZ4"/>
  <c r="AZ150" s="1"/>
  <c r="AZ3"/>
  <c r="AY147"/>
  <c r="AY146"/>
  <c r="AY145"/>
  <c r="AY144"/>
  <c r="AY143"/>
  <c r="AY142"/>
  <c r="AY141"/>
  <c r="AY140"/>
  <c r="AY139"/>
  <c r="AY138"/>
  <c r="AY137"/>
  <c r="AY136"/>
  <c r="AY135"/>
  <c r="AY134"/>
  <c r="AY133"/>
  <c r="AY132"/>
  <c r="AY131"/>
  <c r="AY130"/>
  <c r="AY129"/>
  <c r="AY128"/>
  <c r="AY127"/>
  <c r="AY126"/>
  <c r="AY125"/>
  <c r="AY124"/>
  <c r="AY123"/>
  <c r="AY122"/>
  <c r="AY121"/>
  <c r="AY120"/>
  <c r="AY119"/>
  <c r="AY118"/>
  <c r="AY117"/>
  <c r="AY116"/>
  <c r="AY115"/>
  <c r="AY114"/>
  <c r="AY113"/>
  <c r="AY112"/>
  <c r="AY111"/>
  <c r="AY110"/>
  <c r="AY109"/>
  <c r="AY108"/>
  <c r="AY107"/>
  <c r="AY106"/>
  <c r="AY105"/>
  <c r="AY104"/>
  <c r="AY103"/>
  <c r="AY102"/>
  <c r="AY101"/>
  <c r="AY100"/>
  <c r="AY99"/>
  <c r="AY98"/>
  <c r="AY97"/>
  <c r="AY96"/>
  <c r="AY95"/>
  <c r="AY94"/>
  <c r="AY93"/>
  <c r="AY92"/>
  <c r="AY91"/>
  <c r="AY90"/>
  <c r="AY89"/>
  <c r="AY88"/>
  <c r="AY87"/>
  <c r="AY86"/>
  <c r="AY85"/>
  <c r="AY84"/>
  <c r="AY83"/>
  <c r="AY82"/>
  <c r="AY81"/>
  <c r="AY80"/>
  <c r="AY79"/>
  <c r="AY78"/>
  <c r="AY77"/>
  <c r="AY76"/>
  <c r="AY75"/>
  <c r="AY74"/>
  <c r="AY73"/>
  <c r="AY72"/>
  <c r="AY71"/>
  <c r="AY70"/>
  <c r="AY69"/>
  <c r="AY68"/>
  <c r="AY67"/>
  <c r="AY66"/>
  <c r="AY65"/>
  <c r="AY64"/>
  <c r="AY63"/>
  <c r="AY62"/>
  <c r="AY61"/>
  <c r="AY60"/>
  <c r="AY59"/>
  <c r="AY58"/>
  <c r="AY57"/>
  <c r="AY56"/>
  <c r="AY55"/>
  <c r="AY54"/>
  <c r="AY53"/>
  <c r="AY52"/>
  <c r="AY51"/>
  <c r="AY50"/>
  <c r="AY49"/>
  <c r="AY48"/>
  <c r="AY47"/>
  <c r="AY46"/>
  <c r="AY45"/>
  <c r="AY44"/>
  <c r="AY43"/>
  <c r="AY42"/>
  <c r="AY41"/>
  <c r="AY40"/>
  <c r="AY39"/>
  <c r="AY38"/>
  <c r="AY37"/>
  <c r="AY36"/>
  <c r="AY35"/>
  <c r="AY34"/>
  <c r="AY33"/>
  <c r="AY32"/>
  <c r="AY31"/>
  <c r="AY30"/>
  <c r="AY29"/>
  <c r="AY28"/>
  <c r="AY27"/>
  <c r="AY26"/>
  <c r="AY25"/>
  <c r="AY24"/>
  <c r="AY23"/>
  <c r="AY22"/>
  <c r="AY21"/>
  <c r="AY20"/>
  <c r="AY19"/>
  <c r="AY18"/>
  <c r="AY17"/>
  <c r="AY16"/>
  <c r="AY15"/>
  <c r="AY14"/>
  <c r="AY13"/>
  <c r="AY12"/>
  <c r="AY11"/>
  <c r="AY10"/>
  <c r="AY9"/>
  <c r="AY8"/>
  <c r="AY7"/>
  <c r="AY6"/>
  <c r="AY5"/>
  <c r="AY4"/>
  <c r="AY150" s="1"/>
  <c r="AY3"/>
  <c r="AX147"/>
  <c r="AX146"/>
  <c r="AX145"/>
  <c r="AX144"/>
  <c r="AX143"/>
  <c r="AX142"/>
  <c r="AX141"/>
  <c r="AX140"/>
  <c r="AX139"/>
  <c r="AX138"/>
  <c r="AX137"/>
  <c r="AX136"/>
  <c r="AX135"/>
  <c r="AX134"/>
  <c r="AX133"/>
  <c r="AX132"/>
  <c r="AX131"/>
  <c r="AX130"/>
  <c r="AX129"/>
  <c r="AX128"/>
  <c r="AX127"/>
  <c r="AX126"/>
  <c r="AX125"/>
  <c r="AX124"/>
  <c r="AX123"/>
  <c r="AX122"/>
  <c r="AX121"/>
  <c r="AX120"/>
  <c r="AX119"/>
  <c r="AX118"/>
  <c r="AX117"/>
  <c r="AX116"/>
  <c r="AX115"/>
  <c r="AX114"/>
  <c r="AX113"/>
  <c r="AX112"/>
  <c r="AX111"/>
  <c r="AX110"/>
  <c r="AX109"/>
  <c r="AX108"/>
  <c r="AX107"/>
  <c r="AX106"/>
  <c r="AX105"/>
  <c r="AX104"/>
  <c r="AX103"/>
  <c r="AX102"/>
  <c r="AX10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X4"/>
  <c r="AX150" s="1"/>
  <c r="AX3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4"/>
  <c r="AW150" s="1"/>
  <c r="AW3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V151" s="1"/>
  <c r="AV4"/>
  <c r="AV150" s="1"/>
  <c r="AV3"/>
  <c r="AU147"/>
  <c r="AU146"/>
  <c r="AU145"/>
  <c r="AU144"/>
  <c r="AU143"/>
  <c r="AU142"/>
  <c r="AU141"/>
  <c r="AU140"/>
  <c r="AU139"/>
  <c r="AU138"/>
  <c r="AU137"/>
  <c r="AU136"/>
  <c r="AU135"/>
  <c r="AU134"/>
  <c r="AU133"/>
  <c r="AU132"/>
  <c r="AU131"/>
  <c r="AU130"/>
  <c r="AU129"/>
  <c r="AU128"/>
  <c r="AU127"/>
  <c r="AU126"/>
  <c r="AU125"/>
  <c r="AU124"/>
  <c r="AU123"/>
  <c r="AU122"/>
  <c r="AU121"/>
  <c r="AU120"/>
  <c r="AU119"/>
  <c r="AU118"/>
  <c r="AU117"/>
  <c r="AU116"/>
  <c r="AU115"/>
  <c r="AU114"/>
  <c r="AU113"/>
  <c r="AU112"/>
  <c r="AU111"/>
  <c r="AU110"/>
  <c r="AU109"/>
  <c r="AU108"/>
  <c r="AU107"/>
  <c r="AU106"/>
  <c r="AU105"/>
  <c r="AU104"/>
  <c r="AU103"/>
  <c r="AU102"/>
  <c r="AU101"/>
  <c r="AU100"/>
  <c r="AU99"/>
  <c r="AU98"/>
  <c r="AU97"/>
  <c r="AU96"/>
  <c r="AU95"/>
  <c r="AU94"/>
  <c r="AU93"/>
  <c r="AU92"/>
  <c r="AU91"/>
  <c r="AU90"/>
  <c r="AU89"/>
  <c r="AU88"/>
  <c r="AU87"/>
  <c r="AU86"/>
  <c r="AU85"/>
  <c r="AU84"/>
  <c r="AU83"/>
  <c r="AU82"/>
  <c r="AU81"/>
  <c r="AU80"/>
  <c r="AU79"/>
  <c r="AU78"/>
  <c r="AU77"/>
  <c r="AU76"/>
  <c r="AU75"/>
  <c r="AU74"/>
  <c r="AU73"/>
  <c r="AU72"/>
  <c r="AU71"/>
  <c r="AU70"/>
  <c r="AU69"/>
  <c r="AU68"/>
  <c r="AU67"/>
  <c r="AU66"/>
  <c r="AU65"/>
  <c r="AU64"/>
  <c r="AU63"/>
  <c r="AU62"/>
  <c r="AU61"/>
  <c r="AU60"/>
  <c r="AU59"/>
  <c r="AU58"/>
  <c r="AU57"/>
  <c r="AU56"/>
  <c r="AU55"/>
  <c r="AU54"/>
  <c r="AU53"/>
  <c r="AU52"/>
  <c r="AU51"/>
  <c r="AU50"/>
  <c r="AU49"/>
  <c r="AU48"/>
  <c r="AU47"/>
  <c r="AU46"/>
  <c r="AU45"/>
  <c r="AU44"/>
  <c r="AU43"/>
  <c r="AU42"/>
  <c r="AU41"/>
  <c r="AU40"/>
  <c r="AU39"/>
  <c r="AU38"/>
  <c r="AU37"/>
  <c r="AU36"/>
  <c r="AU35"/>
  <c r="AU34"/>
  <c r="AU33"/>
  <c r="AU32"/>
  <c r="AU31"/>
  <c r="AU30"/>
  <c r="AU29"/>
  <c r="AU28"/>
  <c r="AU27"/>
  <c r="AU26"/>
  <c r="AU25"/>
  <c r="AU24"/>
  <c r="AU23"/>
  <c r="AU22"/>
  <c r="AU21"/>
  <c r="AU20"/>
  <c r="AU19"/>
  <c r="AU18"/>
  <c r="AU17"/>
  <c r="AU16"/>
  <c r="AU15"/>
  <c r="AU14"/>
  <c r="AU13"/>
  <c r="AU12"/>
  <c r="AU11"/>
  <c r="AU10"/>
  <c r="AU9"/>
  <c r="AU8"/>
  <c r="AU7"/>
  <c r="AU6"/>
  <c r="AU5"/>
  <c r="AU4"/>
  <c r="AU150" s="1"/>
  <c r="AU3"/>
  <c r="AT147"/>
  <c r="AT146"/>
  <c r="AT145"/>
  <c r="AT144"/>
  <c r="AT143"/>
  <c r="AT142"/>
  <c r="AT141"/>
  <c r="AT140"/>
  <c r="AT139"/>
  <c r="AT138"/>
  <c r="AT137"/>
  <c r="AT136"/>
  <c r="AT135"/>
  <c r="AT134"/>
  <c r="AT133"/>
  <c r="AT132"/>
  <c r="AT131"/>
  <c r="AT130"/>
  <c r="AT129"/>
  <c r="AT128"/>
  <c r="AT127"/>
  <c r="AT126"/>
  <c r="AT125"/>
  <c r="AT124"/>
  <c r="AT123"/>
  <c r="AT122"/>
  <c r="AT121"/>
  <c r="AT120"/>
  <c r="AT119"/>
  <c r="AT118"/>
  <c r="AT117"/>
  <c r="AT116"/>
  <c r="AT115"/>
  <c r="AT114"/>
  <c r="AT113"/>
  <c r="AT112"/>
  <c r="AT111"/>
  <c r="AT110"/>
  <c r="AT109"/>
  <c r="AT108"/>
  <c r="AT107"/>
  <c r="AT106"/>
  <c r="AT105"/>
  <c r="AT104"/>
  <c r="AT103"/>
  <c r="AT102"/>
  <c r="AT101"/>
  <c r="AT100"/>
  <c r="AT99"/>
  <c r="AT98"/>
  <c r="AT97"/>
  <c r="AT96"/>
  <c r="AT95"/>
  <c r="AT94"/>
  <c r="AT93"/>
  <c r="AT92"/>
  <c r="AT91"/>
  <c r="AT90"/>
  <c r="AT89"/>
  <c r="AT88"/>
  <c r="AT87"/>
  <c r="AT86"/>
  <c r="AT85"/>
  <c r="AT84"/>
  <c r="AT83"/>
  <c r="AT82"/>
  <c r="AT81"/>
  <c r="AT80"/>
  <c r="AT79"/>
  <c r="AT78"/>
  <c r="AT77"/>
  <c r="AT76"/>
  <c r="AT75"/>
  <c r="AT74"/>
  <c r="AT73"/>
  <c r="AT72"/>
  <c r="AT71"/>
  <c r="AT70"/>
  <c r="AT69"/>
  <c r="AT68"/>
  <c r="AT67"/>
  <c r="AT66"/>
  <c r="AT65"/>
  <c r="AT64"/>
  <c r="AT63"/>
  <c r="AT62"/>
  <c r="AT61"/>
  <c r="AT60"/>
  <c r="AT59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8"/>
  <c r="AT17"/>
  <c r="AT16"/>
  <c r="AT15"/>
  <c r="AT14"/>
  <c r="AT13"/>
  <c r="AT12"/>
  <c r="AT11"/>
  <c r="AT10"/>
  <c r="AT9"/>
  <c r="AT8"/>
  <c r="AT7"/>
  <c r="AT6"/>
  <c r="AT5"/>
  <c r="AT151" s="1"/>
  <c r="AT4"/>
  <c r="AT150" s="1"/>
  <c r="AT3"/>
  <c r="AS147"/>
  <c r="AS146"/>
  <c r="AS145"/>
  <c r="AS144"/>
  <c r="AS143"/>
  <c r="AS142"/>
  <c r="AS141"/>
  <c r="AS140"/>
  <c r="AS139"/>
  <c r="AS138"/>
  <c r="AS137"/>
  <c r="AS136"/>
  <c r="AS135"/>
  <c r="AS134"/>
  <c r="AS133"/>
  <c r="AS132"/>
  <c r="AS131"/>
  <c r="AS130"/>
  <c r="AS129"/>
  <c r="AS128"/>
  <c r="AS127"/>
  <c r="AS126"/>
  <c r="AS125"/>
  <c r="AS124"/>
  <c r="AS123"/>
  <c r="AS122"/>
  <c r="AS121"/>
  <c r="AS120"/>
  <c r="AS119"/>
  <c r="AS118"/>
  <c r="AS117"/>
  <c r="AS116"/>
  <c r="AS115"/>
  <c r="AS114"/>
  <c r="AS113"/>
  <c r="AS112"/>
  <c r="AS111"/>
  <c r="AS110"/>
  <c r="AS109"/>
  <c r="AS108"/>
  <c r="AS107"/>
  <c r="AS106"/>
  <c r="AS105"/>
  <c r="AS104"/>
  <c r="AS103"/>
  <c r="AS102"/>
  <c r="AS101"/>
  <c r="AS100"/>
  <c r="AS99"/>
  <c r="AS98"/>
  <c r="AS97"/>
  <c r="AS96"/>
  <c r="AS95"/>
  <c r="AS94"/>
  <c r="AS93"/>
  <c r="AS92"/>
  <c r="AS91"/>
  <c r="AS90"/>
  <c r="AS89"/>
  <c r="AS88"/>
  <c r="AS87"/>
  <c r="AS86"/>
  <c r="AS85"/>
  <c r="AS84"/>
  <c r="AS83"/>
  <c r="AS82"/>
  <c r="AS81"/>
  <c r="AS80"/>
  <c r="AS79"/>
  <c r="AS78"/>
  <c r="AS77"/>
  <c r="AS76"/>
  <c r="AS75"/>
  <c r="AS74"/>
  <c r="AS73"/>
  <c r="AS72"/>
  <c r="AS71"/>
  <c r="AS70"/>
  <c r="AS69"/>
  <c r="AS68"/>
  <c r="AS67"/>
  <c r="AS66"/>
  <c r="AS65"/>
  <c r="AS64"/>
  <c r="AS63"/>
  <c r="AS62"/>
  <c r="AS61"/>
  <c r="AS60"/>
  <c r="AS59"/>
  <c r="AS58"/>
  <c r="AS57"/>
  <c r="AS56"/>
  <c r="AS55"/>
  <c r="AS54"/>
  <c r="AS53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S4"/>
  <c r="AS150" s="1"/>
  <c r="AS3"/>
  <c r="AR147"/>
  <c r="AR146"/>
  <c r="AR145"/>
  <c r="AR144"/>
  <c r="AR143"/>
  <c r="AR142"/>
  <c r="AR141"/>
  <c r="AR140"/>
  <c r="AR139"/>
  <c r="AR138"/>
  <c r="AR137"/>
  <c r="AR136"/>
  <c r="AR135"/>
  <c r="AR134"/>
  <c r="AR133"/>
  <c r="AR132"/>
  <c r="AR131"/>
  <c r="AR130"/>
  <c r="AR129"/>
  <c r="AR128"/>
  <c r="AR127"/>
  <c r="AR126"/>
  <c r="AR125"/>
  <c r="AR124"/>
  <c r="AR123"/>
  <c r="AR122"/>
  <c r="AR121"/>
  <c r="AR120"/>
  <c r="AR119"/>
  <c r="AR118"/>
  <c r="AR117"/>
  <c r="AR116"/>
  <c r="AR115"/>
  <c r="AR114"/>
  <c r="AR113"/>
  <c r="AR112"/>
  <c r="AR111"/>
  <c r="AR110"/>
  <c r="AR109"/>
  <c r="AR108"/>
  <c r="AR107"/>
  <c r="AR106"/>
  <c r="AR105"/>
  <c r="AR104"/>
  <c r="AR103"/>
  <c r="AR102"/>
  <c r="AR101"/>
  <c r="AR100"/>
  <c r="AR99"/>
  <c r="AR98"/>
  <c r="AR97"/>
  <c r="AR96"/>
  <c r="AR95"/>
  <c r="AR94"/>
  <c r="AR93"/>
  <c r="AR92"/>
  <c r="AR91"/>
  <c r="AR90"/>
  <c r="AR89"/>
  <c r="AR88"/>
  <c r="AR87"/>
  <c r="AR86"/>
  <c r="AR85"/>
  <c r="AR84"/>
  <c r="AR83"/>
  <c r="AR82"/>
  <c r="AR81"/>
  <c r="AR80"/>
  <c r="AR79"/>
  <c r="AR78"/>
  <c r="AR77"/>
  <c r="AR76"/>
  <c r="AR75"/>
  <c r="AR74"/>
  <c r="AR73"/>
  <c r="AR72"/>
  <c r="AR71"/>
  <c r="AR70"/>
  <c r="AR69"/>
  <c r="AR68"/>
  <c r="AR67"/>
  <c r="AR66"/>
  <c r="AR65"/>
  <c r="AR64"/>
  <c r="AR63"/>
  <c r="AR62"/>
  <c r="AR61"/>
  <c r="AR60"/>
  <c r="AR59"/>
  <c r="AR58"/>
  <c r="AR57"/>
  <c r="AR56"/>
  <c r="AR55"/>
  <c r="AR54"/>
  <c r="AR53"/>
  <c r="AR52"/>
  <c r="AR51"/>
  <c r="AR50"/>
  <c r="AR49"/>
  <c r="AR48"/>
  <c r="AR47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R151" s="1"/>
  <c r="AR4"/>
  <c r="AR150" s="1"/>
  <c r="AR3"/>
  <c r="AQ147"/>
  <c r="AQ146"/>
  <c r="AQ145"/>
  <c r="AQ144"/>
  <c r="AQ143"/>
  <c r="AQ142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81"/>
  <c r="AQ80"/>
  <c r="AQ79"/>
  <c r="AQ78"/>
  <c r="AQ77"/>
  <c r="AQ76"/>
  <c r="AQ75"/>
  <c r="AQ74"/>
  <c r="AQ73"/>
  <c r="AQ72"/>
  <c r="AQ71"/>
  <c r="AQ70"/>
  <c r="AQ69"/>
  <c r="AQ68"/>
  <c r="AQ67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Q34"/>
  <c r="AQ33"/>
  <c r="AQ32"/>
  <c r="AQ31"/>
  <c r="AQ30"/>
  <c r="AQ29"/>
  <c r="AQ28"/>
  <c r="AQ27"/>
  <c r="AQ26"/>
  <c r="AQ25"/>
  <c r="AQ24"/>
  <c r="AQ23"/>
  <c r="AQ22"/>
  <c r="AQ21"/>
  <c r="AQ20"/>
  <c r="AQ19"/>
  <c r="AQ18"/>
  <c r="AQ17"/>
  <c r="AQ16"/>
  <c r="AQ15"/>
  <c r="AQ14"/>
  <c r="AQ13"/>
  <c r="AQ12"/>
  <c r="AQ11"/>
  <c r="AQ10"/>
  <c r="AQ9"/>
  <c r="AQ8"/>
  <c r="AQ7"/>
  <c r="AQ6"/>
  <c r="AQ5"/>
  <c r="AQ4"/>
  <c r="AQ150" s="1"/>
  <c r="AQ3"/>
  <c r="AP147"/>
  <c r="AP146"/>
  <c r="AP145"/>
  <c r="AP144"/>
  <c r="AP143"/>
  <c r="AP142"/>
  <c r="AP141"/>
  <c r="AP140"/>
  <c r="AP139"/>
  <c r="AP138"/>
  <c r="AP137"/>
  <c r="AP136"/>
  <c r="AP135"/>
  <c r="AP134"/>
  <c r="AP133"/>
  <c r="AP132"/>
  <c r="AP131"/>
  <c r="AP130"/>
  <c r="AP129"/>
  <c r="AP128"/>
  <c r="AP127"/>
  <c r="AP126"/>
  <c r="AP125"/>
  <c r="AP124"/>
  <c r="AP123"/>
  <c r="AP122"/>
  <c r="AP121"/>
  <c r="AP120"/>
  <c r="AP119"/>
  <c r="AP118"/>
  <c r="AP117"/>
  <c r="AP116"/>
  <c r="AP115"/>
  <c r="AP114"/>
  <c r="AP113"/>
  <c r="AP112"/>
  <c r="AP111"/>
  <c r="AP110"/>
  <c r="AP109"/>
  <c r="AP108"/>
  <c r="AP107"/>
  <c r="AP106"/>
  <c r="AP105"/>
  <c r="AP104"/>
  <c r="AP103"/>
  <c r="AP102"/>
  <c r="AP101"/>
  <c r="AP100"/>
  <c r="AP99"/>
  <c r="AP98"/>
  <c r="AP97"/>
  <c r="AP96"/>
  <c r="AP95"/>
  <c r="AP94"/>
  <c r="AP93"/>
  <c r="AP92"/>
  <c r="AP91"/>
  <c r="AP90"/>
  <c r="AP89"/>
  <c r="AP88"/>
  <c r="AP87"/>
  <c r="AP86"/>
  <c r="AP85"/>
  <c r="AP84"/>
  <c r="AP83"/>
  <c r="AP82"/>
  <c r="AP81"/>
  <c r="AP80"/>
  <c r="AP79"/>
  <c r="AP78"/>
  <c r="AP77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P4"/>
  <c r="AP150" s="1"/>
  <c r="AP3"/>
  <c r="AO147"/>
  <c r="AO146"/>
  <c r="AO145"/>
  <c r="AO144"/>
  <c r="AO143"/>
  <c r="AO142"/>
  <c r="AO141"/>
  <c r="AO140"/>
  <c r="AO139"/>
  <c r="AO138"/>
  <c r="AO137"/>
  <c r="AO136"/>
  <c r="AO135"/>
  <c r="AO134"/>
  <c r="AO133"/>
  <c r="AO132"/>
  <c r="AO131"/>
  <c r="AO130"/>
  <c r="AO129"/>
  <c r="AO128"/>
  <c r="AO127"/>
  <c r="AO126"/>
  <c r="AO125"/>
  <c r="AO124"/>
  <c r="AO123"/>
  <c r="AO122"/>
  <c r="AO121"/>
  <c r="AO120"/>
  <c r="AO119"/>
  <c r="AO118"/>
  <c r="AO117"/>
  <c r="AO116"/>
  <c r="AO115"/>
  <c r="AO114"/>
  <c r="AO113"/>
  <c r="AO112"/>
  <c r="AO111"/>
  <c r="AO110"/>
  <c r="AO109"/>
  <c r="AO108"/>
  <c r="AO107"/>
  <c r="AO106"/>
  <c r="AO105"/>
  <c r="AO104"/>
  <c r="AO103"/>
  <c r="AO102"/>
  <c r="AO101"/>
  <c r="AO100"/>
  <c r="AO99"/>
  <c r="AO98"/>
  <c r="AO97"/>
  <c r="AO96"/>
  <c r="AO95"/>
  <c r="AO94"/>
  <c r="AO93"/>
  <c r="AO92"/>
  <c r="AO91"/>
  <c r="AO90"/>
  <c r="AO89"/>
  <c r="AO88"/>
  <c r="AO87"/>
  <c r="AO86"/>
  <c r="AO85"/>
  <c r="AO84"/>
  <c r="AO83"/>
  <c r="AO82"/>
  <c r="AO81"/>
  <c r="AO80"/>
  <c r="AO79"/>
  <c r="AO78"/>
  <c r="AO77"/>
  <c r="AO76"/>
  <c r="AO75"/>
  <c r="AO74"/>
  <c r="AO73"/>
  <c r="AO72"/>
  <c r="AO71"/>
  <c r="AO70"/>
  <c r="AO69"/>
  <c r="AO68"/>
  <c r="AO67"/>
  <c r="AO66"/>
  <c r="AO65"/>
  <c r="AO64"/>
  <c r="AO63"/>
  <c r="AO62"/>
  <c r="AO61"/>
  <c r="AO60"/>
  <c r="AO59"/>
  <c r="AO58"/>
  <c r="AO57"/>
  <c r="AO56"/>
  <c r="AO55"/>
  <c r="AO54"/>
  <c r="AO53"/>
  <c r="AO52"/>
  <c r="AO51"/>
  <c r="AO50"/>
  <c r="AO49"/>
  <c r="AO48"/>
  <c r="AO47"/>
  <c r="AO46"/>
  <c r="AO45"/>
  <c r="AO44"/>
  <c r="AO43"/>
  <c r="AO42"/>
  <c r="AO41"/>
  <c r="AO40"/>
  <c r="AO39"/>
  <c r="AO38"/>
  <c r="AO37"/>
  <c r="AO36"/>
  <c r="AO35"/>
  <c r="AO34"/>
  <c r="AO33"/>
  <c r="AO32"/>
  <c r="AO31"/>
  <c r="AO30"/>
  <c r="AO29"/>
  <c r="AO28"/>
  <c r="AO27"/>
  <c r="AO26"/>
  <c r="AO25"/>
  <c r="AO24"/>
  <c r="AO23"/>
  <c r="AO22"/>
  <c r="AO21"/>
  <c r="AO20"/>
  <c r="AO19"/>
  <c r="AO18"/>
  <c r="AO17"/>
  <c r="AO16"/>
  <c r="AO15"/>
  <c r="AO14"/>
  <c r="AO13"/>
  <c r="AO12"/>
  <c r="AO11"/>
  <c r="AO10"/>
  <c r="AO9"/>
  <c r="AO8"/>
  <c r="AO7"/>
  <c r="AO6"/>
  <c r="AO5"/>
  <c r="AO4"/>
  <c r="AO150" s="1"/>
  <c r="AO3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151" s="1"/>
  <c r="AN4"/>
  <c r="AN150" s="1"/>
  <c r="AN3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81"/>
  <c r="AM80"/>
  <c r="AM79"/>
  <c r="AM78"/>
  <c r="AM77"/>
  <c r="AM76"/>
  <c r="AM75"/>
  <c r="AM74"/>
  <c r="AM73"/>
  <c r="AM72"/>
  <c r="AM71"/>
  <c r="AM70"/>
  <c r="AM69"/>
  <c r="AM68"/>
  <c r="AM67"/>
  <c r="AM66"/>
  <c r="AM65"/>
  <c r="AM64"/>
  <c r="AM63"/>
  <c r="AM62"/>
  <c r="AM61"/>
  <c r="AM60"/>
  <c r="AM59"/>
  <c r="AM58"/>
  <c r="AM57"/>
  <c r="AM56"/>
  <c r="AM55"/>
  <c r="AM54"/>
  <c r="AM53"/>
  <c r="AM52"/>
  <c r="AM51"/>
  <c r="AM50"/>
  <c r="AM49"/>
  <c r="AM48"/>
  <c r="AM47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M4"/>
  <c r="AM150" s="1"/>
  <c r="AM3"/>
  <c r="AL147"/>
  <c r="AL146"/>
  <c r="AL145"/>
  <c r="AL144"/>
  <c r="AL143"/>
  <c r="AL142"/>
  <c r="AL141"/>
  <c r="AL140"/>
  <c r="AL139"/>
  <c r="AL138"/>
  <c r="AL137"/>
  <c r="AL136"/>
  <c r="AL135"/>
  <c r="AL134"/>
  <c r="AL133"/>
  <c r="AL132"/>
  <c r="AL131"/>
  <c r="AL130"/>
  <c r="AL129"/>
  <c r="AL128"/>
  <c r="AL127"/>
  <c r="AL126"/>
  <c r="AL125"/>
  <c r="AL124"/>
  <c r="AL123"/>
  <c r="AL122"/>
  <c r="AL121"/>
  <c r="AL120"/>
  <c r="AL119"/>
  <c r="AL118"/>
  <c r="AL117"/>
  <c r="AL116"/>
  <c r="AL115"/>
  <c r="AL114"/>
  <c r="AL113"/>
  <c r="AL112"/>
  <c r="AL111"/>
  <c r="AL110"/>
  <c r="AL109"/>
  <c r="AL108"/>
  <c r="AL107"/>
  <c r="AL106"/>
  <c r="AL105"/>
  <c r="AL104"/>
  <c r="AL103"/>
  <c r="AL102"/>
  <c r="AL101"/>
  <c r="AL100"/>
  <c r="AL99"/>
  <c r="AL98"/>
  <c r="AL97"/>
  <c r="AL96"/>
  <c r="AL95"/>
  <c r="AL94"/>
  <c r="AL93"/>
  <c r="AL92"/>
  <c r="AL91"/>
  <c r="AL90"/>
  <c r="AL89"/>
  <c r="AL8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151" s="1"/>
  <c r="AL4"/>
  <c r="AL150" s="1"/>
  <c r="AL3"/>
  <c r="AK147"/>
  <c r="AK146"/>
  <c r="AK145"/>
  <c r="AK144"/>
  <c r="AK143"/>
  <c r="AK142"/>
  <c r="AK141"/>
  <c r="AK140"/>
  <c r="AK139"/>
  <c r="AK138"/>
  <c r="AK137"/>
  <c r="AK136"/>
  <c r="AK135"/>
  <c r="AK134"/>
  <c r="AK133"/>
  <c r="AK132"/>
  <c r="AK131"/>
  <c r="AK130"/>
  <c r="AK129"/>
  <c r="AK128"/>
  <c r="AK127"/>
  <c r="AK126"/>
  <c r="AK125"/>
  <c r="AK124"/>
  <c r="AK123"/>
  <c r="AK122"/>
  <c r="AK121"/>
  <c r="AK120"/>
  <c r="AK119"/>
  <c r="AK118"/>
  <c r="AK117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150" s="1"/>
  <c r="AK3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151" s="1"/>
  <c r="AJ4"/>
  <c r="AJ150" s="1"/>
  <c r="AJ3"/>
  <c r="AI147"/>
  <c r="AI146"/>
  <c r="AI145"/>
  <c r="AI144"/>
  <c r="AI143"/>
  <c r="AI142"/>
  <c r="AI141"/>
  <c r="AI140"/>
  <c r="AI139"/>
  <c r="AI138"/>
  <c r="AI137"/>
  <c r="AI136"/>
  <c r="AI135"/>
  <c r="AI134"/>
  <c r="AI133"/>
  <c r="AI132"/>
  <c r="AI131"/>
  <c r="AI130"/>
  <c r="AI129"/>
  <c r="AI128"/>
  <c r="AI127"/>
  <c r="AI126"/>
  <c r="AI125"/>
  <c r="AI124"/>
  <c r="AI123"/>
  <c r="AI122"/>
  <c r="AI121"/>
  <c r="AI120"/>
  <c r="AI119"/>
  <c r="AI118"/>
  <c r="AI117"/>
  <c r="AI116"/>
  <c r="AI115"/>
  <c r="AI114"/>
  <c r="AI113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I151" s="1"/>
  <c r="AI4"/>
  <c r="AI150" s="1"/>
  <c r="AI3"/>
  <c r="AG147"/>
  <c r="AG146"/>
  <c r="AG145"/>
  <c r="AG144"/>
  <c r="AG143"/>
  <c r="AG142"/>
  <c r="AG141"/>
  <c r="AG140"/>
  <c r="AG139"/>
  <c r="AG138"/>
  <c r="AG137"/>
  <c r="AG136"/>
  <c r="AG135"/>
  <c r="AG134"/>
  <c r="AG133"/>
  <c r="AG132"/>
  <c r="AG131"/>
  <c r="AG130"/>
  <c r="AG129"/>
  <c r="AG128"/>
  <c r="AG127"/>
  <c r="AG126"/>
  <c r="AG125"/>
  <c r="AG124"/>
  <c r="AG123"/>
  <c r="AG122"/>
  <c r="AG121"/>
  <c r="AG120"/>
  <c r="AG119"/>
  <c r="AG118"/>
  <c r="AG117"/>
  <c r="AG116"/>
  <c r="AG115"/>
  <c r="AG114"/>
  <c r="AG113"/>
  <c r="AG112"/>
  <c r="AG111"/>
  <c r="AG110"/>
  <c r="AG109"/>
  <c r="AG108"/>
  <c r="AG107"/>
  <c r="AG106"/>
  <c r="AG105"/>
  <c r="AG104"/>
  <c r="AG103"/>
  <c r="AG102"/>
  <c r="AG101"/>
  <c r="AG100"/>
  <c r="AG99"/>
  <c r="AG98"/>
  <c r="AG97"/>
  <c r="AG96"/>
  <c r="AG95"/>
  <c r="AG94"/>
  <c r="AG93"/>
  <c r="AG92"/>
  <c r="AG91"/>
  <c r="AG90"/>
  <c r="AG89"/>
  <c r="AG88"/>
  <c r="AG87"/>
  <c r="AG86"/>
  <c r="AG85"/>
  <c r="AG84"/>
  <c r="AG83"/>
  <c r="AG82"/>
  <c r="AG81"/>
  <c r="AG80"/>
  <c r="AG79"/>
  <c r="AG78"/>
  <c r="AG77"/>
  <c r="AG76"/>
  <c r="AG75"/>
  <c r="AG74"/>
  <c r="AG73"/>
  <c r="AG72"/>
  <c r="AG71"/>
  <c r="AG70"/>
  <c r="AG69"/>
  <c r="AG68"/>
  <c r="AG67"/>
  <c r="AG66"/>
  <c r="AG65"/>
  <c r="AG64"/>
  <c r="AG63"/>
  <c r="AG62"/>
  <c r="AG61"/>
  <c r="AG60"/>
  <c r="AG59"/>
  <c r="AG58"/>
  <c r="AG57"/>
  <c r="AG56"/>
  <c r="AG55"/>
  <c r="AG54"/>
  <c r="AG53"/>
  <c r="AG52"/>
  <c r="AG51"/>
  <c r="AG50"/>
  <c r="AG49"/>
  <c r="AG48"/>
  <c r="AG47"/>
  <c r="AG46"/>
  <c r="AG45"/>
  <c r="AG44"/>
  <c r="AG43"/>
  <c r="AG42"/>
  <c r="AG41"/>
  <c r="AG40"/>
  <c r="AG39"/>
  <c r="AG38"/>
  <c r="AG37"/>
  <c r="AG36"/>
  <c r="AG35"/>
  <c r="AG34"/>
  <c r="AG33"/>
  <c r="AG32"/>
  <c r="AG31"/>
  <c r="AG30"/>
  <c r="AG29"/>
  <c r="AG28"/>
  <c r="AG27"/>
  <c r="AG26"/>
  <c r="AG25"/>
  <c r="AG24"/>
  <c r="AG23"/>
  <c r="AG22"/>
  <c r="AG21"/>
  <c r="AG20"/>
  <c r="AG19"/>
  <c r="AG18"/>
  <c r="AG17"/>
  <c r="AG16"/>
  <c r="AG15"/>
  <c r="AG14"/>
  <c r="AG13"/>
  <c r="AG12"/>
  <c r="AG11"/>
  <c r="AG10"/>
  <c r="AG9"/>
  <c r="AG8"/>
  <c r="AG7"/>
  <c r="AG6"/>
  <c r="AG5"/>
  <c r="AG4"/>
  <c r="AG150" s="1"/>
  <c r="AA148"/>
  <c r="AA147"/>
  <c r="AA146"/>
  <c r="AA145"/>
  <c r="AA144"/>
  <c r="AA143"/>
  <c r="AA142"/>
  <c r="AA141"/>
  <c r="AA140"/>
  <c r="AA139"/>
  <c r="AA138"/>
  <c r="AA137"/>
  <c r="AA136"/>
  <c r="AA135"/>
  <c r="AA134"/>
  <c r="AA133"/>
  <c r="AA132"/>
  <c r="AA131"/>
  <c r="AA130"/>
  <c r="AA129"/>
  <c r="AA128"/>
  <c r="AA127"/>
  <c r="AA126"/>
  <c r="AA125"/>
  <c r="AA124"/>
  <c r="AA123"/>
  <c r="AA122"/>
  <c r="AA121"/>
  <c r="AA120"/>
  <c r="AA119"/>
  <c r="AA118"/>
  <c r="AA117"/>
  <c r="AA116"/>
  <c r="AA115"/>
  <c r="AA114"/>
  <c r="AA113"/>
  <c r="AA112"/>
  <c r="AA111"/>
  <c r="AA110"/>
  <c r="AA109"/>
  <c r="AA108"/>
  <c r="AA107"/>
  <c r="AA106"/>
  <c r="AA105"/>
  <c r="AA104"/>
  <c r="AA103"/>
  <c r="AA102"/>
  <c r="AA101"/>
  <c r="AA100"/>
  <c r="AA99"/>
  <c r="AA98"/>
  <c r="AA97"/>
  <c r="AA96"/>
  <c r="AA95"/>
  <c r="AA94"/>
  <c r="AA93"/>
  <c r="AA92"/>
  <c r="AA91"/>
  <c r="AA90"/>
  <c r="AA89"/>
  <c r="AA88"/>
  <c r="AA87"/>
  <c r="AA86"/>
  <c r="AA85"/>
  <c r="AA84"/>
  <c r="AA83"/>
  <c r="AA82"/>
  <c r="AD82" s="1"/>
  <c r="AA81"/>
  <c r="AA80"/>
  <c r="AA79"/>
  <c r="AA78"/>
  <c r="AA77"/>
  <c r="AA76"/>
  <c r="AA75"/>
  <c r="AA74"/>
  <c r="AD74" s="1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A53"/>
  <c r="AA52"/>
  <c r="AA51"/>
  <c r="AA50"/>
  <c r="AD50" s="1"/>
  <c r="AA49"/>
  <c r="AA48"/>
  <c r="AA47"/>
  <c r="AA46"/>
  <c r="AA45"/>
  <c r="AA44"/>
  <c r="AA43"/>
  <c r="AA42"/>
  <c r="AD42" s="1"/>
  <c r="AA41"/>
  <c r="AA40"/>
  <c r="AA39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AA21"/>
  <c r="AA20"/>
  <c r="AA19"/>
  <c r="AA18"/>
  <c r="AD18" s="1"/>
  <c r="AA17"/>
  <c r="AA16"/>
  <c r="AA15"/>
  <c r="AA14"/>
  <c r="AA13"/>
  <c r="AA12"/>
  <c r="AA11"/>
  <c r="AA10"/>
  <c r="AD10" s="1"/>
  <c r="AA9"/>
  <c r="AA8"/>
  <c r="AA7"/>
  <c r="AA6"/>
  <c r="AD6" s="1"/>
  <c r="AA5"/>
  <c r="AA4"/>
  <c r="AA3"/>
  <c r="Y151"/>
  <c r="Y150"/>
  <c r="X151"/>
  <c r="X150"/>
  <c r="W150"/>
  <c r="V150"/>
  <c r="W151" s="1"/>
  <c r="U151"/>
  <c r="U150"/>
  <c r="T151"/>
  <c r="T150"/>
  <c r="S150"/>
  <c r="S151" s="1"/>
  <c r="R150"/>
  <c r="R151" s="1"/>
  <c r="Q151"/>
  <c r="Q150"/>
  <c r="P151"/>
  <c r="P150"/>
  <c r="O150"/>
  <c r="O151" s="1"/>
  <c r="N150"/>
  <c r="N151" s="1"/>
  <c r="M150"/>
  <c r="L150"/>
  <c r="L151" s="1"/>
  <c r="K150"/>
  <c r="K151" s="1"/>
  <c r="J150"/>
  <c r="J151" s="1"/>
  <c r="I150"/>
  <c r="H150"/>
  <c r="H151" s="1"/>
  <c r="G150"/>
  <c r="G151" s="1"/>
  <c r="F150"/>
  <c r="F151" s="1"/>
  <c r="E150"/>
  <c r="D150"/>
  <c r="D151" s="1"/>
  <c r="C150"/>
  <c r="C151" s="1"/>
  <c r="B150"/>
  <c r="Z151"/>
  <c r="Z150"/>
  <c r="CB147" i="85"/>
  <c r="CB146"/>
  <c r="CB145"/>
  <c r="CB144"/>
  <c r="CB143"/>
  <c r="CB142"/>
  <c r="CB141"/>
  <c r="CB140"/>
  <c r="CB139"/>
  <c r="CB138"/>
  <c r="CB137"/>
  <c r="CB136"/>
  <c r="CB135"/>
  <c r="CB134"/>
  <c r="CB133"/>
  <c r="CB132"/>
  <c r="CB131"/>
  <c r="CB130"/>
  <c r="CB129"/>
  <c r="CB128"/>
  <c r="CB127"/>
  <c r="CB126"/>
  <c r="CB125"/>
  <c r="CB124"/>
  <c r="CB123"/>
  <c r="CB122"/>
  <c r="CB121"/>
  <c r="CB120"/>
  <c r="CB119"/>
  <c r="CB118"/>
  <c r="CB117"/>
  <c r="CB116"/>
  <c r="CB115"/>
  <c r="CB114"/>
  <c r="CB113"/>
  <c r="CB112"/>
  <c r="CB111"/>
  <c r="CB110"/>
  <c r="CB109"/>
  <c r="CB108"/>
  <c r="CB107"/>
  <c r="CB106"/>
  <c r="CB105"/>
  <c r="CB104"/>
  <c r="CB103"/>
  <c r="CB102"/>
  <c r="CB101"/>
  <c r="CB100"/>
  <c r="CB99"/>
  <c r="CB98"/>
  <c r="CB97"/>
  <c r="CB96"/>
  <c r="CB95"/>
  <c r="CB94"/>
  <c r="CB93"/>
  <c r="CB92"/>
  <c r="CB91"/>
  <c r="CB90"/>
  <c r="CB89"/>
  <c r="CB88"/>
  <c r="CB87"/>
  <c r="CB86"/>
  <c r="CB85"/>
  <c r="CB84"/>
  <c r="CB83"/>
  <c r="CB82"/>
  <c r="CB81"/>
  <c r="CB80"/>
  <c r="CB79"/>
  <c r="CB78"/>
  <c r="CB77"/>
  <c r="CB76"/>
  <c r="CB75"/>
  <c r="CB74"/>
  <c r="CB73"/>
  <c r="CB72"/>
  <c r="CB71"/>
  <c r="CB70"/>
  <c r="CB69"/>
  <c r="CB68"/>
  <c r="CB67"/>
  <c r="CB66"/>
  <c r="CB65"/>
  <c r="CB64"/>
  <c r="CB63"/>
  <c r="CB62"/>
  <c r="CB61"/>
  <c r="CB60"/>
  <c r="CB59"/>
  <c r="CB58"/>
  <c r="CB57"/>
  <c r="CB56"/>
  <c r="CB55"/>
  <c r="CB54"/>
  <c r="CB53"/>
  <c r="CB52"/>
  <c r="CB51"/>
  <c r="CB50"/>
  <c r="CB49"/>
  <c r="CB48"/>
  <c r="CB47"/>
  <c r="CB46"/>
  <c r="CB45"/>
  <c r="CB44"/>
  <c r="CB43"/>
  <c r="CB42"/>
  <c r="CB41"/>
  <c r="CB40"/>
  <c r="CB39"/>
  <c r="CB38"/>
  <c r="CB37"/>
  <c r="CB36"/>
  <c r="CB35"/>
  <c r="CB34"/>
  <c r="CB33"/>
  <c r="CB32"/>
  <c r="CB31"/>
  <c r="CB30"/>
  <c r="CB29"/>
  <c r="CB28"/>
  <c r="CB27"/>
  <c r="CB26"/>
  <c r="CB25"/>
  <c r="CB24"/>
  <c r="CB23"/>
  <c r="CB22"/>
  <c r="CB21"/>
  <c r="CB20"/>
  <c r="CB19"/>
  <c r="CB18"/>
  <c r="CB17"/>
  <c r="CB16"/>
  <c r="CB15"/>
  <c r="CB14"/>
  <c r="CB13"/>
  <c r="CB12"/>
  <c r="CB11"/>
  <c r="CB10"/>
  <c r="CB9"/>
  <c r="CB8"/>
  <c r="CB7"/>
  <c r="CB6"/>
  <c r="CB5"/>
  <c r="CB4"/>
  <c r="CB149" s="1"/>
  <c r="BF147" i="84"/>
  <c r="BF146"/>
  <c r="BF145"/>
  <c r="BF144"/>
  <c r="BF143"/>
  <c r="BF142"/>
  <c r="BF141"/>
  <c r="BF140"/>
  <c r="BF139"/>
  <c r="BF138"/>
  <c r="BF137"/>
  <c r="BF136"/>
  <c r="BF135"/>
  <c r="BF134"/>
  <c r="BF133"/>
  <c r="BF132"/>
  <c r="BF131"/>
  <c r="BF130"/>
  <c r="BF129"/>
  <c r="BF128"/>
  <c r="BF127"/>
  <c r="BF126"/>
  <c r="BF125"/>
  <c r="BF124"/>
  <c r="BF123"/>
  <c r="BF122"/>
  <c r="BF121"/>
  <c r="BF120"/>
  <c r="BF119"/>
  <c r="BF118"/>
  <c r="BF117"/>
  <c r="BF116"/>
  <c r="BF115"/>
  <c r="BF114"/>
  <c r="BF113"/>
  <c r="BF112"/>
  <c r="BF111"/>
  <c r="BF110"/>
  <c r="BF109"/>
  <c r="BF108"/>
  <c r="BF107"/>
  <c r="BF106"/>
  <c r="BF105"/>
  <c r="BF104"/>
  <c r="BF103"/>
  <c r="BF102"/>
  <c r="BF101"/>
  <c r="BF100"/>
  <c r="BF99"/>
  <c r="BF98"/>
  <c r="BF97"/>
  <c r="BF96"/>
  <c r="BF95"/>
  <c r="BF94"/>
  <c r="BF93"/>
  <c r="BF92"/>
  <c r="BF91"/>
  <c r="BF90"/>
  <c r="BF89"/>
  <c r="BF88"/>
  <c r="BF87"/>
  <c r="BF86"/>
  <c r="BF85"/>
  <c r="BF84"/>
  <c r="BF83"/>
  <c r="BF82"/>
  <c r="BF81"/>
  <c r="BF80"/>
  <c r="BF79"/>
  <c r="BF78"/>
  <c r="BF77"/>
  <c r="BF76"/>
  <c r="BF75"/>
  <c r="BF74"/>
  <c r="BF73"/>
  <c r="BF72"/>
  <c r="BF71"/>
  <c r="BF70"/>
  <c r="BF69"/>
  <c r="BF68"/>
  <c r="BF67"/>
  <c r="BF66"/>
  <c r="BF65"/>
  <c r="BF64"/>
  <c r="BF63"/>
  <c r="BF62"/>
  <c r="BF61"/>
  <c r="BF60"/>
  <c r="BF59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BF151" s="1"/>
  <c r="BF4"/>
  <c r="BF150" s="1"/>
  <c r="BF3"/>
  <c r="BE147"/>
  <c r="BE146"/>
  <c r="BE145"/>
  <c r="BE144"/>
  <c r="BE143"/>
  <c r="BE142"/>
  <c r="BE141"/>
  <c r="BE140"/>
  <c r="BE139"/>
  <c r="BE138"/>
  <c r="BE137"/>
  <c r="BE136"/>
  <c r="BE135"/>
  <c r="BE134"/>
  <c r="BE133"/>
  <c r="BE132"/>
  <c r="BE131"/>
  <c r="BE130"/>
  <c r="BE129"/>
  <c r="BE128"/>
  <c r="BE127"/>
  <c r="BE126"/>
  <c r="BE125"/>
  <c r="BE124"/>
  <c r="BE123"/>
  <c r="BE122"/>
  <c r="BE121"/>
  <c r="BE120"/>
  <c r="BE119"/>
  <c r="BE118"/>
  <c r="BE117"/>
  <c r="BE116"/>
  <c r="BE115"/>
  <c r="BE114"/>
  <c r="BE113"/>
  <c r="BE112"/>
  <c r="BE111"/>
  <c r="BE110"/>
  <c r="BE109"/>
  <c r="BE108"/>
  <c r="BE107"/>
  <c r="BE106"/>
  <c r="BE105"/>
  <c r="BE104"/>
  <c r="BE103"/>
  <c r="BE102"/>
  <c r="BE101"/>
  <c r="BE100"/>
  <c r="BE99"/>
  <c r="BE98"/>
  <c r="BE97"/>
  <c r="BE96"/>
  <c r="BE95"/>
  <c r="BE94"/>
  <c r="BE93"/>
  <c r="BE92"/>
  <c r="BE91"/>
  <c r="BE90"/>
  <c r="BE89"/>
  <c r="BE88"/>
  <c r="BE87"/>
  <c r="BE86"/>
  <c r="BE85"/>
  <c r="BE84"/>
  <c r="BE83"/>
  <c r="BE82"/>
  <c r="BE81"/>
  <c r="BE80"/>
  <c r="BE79"/>
  <c r="BE78"/>
  <c r="BE77"/>
  <c r="BE76"/>
  <c r="BE75"/>
  <c r="BE74"/>
  <c r="BE73"/>
  <c r="BE72"/>
  <c r="BE71"/>
  <c r="BE70"/>
  <c r="BE69"/>
  <c r="BE68"/>
  <c r="BE67"/>
  <c r="BE66"/>
  <c r="BE65"/>
  <c r="BE64"/>
  <c r="BE63"/>
  <c r="BE62"/>
  <c r="BE61"/>
  <c r="BE60"/>
  <c r="BE59"/>
  <c r="BE58"/>
  <c r="BE57"/>
  <c r="BE56"/>
  <c r="BE55"/>
  <c r="BE54"/>
  <c r="BE53"/>
  <c r="BE52"/>
  <c r="BE51"/>
  <c r="BE50"/>
  <c r="BE49"/>
  <c r="BE48"/>
  <c r="BE47"/>
  <c r="BE46"/>
  <c r="BE45"/>
  <c r="BE44"/>
  <c r="BE43"/>
  <c r="BE42"/>
  <c r="BE41"/>
  <c r="BE40"/>
  <c r="BE39"/>
  <c r="BE38"/>
  <c r="BE37"/>
  <c r="BE36"/>
  <c r="BE35"/>
  <c r="BE34"/>
  <c r="BE33"/>
  <c r="BE32"/>
  <c r="BE31"/>
  <c r="BE30"/>
  <c r="BE29"/>
  <c r="BE28"/>
  <c r="BE27"/>
  <c r="BE26"/>
  <c r="BE25"/>
  <c r="BE24"/>
  <c r="BE23"/>
  <c r="BE22"/>
  <c r="BE21"/>
  <c r="BE20"/>
  <c r="BE19"/>
  <c r="BE18"/>
  <c r="BE17"/>
  <c r="BE16"/>
  <c r="BE15"/>
  <c r="BE14"/>
  <c r="BE13"/>
  <c r="BE12"/>
  <c r="BE11"/>
  <c r="BE10"/>
  <c r="BE9"/>
  <c r="BE8"/>
  <c r="BE7"/>
  <c r="BE6"/>
  <c r="BE5"/>
  <c r="BE4"/>
  <c r="BE151" s="1"/>
  <c r="BE3"/>
  <c r="BD147"/>
  <c r="BD146"/>
  <c r="BD145"/>
  <c r="BD144"/>
  <c r="BD143"/>
  <c r="BD142"/>
  <c r="BD141"/>
  <c r="BD140"/>
  <c r="BD139"/>
  <c r="BD138"/>
  <c r="BD137"/>
  <c r="BD136"/>
  <c r="BD135"/>
  <c r="BD134"/>
  <c r="BD133"/>
  <c r="BD132"/>
  <c r="BD131"/>
  <c r="BD130"/>
  <c r="BD129"/>
  <c r="BD128"/>
  <c r="BD127"/>
  <c r="BD126"/>
  <c r="BD125"/>
  <c r="BD124"/>
  <c r="BD123"/>
  <c r="BD122"/>
  <c r="BD121"/>
  <c r="BD120"/>
  <c r="BD119"/>
  <c r="BD118"/>
  <c r="BD117"/>
  <c r="BD116"/>
  <c r="BD115"/>
  <c r="BD114"/>
  <c r="BD113"/>
  <c r="BD112"/>
  <c r="BD111"/>
  <c r="BD110"/>
  <c r="BD109"/>
  <c r="BD108"/>
  <c r="BD107"/>
  <c r="BD106"/>
  <c r="BD105"/>
  <c r="BD104"/>
  <c r="BD103"/>
  <c r="BD102"/>
  <c r="BD101"/>
  <c r="BD100"/>
  <c r="BD99"/>
  <c r="BD98"/>
  <c r="BD97"/>
  <c r="BD96"/>
  <c r="BD95"/>
  <c r="BD94"/>
  <c r="BD93"/>
  <c r="BD92"/>
  <c r="BD91"/>
  <c r="BD90"/>
  <c r="BD89"/>
  <c r="BD88"/>
  <c r="BD87"/>
  <c r="BD86"/>
  <c r="BD85"/>
  <c r="BD84"/>
  <c r="BD83"/>
  <c r="BD82"/>
  <c r="BD81"/>
  <c r="BD80"/>
  <c r="BD79"/>
  <c r="BD78"/>
  <c r="BD77"/>
  <c r="BD76"/>
  <c r="BD75"/>
  <c r="BD74"/>
  <c r="BD73"/>
  <c r="BD72"/>
  <c r="BD71"/>
  <c r="BD70"/>
  <c r="BD69"/>
  <c r="BD68"/>
  <c r="BD67"/>
  <c r="BD66"/>
  <c r="BD65"/>
  <c r="BD64"/>
  <c r="BD63"/>
  <c r="BD62"/>
  <c r="BD61"/>
  <c r="BD60"/>
  <c r="BD59"/>
  <c r="BD58"/>
  <c r="BD57"/>
  <c r="BD56"/>
  <c r="BD55"/>
  <c r="BD54"/>
  <c r="BD53"/>
  <c r="BD52"/>
  <c r="BD51"/>
  <c r="BD50"/>
  <c r="BD49"/>
  <c r="BD48"/>
  <c r="BD47"/>
  <c r="BD46"/>
  <c r="BD45"/>
  <c r="BD44"/>
  <c r="BD43"/>
  <c r="BD42"/>
  <c r="BD41"/>
  <c r="BD40"/>
  <c r="BD39"/>
  <c r="BD38"/>
  <c r="BD37"/>
  <c r="BD36"/>
  <c r="BD35"/>
  <c r="BD34"/>
  <c r="BD33"/>
  <c r="BD32"/>
  <c r="BD31"/>
  <c r="BD30"/>
  <c r="BD29"/>
  <c r="BD28"/>
  <c r="BD27"/>
  <c r="BD26"/>
  <c r="BD25"/>
  <c r="BD24"/>
  <c r="BD23"/>
  <c r="BD22"/>
  <c r="BD21"/>
  <c r="BD20"/>
  <c r="BD19"/>
  <c r="BD18"/>
  <c r="BD17"/>
  <c r="BD16"/>
  <c r="BD15"/>
  <c r="BD14"/>
  <c r="BD13"/>
  <c r="BD12"/>
  <c r="BD11"/>
  <c r="BD10"/>
  <c r="BD9"/>
  <c r="BD8"/>
  <c r="BD7"/>
  <c r="BD6"/>
  <c r="BD5"/>
  <c r="BD151" s="1"/>
  <c r="BD4"/>
  <c r="BD150" s="1"/>
  <c r="BD3"/>
  <c r="BC147"/>
  <c r="BC146"/>
  <c r="BC145"/>
  <c r="BC144"/>
  <c r="BC143"/>
  <c r="BC142"/>
  <c r="BC141"/>
  <c r="BC140"/>
  <c r="BC139"/>
  <c r="BC138"/>
  <c r="BC137"/>
  <c r="BC136"/>
  <c r="BC135"/>
  <c r="BC134"/>
  <c r="BC133"/>
  <c r="BC132"/>
  <c r="BC131"/>
  <c r="BC130"/>
  <c r="BC129"/>
  <c r="BC128"/>
  <c r="BC127"/>
  <c r="BC126"/>
  <c r="BC125"/>
  <c r="BC124"/>
  <c r="BC123"/>
  <c r="BC122"/>
  <c r="BC121"/>
  <c r="BC120"/>
  <c r="BC119"/>
  <c r="BC118"/>
  <c r="BC117"/>
  <c r="BC116"/>
  <c r="BC115"/>
  <c r="BC114"/>
  <c r="BC113"/>
  <c r="BC112"/>
  <c r="BC111"/>
  <c r="BC110"/>
  <c r="BC109"/>
  <c r="BC108"/>
  <c r="BC107"/>
  <c r="BC106"/>
  <c r="BC105"/>
  <c r="BC104"/>
  <c r="BC103"/>
  <c r="BC102"/>
  <c r="BC101"/>
  <c r="BC100"/>
  <c r="BC99"/>
  <c r="BC98"/>
  <c r="BC97"/>
  <c r="BC96"/>
  <c r="BC95"/>
  <c r="BC94"/>
  <c r="BC93"/>
  <c r="BC92"/>
  <c r="BC91"/>
  <c r="BC90"/>
  <c r="BC89"/>
  <c r="BC88"/>
  <c r="BC87"/>
  <c r="BC86"/>
  <c r="BC85"/>
  <c r="BC84"/>
  <c r="BC83"/>
  <c r="BC82"/>
  <c r="BC81"/>
  <c r="BC80"/>
  <c r="BC79"/>
  <c r="BC78"/>
  <c r="BC77"/>
  <c r="BC76"/>
  <c r="BC75"/>
  <c r="BC74"/>
  <c r="BC73"/>
  <c r="BC72"/>
  <c r="BC71"/>
  <c r="BC70"/>
  <c r="BC69"/>
  <c r="BC68"/>
  <c r="BC67"/>
  <c r="BC66"/>
  <c r="BC65"/>
  <c r="BC64"/>
  <c r="BC63"/>
  <c r="BC62"/>
  <c r="BC61"/>
  <c r="BC60"/>
  <c r="BC59"/>
  <c r="BC58"/>
  <c r="BC57"/>
  <c r="BC56"/>
  <c r="BC55"/>
  <c r="BC54"/>
  <c r="BC53"/>
  <c r="BC52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BC4"/>
  <c r="BC150" s="1"/>
  <c r="BC3"/>
  <c r="BB147"/>
  <c r="BB146"/>
  <c r="BB145"/>
  <c r="BB144"/>
  <c r="BB143"/>
  <c r="BB142"/>
  <c r="BB141"/>
  <c r="BB140"/>
  <c r="BB139"/>
  <c r="BB138"/>
  <c r="BB137"/>
  <c r="BB136"/>
  <c r="BB135"/>
  <c r="BB134"/>
  <c r="BB133"/>
  <c r="BB132"/>
  <c r="BB131"/>
  <c r="BB130"/>
  <c r="BB129"/>
  <c r="BB128"/>
  <c r="BB127"/>
  <c r="BB126"/>
  <c r="BB125"/>
  <c r="BB124"/>
  <c r="BB123"/>
  <c r="BB122"/>
  <c r="BB121"/>
  <c r="BB120"/>
  <c r="BB119"/>
  <c r="BB118"/>
  <c r="BB117"/>
  <c r="BB116"/>
  <c r="BB115"/>
  <c r="BB114"/>
  <c r="BB113"/>
  <c r="BB112"/>
  <c r="BB111"/>
  <c r="BB110"/>
  <c r="BB109"/>
  <c r="BB108"/>
  <c r="BB107"/>
  <c r="BB106"/>
  <c r="BB105"/>
  <c r="BB104"/>
  <c r="BB103"/>
  <c r="BB102"/>
  <c r="BB101"/>
  <c r="BB100"/>
  <c r="BB99"/>
  <c r="BB98"/>
  <c r="BB97"/>
  <c r="BB96"/>
  <c r="BB95"/>
  <c r="BB94"/>
  <c r="BB93"/>
  <c r="BB92"/>
  <c r="BB91"/>
  <c r="BB90"/>
  <c r="BB89"/>
  <c r="BB88"/>
  <c r="BB87"/>
  <c r="BB86"/>
  <c r="BB85"/>
  <c r="BB84"/>
  <c r="BB83"/>
  <c r="BB82"/>
  <c r="BB81"/>
  <c r="BB80"/>
  <c r="BB79"/>
  <c r="BB78"/>
  <c r="BB77"/>
  <c r="BB76"/>
  <c r="BB75"/>
  <c r="BB74"/>
  <c r="BB73"/>
  <c r="BB72"/>
  <c r="BB71"/>
  <c r="BB70"/>
  <c r="BB69"/>
  <c r="BB68"/>
  <c r="BB67"/>
  <c r="BB66"/>
  <c r="BB65"/>
  <c r="BB64"/>
  <c r="BB63"/>
  <c r="BB62"/>
  <c r="BB61"/>
  <c r="BB60"/>
  <c r="BB59"/>
  <c r="BB58"/>
  <c r="BB57"/>
  <c r="BB56"/>
  <c r="BB55"/>
  <c r="BB54"/>
  <c r="BB53"/>
  <c r="BB52"/>
  <c r="BB51"/>
  <c r="BB50"/>
  <c r="BB49"/>
  <c r="BB48"/>
  <c r="BB47"/>
  <c r="BB46"/>
  <c r="BB45"/>
  <c r="BB44"/>
  <c r="BB43"/>
  <c r="BB42"/>
  <c r="BB41"/>
  <c r="BB40"/>
  <c r="BB39"/>
  <c r="BB38"/>
  <c r="BB37"/>
  <c r="BB36"/>
  <c r="BB35"/>
  <c r="BB34"/>
  <c r="BB33"/>
  <c r="BB32"/>
  <c r="BB31"/>
  <c r="BB30"/>
  <c r="BB29"/>
  <c r="BB28"/>
  <c r="BB27"/>
  <c r="BB26"/>
  <c r="BB25"/>
  <c r="BB24"/>
  <c r="BB23"/>
  <c r="BB22"/>
  <c r="BB21"/>
  <c r="BB20"/>
  <c r="BB19"/>
  <c r="BB18"/>
  <c r="BB17"/>
  <c r="BB16"/>
  <c r="BB15"/>
  <c r="BB14"/>
  <c r="BB13"/>
  <c r="BB12"/>
  <c r="BB11"/>
  <c r="BB10"/>
  <c r="BB9"/>
  <c r="BB8"/>
  <c r="BB7"/>
  <c r="BB6"/>
  <c r="BB5"/>
  <c r="BB151" s="1"/>
  <c r="BB4"/>
  <c r="BB150" s="1"/>
  <c r="BB3"/>
  <c r="BA147"/>
  <c r="BA146"/>
  <c r="BA145"/>
  <c r="BA144"/>
  <c r="BA143"/>
  <c r="BA142"/>
  <c r="BA141"/>
  <c r="BA140"/>
  <c r="BA139"/>
  <c r="BA138"/>
  <c r="BA137"/>
  <c r="BA136"/>
  <c r="BA135"/>
  <c r="BA134"/>
  <c r="BA133"/>
  <c r="BA132"/>
  <c r="BA131"/>
  <c r="BA130"/>
  <c r="BA129"/>
  <c r="BA128"/>
  <c r="BA127"/>
  <c r="BA126"/>
  <c r="BA125"/>
  <c r="BA124"/>
  <c r="BA123"/>
  <c r="BA122"/>
  <c r="BA121"/>
  <c r="BA120"/>
  <c r="BA119"/>
  <c r="BA118"/>
  <c r="BA117"/>
  <c r="BA116"/>
  <c r="BA115"/>
  <c r="BA114"/>
  <c r="BA113"/>
  <c r="BA112"/>
  <c r="BA111"/>
  <c r="BA110"/>
  <c r="BA109"/>
  <c r="BA108"/>
  <c r="BA107"/>
  <c r="BA106"/>
  <c r="BA105"/>
  <c r="BA104"/>
  <c r="BA103"/>
  <c r="BA102"/>
  <c r="BA101"/>
  <c r="BA100"/>
  <c r="BA99"/>
  <c r="BA98"/>
  <c r="BA97"/>
  <c r="BA96"/>
  <c r="BA95"/>
  <c r="BA94"/>
  <c r="BA93"/>
  <c r="BA92"/>
  <c r="BA91"/>
  <c r="BA90"/>
  <c r="BA89"/>
  <c r="BA88"/>
  <c r="BA87"/>
  <c r="BA86"/>
  <c r="BA85"/>
  <c r="BA84"/>
  <c r="BA83"/>
  <c r="BA82"/>
  <c r="BA81"/>
  <c r="BA80"/>
  <c r="BA79"/>
  <c r="BA78"/>
  <c r="BA77"/>
  <c r="BA76"/>
  <c r="BA75"/>
  <c r="BA74"/>
  <c r="BA73"/>
  <c r="BA72"/>
  <c r="BA71"/>
  <c r="BA70"/>
  <c r="BA69"/>
  <c r="BA68"/>
  <c r="BA67"/>
  <c r="BA66"/>
  <c r="BA65"/>
  <c r="BA64"/>
  <c r="BA63"/>
  <c r="BA62"/>
  <c r="BA61"/>
  <c r="BA60"/>
  <c r="BA59"/>
  <c r="BA58"/>
  <c r="BA57"/>
  <c r="BA56"/>
  <c r="BA55"/>
  <c r="BA54"/>
  <c r="BA53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BA4"/>
  <c r="BA150" s="1"/>
  <c r="BA3"/>
  <c r="AZ147"/>
  <c r="AZ146"/>
  <c r="AZ145"/>
  <c r="AZ144"/>
  <c r="AZ143"/>
  <c r="AZ142"/>
  <c r="AZ141"/>
  <c r="AZ140"/>
  <c r="AZ139"/>
  <c r="AZ138"/>
  <c r="AZ137"/>
  <c r="AZ136"/>
  <c r="AZ135"/>
  <c r="AZ134"/>
  <c r="AZ133"/>
  <c r="AZ132"/>
  <c r="AZ131"/>
  <c r="AZ130"/>
  <c r="AZ129"/>
  <c r="AZ128"/>
  <c r="AZ127"/>
  <c r="AZ126"/>
  <c r="AZ125"/>
  <c r="AZ124"/>
  <c r="AZ123"/>
  <c r="AZ122"/>
  <c r="AZ121"/>
  <c r="AZ120"/>
  <c r="AZ119"/>
  <c r="AZ118"/>
  <c r="AZ117"/>
  <c r="AZ116"/>
  <c r="AZ115"/>
  <c r="AZ114"/>
  <c r="AZ113"/>
  <c r="AZ112"/>
  <c r="AZ111"/>
  <c r="AZ110"/>
  <c r="AZ109"/>
  <c r="AZ108"/>
  <c r="AZ107"/>
  <c r="AZ106"/>
  <c r="AZ105"/>
  <c r="AZ104"/>
  <c r="AZ103"/>
  <c r="AZ102"/>
  <c r="AZ101"/>
  <c r="AZ100"/>
  <c r="AZ99"/>
  <c r="AZ98"/>
  <c r="AZ97"/>
  <c r="AZ96"/>
  <c r="AZ95"/>
  <c r="AZ94"/>
  <c r="AZ93"/>
  <c r="AZ92"/>
  <c r="AZ91"/>
  <c r="AZ90"/>
  <c r="AZ89"/>
  <c r="AZ88"/>
  <c r="AZ87"/>
  <c r="AZ86"/>
  <c r="AZ85"/>
  <c r="AZ84"/>
  <c r="AZ83"/>
  <c r="AZ82"/>
  <c r="AZ81"/>
  <c r="AZ80"/>
  <c r="AZ79"/>
  <c r="AZ78"/>
  <c r="AZ77"/>
  <c r="AZ76"/>
  <c r="AZ75"/>
  <c r="AZ74"/>
  <c r="AZ73"/>
  <c r="AZ72"/>
  <c r="AZ71"/>
  <c r="AZ70"/>
  <c r="AZ69"/>
  <c r="AZ68"/>
  <c r="AZ67"/>
  <c r="AZ66"/>
  <c r="AZ65"/>
  <c r="AZ64"/>
  <c r="AZ63"/>
  <c r="AZ62"/>
  <c r="AZ61"/>
  <c r="AZ60"/>
  <c r="AZ59"/>
  <c r="AZ58"/>
  <c r="AZ57"/>
  <c r="AZ56"/>
  <c r="AZ55"/>
  <c r="AZ54"/>
  <c r="AZ53"/>
  <c r="AZ52"/>
  <c r="AZ51"/>
  <c r="AZ50"/>
  <c r="AZ49"/>
  <c r="AZ48"/>
  <c r="AZ47"/>
  <c r="AZ46"/>
  <c r="AZ45"/>
  <c r="AZ44"/>
  <c r="AZ43"/>
  <c r="AZ42"/>
  <c r="AZ41"/>
  <c r="AZ40"/>
  <c r="AZ39"/>
  <c r="AZ38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7"/>
  <c r="AZ16"/>
  <c r="AZ15"/>
  <c r="AZ14"/>
  <c r="AZ13"/>
  <c r="AZ12"/>
  <c r="AZ11"/>
  <c r="AZ10"/>
  <c r="AZ9"/>
  <c r="AZ8"/>
  <c r="AZ7"/>
  <c r="AZ6"/>
  <c r="AZ5"/>
  <c r="AZ4"/>
  <c r="AZ3"/>
  <c r="AY147"/>
  <c r="AY146"/>
  <c r="AY145"/>
  <c r="AY144"/>
  <c r="AY143"/>
  <c r="AY142"/>
  <c r="AY141"/>
  <c r="AY140"/>
  <c r="AY139"/>
  <c r="AY138"/>
  <c r="AY137"/>
  <c r="AY136"/>
  <c r="AY135"/>
  <c r="AY134"/>
  <c r="AY133"/>
  <c r="AY132"/>
  <c r="AY131"/>
  <c r="AY130"/>
  <c r="AY129"/>
  <c r="AY128"/>
  <c r="AY127"/>
  <c r="AY126"/>
  <c r="AY125"/>
  <c r="AY124"/>
  <c r="AY123"/>
  <c r="AY122"/>
  <c r="AY121"/>
  <c r="AY120"/>
  <c r="AY119"/>
  <c r="AY118"/>
  <c r="AY117"/>
  <c r="AY116"/>
  <c r="AY115"/>
  <c r="AY114"/>
  <c r="AY113"/>
  <c r="AY112"/>
  <c r="AY111"/>
  <c r="AY110"/>
  <c r="AY109"/>
  <c r="AY108"/>
  <c r="AY107"/>
  <c r="AY106"/>
  <c r="AY105"/>
  <c r="AY104"/>
  <c r="AY103"/>
  <c r="AY102"/>
  <c r="AY101"/>
  <c r="AY100"/>
  <c r="AY99"/>
  <c r="AY98"/>
  <c r="AY97"/>
  <c r="AY96"/>
  <c r="AY95"/>
  <c r="AY94"/>
  <c r="AY93"/>
  <c r="AY92"/>
  <c r="AY91"/>
  <c r="AY90"/>
  <c r="AY89"/>
  <c r="AY88"/>
  <c r="AY87"/>
  <c r="AY86"/>
  <c r="AY85"/>
  <c r="AY84"/>
  <c r="AY83"/>
  <c r="AY82"/>
  <c r="AY81"/>
  <c r="AY80"/>
  <c r="AY79"/>
  <c r="AY78"/>
  <c r="AY77"/>
  <c r="AY76"/>
  <c r="AY75"/>
  <c r="AY74"/>
  <c r="AY73"/>
  <c r="AY72"/>
  <c r="AY71"/>
  <c r="AY70"/>
  <c r="AY69"/>
  <c r="AY68"/>
  <c r="AY67"/>
  <c r="AY66"/>
  <c r="AY65"/>
  <c r="AY64"/>
  <c r="AY63"/>
  <c r="AY62"/>
  <c r="AY61"/>
  <c r="AY60"/>
  <c r="AY59"/>
  <c r="AY58"/>
  <c r="AY57"/>
  <c r="AY56"/>
  <c r="AY55"/>
  <c r="AY54"/>
  <c r="AY53"/>
  <c r="AY52"/>
  <c r="AY51"/>
  <c r="AY50"/>
  <c r="AY49"/>
  <c r="AY48"/>
  <c r="AY47"/>
  <c r="AY46"/>
  <c r="AY45"/>
  <c r="AY44"/>
  <c r="AY43"/>
  <c r="AY42"/>
  <c r="AY41"/>
  <c r="AY40"/>
  <c r="AY39"/>
  <c r="AY38"/>
  <c r="AY37"/>
  <c r="AY36"/>
  <c r="AY35"/>
  <c r="AY34"/>
  <c r="AY33"/>
  <c r="AY32"/>
  <c r="AY31"/>
  <c r="AY30"/>
  <c r="AY29"/>
  <c r="AY28"/>
  <c r="AY27"/>
  <c r="AY26"/>
  <c r="AY25"/>
  <c r="AY24"/>
  <c r="AY23"/>
  <c r="AY22"/>
  <c r="AY21"/>
  <c r="AY20"/>
  <c r="AY19"/>
  <c r="AY18"/>
  <c r="AY17"/>
  <c r="AY16"/>
  <c r="AY15"/>
  <c r="AY14"/>
  <c r="AY13"/>
  <c r="AY12"/>
  <c r="AY11"/>
  <c r="AY10"/>
  <c r="AY9"/>
  <c r="AY8"/>
  <c r="AY7"/>
  <c r="AY6"/>
  <c r="AY5"/>
  <c r="AY4"/>
  <c r="AY150" s="1"/>
  <c r="AY3"/>
  <c r="AX147"/>
  <c r="AX146"/>
  <c r="AX145"/>
  <c r="AX144"/>
  <c r="AX143"/>
  <c r="AX142"/>
  <c r="AX141"/>
  <c r="AX140"/>
  <c r="AX139"/>
  <c r="AX138"/>
  <c r="AX137"/>
  <c r="AX136"/>
  <c r="AX135"/>
  <c r="AX134"/>
  <c r="AX133"/>
  <c r="AX132"/>
  <c r="AX131"/>
  <c r="AX130"/>
  <c r="AX129"/>
  <c r="AX128"/>
  <c r="AX127"/>
  <c r="AX126"/>
  <c r="AX125"/>
  <c r="AX124"/>
  <c r="AX123"/>
  <c r="AX122"/>
  <c r="AX121"/>
  <c r="AX120"/>
  <c r="AX119"/>
  <c r="AX118"/>
  <c r="AX117"/>
  <c r="AX116"/>
  <c r="AX115"/>
  <c r="AX114"/>
  <c r="AX113"/>
  <c r="AX112"/>
  <c r="AX111"/>
  <c r="AX110"/>
  <c r="AX109"/>
  <c r="AX108"/>
  <c r="AX107"/>
  <c r="AX106"/>
  <c r="AX105"/>
  <c r="AX104"/>
  <c r="AX103"/>
  <c r="AX102"/>
  <c r="AX10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X151" s="1"/>
  <c r="AX4"/>
  <c r="AX3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4"/>
  <c r="AW151" s="1"/>
  <c r="AW3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V151" s="1"/>
  <c r="AV4"/>
  <c r="AV150" s="1"/>
  <c r="AV3"/>
  <c r="AU147"/>
  <c r="AU146"/>
  <c r="AU145"/>
  <c r="AU144"/>
  <c r="AU143"/>
  <c r="AU142"/>
  <c r="AU141"/>
  <c r="AU140"/>
  <c r="AU139"/>
  <c r="AU138"/>
  <c r="AU137"/>
  <c r="AU136"/>
  <c r="AU135"/>
  <c r="AU134"/>
  <c r="AU133"/>
  <c r="AU132"/>
  <c r="AU131"/>
  <c r="AU130"/>
  <c r="AU129"/>
  <c r="AU128"/>
  <c r="AU127"/>
  <c r="AU126"/>
  <c r="AU125"/>
  <c r="AU124"/>
  <c r="AU123"/>
  <c r="AU122"/>
  <c r="AU121"/>
  <c r="AU120"/>
  <c r="AU119"/>
  <c r="AU118"/>
  <c r="AU117"/>
  <c r="AU116"/>
  <c r="AU115"/>
  <c r="AU114"/>
  <c r="AU113"/>
  <c r="AU112"/>
  <c r="AU111"/>
  <c r="AU110"/>
  <c r="AU109"/>
  <c r="AU108"/>
  <c r="AU107"/>
  <c r="AU106"/>
  <c r="AU105"/>
  <c r="AU104"/>
  <c r="AU103"/>
  <c r="AU102"/>
  <c r="AU101"/>
  <c r="AU100"/>
  <c r="AU99"/>
  <c r="AU98"/>
  <c r="AU97"/>
  <c r="AU96"/>
  <c r="AU95"/>
  <c r="AU94"/>
  <c r="AU93"/>
  <c r="AU92"/>
  <c r="AU91"/>
  <c r="AU90"/>
  <c r="AU89"/>
  <c r="AU88"/>
  <c r="AU87"/>
  <c r="AU86"/>
  <c r="AU85"/>
  <c r="AU84"/>
  <c r="AU83"/>
  <c r="AU82"/>
  <c r="AU81"/>
  <c r="AU80"/>
  <c r="AU79"/>
  <c r="AU78"/>
  <c r="AU77"/>
  <c r="AU76"/>
  <c r="AU75"/>
  <c r="AU74"/>
  <c r="AU73"/>
  <c r="AU72"/>
  <c r="AU71"/>
  <c r="AU70"/>
  <c r="AU69"/>
  <c r="AU68"/>
  <c r="AU67"/>
  <c r="AU66"/>
  <c r="AU65"/>
  <c r="AU64"/>
  <c r="AU63"/>
  <c r="AU62"/>
  <c r="AU61"/>
  <c r="AU60"/>
  <c r="AU59"/>
  <c r="AU58"/>
  <c r="AU57"/>
  <c r="AU56"/>
  <c r="AU55"/>
  <c r="AU54"/>
  <c r="AU53"/>
  <c r="AU52"/>
  <c r="AU51"/>
  <c r="AU50"/>
  <c r="AU49"/>
  <c r="AU48"/>
  <c r="AU47"/>
  <c r="AU46"/>
  <c r="AU45"/>
  <c r="AU44"/>
  <c r="AU43"/>
  <c r="AU42"/>
  <c r="AU41"/>
  <c r="AU40"/>
  <c r="AU39"/>
  <c r="AU38"/>
  <c r="AU37"/>
  <c r="AU36"/>
  <c r="AU35"/>
  <c r="AU34"/>
  <c r="AU33"/>
  <c r="AU32"/>
  <c r="AU31"/>
  <c r="AU30"/>
  <c r="AU29"/>
  <c r="AU28"/>
  <c r="AU27"/>
  <c r="AU26"/>
  <c r="AU25"/>
  <c r="AU24"/>
  <c r="AU23"/>
  <c r="AU22"/>
  <c r="AU21"/>
  <c r="AU20"/>
  <c r="AU19"/>
  <c r="AU18"/>
  <c r="AU17"/>
  <c r="AU16"/>
  <c r="AU15"/>
  <c r="AU14"/>
  <c r="AU13"/>
  <c r="AU12"/>
  <c r="AU11"/>
  <c r="AU10"/>
  <c r="AU9"/>
  <c r="AU8"/>
  <c r="AU7"/>
  <c r="AU6"/>
  <c r="AU5"/>
  <c r="AU4"/>
  <c r="AU3"/>
  <c r="AT147"/>
  <c r="AT146"/>
  <c r="AT145"/>
  <c r="AT144"/>
  <c r="AT143"/>
  <c r="AT142"/>
  <c r="AT141"/>
  <c r="AT140"/>
  <c r="AT139"/>
  <c r="AT138"/>
  <c r="AT137"/>
  <c r="AT136"/>
  <c r="AT135"/>
  <c r="AT134"/>
  <c r="AT133"/>
  <c r="AT132"/>
  <c r="AT131"/>
  <c r="AT130"/>
  <c r="AT129"/>
  <c r="AT128"/>
  <c r="AT127"/>
  <c r="AT126"/>
  <c r="AT125"/>
  <c r="AT124"/>
  <c r="AT123"/>
  <c r="AT122"/>
  <c r="AT121"/>
  <c r="AT120"/>
  <c r="AT119"/>
  <c r="AT118"/>
  <c r="AT117"/>
  <c r="AT116"/>
  <c r="AT115"/>
  <c r="AT114"/>
  <c r="AT113"/>
  <c r="AT112"/>
  <c r="AT111"/>
  <c r="AT110"/>
  <c r="AT109"/>
  <c r="AT108"/>
  <c r="AT107"/>
  <c r="AT106"/>
  <c r="AT105"/>
  <c r="AT104"/>
  <c r="AT103"/>
  <c r="AT102"/>
  <c r="AT101"/>
  <c r="AT100"/>
  <c r="AT99"/>
  <c r="AT98"/>
  <c r="AT97"/>
  <c r="AT96"/>
  <c r="AT95"/>
  <c r="AT94"/>
  <c r="AT93"/>
  <c r="AT92"/>
  <c r="AT91"/>
  <c r="AT90"/>
  <c r="AT89"/>
  <c r="AT88"/>
  <c r="AT87"/>
  <c r="AT86"/>
  <c r="AT85"/>
  <c r="AT84"/>
  <c r="AT83"/>
  <c r="AT82"/>
  <c r="AT81"/>
  <c r="AT80"/>
  <c r="AT79"/>
  <c r="AT78"/>
  <c r="AT77"/>
  <c r="AT76"/>
  <c r="AT75"/>
  <c r="AT74"/>
  <c r="AT73"/>
  <c r="AT72"/>
  <c r="AT71"/>
  <c r="AT70"/>
  <c r="AT69"/>
  <c r="AT68"/>
  <c r="AT67"/>
  <c r="AT66"/>
  <c r="AT65"/>
  <c r="AT64"/>
  <c r="AT63"/>
  <c r="AT62"/>
  <c r="AT61"/>
  <c r="AT60"/>
  <c r="AT59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8"/>
  <c r="AT17"/>
  <c r="AT16"/>
  <c r="AT15"/>
  <c r="AT14"/>
  <c r="AT13"/>
  <c r="AT12"/>
  <c r="AT11"/>
  <c r="AT10"/>
  <c r="AT9"/>
  <c r="AT151" s="1"/>
  <c r="AT8"/>
  <c r="AT7"/>
  <c r="AT6"/>
  <c r="AT5"/>
  <c r="AT4"/>
  <c r="AT3"/>
  <c r="AS147"/>
  <c r="AS146"/>
  <c r="AS145"/>
  <c r="AS144"/>
  <c r="AS143"/>
  <c r="AS142"/>
  <c r="AS141"/>
  <c r="AS140"/>
  <c r="AS139"/>
  <c r="AS138"/>
  <c r="AS137"/>
  <c r="AS136"/>
  <c r="AS135"/>
  <c r="AS134"/>
  <c r="AS133"/>
  <c r="AS132"/>
  <c r="AS131"/>
  <c r="AS130"/>
  <c r="AS129"/>
  <c r="AS128"/>
  <c r="AS127"/>
  <c r="AS126"/>
  <c r="AS125"/>
  <c r="AS124"/>
  <c r="AS123"/>
  <c r="AS122"/>
  <c r="AS121"/>
  <c r="AS120"/>
  <c r="AS119"/>
  <c r="AS118"/>
  <c r="AS117"/>
  <c r="AS116"/>
  <c r="AS115"/>
  <c r="AS114"/>
  <c r="AS113"/>
  <c r="AS112"/>
  <c r="AS111"/>
  <c r="AS110"/>
  <c r="AS109"/>
  <c r="AS108"/>
  <c r="AS107"/>
  <c r="AS106"/>
  <c r="AS105"/>
  <c r="AS104"/>
  <c r="AS103"/>
  <c r="AS102"/>
  <c r="AS101"/>
  <c r="AS100"/>
  <c r="AS99"/>
  <c r="AS98"/>
  <c r="AS97"/>
  <c r="AS96"/>
  <c r="AS95"/>
  <c r="AS94"/>
  <c r="AS93"/>
  <c r="AS92"/>
  <c r="AS91"/>
  <c r="AS90"/>
  <c r="AS89"/>
  <c r="AS88"/>
  <c r="AS87"/>
  <c r="AS86"/>
  <c r="AS85"/>
  <c r="AS84"/>
  <c r="AS83"/>
  <c r="AS82"/>
  <c r="AS81"/>
  <c r="AS80"/>
  <c r="AS79"/>
  <c r="AS78"/>
  <c r="AS77"/>
  <c r="AS76"/>
  <c r="AS75"/>
  <c r="AS74"/>
  <c r="AS73"/>
  <c r="AS72"/>
  <c r="AS71"/>
  <c r="AS70"/>
  <c r="AS69"/>
  <c r="AS68"/>
  <c r="AS67"/>
  <c r="AS66"/>
  <c r="AS65"/>
  <c r="AS64"/>
  <c r="AS63"/>
  <c r="AS62"/>
  <c r="AS61"/>
  <c r="AS60"/>
  <c r="AS59"/>
  <c r="AS58"/>
  <c r="AS57"/>
  <c r="AS56"/>
  <c r="AS55"/>
  <c r="AS54"/>
  <c r="AS53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S4"/>
  <c r="AS3"/>
  <c r="AR147"/>
  <c r="AR146"/>
  <c r="AR145"/>
  <c r="AR144"/>
  <c r="AR143"/>
  <c r="AR142"/>
  <c r="AR141"/>
  <c r="AR140"/>
  <c r="AR139"/>
  <c r="AR138"/>
  <c r="AR137"/>
  <c r="AR136"/>
  <c r="AR135"/>
  <c r="AR134"/>
  <c r="AR133"/>
  <c r="AR132"/>
  <c r="AR131"/>
  <c r="AR130"/>
  <c r="AR129"/>
  <c r="AR128"/>
  <c r="AR127"/>
  <c r="AR126"/>
  <c r="AR125"/>
  <c r="AR124"/>
  <c r="AR123"/>
  <c r="AR122"/>
  <c r="AR121"/>
  <c r="AR120"/>
  <c r="AR119"/>
  <c r="AR118"/>
  <c r="AR117"/>
  <c r="AR116"/>
  <c r="AR115"/>
  <c r="AR114"/>
  <c r="AR113"/>
  <c r="AR112"/>
  <c r="AR111"/>
  <c r="AR110"/>
  <c r="AR109"/>
  <c r="AR108"/>
  <c r="AR107"/>
  <c r="AR106"/>
  <c r="AR105"/>
  <c r="AR104"/>
  <c r="AR103"/>
  <c r="AR102"/>
  <c r="AR101"/>
  <c r="AR100"/>
  <c r="AR99"/>
  <c r="AR98"/>
  <c r="AR97"/>
  <c r="AR96"/>
  <c r="AR95"/>
  <c r="AR94"/>
  <c r="AR93"/>
  <c r="AR92"/>
  <c r="AR91"/>
  <c r="AR90"/>
  <c r="AR89"/>
  <c r="AR88"/>
  <c r="AR87"/>
  <c r="AR86"/>
  <c r="AR85"/>
  <c r="AR84"/>
  <c r="AR83"/>
  <c r="AR82"/>
  <c r="AR81"/>
  <c r="AR80"/>
  <c r="AR79"/>
  <c r="AR78"/>
  <c r="AR77"/>
  <c r="AR76"/>
  <c r="AR75"/>
  <c r="AR74"/>
  <c r="AR73"/>
  <c r="AR72"/>
  <c r="AR71"/>
  <c r="AR70"/>
  <c r="AR69"/>
  <c r="AR68"/>
  <c r="AR67"/>
  <c r="AR66"/>
  <c r="AR65"/>
  <c r="AR64"/>
  <c r="AR63"/>
  <c r="AR62"/>
  <c r="AR61"/>
  <c r="AR60"/>
  <c r="AR59"/>
  <c r="AR58"/>
  <c r="AR57"/>
  <c r="AR56"/>
  <c r="AR55"/>
  <c r="AR54"/>
  <c r="AR53"/>
  <c r="AR52"/>
  <c r="AR51"/>
  <c r="AR50"/>
  <c r="AR49"/>
  <c r="AR48"/>
  <c r="AR47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R151" s="1"/>
  <c r="AR4"/>
  <c r="AR3"/>
  <c r="AQ147"/>
  <c r="AQ146"/>
  <c r="AQ145"/>
  <c r="AQ144"/>
  <c r="AQ143"/>
  <c r="AQ142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81"/>
  <c r="AQ80"/>
  <c r="AQ79"/>
  <c r="AQ78"/>
  <c r="AQ77"/>
  <c r="AQ76"/>
  <c r="AQ75"/>
  <c r="AQ74"/>
  <c r="AQ73"/>
  <c r="AQ72"/>
  <c r="AQ71"/>
  <c r="AQ70"/>
  <c r="AQ69"/>
  <c r="AQ68"/>
  <c r="AQ67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Q34"/>
  <c r="AQ33"/>
  <c r="AQ32"/>
  <c r="AQ31"/>
  <c r="AQ30"/>
  <c r="AQ29"/>
  <c r="AQ28"/>
  <c r="AQ27"/>
  <c r="AQ26"/>
  <c r="AQ25"/>
  <c r="AQ24"/>
  <c r="AQ23"/>
  <c r="AQ22"/>
  <c r="AQ21"/>
  <c r="AQ20"/>
  <c r="AQ19"/>
  <c r="AQ18"/>
  <c r="AQ17"/>
  <c r="AQ16"/>
  <c r="AQ15"/>
  <c r="AQ14"/>
  <c r="AQ13"/>
  <c r="AQ12"/>
  <c r="AQ11"/>
  <c r="AQ10"/>
  <c r="AQ9"/>
  <c r="AQ8"/>
  <c r="AQ7"/>
  <c r="AQ6"/>
  <c r="AQ5"/>
  <c r="AQ4"/>
  <c r="AQ3"/>
  <c r="AP147"/>
  <c r="AP146"/>
  <c r="AP145"/>
  <c r="AP144"/>
  <c r="AP143"/>
  <c r="AP142"/>
  <c r="AP141"/>
  <c r="AP140"/>
  <c r="AP139"/>
  <c r="AP138"/>
  <c r="AP137"/>
  <c r="AP136"/>
  <c r="AP135"/>
  <c r="AP134"/>
  <c r="AP133"/>
  <c r="AP132"/>
  <c r="AP131"/>
  <c r="AP130"/>
  <c r="AP129"/>
  <c r="AP128"/>
  <c r="AP127"/>
  <c r="AP126"/>
  <c r="AP125"/>
  <c r="AP124"/>
  <c r="AP123"/>
  <c r="AP122"/>
  <c r="AP121"/>
  <c r="AP120"/>
  <c r="AP119"/>
  <c r="AP118"/>
  <c r="AP117"/>
  <c r="AP116"/>
  <c r="AP115"/>
  <c r="AP114"/>
  <c r="AP113"/>
  <c r="AP112"/>
  <c r="AP111"/>
  <c r="AP110"/>
  <c r="AP109"/>
  <c r="AP108"/>
  <c r="AP107"/>
  <c r="AP106"/>
  <c r="AP105"/>
  <c r="AP104"/>
  <c r="AP103"/>
  <c r="AP102"/>
  <c r="AP101"/>
  <c r="AP100"/>
  <c r="AP99"/>
  <c r="AP98"/>
  <c r="AP97"/>
  <c r="AP96"/>
  <c r="AP95"/>
  <c r="AP94"/>
  <c r="AP93"/>
  <c r="AP92"/>
  <c r="AP91"/>
  <c r="AP90"/>
  <c r="AP89"/>
  <c r="AP88"/>
  <c r="AP87"/>
  <c r="AP86"/>
  <c r="AP85"/>
  <c r="AP84"/>
  <c r="AP83"/>
  <c r="AP82"/>
  <c r="AP81"/>
  <c r="AP80"/>
  <c r="AP79"/>
  <c r="AP78"/>
  <c r="AP77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P151" s="1"/>
  <c r="AP4"/>
  <c r="AP3"/>
  <c r="AO147"/>
  <c r="AO146"/>
  <c r="AO145"/>
  <c r="AO144"/>
  <c r="AO143"/>
  <c r="AO142"/>
  <c r="AO141"/>
  <c r="AO140"/>
  <c r="AO139"/>
  <c r="AO138"/>
  <c r="AO137"/>
  <c r="AO136"/>
  <c r="AO135"/>
  <c r="AO134"/>
  <c r="AO133"/>
  <c r="AO132"/>
  <c r="AO131"/>
  <c r="AO130"/>
  <c r="AO129"/>
  <c r="AO128"/>
  <c r="AO127"/>
  <c r="AO126"/>
  <c r="AO125"/>
  <c r="AO124"/>
  <c r="AO123"/>
  <c r="AO122"/>
  <c r="AO121"/>
  <c r="AO120"/>
  <c r="AO119"/>
  <c r="AO118"/>
  <c r="AO117"/>
  <c r="AO116"/>
  <c r="AO115"/>
  <c r="AO114"/>
  <c r="AO113"/>
  <c r="AO112"/>
  <c r="AO111"/>
  <c r="AO110"/>
  <c r="AO109"/>
  <c r="AO108"/>
  <c r="AO107"/>
  <c r="AO106"/>
  <c r="AO105"/>
  <c r="AO104"/>
  <c r="AO103"/>
  <c r="AO102"/>
  <c r="AO101"/>
  <c r="AO100"/>
  <c r="AO99"/>
  <c r="AO98"/>
  <c r="AO97"/>
  <c r="AO96"/>
  <c r="AO95"/>
  <c r="AO94"/>
  <c r="AO93"/>
  <c r="AO92"/>
  <c r="AO91"/>
  <c r="AO90"/>
  <c r="AO89"/>
  <c r="AO88"/>
  <c r="AO87"/>
  <c r="AO86"/>
  <c r="AO85"/>
  <c r="AO84"/>
  <c r="AO83"/>
  <c r="AO82"/>
  <c r="AO81"/>
  <c r="AO80"/>
  <c r="AO79"/>
  <c r="AO78"/>
  <c r="AO77"/>
  <c r="AO76"/>
  <c r="AO75"/>
  <c r="AO74"/>
  <c r="AO73"/>
  <c r="AO72"/>
  <c r="AO71"/>
  <c r="AO70"/>
  <c r="AO69"/>
  <c r="AO68"/>
  <c r="AO67"/>
  <c r="AO66"/>
  <c r="AO65"/>
  <c r="AO64"/>
  <c r="AO63"/>
  <c r="AO62"/>
  <c r="AO61"/>
  <c r="AO60"/>
  <c r="AO59"/>
  <c r="AO58"/>
  <c r="AO57"/>
  <c r="AO56"/>
  <c r="AO55"/>
  <c r="AO54"/>
  <c r="AO53"/>
  <c r="AO52"/>
  <c r="AO51"/>
  <c r="AO50"/>
  <c r="AO49"/>
  <c r="AO48"/>
  <c r="AO47"/>
  <c r="AO46"/>
  <c r="AO45"/>
  <c r="AO44"/>
  <c r="AO43"/>
  <c r="AO42"/>
  <c r="AO41"/>
  <c r="AO40"/>
  <c r="AO39"/>
  <c r="AO38"/>
  <c r="AO37"/>
  <c r="AO36"/>
  <c r="AO35"/>
  <c r="AO34"/>
  <c r="AO33"/>
  <c r="AO32"/>
  <c r="AO31"/>
  <c r="AO30"/>
  <c r="AO29"/>
  <c r="AO28"/>
  <c r="AO27"/>
  <c r="AO26"/>
  <c r="AO25"/>
  <c r="AO24"/>
  <c r="AO23"/>
  <c r="AO22"/>
  <c r="AO21"/>
  <c r="AO20"/>
  <c r="AO19"/>
  <c r="AO18"/>
  <c r="AO17"/>
  <c r="AO16"/>
  <c r="AO15"/>
  <c r="AO14"/>
  <c r="AO13"/>
  <c r="AO12"/>
  <c r="AO11"/>
  <c r="AO10"/>
  <c r="AO9"/>
  <c r="AO8"/>
  <c r="AO7"/>
  <c r="AO6"/>
  <c r="AO5"/>
  <c r="AO4"/>
  <c r="AO3"/>
  <c r="AN151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4"/>
  <c r="AN150" s="1"/>
  <c r="AN3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81"/>
  <c r="AM80"/>
  <c r="AM79"/>
  <c r="AM78"/>
  <c r="AM77"/>
  <c r="AM76"/>
  <c r="AM75"/>
  <c r="AM74"/>
  <c r="AM73"/>
  <c r="AM72"/>
  <c r="AM71"/>
  <c r="AM70"/>
  <c r="AM69"/>
  <c r="AM68"/>
  <c r="AM67"/>
  <c r="AM66"/>
  <c r="AM65"/>
  <c r="AM64"/>
  <c r="AM63"/>
  <c r="AM62"/>
  <c r="AM61"/>
  <c r="AM60"/>
  <c r="AM59"/>
  <c r="AM58"/>
  <c r="AM57"/>
  <c r="AM56"/>
  <c r="AM55"/>
  <c r="AM54"/>
  <c r="AM53"/>
  <c r="AM52"/>
  <c r="AM51"/>
  <c r="AM50"/>
  <c r="AM49"/>
  <c r="AM48"/>
  <c r="AM47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M4"/>
  <c r="AM150" s="1"/>
  <c r="AM3"/>
  <c r="AL147"/>
  <c r="AL146"/>
  <c r="AL145"/>
  <c r="AL144"/>
  <c r="AL143"/>
  <c r="AL142"/>
  <c r="AL141"/>
  <c r="AL140"/>
  <c r="AL139"/>
  <c r="AL138"/>
  <c r="AL137"/>
  <c r="AL136"/>
  <c r="AL135"/>
  <c r="AL134"/>
  <c r="AL133"/>
  <c r="AL132"/>
  <c r="AL131"/>
  <c r="AL130"/>
  <c r="AL129"/>
  <c r="AL128"/>
  <c r="AL127"/>
  <c r="AL126"/>
  <c r="AL125"/>
  <c r="AL124"/>
  <c r="AL123"/>
  <c r="AL122"/>
  <c r="AL121"/>
  <c r="AL120"/>
  <c r="AL119"/>
  <c r="AL118"/>
  <c r="AL117"/>
  <c r="AL116"/>
  <c r="AL115"/>
  <c r="AL114"/>
  <c r="AL113"/>
  <c r="AL112"/>
  <c r="AL111"/>
  <c r="AL110"/>
  <c r="AL109"/>
  <c r="AL108"/>
  <c r="AL107"/>
  <c r="AL106"/>
  <c r="AL105"/>
  <c r="AL104"/>
  <c r="AL103"/>
  <c r="AL102"/>
  <c r="AL101"/>
  <c r="AL100"/>
  <c r="AL99"/>
  <c r="AL98"/>
  <c r="AL97"/>
  <c r="AL96"/>
  <c r="AL95"/>
  <c r="AL94"/>
  <c r="AL93"/>
  <c r="AL92"/>
  <c r="AL91"/>
  <c r="AL90"/>
  <c r="AL89"/>
  <c r="AL8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I153" s="1"/>
  <c r="AL3"/>
  <c r="AK147"/>
  <c r="AK146"/>
  <c r="AK145"/>
  <c r="AK144"/>
  <c r="AK143"/>
  <c r="AK142"/>
  <c r="AK141"/>
  <c r="AK140"/>
  <c r="AK139"/>
  <c r="AK138"/>
  <c r="AK137"/>
  <c r="AK136"/>
  <c r="AK135"/>
  <c r="AK134"/>
  <c r="AK133"/>
  <c r="AK132"/>
  <c r="AK131"/>
  <c r="AK130"/>
  <c r="AK129"/>
  <c r="AK128"/>
  <c r="AK127"/>
  <c r="AK126"/>
  <c r="AK125"/>
  <c r="AK124"/>
  <c r="AK123"/>
  <c r="AK122"/>
  <c r="AK121"/>
  <c r="AK120"/>
  <c r="AK119"/>
  <c r="AK118"/>
  <c r="AK117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151" s="1"/>
  <c r="AJ4"/>
  <c r="AJ150" s="1"/>
  <c r="AJ3"/>
  <c r="AI147"/>
  <c r="AI146"/>
  <c r="AI145"/>
  <c r="AI144"/>
  <c r="AI143"/>
  <c r="AI142"/>
  <c r="AI141"/>
  <c r="AI140"/>
  <c r="AI139"/>
  <c r="AI138"/>
  <c r="AI137"/>
  <c r="AI136"/>
  <c r="AI135"/>
  <c r="AI134"/>
  <c r="AI133"/>
  <c r="AI132"/>
  <c r="AI131"/>
  <c r="AI130"/>
  <c r="AI129"/>
  <c r="AI128"/>
  <c r="AI127"/>
  <c r="AI126"/>
  <c r="AI125"/>
  <c r="AI124"/>
  <c r="AI123"/>
  <c r="AI122"/>
  <c r="AI121"/>
  <c r="AI120"/>
  <c r="AI119"/>
  <c r="AI118"/>
  <c r="AI117"/>
  <c r="AI116"/>
  <c r="AI115"/>
  <c r="AI114"/>
  <c r="AI113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151" s="1"/>
  <c r="AI8"/>
  <c r="AI7"/>
  <c r="AI6"/>
  <c r="AI5"/>
  <c r="AI4"/>
  <c r="AI3"/>
  <c r="AG147"/>
  <c r="AG146"/>
  <c r="AG145"/>
  <c r="AG144"/>
  <c r="AG143"/>
  <c r="AG142"/>
  <c r="AG141"/>
  <c r="AG140"/>
  <c r="AG139"/>
  <c r="AG138"/>
  <c r="AG137"/>
  <c r="AG136"/>
  <c r="AG135"/>
  <c r="AG134"/>
  <c r="AG133"/>
  <c r="AG132"/>
  <c r="AG131"/>
  <c r="AG130"/>
  <c r="AG129"/>
  <c r="AG128"/>
  <c r="AG127"/>
  <c r="AG126"/>
  <c r="AG125"/>
  <c r="AG124"/>
  <c r="AG123"/>
  <c r="AG122"/>
  <c r="AG121"/>
  <c r="AG120"/>
  <c r="AG119"/>
  <c r="AG118"/>
  <c r="AG117"/>
  <c r="AG116"/>
  <c r="AG115"/>
  <c r="AG114"/>
  <c r="AG113"/>
  <c r="AG112"/>
  <c r="AG111"/>
  <c r="AG110"/>
  <c r="AG109"/>
  <c r="AG108"/>
  <c r="AG107"/>
  <c r="AG106"/>
  <c r="AG105"/>
  <c r="AG104"/>
  <c r="AG103"/>
  <c r="AG102"/>
  <c r="AG101"/>
  <c r="AG100"/>
  <c r="AG99"/>
  <c r="AG98"/>
  <c r="AG97"/>
  <c r="AG96"/>
  <c r="AG95"/>
  <c r="AG94"/>
  <c r="AG93"/>
  <c r="AG92"/>
  <c r="AG91"/>
  <c r="AG90"/>
  <c r="AG89"/>
  <c r="AG88"/>
  <c r="AG87"/>
  <c r="AG86"/>
  <c r="AG85"/>
  <c r="AG84"/>
  <c r="AG83"/>
  <c r="AG82"/>
  <c r="AG81"/>
  <c r="AG80"/>
  <c r="AG79"/>
  <c r="AG78"/>
  <c r="AG77"/>
  <c r="AG76"/>
  <c r="AG75"/>
  <c r="AG74"/>
  <c r="AG73"/>
  <c r="AG72"/>
  <c r="AG71"/>
  <c r="AG70"/>
  <c r="AG69"/>
  <c r="AG68"/>
  <c r="AG67"/>
  <c r="AG66"/>
  <c r="AG65"/>
  <c r="AG64"/>
  <c r="AG63"/>
  <c r="AG62"/>
  <c r="AG61"/>
  <c r="AG60"/>
  <c r="AG59"/>
  <c r="AG58"/>
  <c r="AG57"/>
  <c r="AG56"/>
  <c r="AG55"/>
  <c r="AG54"/>
  <c r="AG53"/>
  <c r="AG52"/>
  <c r="AG51"/>
  <c r="AG50"/>
  <c r="AG49"/>
  <c r="AG48"/>
  <c r="AG47"/>
  <c r="AG46"/>
  <c r="AG45"/>
  <c r="AG44"/>
  <c r="AG43"/>
  <c r="AG42"/>
  <c r="AG41"/>
  <c r="AG40"/>
  <c r="AG39"/>
  <c r="AG38"/>
  <c r="AG37"/>
  <c r="AG36"/>
  <c r="AG35"/>
  <c r="AG34"/>
  <c r="AG33"/>
  <c r="AG32"/>
  <c r="AG31"/>
  <c r="AG30"/>
  <c r="AG29"/>
  <c r="AG28"/>
  <c r="AG27"/>
  <c r="AG26"/>
  <c r="AG25"/>
  <c r="AG24"/>
  <c r="AG23"/>
  <c r="AG22"/>
  <c r="AG21"/>
  <c r="AG20"/>
  <c r="AG19"/>
  <c r="AG18"/>
  <c r="AG17"/>
  <c r="AG16"/>
  <c r="AG15"/>
  <c r="AG14"/>
  <c r="AG13"/>
  <c r="AG12"/>
  <c r="AG11"/>
  <c r="AG10"/>
  <c r="AG9"/>
  <c r="AG8"/>
  <c r="AG7"/>
  <c r="AG6"/>
  <c r="AG5"/>
  <c r="AG4"/>
  <c r="AG150" s="1"/>
  <c r="AD141"/>
  <c r="AE141" s="1"/>
  <c r="AD132"/>
  <c r="AA148"/>
  <c r="AA147"/>
  <c r="AB146"/>
  <c r="AA146"/>
  <c r="AD146" s="1"/>
  <c r="AA145"/>
  <c r="AB144"/>
  <c r="AA144"/>
  <c r="AD144" s="1"/>
  <c r="AA143"/>
  <c r="AB142"/>
  <c r="AA142"/>
  <c r="AA141"/>
  <c r="AB140"/>
  <c r="AA140"/>
  <c r="AD140" s="1"/>
  <c r="AA139"/>
  <c r="AB138" s="1"/>
  <c r="AA138"/>
  <c r="AB137" s="1"/>
  <c r="AA137"/>
  <c r="AD137" s="1"/>
  <c r="AB136"/>
  <c r="AA136"/>
  <c r="AD136" s="1"/>
  <c r="AE136" s="1"/>
  <c r="AA135"/>
  <c r="AD135" s="1"/>
  <c r="AA134"/>
  <c r="AA133"/>
  <c r="AB132"/>
  <c r="AA132"/>
  <c r="AA131"/>
  <c r="AB130" s="1"/>
  <c r="AA130"/>
  <c r="AA129"/>
  <c r="AB128"/>
  <c r="AA128"/>
  <c r="AD128" s="1"/>
  <c r="AA127"/>
  <c r="AB126" s="1"/>
  <c r="AA126"/>
  <c r="AA125"/>
  <c r="AB124"/>
  <c r="AA124"/>
  <c r="AA123"/>
  <c r="AD123" s="1"/>
  <c r="AA122"/>
  <c r="AA121"/>
  <c r="AB120"/>
  <c r="AA120"/>
  <c r="AD121" s="1"/>
  <c r="AA119"/>
  <c r="AB118" s="1"/>
  <c r="AA118"/>
  <c r="AA117"/>
  <c r="AB116"/>
  <c r="AA116"/>
  <c r="AA115"/>
  <c r="AB114" s="1"/>
  <c r="AA114"/>
  <c r="AD114" s="1"/>
  <c r="AA113"/>
  <c r="AB112"/>
  <c r="AA112"/>
  <c r="AD112" s="1"/>
  <c r="AE112" s="1"/>
  <c r="AA111"/>
  <c r="AD111" s="1"/>
  <c r="AA110"/>
  <c r="AB109" s="1"/>
  <c r="AA109"/>
  <c r="AB108"/>
  <c r="AA108"/>
  <c r="AD108" s="1"/>
  <c r="AA107"/>
  <c r="AB106" s="1"/>
  <c r="AA106"/>
  <c r="AA105"/>
  <c r="AD105" s="1"/>
  <c r="AB104"/>
  <c r="AA104"/>
  <c r="AD104" s="1"/>
  <c r="AE104" s="1"/>
  <c r="AA103"/>
  <c r="AD103" s="1"/>
  <c r="AA102"/>
  <c r="AA101"/>
  <c r="AB100"/>
  <c r="AA100"/>
  <c r="AD100" s="1"/>
  <c r="AE100" s="1"/>
  <c r="AA99"/>
  <c r="AD99" s="1"/>
  <c r="AA98"/>
  <c r="AB97" s="1"/>
  <c r="AA97"/>
  <c r="AB96"/>
  <c r="AA96"/>
  <c r="AD96" s="1"/>
  <c r="AE96" s="1"/>
  <c r="AA95"/>
  <c r="AB94" s="1"/>
  <c r="AA94"/>
  <c r="AD95" s="1"/>
  <c r="AA93"/>
  <c r="AB92"/>
  <c r="AA92"/>
  <c r="AA91"/>
  <c r="AD91" s="1"/>
  <c r="AA90"/>
  <c r="AA89"/>
  <c r="AB88"/>
  <c r="AA88"/>
  <c r="AD89" s="1"/>
  <c r="AA87"/>
  <c r="AB86" s="1"/>
  <c r="AA86"/>
  <c r="AB85" s="1"/>
  <c r="AA85"/>
  <c r="AB84"/>
  <c r="AA84"/>
  <c r="AA83"/>
  <c r="AB82" s="1"/>
  <c r="AA82"/>
  <c r="AD82" s="1"/>
  <c r="AE82" s="1"/>
  <c r="AA81"/>
  <c r="AD81" s="1"/>
  <c r="AB80"/>
  <c r="AA80"/>
  <c r="AD80" s="1"/>
  <c r="AE80" s="1"/>
  <c r="AA79"/>
  <c r="AD79" s="1"/>
  <c r="AA78"/>
  <c r="AA77"/>
  <c r="AB76"/>
  <c r="AA76"/>
  <c r="AD76" s="1"/>
  <c r="AE76" s="1"/>
  <c r="AA75"/>
  <c r="AD75" s="1"/>
  <c r="AA74"/>
  <c r="AB73" s="1"/>
  <c r="AA73"/>
  <c r="AD73" s="1"/>
  <c r="AB72"/>
  <c r="AA72"/>
  <c r="AD72" s="1"/>
  <c r="AE72" s="1"/>
  <c r="AA71"/>
  <c r="AD71" s="1"/>
  <c r="AA70"/>
  <c r="AA69"/>
  <c r="AB68"/>
  <c r="AA68"/>
  <c r="AD68" s="1"/>
  <c r="AE68" s="1"/>
  <c r="AA67"/>
  <c r="AD67" s="1"/>
  <c r="AA66"/>
  <c r="AA65"/>
  <c r="AB64"/>
  <c r="AA64"/>
  <c r="AD64" s="1"/>
  <c r="AE64" s="1"/>
  <c r="AA63"/>
  <c r="AD63" s="1"/>
  <c r="AA62"/>
  <c r="AB61" s="1"/>
  <c r="AA61"/>
  <c r="AB60"/>
  <c r="AA60"/>
  <c r="AD60" s="1"/>
  <c r="AA59"/>
  <c r="AD59" s="1"/>
  <c r="AA58"/>
  <c r="AB57" s="1"/>
  <c r="AA57"/>
  <c r="AB56"/>
  <c r="AA56"/>
  <c r="AD56" s="1"/>
  <c r="AA55"/>
  <c r="AD55" s="1"/>
  <c r="AE55" s="1"/>
  <c r="AA54"/>
  <c r="AD54" s="1"/>
  <c r="AA53"/>
  <c r="AB52"/>
  <c r="AA52"/>
  <c r="AD52" s="1"/>
  <c r="AA51"/>
  <c r="AD51" s="1"/>
  <c r="AA50"/>
  <c r="AA49"/>
  <c r="AB48"/>
  <c r="AA48"/>
  <c r="AD48" s="1"/>
  <c r="AE48" s="1"/>
  <c r="AA47"/>
  <c r="AD47" s="1"/>
  <c r="AA46"/>
  <c r="AA45"/>
  <c r="AB44"/>
  <c r="AA44"/>
  <c r="AD44" s="1"/>
  <c r="AE44" s="1"/>
  <c r="AA43"/>
  <c r="AD43" s="1"/>
  <c r="AA42"/>
  <c r="AB41" s="1"/>
  <c r="AA41"/>
  <c r="AB40"/>
  <c r="AA40"/>
  <c r="AD40" s="1"/>
  <c r="AE40" s="1"/>
  <c r="AA39"/>
  <c r="AD39" s="1"/>
  <c r="AA38"/>
  <c r="AB37" s="1"/>
  <c r="AA37"/>
  <c r="AB36"/>
  <c r="AA36"/>
  <c r="AD36" s="1"/>
  <c r="AE36" s="1"/>
  <c r="AA35"/>
  <c r="AD35" s="1"/>
  <c r="AA34"/>
  <c r="AA33"/>
  <c r="AB32"/>
  <c r="AA32"/>
  <c r="AD32" s="1"/>
  <c r="AE32" s="1"/>
  <c r="AA31"/>
  <c r="AD31" s="1"/>
  <c r="AA30"/>
  <c r="AA29"/>
  <c r="AB28"/>
  <c r="AA28"/>
  <c r="AD28" s="1"/>
  <c r="AA27"/>
  <c r="AD27" s="1"/>
  <c r="AA26"/>
  <c r="AB25" s="1"/>
  <c r="AA25"/>
  <c r="AB24"/>
  <c r="AA24"/>
  <c r="AD24" s="1"/>
  <c r="AA23"/>
  <c r="AD23" s="1"/>
  <c r="AE23" s="1"/>
  <c r="AA22"/>
  <c r="AD22" s="1"/>
  <c r="AA21"/>
  <c r="AB20"/>
  <c r="AA20"/>
  <c r="AD20" s="1"/>
  <c r="AA19"/>
  <c r="AD19" s="1"/>
  <c r="AA18"/>
  <c r="AB17" s="1"/>
  <c r="AA17"/>
  <c r="AB16"/>
  <c r="AA16"/>
  <c r="AD16" s="1"/>
  <c r="AE16" s="1"/>
  <c r="AA15"/>
  <c r="AD15" s="1"/>
  <c r="AA14"/>
  <c r="AA13"/>
  <c r="AA12"/>
  <c r="AD12" s="1"/>
  <c r="AA11"/>
  <c r="AB12" s="1"/>
  <c r="AA10"/>
  <c r="AB9" s="1"/>
  <c r="AA9"/>
  <c r="AA8"/>
  <c r="AD8" s="1"/>
  <c r="AA7"/>
  <c r="AB8" s="1"/>
  <c r="AA6"/>
  <c r="AA5"/>
  <c r="AA4"/>
  <c r="AD4" s="1"/>
  <c r="AA3"/>
  <c r="AB4" s="1"/>
  <c r="Y151"/>
  <c r="Y150"/>
  <c r="X151"/>
  <c r="X150"/>
  <c r="W150"/>
  <c r="W151" s="1"/>
  <c r="V151"/>
  <c r="V150"/>
  <c r="U150"/>
  <c r="T151"/>
  <c r="T150"/>
  <c r="U151" s="1"/>
  <c r="S150"/>
  <c r="S151" s="1"/>
  <c r="R151"/>
  <c r="R150"/>
  <c r="Q150"/>
  <c r="P151"/>
  <c r="P150"/>
  <c r="Q151" s="1"/>
  <c r="O150"/>
  <c r="O151" s="1"/>
  <c r="N151"/>
  <c r="N150"/>
  <c r="M150"/>
  <c r="L151"/>
  <c r="L150"/>
  <c r="M151" s="1"/>
  <c r="K150"/>
  <c r="K151" s="1"/>
  <c r="J151"/>
  <c r="J150"/>
  <c r="I150"/>
  <c r="H151"/>
  <c r="H150"/>
  <c r="I151" s="1"/>
  <c r="G150"/>
  <c r="G151" s="1"/>
  <c r="F151"/>
  <c r="F150"/>
  <c r="E150"/>
  <c r="E151" s="1"/>
  <c r="D151"/>
  <c r="D150"/>
  <c r="C150"/>
  <c r="C151" s="1"/>
  <c r="B150"/>
  <c r="Z151"/>
  <c r="Z150"/>
  <c r="B11" i="46"/>
  <c r="G11"/>
  <c r="G10"/>
  <c r="C6" i="89"/>
  <c r="B6"/>
  <c r="AD4" i="87" l="1"/>
  <c r="AD9"/>
  <c r="AE10" s="1"/>
  <c r="AD15"/>
  <c r="AB14"/>
  <c r="AB21"/>
  <c r="AB29"/>
  <c r="AB37"/>
  <c r="AB45"/>
  <c r="AB53"/>
  <c r="AB61"/>
  <c r="AB69"/>
  <c r="AB77"/>
  <c r="AB85"/>
  <c r="AD94"/>
  <c r="AB93"/>
  <c r="AD102"/>
  <c r="AB101"/>
  <c r="AD110"/>
  <c r="AB109"/>
  <c r="AD118"/>
  <c r="AB117"/>
  <c r="AD126"/>
  <c r="AB125"/>
  <c r="AD134"/>
  <c r="AB133"/>
  <c r="AD142"/>
  <c r="AB141"/>
  <c r="V151"/>
  <c r="AD22"/>
  <c r="AE22" s="1"/>
  <c r="AD54"/>
  <c r="AD86"/>
  <c r="AB13"/>
  <c r="AD21"/>
  <c r="AB20"/>
  <c r="AD29"/>
  <c r="AB28"/>
  <c r="AD37"/>
  <c r="AB36"/>
  <c r="AD45"/>
  <c r="AE45" s="1"/>
  <c r="AB44"/>
  <c r="AD53"/>
  <c r="AE53" s="1"/>
  <c r="AB52"/>
  <c r="AB8"/>
  <c r="AD8"/>
  <c r="AD13"/>
  <c r="AB19"/>
  <c r="AD20"/>
  <c r="AB27"/>
  <c r="AD28"/>
  <c r="AB35"/>
  <c r="AD36"/>
  <c r="AB43"/>
  <c r="AD44"/>
  <c r="AB51"/>
  <c r="AD52"/>
  <c r="AB59"/>
  <c r="AD60"/>
  <c r="AB67"/>
  <c r="AD68"/>
  <c r="AB75"/>
  <c r="AD76"/>
  <c r="AB83"/>
  <c r="AD84"/>
  <c r="AB91"/>
  <c r="AD92"/>
  <c r="AB99"/>
  <c r="AD100"/>
  <c r="AB107"/>
  <c r="AD108"/>
  <c r="AB115"/>
  <c r="AD116"/>
  <c r="AB123"/>
  <c r="AD124"/>
  <c r="AB131"/>
  <c r="AD132"/>
  <c r="AB139"/>
  <c r="AD140"/>
  <c r="E151"/>
  <c r="AA151" s="1"/>
  <c r="AB151" s="1"/>
  <c r="I151"/>
  <c r="M151"/>
  <c r="AB147"/>
  <c r="AD14"/>
  <c r="AE14" s="1"/>
  <c r="AD46"/>
  <c r="AE46" s="1"/>
  <c r="AD78"/>
  <c r="AD19"/>
  <c r="AE19" s="1"/>
  <c r="AB18"/>
  <c r="AD27"/>
  <c r="AB26"/>
  <c r="AD35"/>
  <c r="AB34"/>
  <c r="AD43"/>
  <c r="AE43" s="1"/>
  <c r="AB42"/>
  <c r="AD51"/>
  <c r="AE51" s="1"/>
  <c r="AB50"/>
  <c r="AD59"/>
  <c r="AB58"/>
  <c r="AD67"/>
  <c r="AB66"/>
  <c r="AD75"/>
  <c r="AE75" s="1"/>
  <c r="AB74"/>
  <c r="AB84"/>
  <c r="AD83"/>
  <c r="AE83" s="1"/>
  <c r="AB82"/>
  <c r="AB92"/>
  <c r="AD91"/>
  <c r="AB90"/>
  <c r="AB100"/>
  <c r="AD99"/>
  <c r="AB98"/>
  <c r="AB108"/>
  <c r="AD107"/>
  <c r="AB106"/>
  <c r="AB116"/>
  <c r="AD115"/>
  <c r="AB114"/>
  <c r="AB124"/>
  <c r="AD123"/>
  <c r="AB122"/>
  <c r="AB132"/>
  <c r="AD131"/>
  <c r="AB130"/>
  <c r="AB7"/>
  <c r="AB12"/>
  <c r="AD7"/>
  <c r="AE7" s="1"/>
  <c r="AB6"/>
  <c r="AD12"/>
  <c r="AB17"/>
  <c r="AB25"/>
  <c r="AB33"/>
  <c r="AB41"/>
  <c r="AB49"/>
  <c r="AB57"/>
  <c r="AB65"/>
  <c r="AB73"/>
  <c r="AB81"/>
  <c r="AD90"/>
  <c r="AB89"/>
  <c r="AD98"/>
  <c r="AB97"/>
  <c r="AD106"/>
  <c r="AB105"/>
  <c r="AD114"/>
  <c r="AB113"/>
  <c r="AD122"/>
  <c r="AB121"/>
  <c r="AD130"/>
  <c r="AB129"/>
  <c r="AD138"/>
  <c r="AB137"/>
  <c r="AD146"/>
  <c r="AB145"/>
  <c r="AD38"/>
  <c r="AE38" s="1"/>
  <c r="AD70"/>
  <c r="AB5"/>
  <c r="AD17"/>
  <c r="AE18" s="1"/>
  <c r="AD25"/>
  <c r="AB24"/>
  <c r="AD33"/>
  <c r="AE33" s="1"/>
  <c r="AB32"/>
  <c r="AD41"/>
  <c r="AE42" s="1"/>
  <c r="AB40"/>
  <c r="AD49"/>
  <c r="AE49" s="1"/>
  <c r="AB48"/>
  <c r="AD57"/>
  <c r="AB56"/>
  <c r="AB11"/>
  <c r="AD34"/>
  <c r="AD66"/>
  <c r="AD5"/>
  <c r="AE5" s="1"/>
  <c r="AD11"/>
  <c r="AE11" s="1"/>
  <c r="AB10"/>
  <c r="AB23"/>
  <c r="AD24"/>
  <c r="AB31"/>
  <c r="AD32"/>
  <c r="AB39"/>
  <c r="AD40"/>
  <c r="AB47"/>
  <c r="AD48"/>
  <c r="AB55"/>
  <c r="AD56"/>
  <c r="AB63"/>
  <c r="AD64"/>
  <c r="AB71"/>
  <c r="AD72"/>
  <c r="AB79"/>
  <c r="AD80"/>
  <c r="AB87"/>
  <c r="AD88"/>
  <c r="AB95"/>
  <c r="AD96"/>
  <c r="AB103"/>
  <c r="AD104"/>
  <c r="AB111"/>
  <c r="AD112"/>
  <c r="AB119"/>
  <c r="AD120"/>
  <c r="AB127"/>
  <c r="AD128"/>
  <c r="AB135"/>
  <c r="AD136"/>
  <c r="AD145"/>
  <c r="AB143"/>
  <c r="AD144"/>
  <c r="AB16"/>
  <c r="AD30"/>
  <c r="AE30" s="1"/>
  <c r="AD62"/>
  <c r="AB9"/>
  <c r="AB15"/>
  <c r="AD16"/>
  <c r="AE16" s="1"/>
  <c r="AD23"/>
  <c r="AE23" s="1"/>
  <c r="AB22"/>
  <c r="AD31"/>
  <c r="AB30"/>
  <c r="AD39"/>
  <c r="AE39" s="1"/>
  <c r="AB38"/>
  <c r="AD47"/>
  <c r="AE47" s="1"/>
  <c r="AB46"/>
  <c r="AD55"/>
  <c r="AE55" s="1"/>
  <c r="AB54"/>
  <c r="AD63"/>
  <c r="AE63" s="1"/>
  <c r="AB62"/>
  <c r="AD71"/>
  <c r="AE71" s="1"/>
  <c r="AB70"/>
  <c r="AB80"/>
  <c r="AD79"/>
  <c r="AE79" s="1"/>
  <c r="AB78"/>
  <c r="AB88"/>
  <c r="AD87"/>
  <c r="AE87" s="1"/>
  <c r="AB86"/>
  <c r="AB96"/>
  <c r="AD95"/>
  <c r="AE95" s="1"/>
  <c r="AB94"/>
  <c r="AB104"/>
  <c r="AD103"/>
  <c r="AE103" s="1"/>
  <c r="AB102"/>
  <c r="AB112"/>
  <c r="AD111"/>
  <c r="AE111" s="1"/>
  <c r="AB110"/>
  <c r="AB120"/>
  <c r="AD119"/>
  <c r="AE119" s="1"/>
  <c r="AB118"/>
  <c r="AB128"/>
  <c r="AD127"/>
  <c r="AE127" s="1"/>
  <c r="AB126"/>
  <c r="AB4"/>
  <c r="AD26"/>
  <c r="AE26" s="1"/>
  <c r="AD58"/>
  <c r="AE58" s="1"/>
  <c r="AB134"/>
  <c r="AB138"/>
  <c r="AB142"/>
  <c r="AB146"/>
  <c r="AI153"/>
  <c r="AQ151"/>
  <c r="AY151"/>
  <c r="AK151"/>
  <c r="AS151"/>
  <c r="BA151"/>
  <c r="AD135"/>
  <c r="AE135" s="1"/>
  <c r="AD139"/>
  <c r="AE139" s="1"/>
  <c r="AD143"/>
  <c r="AE143" s="1"/>
  <c r="AD147"/>
  <c r="AE147" s="1"/>
  <c r="AP151"/>
  <c r="AX151"/>
  <c r="BF151"/>
  <c r="AB60"/>
  <c r="AB64"/>
  <c r="AB68"/>
  <c r="AB72"/>
  <c r="AB76"/>
  <c r="AB136"/>
  <c r="AB140"/>
  <c r="AB144"/>
  <c r="AG151"/>
  <c r="AM151"/>
  <c r="AU151"/>
  <c r="BC151"/>
  <c r="AO151"/>
  <c r="AW151"/>
  <c r="BE151"/>
  <c r="AD61"/>
  <c r="AE61" s="1"/>
  <c r="AD65"/>
  <c r="AE65" s="1"/>
  <c r="AD69"/>
  <c r="AE69" s="1"/>
  <c r="AD73"/>
  <c r="AE73" s="1"/>
  <c r="AD77"/>
  <c r="AE77" s="1"/>
  <c r="AD81"/>
  <c r="AE81" s="1"/>
  <c r="AD85"/>
  <c r="AE85" s="1"/>
  <c r="AD89"/>
  <c r="AE89" s="1"/>
  <c r="AD93"/>
  <c r="AE93" s="1"/>
  <c r="AD97"/>
  <c r="AE97" s="1"/>
  <c r="AD101"/>
  <c r="AE101" s="1"/>
  <c r="AD105"/>
  <c r="AE105" s="1"/>
  <c r="AD109"/>
  <c r="AE109" s="1"/>
  <c r="AD113"/>
  <c r="AE113" s="1"/>
  <c r="AD117"/>
  <c r="AE117" s="1"/>
  <c r="AD121"/>
  <c r="AE121" s="1"/>
  <c r="AD125"/>
  <c r="AE125" s="1"/>
  <c r="AD129"/>
  <c r="AE129" s="1"/>
  <c r="AD133"/>
  <c r="AE133" s="1"/>
  <c r="AD137"/>
  <c r="AE137" s="1"/>
  <c r="AD141"/>
  <c r="AE141" s="1"/>
  <c r="AE24" i="84"/>
  <c r="AE56"/>
  <c r="AE81"/>
  <c r="AA151"/>
  <c r="AB151" s="1"/>
  <c r="AE105"/>
  <c r="AE137"/>
  <c r="AE73"/>
  <c r="AE28"/>
  <c r="AE60"/>
  <c r="AE20"/>
  <c r="AE52"/>
  <c r="AB7"/>
  <c r="AB23"/>
  <c r="AB6"/>
  <c r="AB10"/>
  <c r="AB14"/>
  <c r="AB18"/>
  <c r="AB22"/>
  <c r="AB26"/>
  <c r="AB30"/>
  <c r="AB34"/>
  <c r="AB38"/>
  <c r="AB42"/>
  <c r="AB46"/>
  <c r="AB50"/>
  <c r="AB54"/>
  <c r="AB58"/>
  <c r="AB62"/>
  <c r="AB66"/>
  <c r="AB70"/>
  <c r="AB74"/>
  <c r="AB78"/>
  <c r="AB90"/>
  <c r="AB98"/>
  <c r="AB102"/>
  <c r="AB110"/>
  <c r="AB122"/>
  <c r="AB134"/>
  <c r="AG151"/>
  <c r="AK151"/>
  <c r="AK150"/>
  <c r="AS151"/>
  <c r="AS150"/>
  <c r="AD77"/>
  <c r="AE77" s="1"/>
  <c r="AD86"/>
  <c r="AD109"/>
  <c r="AE109" s="1"/>
  <c r="AD118"/>
  <c r="AD127"/>
  <c r="AW150"/>
  <c r="AB5"/>
  <c r="AB13"/>
  <c r="AB21"/>
  <c r="AB29"/>
  <c r="AB33"/>
  <c r="AB45"/>
  <c r="AB49"/>
  <c r="AB53"/>
  <c r="AB65"/>
  <c r="AB69"/>
  <c r="AB77"/>
  <c r="AB81"/>
  <c r="AB89"/>
  <c r="AB93"/>
  <c r="AB101"/>
  <c r="AB105"/>
  <c r="AB113"/>
  <c r="AB117"/>
  <c r="AB121"/>
  <c r="AB125"/>
  <c r="AB129"/>
  <c r="AB133"/>
  <c r="AB141"/>
  <c r="AB145"/>
  <c r="AD90"/>
  <c r="AE90" s="1"/>
  <c r="AD113"/>
  <c r="AE113" s="1"/>
  <c r="AD122"/>
  <c r="AE122" s="1"/>
  <c r="AD131"/>
  <c r="AD145"/>
  <c r="AE145" s="1"/>
  <c r="AR150"/>
  <c r="AD7"/>
  <c r="AD11"/>
  <c r="AE12" s="1"/>
  <c r="AD85"/>
  <c r="AD94"/>
  <c r="AD117"/>
  <c r="AD126"/>
  <c r="AM151"/>
  <c r="AQ150"/>
  <c r="AD98"/>
  <c r="AD107"/>
  <c r="AE108" s="1"/>
  <c r="AD130"/>
  <c r="AD139"/>
  <c r="AU151"/>
  <c r="AU150"/>
  <c r="AZ151"/>
  <c r="AD6"/>
  <c r="AD10"/>
  <c r="AD14"/>
  <c r="AD18"/>
  <c r="AD26"/>
  <c r="AD30"/>
  <c r="AD34"/>
  <c r="AD38"/>
  <c r="AD42"/>
  <c r="AD46"/>
  <c r="AD50"/>
  <c r="AD58"/>
  <c r="AD62"/>
  <c r="AD66"/>
  <c r="AD70"/>
  <c r="AD84"/>
  <c r="AE84" s="1"/>
  <c r="AD93"/>
  <c r="AD102"/>
  <c r="AD116"/>
  <c r="AD125"/>
  <c r="AD134"/>
  <c r="AD143"/>
  <c r="AP150"/>
  <c r="AZ150"/>
  <c r="AB11"/>
  <c r="AC11" s="1"/>
  <c r="Q11" i="85" s="1"/>
  <c r="BY11" s="1"/>
  <c r="AB15" i="84"/>
  <c r="AC15" s="1"/>
  <c r="O15" i="85" s="1"/>
  <c r="BV15" s="1"/>
  <c r="AB19" i="84"/>
  <c r="AC19" s="1"/>
  <c r="AB27"/>
  <c r="AC27" s="1"/>
  <c r="AB31"/>
  <c r="AC31" s="1"/>
  <c r="S31" i="85" s="1"/>
  <c r="BR31" s="1"/>
  <c r="AB35" i="84"/>
  <c r="AC35" s="1"/>
  <c r="Q35" i="85" s="1"/>
  <c r="BX35" s="1"/>
  <c r="AB39" i="84"/>
  <c r="AC39" s="1"/>
  <c r="O39" i="85" s="1"/>
  <c r="BR39" s="1"/>
  <c r="AB43" i="84"/>
  <c r="AC43" s="1"/>
  <c r="Q43" i="85" s="1"/>
  <c r="BW43" s="1"/>
  <c r="AB47" i="84"/>
  <c r="AC47" s="1"/>
  <c r="AB51"/>
  <c r="AC51" s="1"/>
  <c r="AB55"/>
  <c r="AC55" s="1"/>
  <c r="AB59"/>
  <c r="AC59" s="1"/>
  <c r="AB63"/>
  <c r="AC63" s="1"/>
  <c r="AB67"/>
  <c r="AC67" s="1"/>
  <c r="AB71"/>
  <c r="AC71" s="1"/>
  <c r="AB75"/>
  <c r="AC75" s="1"/>
  <c r="AB79"/>
  <c r="AC79" s="1"/>
  <c r="AB83"/>
  <c r="AC83" s="1"/>
  <c r="AB87"/>
  <c r="AC87" s="1"/>
  <c r="AB91"/>
  <c r="AC91" s="1"/>
  <c r="AB95"/>
  <c r="AC95" s="1"/>
  <c r="AB99"/>
  <c r="AC99" s="1"/>
  <c r="AB103"/>
  <c r="AC103" s="1"/>
  <c r="AB107"/>
  <c r="AC107" s="1"/>
  <c r="AB111"/>
  <c r="AC111" s="1"/>
  <c r="AB115"/>
  <c r="AC115" s="1"/>
  <c r="AB119"/>
  <c r="AC119" s="1"/>
  <c r="AB123"/>
  <c r="AC123" s="1"/>
  <c r="AB127"/>
  <c r="AC127" s="1"/>
  <c r="AB131"/>
  <c r="AC131" s="1"/>
  <c r="AB135"/>
  <c r="AC135" s="1"/>
  <c r="AB139"/>
  <c r="AC139" s="1"/>
  <c r="AB143"/>
  <c r="AC143" s="1"/>
  <c r="AB147"/>
  <c r="AC147" s="1"/>
  <c r="AD74"/>
  <c r="AD83"/>
  <c r="AE83" s="1"/>
  <c r="AD88"/>
  <c r="AD97"/>
  <c r="AE97" s="1"/>
  <c r="AD106"/>
  <c r="AE106" s="1"/>
  <c r="AD115"/>
  <c r="AE115" s="1"/>
  <c r="AD120"/>
  <c r="AD129"/>
  <c r="AE129" s="1"/>
  <c r="AD138"/>
  <c r="AE138" s="1"/>
  <c r="AD147"/>
  <c r="AE147" s="1"/>
  <c r="AI150"/>
  <c r="AL150"/>
  <c r="AL151"/>
  <c r="AT150"/>
  <c r="Y11" i="85"/>
  <c r="BS11" s="1"/>
  <c r="X11"/>
  <c r="BQ11" s="1"/>
  <c r="T11"/>
  <c r="BZ11" s="1"/>
  <c r="P11"/>
  <c r="BP11" s="1"/>
  <c r="W11"/>
  <c r="BW11" s="1"/>
  <c r="S11"/>
  <c r="BV11" s="1"/>
  <c r="O11"/>
  <c r="BR11" s="1"/>
  <c r="V11"/>
  <c r="BO11" s="1"/>
  <c r="G11"/>
  <c r="BH11" s="1"/>
  <c r="C11"/>
  <c r="BL11" s="1"/>
  <c r="K11"/>
  <c r="BK11" s="1"/>
  <c r="J11"/>
  <c r="BI11" s="1"/>
  <c r="F11"/>
  <c r="BJ11" s="1"/>
  <c r="B11"/>
  <c r="L11"/>
  <c r="BG11" s="1"/>
  <c r="H11"/>
  <c r="BN11" s="1"/>
  <c r="D11"/>
  <c r="BM11" s="1"/>
  <c r="M11"/>
  <c r="BE11" s="1"/>
  <c r="Y15"/>
  <c r="BO15" s="1"/>
  <c r="W15"/>
  <c r="BW15" s="1"/>
  <c r="V15"/>
  <c r="BT15" s="1"/>
  <c r="R15"/>
  <c r="BX15" s="1"/>
  <c r="N15"/>
  <c r="BY15" s="1"/>
  <c r="U15"/>
  <c r="BS15" s="1"/>
  <c r="Q15"/>
  <c r="BU15" s="1"/>
  <c r="M15"/>
  <c r="BC15" s="1"/>
  <c r="P15"/>
  <c r="BR15" s="1"/>
  <c r="L15"/>
  <c r="BE15" s="1"/>
  <c r="I15"/>
  <c r="BD15" s="1"/>
  <c r="E15"/>
  <c r="BF15" s="1"/>
  <c r="H15"/>
  <c r="BG15" s="1"/>
  <c r="D15"/>
  <c r="BI15" s="1"/>
  <c r="C15"/>
  <c r="BM15" s="1"/>
  <c r="J15"/>
  <c r="BK15" s="1"/>
  <c r="F15"/>
  <c r="BN15" s="1"/>
  <c r="B15"/>
  <c r="Y19"/>
  <c r="BQ19" s="1"/>
  <c r="X19"/>
  <c r="BP19" s="1"/>
  <c r="U19"/>
  <c r="BO19" s="1"/>
  <c r="Q19"/>
  <c r="BS19" s="1"/>
  <c r="T19"/>
  <c r="BX19" s="1"/>
  <c r="P19"/>
  <c r="BV19" s="1"/>
  <c r="W19"/>
  <c r="BT19" s="1"/>
  <c r="S19"/>
  <c r="BW19" s="1"/>
  <c r="O19"/>
  <c r="BZ19" s="1"/>
  <c r="V19"/>
  <c r="BR19" s="1"/>
  <c r="R19"/>
  <c r="BY19" s="1"/>
  <c r="N19"/>
  <c r="BU19" s="1"/>
  <c r="K19"/>
  <c r="BH19" s="1"/>
  <c r="G19"/>
  <c r="BM19" s="1"/>
  <c r="C19"/>
  <c r="BI19" s="1"/>
  <c r="J19"/>
  <c r="BC19" s="1"/>
  <c r="F19"/>
  <c r="BK19" s="1"/>
  <c r="B19"/>
  <c r="M19"/>
  <c r="BD19" s="1"/>
  <c r="L19"/>
  <c r="BE19" s="1"/>
  <c r="I19"/>
  <c r="BF19" s="1"/>
  <c r="E19"/>
  <c r="BJ19" s="1"/>
  <c r="H19"/>
  <c r="BL19" s="1"/>
  <c r="D19"/>
  <c r="BG19" s="1"/>
  <c r="Y27"/>
  <c r="BV27" s="1"/>
  <c r="X27"/>
  <c r="BX27" s="1"/>
  <c r="U27"/>
  <c r="BR27" s="1"/>
  <c r="Q27"/>
  <c r="BQ27" s="1"/>
  <c r="T27"/>
  <c r="BY27" s="1"/>
  <c r="P27"/>
  <c r="BU27" s="1"/>
  <c r="W27"/>
  <c r="BT27" s="1"/>
  <c r="S27"/>
  <c r="BP27" s="1"/>
  <c r="O27"/>
  <c r="BS27" s="1"/>
  <c r="V27"/>
  <c r="BZ27" s="1"/>
  <c r="R27"/>
  <c r="BW27" s="1"/>
  <c r="N27"/>
  <c r="BO27" s="1"/>
  <c r="G27"/>
  <c r="BK27" s="1"/>
  <c r="C27"/>
  <c r="BG27" s="1"/>
  <c r="M27"/>
  <c r="BL27" s="1"/>
  <c r="L27"/>
  <c r="BJ27" s="1"/>
  <c r="J27"/>
  <c r="BH27" s="1"/>
  <c r="F27"/>
  <c r="BD27" s="1"/>
  <c r="B27"/>
  <c r="I27"/>
  <c r="BM27" s="1"/>
  <c r="E27"/>
  <c r="BI27" s="1"/>
  <c r="H27"/>
  <c r="BF27" s="1"/>
  <c r="D27"/>
  <c r="BE27" s="1"/>
  <c r="K27"/>
  <c r="BN27" s="1"/>
  <c r="Y31"/>
  <c r="BZ31" s="1"/>
  <c r="X31"/>
  <c r="BY31" s="1"/>
  <c r="O31"/>
  <c r="BS31" s="1"/>
  <c r="V31"/>
  <c r="BW31" s="1"/>
  <c r="R31"/>
  <c r="BO31" s="1"/>
  <c r="N31"/>
  <c r="BP31" s="1"/>
  <c r="U31"/>
  <c r="BV31" s="1"/>
  <c r="Q31"/>
  <c r="BT31" s="1"/>
  <c r="P31"/>
  <c r="BQ31" s="1"/>
  <c r="L31"/>
  <c r="BN31" s="1"/>
  <c r="I31"/>
  <c r="BI31" s="1"/>
  <c r="E31"/>
  <c r="BC31" s="1"/>
  <c r="K31"/>
  <c r="BK31" s="1"/>
  <c r="H31"/>
  <c r="BJ31" s="1"/>
  <c r="C31"/>
  <c r="BD31" s="1"/>
  <c r="J31"/>
  <c r="BL31" s="1"/>
  <c r="F31"/>
  <c r="BH31" s="1"/>
  <c r="B31"/>
  <c r="Y35"/>
  <c r="BW35" s="1"/>
  <c r="X35"/>
  <c r="BU35" s="1"/>
  <c r="M35"/>
  <c r="BI35" s="1"/>
  <c r="T35"/>
  <c r="BV35" s="1"/>
  <c r="P35"/>
  <c r="BS35" s="1"/>
  <c r="W35"/>
  <c r="BZ35" s="1"/>
  <c r="S35"/>
  <c r="BR35" s="1"/>
  <c r="O35"/>
  <c r="BQ35" s="1"/>
  <c r="N35"/>
  <c r="BT35" s="1"/>
  <c r="L35"/>
  <c r="BK35" s="1"/>
  <c r="G35"/>
  <c r="BD35" s="1"/>
  <c r="C35"/>
  <c r="BH35" s="1"/>
  <c r="J35"/>
  <c r="BM35" s="1"/>
  <c r="F35"/>
  <c r="BF35" s="1"/>
  <c r="E35"/>
  <c r="BG35" s="1"/>
  <c r="K35"/>
  <c r="BN35" s="1"/>
  <c r="H35"/>
  <c r="BJ35" s="1"/>
  <c r="D35"/>
  <c r="BL35" s="1"/>
  <c r="Y39"/>
  <c r="BO39" s="1"/>
  <c r="W39"/>
  <c r="BZ39" s="1"/>
  <c r="V39"/>
  <c r="BP39" s="1"/>
  <c r="R39"/>
  <c r="BT39" s="1"/>
  <c r="N39"/>
  <c r="BX39" s="1"/>
  <c r="X39"/>
  <c r="BU39" s="1"/>
  <c r="U39"/>
  <c r="BW39" s="1"/>
  <c r="Q39"/>
  <c r="BY39" s="1"/>
  <c r="P39"/>
  <c r="BQ39" s="1"/>
  <c r="L39"/>
  <c r="BI39" s="1"/>
  <c r="I39"/>
  <c r="BG39" s="1"/>
  <c r="E39"/>
  <c r="BE39" s="1"/>
  <c r="K39"/>
  <c r="BD39" s="1"/>
  <c r="H39"/>
  <c r="BK39" s="1"/>
  <c r="C39"/>
  <c r="BL39" s="1"/>
  <c r="J39"/>
  <c r="BN39" s="1"/>
  <c r="F39"/>
  <c r="BJ39" s="1"/>
  <c r="B39"/>
  <c r="Y43"/>
  <c r="BU43" s="1"/>
  <c r="X43"/>
  <c r="BS43" s="1"/>
  <c r="M43"/>
  <c r="BG43" s="1"/>
  <c r="T43"/>
  <c r="BT43" s="1"/>
  <c r="P43"/>
  <c r="BR43" s="1"/>
  <c r="W43"/>
  <c r="BP43" s="1"/>
  <c r="S43"/>
  <c r="BZ43" s="1"/>
  <c r="O43"/>
  <c r="BV43" s="1"/>
  <c r="N43"/>
  <c r="BY43" s="1"/>
  <c r="G43"/>
  <c r="BL43" s="1"/>
  <c r="C43"/>
  <c r="BM43" s="1"/>
  <c r="J43"/>
  <c r="BC43" s="1"/>
  <c r="F43"/>
  <c r="BN43" s="1"/>
  <c r="B43"/>
  <c r="K43"/>
  <c r="BD43" s="1"/>
  <c r="L43"/>
  <c r="BI43" s="1"/>
  <c r="H43"/>
  <c r="BH43" s="1"/>
  <c r="D43"/>
  <c r="BK43" s="1"/>
  <c r="Y47"/>
  <c r="BQ47" s="1"/>
  <c r="X47"/>
  <c r="BP47" s="1"/>
  <c r="W47"/>
  <c r="BS47" s="1"/>
  <c r="S47"/>
  <c r="BX47" s="1"/>
  <c r="O47"/>
  <c r="BZ47" s="1"/>
  <c r="V47"/>
  <c r="BR47" s="1"/>
  <c r="R47"/>
  <c r="BV47" s="1"/>
  <c r="N47"/>
  <c r="BW47" s="1"/>
  <c r="U47"/>
  <c r="BU47" s="1"/>
  <c r="Q47"/>
  <c r="BO47" s="1"/>
  <c r="M47"/>
  <c r="BD47" s="1"/>
  <c r="T47"/>
  <c r="BT47" s="1"/>
  <c r="P47"/>
  <c r="BY47" s="1"/>
  <c r="L47"/>
  <c r="BE47" s="1"/>
  <c r="K47"/>
  <c r="BF47" s="1"/>
  <c r="I47"/>
  <c r="BH47" s="1"/>
  <c r="E47"/>
  <c r="BJ47" s="1"/>
  <c r="H47"/>
  <c r="BI47" s="1"/>
  <c r="D47"/>
  <c r="BM47" s="1"/>
  <c r="G47"/>
  <c r="BL47" s="1"/>
  <c r="C47"/>
  <c r="BK47" s="1"/>
  <c r="J47"/>
  <c r="BG47" s="1"/>
  <c r="F47"/>
  <c r="BC47" s="1"/>
  <c r="B47"/>
  <c r="Y51"/>
  <c r="BR51" s="1"/>
  <c r="X51"/>
  <c r="BT51" s="1"/>
  <c r="U51"/>
  <c r="BQ51" s="1"/>
  <c r="Q51"/>
  <c r="BU51" s="1"/>
  <c r="M51"/>
  <c r="BH51" s="1"/>
  <c r="T51"/>
  <c r="BX51" s="1"/>
  <c r="P51"/>
  <c r="BY51" s="1"/>
  <c r="W51"/>
  <c r="BP51" s="1"/>
  <c r="S51"/>
  <c r="BS51" s="1"/>
  <c r="O51"/>
  <c r="BW51" s="1"/>
  <c r="V51"/>
  <c r="BV51" s="1"/>
  <c r="R51"/>
  <c r="BZ51" s="1"/>
  <c r="N51"/>
  <c r="BO51" s="1"/>
  <c r="G51"/>
  <c r="BN51" s="1"/>
  <c r="C51"/>
  <c r="BK51" s="1"/>
  <c r="J51"/>
  <c r="BD51" s="1"/>
  <c r="F51"/>
  <c r="BG51" s="1"/>
  <c r="B51"/>
  <c r="L51"/>
  <c r="BF51" s="1"/>
  <c r="K51"/>
  <c r="BJ51" s="1"/>
  <c r="I51"/>
  <c r="BL51" s="1"/>
  <c r="E51"/>
  <c r="BM51" s="1"/>
  <c r="H51"/>
  <c r="BE51" s="1"/>
  <c r="D51"/>
  <c r="BI51" s="1"/>
  <c r="Y55"/>
  <c r="BV55" s="1"/>
  <c r="W55"/>
  <c r="BT55" s="1"/>
  <c r="S55"/>
  <c r="BQ55" s="1"/>
  <c r="O55"/>
  <c r="BW55" s="1"/>
  <c r="V55"/>
  <c r="BZ55" s="1"/>
  <c r="R55"/>
  <c r="BO55" s="1"/>
  <c r="N55"/>
  <c r="BS55" s="1"/>
  <c r="X55"/>
  <c r="BX55" s="1"/>
  <c r="U55"/>
  <c r="BR55" s="1"/>
  <c r="Q55"/>
  <c r="BP55" s="1"/>
  <c r="M55"/>
  <c r="BL55" s="1"/>
  <c r="T55"/>
  <c r="BY55" s="1"/>
  <c r="P55"/>
  <c r="BU55" s="1"/>
  <c r="L55"/>
  <c r="BJ55" s="1"/>
  <c r="I55"/>
  <c r="BM55" s="1"/>
  <c r="E55"/>
  <c r="BC55" s="1"/>
  <c r="H55"/>
  <c r="BF55" s="1"/>
  <c r="D55"/>
  <c r="BI55" s="1"/>
  <c r="G55"/>
  <c r="BE55" s="1"/>
  <c r="C55"/>
  <c r="BG55" s="1"/>
  <c r="J55"/>
  <c r="BH55" s="1"/>
  <c r="F55"/>
  <c r="BD55" s="1"/>
  <c r="K55"/>
  <c r="BN55" s="1"/>
  <c r="B55"/>
  <c r="Y59"/>
  <c r="BZ59" s="1"/>
  <c r="X59"/>
  <c r="BY59" s="1"/>
  <c r="U59"/>
  <c r="BX59" s="1"/>
  <c r="Q59"/>
  <c r="BT59" s="1"/>
  <c r="M59"/>
  <c r="BM59" s="1"/>
  <c r="T59"/>
  <c r="BR59" s="1"/>
  <c r="P59"/>
  <c r="BW59" s="1"/>
  <c r="W59"/>
  <c r="BV59" s="1"/>
  <c r="S59"/>
  <c r="BQ59" s="1"/>
  <c r="O59"/>
  <c r="BU59" s="1"/>
  <c r="V59"/>
  <c r="BO59" s="1"/>
  <c r="R59"/>
  <c r="BS59" s="1"/>
  <c r="N59"/>
  <c r="BP59" s="1"/>
  <c r="G59"/>
  <c r="BG59" s="1"/>
  <c r="C59"/>
  <c r="BD59" s="1"/>
  <c r="L59"/>
  <c r="BN59" s="1"/>
  <c r="J59"/>
  <c r="BL59" s="1"/>
  <c r="F59"/>
  <c r="BE59" s="1"/>
  <c r="K59"/>
  <c r="BJ59" s="1"/>
  <c r="B59"/>
  <c r="I59"/>
  <c r="BC59" s="1"/>
  <c r="E59"/>
  <c r="BK59" s="1"/>
  <c r="H59"/>
  <c r="BF59" s="1"/>
  <c r="D59"/>
  <c r="BH59" s="1"/>
  <c r="Y63"/>
  <c r="BO63" s="1"/>
  <c r="W63"/>
  <c r="BV63" s="1"/>
  <c r="S63"/>
  <c r="BR63" s="1"/>
  <c r="O63"/>
  <c r="BQ63" s="1"/>
  <c r="V63"/>
  <c r="BS63" s="1"/>
  <c r="R63"/>
  <c r="BP63" s="1"/>
  <c r="N63"/>
  <c r="BT63" s="1"/>
  <c r="U63"/>
  <c r="BZ63" s="1"/>
  <c r="Q63"/>
  <c r="BX63" s="1"/>
  <c r="M63"/>
  <c r="BC63" s="1"/>
  <c r="X63"/>
  <c r="BY63" s="1"/>
  <c r="T63"/>
  <c r="BW63" s="1"/>
  <c r="P63"/>
  <c r="BU63" s="1"/>
  <c r="L63"/>
  <c r="BM63" s="1"/>
  <c r="I63"/>
  <c r="BK63" s="1"/>
  <c r="E63"/>
  <c r="BI63" s="1"/>
  <c r="H63"/>
  <c r="BN63" s="1"/>
  <c r="D63"/>
  <c r="BL63" s="1"/>
  <c r="G63"/>
  <c r="BD63" s="1"/>
  <c r="C63"/>
  <c r="BH63" s="1"/>
  <c r="K63"/>
  <c r="BG63" s="1"/>
  <c r="J63"/>
  <c r="BJ63" s="1"/>
  <c r="F63"/>
  <c r="BF63" s="1"/>
  <c r="B63"/>
  <c r="Y67"/>
  <c r="BY67" s="1"/>
  <c r="X67"/>
  <c r="BW67" s="1"/>
  <c r="U67"/>
  <c r="BO67" s="1"/>
  <c r="Q67"/>
  <c r="BZ67" s="1"/>
  <c r="M67"/>
  <c r="BK67" s="1"/>
  <c r="T67"/>
  <c r="BP67" s="1"/>
  <c r="P67"/>
  <c r="BQ67" s="1"/>
  <c r="W67"/>
  <c r="BS67" s="1"/>
  <c r="S67"/>
  <c r="BV67" s="1"/>
  <c r="O67"/>
  <c r="BR67" s="1"/>
  <c r="V67"/>
  <c r="BU67" s="1"/>
  <c r="R67"/>
  <c r="BT67" s="1"/>
  <c r="N67"/>
  <c r="BX67" s="1"/>
  <c r="L67"/>
  <c r="BM67" s="1"/>
  <c r="G67"/>
  <c r="BH67" s="1"/>
  <c r="C67"/>
  <c r="BL67" s="1"/>
  <c r="K67"/>
  <c r="BG67" s="1"/>
  <c r="J67"/>
  <c r="BC67" s="1"/>
  <c r="F67"/>
  <c r="BJ67" s="1"/>
  <c r="B67"/>
  <c r="I67"/>
  <c r="BI67" s="1"/>
  <c r="E67"/>
  <c r="BE67" s="1"/>
  <c r="H67"/>
  <c r="BD67" s="1"/>
  <c r="D67"/>
  <c r="BN67" s="1"/>
  <c r="Y71"/>
  <c r="BU71" s="1"/>
  <c r="W71"/>
  <c r="BW71" s="1"/>
  <c r="S71"/>
  <c r="BT71" s="1"/>
  <c r="O71"/>
  <c r="BV71" s="1"/>
  <c r="X71"/>
  <c r="BS71" s="1"/>
  <c r="V71"/>
  <c r="BQ71" s="1"/>
  <c r="R71"/>
  <c r="BR71" s="1"/>
  <c r="N71"/>
  <c r="BZ71" s="1"/>
  <c r="U71"/>
  <c r="BY71" s="1"/>
  <c r="Q71"/>
  <c r="BO71" s="1"/>
  <c r="M71"/>
  <c r="BG71" s="1"/>
  <c r="T71"/>
  <c r="BP71" s="1"/>
  <c r="P71"/>
  <c r="BX71" s="1"/>
  <c r="L71"/>
  <c r="BI71" s="1"/>
  <c r="I71"/>
  <c r="BD71" s="1"/>
  <c r="E71"/>
  <c r="BF71" s="1"/>
  <c r="H71"/>
  <c r="BM71" s="1"/>
  <c r="D71"/>
  <c r="BL71" s="1"/>
  <c r="G71"/>
  <c r="BH71" s="1"/>
  <c r="C71"/>
  <c r="BN71" s="1"/>
  <c r="K71"/>
  <c r="BE71" s="1"/>
  <c r="J71"/>
  <c r="BK71" s="1"/>
  <c r="F71"/>
  <c r="BC71" s="1"/>
  <c r="B71"/>
  <c r="Y75"/>
  <c r="BQ75" s="1"/>
  <c r="X75"/>
  <c r="BP75" s="1"/>
  <c r="U75"/>
  <c r="BU75" s="1"/>
  <c r="Q75"/>
  <c r="BY75" s="1"/>
  <c r="M75"/>
  <c r="BD75" s="1"/>
  <c r="T75"/>
  <c r="BT75" s="1"/>
  <c r="P75"/>
  <c r="BX75" s="1"/>
  <c r="W75"/>
  <c r="BS75" s="1"/>
  <c r="S75"/>
  <c r="BW75" s="1"/>
  <c r="O75"/>
  <c r="BZ75" s="1"/>
  <c r="V75"/>
  <c r="BR75" s="1"/>
  <c r="R75"/>
  <c r="BV75" s="1"/>
  <c r="N75"/>
  <c r="BO75" s="1"/>
  <c r="G75"/>
  <c r="BJ75" s="1"/>
  <c r="C75"/>
  <c r="BN75" s="1"/>
  <c r="K75"/>
  <c r="BF75" s="1"/>
  <c r="J75"/>
  <c r="BG75" s="1"/>
  <c r="F75"/>
  <c r="BK75" s="1"/>
  <c r="B75"/>
  <c r="I75"/>
  <c r="BH75" s="1"/>
  <c r="E75"/>
  <c r="BL75" s="1"/>
  <c r="L75"/>
  <c r="BE75" s="1"/>
  <c r="H75"/>
  <c r="BI75" s="1"/>
  <c r="D75"/>
  <c r="BM75" s="1"/>
  <c r="Y79"/>
  <c r="BR79" s="1"/>
  <c r="W79"/>
  <c r="BP79" s="1"/>
  <c r="S79"/>
  <c r="BU79" s="1"/>
  <c r="O79"/>
  <c r="BZ79" s="1"/>
  <c r="V79"/>
  <c r="BV79" s="1"/>
  <c r="R79"/>
  <c r="BO79" s="1"/>
  <c r="N79"/>
  <c r="BW79" s="1"/>
  <c r="X79"/>
  <c r="BT79" s="1"/>
  <c r="U79"/>
  <c r="BQ79" s="1"/>
  <c r="Q79"/>
  <c r="BS79" s="1"/>
  <c r="M79"/>
  <c r="BH79" s="1"/>
  <c r="T79"/>
  <c r="BX79" s="1"/>
  <c r="P79"/>
  <c r="BY79" s="1"/>
  <c r="L79"/>
  <c r="BF79" s="1"/>
  <c r="I79"/>
  <c r="BL79" s="1"/>
  <c r="E79"/>
  <c r="BC79" s="1"/>
  <c r="H79"/>
  <c r="BE79" s="1"/>
  <c r="D79"/>
  <c r="BM79" s="1"/>
  <c r="K79"/>
  <c r="BJ79" s="1"/>
  <c r="G79"/>
  <c r="BI79" s="1"/>
  <c r="C79"/>
  <c r="BK79" s="1"/>
  <c r="J79"/>
  <c r="BD79" s="1"/>
  <c r="F79"/>
  <c r="BG79" s="1"/>
  <c r="B79"/>
  <c r="Y83"/>
  <c r="BV83" s="1"/>
  <c r="X83"/>
  <c r="BX83" s="1"/>
  <c r="U83"/>
  <c r="BT83" s="1"/>
  <c r="Q83"/>
  <c r="BP83" s="1"/>
  <c r="M83"/>
  <c r="BL83" s="1"/>
  <c r="W83"/>
  <c r="BR83" s="1"/>
  <c r="T83"/>
  <c r="BQ83" s="1"/>
  <c r="P83"/>
  <c r="BZ83" s="1"/>
  <c r="S83"/>
  <c r="BU83" s="1"/>
  <c r="O83"/>
  <c r="BY83" s="1"/>
  <c r="V83"/>
  <c r="BO83" s="1"/>
  <c r="R83"/>
  <c r="BW83" s="1"/>
  <c r="N83"/>
  <c r="BS83" s="1"/>
  <c r="K83"/>
  <c r="BF83" s="1"/>
  <c r="G83"/>
  <c r="BK83" s="1"/>
  <c r="C83"/>
  <c r="BG83" s="1"/>
  <c r="J83"/>
  <c r="BH83" s="1"/>
  <c r="F83"/>
  <c r="BI83" s="1"/>
  <c r="B83"/>
  <c r="L83"/>
  <c r="BJ83" s="1"/>
  <c r="I83"/>
  <c r="BC83" s="1"/>
  <c r="E83"/>
  <c r="BN83" s="1"/>
  <c r="H83"/>
  <c r="BE83" s="1"/>
  <c r="D83"/>
  <c r="BD83" s="1"/>
  <c r="Y87"/>
  <c r="BO87" s="1"/>
  <c r="X87"/>
  <c r="BX87" s="1"/>
  <c r="S87"/>
  <c r="BQ87" s="1"/>
  <c r="O87"/>
  <c r="BU87" s="1"/>
  <c r="V87"/>
  <c r="BW87" s="1"/>
  <c r="R87"/>
  <c r="BS87" s="1"/>
  <c r="N87"/>
  <c r="BP87" s="1"/>
  <c r="U87"/>
  <c r="BV87" s="1"/>
  <c r="Q87"/>
  <c r="BT87" s="1"/>
  <c r="M87"/>
  <c r="BC87" s="1"/>
  <c r="W87"/>
  <c r="BR87" s="1"/>
  <c r="T87"/>
  <c r="BZ87" s="1"/>
  <c r="P87"/>
  <c r="BY87" s="1"/>
  <c r="L87"/>
  <c r="BL87" s="1"/>
  <c r="I87"/>
  <c r="BN87" s="1"/>
  <c r="E87"/>
  <c r="BM87" s="1"/>
  <c r="H87"/>
  <c r="BJ87" s="1"/>
  <c r="D87"/>
  <c r="BH87" s="1"/>
  <c r="K87"/>
  <c r="BK87" s="1"/>
  <c r="G87"/>
  <c r="BG87" s="1"/>
  <c r="C87"/>
  <c r="BD87" s="1"/>
  <c r="J87"/>
  <c r="BF87" s="1"/>
  <c r="F87"/>
  <c r="BE87" s="1"/>
  <c r="B87"/>
  <c r="Y91"/>
  <c r="BX91" s="1"/>
  <c r="X91"/>
  <c r="BZ91" s="1"/>
  <c r="W91"/>
  <c r="BW91" s="1"/>
  <c r="U91"/>
  <c r="BO91" s="1"/>
  <c r="Q91"/>
  <c r="BV91" s="1"/>
  <c r="M91"/>
  <c r="BN91" s="1"/>
  <c r="T91"/>
  <c r="BS91" s="1"/>
  <c r="P91"/>
  <c r="BU91" s="1"/>
  <c r="S91"/>
  <c r="BR91" s="1"/>
  <c r="O91"/>
  <c r="BQ91" s="1"/>
  <c r="V91"/>
  <c r="BY91" s="1"/>
  <c r="R91"/>
  <c r="BP91" s="1"/>
  <c r="N91"/>
  <c r="BT91" s="1"/>
  <c r="G91"/>
  <c r="BD91" s="1"/>
  <c r="C91"/>
  <c r="BH91" s="1"/>
  <c r="L91"/>
  <c r="BL91" s="1"/>
  <c r="J91"/>
  <c r="BC91" s="1"/>
  <c r="F91"/>
  <c r="BF91" s="1"/>
  <c r="B91"/>
  <c r="I91"/>
  <c r="BM91" s="1"/>
  <c r="E91"/>
  <c r="BI91" s="1"/>
  <c r="H91"/>
  <c r="BG91" s="1"/>
  <c r="D91"/>
  <c r="BJ91" s="1"/>
  <c r="K91"/>
  <c r="BK91" s="1"/>
  <c r="Y95"/>
  <c r="BY95" s="1"/>
  <c r="S95"/>
  <c r="BP95" s="1"/>
  <c r="O95"/>
  <c r="BR95" s="1"/>
  <c r="X95"/>
  <c r="BW95" s="1"/>
  <c r="V95"/>
  <c r="BU95" s="1"/>
  <c r="R95"/>
  <c r="BQ95" s="1"/>
  <c r="N95"/>
  <c r="BV95" s="1"/>
  <c r="W95"/>
  <c r="BZ95" s="1"/>
  <c r="U95"/>
  <c r="BX95" s="1"/>
  <c r="Q95"/>
  <c r="BO95" s="1"/>
  <c r="M95"/>
  <c r="BK95" s="1"/>
  <c r="T95"/>
  <c r="BS95" s="1"/>
  <c r="P95"/>
  <c r="BT95" s="1"/>
  <c r="L95"/>
  <c r="BM95" s="1"/>
  <c r="I95"/>
  <c r="BG95" s="1"/>
  <c r="E95"/>
  <c r="BE95" s="1"/>
  <c r="K95"/>
  <c r="BI95" s="1"/>
  <c r="H95"/>
  <c r="BL95" s="1"/>
  <c r="D95"/>
  <c r="BH95" s="1"/>
  <c r="G95"/>
  <c r="BD95" s="1"/>
  <c r="C95"/>
  <c r="BJ95" s="1"/>
  <c r="J95"/>
  <c r="BN95" s="1"/>
  <c r="F95"/>
  <c r="BC95" s="1"/>
  <c r="B95"/>
  <c r="Y99"/>
  <c r="BU99" s="1"/>
  <c r="X99"/>
  <c r="BS99" s="1"/>
  <c r="W99"/>
  <c r="BW99" s="1"/>
  <c r="U99"/>
  <c r="BY99" s="1"/>
  <c r="Q99"/>
  <c r="BX99" s="1"/>
  <c r="M99"/>
  <c r="BG99" s="1"/>
  <c r="T99"/>
  <c r="BP99" s="1"/>
  <c r="P99"/>
  <c r="BT99" s="1"/>
  <c r="S99"/>
  <c r="BZ99" s="1"/>
  <c r="O99"/>
  <c r="BV99" s="1"/>
  <c r="V99"/>
  <c r="BQ99" s="1"/>
  <c r="R99"/>
  <c r="BR99" s="1"/>
  <c r="N99"/>
  <c r="BO99" s="1"/>
  <c r="L99"/>
  <c r="BI99" s="1"/>
  <c r="G99"/>
  <c r="BF99" s="1"/>
  <c r="C99"/>
  <c r="BJ99" s="1"/>
  <c r="J99"/>
  <c r="BK99" s="1"/>
  <c r="F99"/>
  <c r="BN99" s="1"/>
  <c r="B99"/>
  <c r="I99"/>
  <c r="BD99" s="1"/>
  <c r="E99"/>
  <c r="BH99" s="1"/>
  <c r="K99"/>
  <c r="BE99" s="1"/>
  <c r="H99"/>
  <c r="BM99" s="1"/>
  <c r="D99"/>
  <c r="BL99" s="1"/>
  <c r="Y103"/>
  <c r="BQ103" s="1"/>
  <c r="W103"/>
  <c r="BS103" s="1"/>
  <c r="S103"/>
  <c r="BY103" s="1"/>
  <c r="O103"/>
  <c r="BV103" s="1"/>
  <c r="V103"/>
  <c r="BR103" s="1"/>
  <c r="R103"/>
  <c r="BO103" s="1"/>
  <c r="N103"/>
  <c r="BZ103" s="1"/>
  <c r="U103"/>
  <c r="BU103" s="1"/>
  <c r="Q103"/>
  <c r="BW103" s="1"/>
  <c r="M103"/>
  <c r="BD103" s="1"/>
  <c r="X103"/>
  <c r="BP103" s="1"/>
  <c r="T103"/>
  <c r="BT103" s="1"/>
  <c r="P103"/>
  <c r="BX103" s="1"/>
  <c r="L103"/>
  <c r="BE103" s="1"/>
  <c r="I103"/>
  <c r="BH103" s="1"/>
  <c r="E103"/>
  <c r="BC103" s="1"/>
  <c r="K103"/>
  <c r="BF103" s="1"/>
  <c r="H103"/>
  <c r="BI103" s="1"/>
  <c r="D103"/>
  <c r="BL103" s="1"/>
  <c r="G103"/>
  <c r="BM103" s="1"/>
  <c r="C103"/>
  <c r="BN103" s="1"/>
  <c r="J103"/>
  <c r="BG103" s="1"/>
  <c r="F103"/>
  <c r="BK103" s="1"/>
  <c r="B103"/>
  <c r="Y107"/>
  <c r="BR107" s="1"/>
  <c r="X107"/>
  <c r="BT107" s="1"/>
  <c r="W107"/>
  <c r="BQ107" s="1"/>
  <c r="U107"/>
  <c r="BP107" s="1"/>
  <c r="Q107"/>
  <c r="BS107" s="1"/>
  <c r="M107"/>
  <c r="BH107" s="1"/>
  <c r="T107"/>
  <c r="BU107" s="1"/>
  <c r="P107"/>
  <c r="BV107" s="1"/>
  <c r="L107"/>
  <c r="BF107" s="1"/>
  <c r="S107"/>
  <c r="BY107" s="1"/>
  <c r="O107"/>
  <c r="BX107" s="1"/>
  <c r="V107"/>
  <c r="BO107" s="1"/>
  <c r="R107"/>
  <c r="BZ107" s="1"/>
  <c r="N107"/>
  <c r="BW107" s="1"/>
  <c r="J107"/>
  <c r="BD107" s="1"/>
  <c r="G107"/>
  <c r="BN107" s="1"/>
  <c r="C107"/>
  <c r="BK107" s="1"/>
  <c r="F107"/>
  <c r="BM107" s="1"/>
  <c r="B107"/>
  <c r="I107"/>
  <c r="BC107" s="1"/>
  <c r="E107"/>
  <c r="BJ107" s="1"/>
  <c r="K107"/>
  <c r="BE107" s="1"/>
  <c r="H107"/>
  <c r="BI107" s="1"/>
  <c r="D107"/>
  <c r="BG107" s="1"/>
  <c r="Y111"/>
  <c r="BO111" s="1"/>
  <c r="X111"/>
  <c r="BT111" s="1"/>
  <c r="S111"/>
  <c r="BU111" s="1"/>
  <c r="O111"/>
  <c r="BY111" s="1"/>
  <c r="V111"/>
  <c r="BZ111" s="1"/>
  <c r="R111"/>
  <c r="BW111" s="1"/>
  <c r="N111"/>
  <c r="BS111" s="1"/>
  <c r="U111"/>
  <c r="BR111" s="1"/>
  <c r="Q111"/>
  <c r="BP111" s="1"/>
  <c r="M111"/>
  <c r="BC111" s="1"/>
  <c r="W111"/>
  <c r="BQ111" s="1"/>
  <c r="T111"/>
  <c r="BV111" s="1"/>
  <c r="P111"/>
  <c r="BX111" s="1"/>
  <c r="L111"/>
  <c r="BH111" s="1"/>
  <c r="K111"/>
  <c r="BN111" s="1"/>
  <c r="I111"/>
  <c r="BJ111" s="1"/>
  <c r="E111"/>
  <c r="BL111" s="1"/>
  <c r="H111"/>
  <c r="BF111" s="1"/>
  <c r="D111"/>
  <c r="BD111" s="1"/>
  <c r="G111"/>
  <c r="BK111" s="1"/>
  <c r="C111"/>
  <c r="BG111" s="1"/>
  <c r="J111"/>
  <c r="BE111" s="1"/>
  <c r="F111"/>
  <c r="BI111" s="1"/>
  <c r="B111"/>
  <c r="Y115"/>
  <c r="BV115" s="1"/>
  <c r="X115"/>
  <c r="BT115" s="1"/>
  <c r="W115"/>
  <c r="BZ115" s="1"/>
  <c r="U115"/>
  <c r="BO115" s="1"/>
  <c r="Q115"/>
  <c r="BR115" s="1"/>
  <c r="M115"/>
  <c r="BJ115" s="1"/>
  <c r="T115"/>
  <c r="BW115" s="1"/>
  <c r="P115"/>
  <c r="BY115" s="1"/>
  <c r="L115"/>
  <c r="BH115" s="1"/>
  <c r="S115"/>
  <c r="BQ115" s="1"/>
  <c r="O115"/>
  <c r="BU115" s="1"/>
  <c r="K115"/>
  <c r="BN115" s="1"/>
  <c r="V115"/>
  <c r="BX115" s="1"/>
  <c r="R115"/>
  <c r="BS115" s="1"/>
  <c r="N115"/>
  <c r="BP115" s="1"/>
  <c r="J115"/>
  <c r="BC115" s="1"/>
  <c r="G115"/>
  <c r="BG115" s="1"/>
  <c r="C115"/>
  <c r="BD115" s="1"/>
  <c r="F115"/>
  <c r="BE115" s="1"/>
  <c r="B115"/>
  <c r="I115"/>
  <c r="BL115" s="1"/>
  <c r="E115"/>
  <c r="BM115" s="1"/>
  <c r="H115"/>
  <c r="BK115" s="1"/>
  <c r="D115"/>
  <c r="BF115" s="1"/>
  <c r="Y119"/>
  <c r="BX119" s="1"/>
  <c r="S119"/>
  <c r="BS119" s="1"/>
  <c r="O119"/>
  <c r="BQ119" s="1"/>
  <c r="W119"/>
  <c r="BV119" s="1"/>
  <c r="V119"/>
  <c r="BY119" s="1"/>
  <c r="R119"/>
  <c r="BU119" s="1"/>
  <c r="N119"/>
  <c r="BR119" s="1"/>
  <c r="X119"/>
  <c r="BZ119" s="1"/>
  <c r="U119"/>
  <c r="BT119" s="1"/>
  <c r="Q119"/>
  <c r="BO119" s="1"/>
  <c r="M119"/>
  <c r="BN119" s="1"/>
  <c r="T119"/>
  <c r="BW119" s="1"/>
  <c r="P119"/>
  <c r="BP119" s="1"/>
  <c r="L119"/>
  <c r="BL119" s="1"/>
  <c r="I119"/>
  <c r="BK119" s="1"/>
  <c r="E119"/>
  <c r="BI119" s="1"/>
  <c r="H119"/>
  <c r="BH119" s="1"/>
  <c r="D119"/>
  <c r="BD119" s="1"/>
  <c r="J119"/>
  <c r="BJ119" s="1"/>
  <c r="G119"/>
  <c r="BG119" s="1"/>
  <c r="C119"/>
  <c r="BF119" s="1"/>
  <c r="K119"/>
  <c r="BM119" s="1"/>
  <c r="F119"/>
  <c r="BC119" s="1"/>
  <c r="B119"/>
  <c r="Y123"/>
  <c r="BY123" s="1"/>
  <c r="X123"/>
  <c r="BW123" s="1"/>
  <c r="W123"/>
  <c r="BZ123" s="1"/>
  <c r="U123"/>
  <c r="BX123" s="1"/>
  <c r="Q123"/>
  <c r="BT123" s="1"/>
  <c r="M123"/>
  <c r="BK123" s="1"/>
  <c r="T123"/>
  <c r="BS123" s="1"/>
  <c r="P123"/>
  <c r="BP123" s="1"/>
  <c r="L123"/>
  <c r="BM123" s="1"/>
  <c r="S123"/>
  <c r="BV123" s="1"/>
  <c r="O123"/>
  <c r="BR123" s="1"/>
  <c r="K123"/>
  <c r="BI123" s="1"/>
  <c r="V123"/>
  <c r="BU123" s="1"/>
  <c r="R123"/>
  <c r="BQ123" s="1"/>
  <c r="N123"/>
  <c r="BO123" s="1"/>
  <c r="J123"/>
  <c r="BN123" s="1"/>
  <c r="G123"/>
  <c r="BE123" s="1"/>
  <c r="C123"/>
  <c r="BF123" s="1"/>
  <c r="F123"/>
  <c r="BJ123" s="1"/>
  <c r="B123"/>
  <c r="I123"/>
  <c r="BG123" s="1"/>
  <c r="E123"/>
  <c r="BD123" s="1"/>
  <c r="H123"/>
  <c r="BL123" s="1"/>
  <c r="D123"/>
  <c r="BH123" s="1"/>
  <c r="Y127"/>
  <c r="BU127" s="1"/>
  <c r="W127"/>
  <c r="BW127" s="1"/>
  <c r="S127"/>
  <c r="BX127" s="1"/>
  <c r="O127"/>
  <c r="BR127" s="1"/>
  <c r="V127"/>
  <c r="BQ127" s="1"/>
  <c r="R127"/>
  <c r="BO127" s="1"/>
  <c r="N127"/>
  <c r="BV127" s="1"/>
  <c r="U127"/>
  <c r="BY127" s="1"/>
  <c r="Q127"/>
  <c r="BZ127" s="1"/>
  <c r="M127"/>
  <c r="BG127" s="1"/>
  <c r="X127"/>
  <c r="BS127" s="1"/>
  <c r="T127"/>
  <c r="BP127" s="1"/>
  <c r="P127"/>
  <c r="BT127" s="1"/>
  <c r="L127"/>
  <c r="BI127" s="1"/>
  <c r="I127"/>
  <c r="BD127" s="1"/>
  <c r="E127"/>
  <c r="BC127" s="1"/>
  <c r="H127"/>
  <c r="BM127" s="1"/>
  <c r="D127"/>
  <c r="BH127" s="1"/>
  <c r="J127"/>
  <c r="BK127" s="1"/>
  <c r="K127"/>
  <c r="BE127" s="1"/>
  <c r="G127"/>
  <c r="BL127" s="1"/>
  <c r="C127"/>
  <c r="BJ127" s="1"/>
  <c r="F127"/>
  <c r="BN127" s="1"/>
  <c r="B127"/>
  <c r="Y131"/>
  <c r="BQ131" s="1"/>
  <c r="X131"/>
  <c r="BP131" s="1"/>
  <c r="W131"/>
  <c r="BU131" s="1"/>
  <c r="U131"/>
  <c r="BS131" s="1"/>
  <c r="Q131"/>
  <c r="BW131" s="1"/>
  <c r="M131"/>
  <c r="BD131" s="1"/>
  <c r="T131"/>
  <c r="BY131" s="1"/>
  <c r="P131"/>
  <c r="BR131" s="1"/>
  <c r="L131"/>
  <c r="BE131" s="1"/>
  <c r="S131"/>
  <c r="BX131" s="1"/>
  <c r="O131"/>
  <c r="BT131" s="1"/>
  <c r="K131"/>
  <c r="BI131" s="1"/>
  <c r="V131"/>
  <c r="BO131" s="1"/>
  <c r="R131"/>
  <c r="BV131" s="1"/>
  <c r="N131"/>
  <c r="BZ131" s="1"/>
  <c r="J131"/>
  <c r="BG131" s="1"/>
  <c r="G131"/>
  <c r="BJ131" s="1"/>
  <c r="C131"/>
  <c r="BN131" s="1"/>
  <c r="F131"/>
  <c r="BL131" s="1"/>
  <c r="B131"/>
  <c r="I131"/>
  <c r="BC131" s="1"/>
  <c r="E131"/>
  <c r="BF131" s="1"/>
  <c r="H131"/>
  <c r="BM131" s="1"/>
  <c r="D131"/>
  <c r="BK131" s="1"/>
  <c r="Y135"/>
  <c r="BO135" s="1"/>
  <c r="S135"/>
  <c r="BY135" s="1"/>
  <c r="O135"/>
  <c r="BX135" s="1"/>
  <c r="X135"/>
  <c r="BP135" s="1"/>
  <c r="V135"/>
  <c r="BV135" s="1"/>
  <c r="R135"/>
  <c r="BZ135" s="1"/>
  <c r="N135"/>
  <c r="BW135" s="1"/>
  <c r="W135"/>
  <c r="BU135" s="1"/>
  <c r="U135"/>
  <c r="BQ135" s="1"/>
  <c r="Q135"/>
  <c r="BS135" s="1"/>
  <c r="M135"/>
  <c r="BC135" s="1"/>
  <c r="T135"/>
  <c r="BR135" s="1"/>
  <c r="P135"/>
  <c r="BT135" s="1"/>
  <c r="L135"/>
  <c r="BD135" s="1"/>
  <c r="I135"/>
  <c r="BF135" s="1"/>
  <c r="E135"/>
  <c r="BH135" s="1"/>
  <c r="K135"/>
  <c r="BJ135" s="1"/>
  <c r="J135"/>
  <c r="BI135" s="1"/>
  <c r="H135"/>
  <c r="BE135" s="1"/>
  <c r="D135"/>
  <c r="BG135" s="1"/>
  <c r="G135"/>
  <c r="BN135" s="1"/>
  <c r="C135"/>
  <c r="BK135" s="1"/>
  <c r="F135"/>
  <c r="BM135" s="1"/>
  <c r="B135"/>
  <c r="Y139"/>
  <c r="BP139" s="1"/>
  <c r="X139"/>
  <c r="BR139" s="1"/>
  <c r="W139"/>
  <c r="BV139" s="1"/>
  <c r="U139"/>
  <c r="BO139" s="1"/>
  <c r="Q139"/>
  <c r="BQ139" s="1"/>
  <c r="M139"/>
  <c r="BF139" s="1"/>
  <c r="T139"/>
  <c r="BZ139" s="1"/>
  <c r="P139"/>
  <c r="BX139" s="1"/>
  <c r="L139"/>
  <c r="BD139" s="1"/>
  <c r="S139"/>
  <c r="BU139" s="1"/>
  <c r="O139"/>
  <c r="BY139" s="1"/>
  <c r="K139"/>
  <c r="BJ139" s="1"/>
  <c r="V139"/>
  <c r="BT139" s="1"/>
  <c r="R139"/>
  <c r="BW139" s="1"/>
  <c r="N139"/>
  <c r="BS139" s="1"/>
  <c r="J139"/>
  <c r="BC139" s="1"/>
  <c r="G139"/>
  <c r="BK139" s="1"/>
  <c r="C139"/>
  <c r="BG139" s="1"/>
  <c r="F139"/>
  <c r="BI139" s="1"/>
  <c r="B139"/>
  <c r="I139"/>
  <c r="BH139" s="1"/>
  <c r="E139"/>
  <c r="BL139" s="1"/>
  <c r="H139"/>
  <c r="BN139" s="1"/>
  <c r="D139"/>
  <c r="BE139" s="1"/>
  <c r="Y143"/>
  <c r="BT143" s="1"/>
  <c r="S143"/>
  <c r="BW143" s="1"/>
  <c r="O143"/>
  <c r="BU143" s="1"/>
  <c r="W143"/>
  <c r="BR143" s="1"/>
  <c r="V143"/>
  <c r="BX143" s="1"/>
  <c r="R143"/>
  <c r="BY143" s="1"/>
  <c r="N143"/>
  <c r="BQ143" s="1"/>
  <c r="X143"/>
  <c r="BV143" s="1"/>
  <c r="U143"/>
  <c r="BP143" s="1"/>
  <c r="Q143"/>
  <c r="BO143" s="1"/>
  <c r="M143"/>
  <c r="BJ143" s="1"/>
  <c r="T143"/>
  <c r="BZ143" s="1"/>
  <c r="P143"/>
  <c r="BS143" s="1"/>
  <c r="L143"/>
  <c r="BH143" s="1"/>
  <c r="K143"/>
  <c r="BL143" s="1"/>
  <c r="I143"/>
  <c r="BN143" s="1"/>
  <c r="E143"/>
  <c r="BM143" s="1"/>
  <c r="J143"/>
  <c r="BF143" s="1"/>
  <c r="H143"/>
  <c r="BD143" s="1"/>
  <c r="D143"/>
  <c r="BG143" s="1"/>
  <c r="G143"/>
  <c r="BK143" s="1"/>
  <c r="C143"/>
  <c r="BE143" s="1"/>
  <c r="F143"/>
  <c r="BC143" s="1"/>
  <c r="B143"/>
  <c r="Y147"/>
  <c r="BZ147" s="1"/>
  <c r="X147"/>
  <c r="BY147" s="1"/>
  <c r="W147"/>
  <c r="BX147" s="1"/>
  <c r="U147"/>
  <c r="BV147" s="1"/>
  <c r="Q147"/>
  <c r="BR147" s="1"/>
  <c r="M147"/>
  <c r="BN147" s="1"/>
  <c r="T147"/>
  <c r="BU147" s="1"/>
  <c r="P147"/>
  <c r="BQ147" s="1"/>
  <c r="L147"/>
  <c r="BL147" s="1"/>
  <c r="S147"/>
  <c r="BT147" s="1"/>
  <c r="O147"/>
  <c r="BP147" s="1"/>
  <c r="K147"/>
  <c r="BM147" s="1"/>
  <c r="V147"/>
  <c r="BW147" s="1"/>
  <c r="R147"/>
  <c r="BS147" s="1"/>
  <c r="N147"/>
  <c r="BO147" s="1"/>
  <c r="J147"/>
  <c r="BJ147" s="1"/>
  <c r="G147"/>
  <c r="BI147" s="1"/>
  <c r="C147"/>
  <c r="BE147" s="1"/>
  <c r="F147"/>
  <c r="BF147" s="1"/>
  <c r="B147"/>
  <c r="I147"/>
  <c r="BK147" s="1"/>
  <c r="E147"/>
  <c r="BG147" s="1"/>
  <c r="H147"/>
  <c r="BH147" s="1"/>
  <c r="D147"/>
  <c r="BD147" s="1"/>
  <c r="AD5" i="84"/>
  <c r="AD9"/>
  <c r="AE9" s="1"/>
  <c r="AD13"/>
  <c r="AE13" s="1"/>
  <c r="AD17"/>
  <c r="AE17" s="1"/>
  <c r="AD21"/>
  <c r="AD25"/>
  <c r="AE25" s="1"/>
  <c r="AD29"/>
  <c r="AE29" s="1"/>
  <c r="AD33"/>
  <c r="AE33" s="1"/>
  <c r="AD37"/>
  <c r="AE37" s="1"/>
  <c r="AD41"/>
  <c r="AE41" s="1"/>
  <c r="AD45"/>
  <c r="AE45" s="1"/>
  <c r="AD49"/>
  <c r="AE49" s="1"/>
  <c r="AD53"/>
  <c r="AD57"/>
  <c r="AE57" s="1"/>
  <c r="AD61"/>
  <c r="AE61" s="1"/>
  <c r="AD65"/>
  <c r="AE65" s="1"/>
  <c r="AD69"/>
  <c r="AE69" s="1"/>
  <c r="AD78"/>
  <c r="AD87"/>
  <c r="AE87" s="1"/>
  <c r="AD92"/>
  <c r="AE92" s="1"/>
  <c r="AD101"/>
  <c r="AE101" s="1"/>
  <c r="AD110"/>
  <c r="AD119"/>
  <c r="AE119" s="1"/>
  <c r="AD124"/>
  <c r="AE124" s="1"/>
  <c r="AD133"/>
  <c r="AE133" s="1"/>
  <c r="AD142"/>
  <c r="AE142" s="1"/>
  <c r="AO151"/>
  <c r="AO150"/>
  <c r="AX150"/>
  <c r="BE150"/>
  <c r="AQ151"/>
  <c r="AY151"/>
  <c r="BA151"/>
  <c r="BC151"/>
  <c r="CE135" i="85" l="1"/>
  <c r="CF135"/>
  <c r="CE111"/>
  <c r="CF111"/>
  <c r="CE87"/>
  <c r="CF87"/>
  <c r="CE63"/>
  <c r="CF63"/>
  <c r="AD151" i="87"/>
  <c r="AD150"/>
  <c r="AC76"/>
  <c r="AC128"/>
  <c r="AC70"/>
  <c r="AC38"/>
  <c r="AC135"/>
  <c r="AC127"/>
  <c r="AE104"/>
  <c r="AE72"/>
  <c r="AC71"/>
  <c r="AE40"/>
  <c r="AE66"/>
  <c r="AC137"/>
  <c r="AE114"/>
  <c r="AE131"/>
  <c r="AE107"/>
  <c r="AC98"/>
  <c r="AC92"/>
  <c r="AE59"/>
  <c r="AE27"/>
  <c r="AE140"/>
  <c r="AC115"/>
  <c r="AE108"/>
  <c r="AC83"/>
  <c r="AE76"/>
  <c r="AC51"/>
  <c r="AE44"/>
  <c r="AC19"/>
  <c r="AE13"/>
  <c r="AC28"/>
  <c r="AE21"/>
  <c r="AE134"/>
  <c r="AE102"/>
  <c r="CE143" i="85"/>
  <c r="CF143"/>
  <c r="CE119"/>
  <c r="CF119"/>
  <c r="CE95"/>
  <c r="CF95"/>
  <c r="CE71"/>
  <c r="CF71"/>
  <c r="CE47"/>
  <c r="CF47"/>
  <c r="AC136" i="87"/>
  <c r="AC94"/>
  <c r="AC88"/>
  <c r="AE136"/>
  <c r="AC32"/>
  <c r="AC145"/>
  <c r="AC105"/>
  <c r="AC65"/>
  <c r="AC122"/>
  <c r="AC116"/>
  <c r="AE67"/>
  <c r="AC50"/>
  <c r="AE35"/>
  <c r="AC18"/>
  <c r="AE84"/>
  <c r="AE142"/>
  <c r="AC125"/>
  <c r="AE110"/>
  <c r="AC85"/>
  <c r="AC21"/>
  <c r="CE83" i="85"/>
  <c r="CF83"/>
  <c r="CE67"/>
  <c r="CF67"/>
  <c r="CE59"/>
  <c r="CF59"/>
  <c r="CE19"/>
  <c r="CF19"/>
  <c r="AC140" i="87"/>
  <c r="AC118"/>
  <c r="AC112"/>
  <c r="AC46"/>
  <c r="AE31"/>
  <c r="AE112"/>
  <c r="AE48"/>
  <c r="AE17"/>
  <c r="AC5"/>
  <c r="AE130"/>
  <c r="AE98"/>
  <c r="AC81"/>
  <c r="AC73"/>
  <c r="AC25"/>
  <c r="AC17"/>
  <c r="AC6"/>
  <c r="AC100"/>
  <c r="AE91"/>
  <c r="AC82"/>
  <c r="AE116"/>
  <c r="AE52"/>
  <c r="AE20"/>
  <c r="AC44"/>
  <c r="AC36"/>
  <c r="AE29"/>
  <c r="AC13"/>
  <c r="AC117"/>
  <c r="AE118"/>
  <c r="AC45"/>
  <c r="AC29"/>
  <c r="CE139" i="85"/>
  <c r="CF139"/>
  <c r="CE115"/>
  <c r="CF115"/>
  <c r="CE107"/>
  <c r="CF107"/>
  <c r="CE91"/>
  <c r="CF91"/>
  <c r="CE27"/>
  <c r="CF27"/>
  <c r="AC144" i="87"/>
  <c r="AC134"/>
  <c r="AC96"/>
  <c r="AC78"/>
  <c r="AC15"/>
  <c r="AE145"/>
  <c r="AC87"/>
  <c r="AE80"/>
  <c r="AC79"/>
  <c r="AE24"/>
  <c r="AC23"/>
  <c r="AC10"/>
  <c r="AC11"/>
  <c r="AE57"/>
  <c r="AC40"/>
  <c r="AE25"/>
  <c r="AE138"/>
  <c r="AC121"/>
  <c r="AC113"/>
  <c r="AE106"/>
  <c r="AE12"/>
  <c r="AE115"/>
  <c r="AC106"/>
  <c r="AC58"/>
  <c r="AC26"/>
  <c r="AC8"/>
  <c r="AC93"/>
  <c r="AC37"/>
  <c r="AC14"/>
  <c r="AE9"/>
  <c r="AE50"/>
  <c r="CE131" i="85"/>
  <c r="CF131"/>
  <c r="CE99"/>
  <c r="CF99"/>
  <c r="CE75"/>
  <c r="CF75"/>
  <c r="CE51"/>
  <c r="CF51"/>
  <c r="AC60" i="87"/>
  <c r="AC138"/>
  <c r="AC120"/>
  <c r="AC102"/>
  <c r="AC54"/>
  <c r="AC22"/>
  <c r="AE144"/>
  <c r="AC119"/>
  <c r="AC111"/>
  <c r="AE88"/>
  <c r="AE56"/>
  <c r="AC55"/>
  <c r="AC47"/>
  <c r="AC89"/>
  <c r="AC33"/>
  <c r="AC130"/>
  <c r="AC124"/>
  <c r="AE99"/>
  <c r="AC147"/>
  <c r="AE124"/>
  <c r="AC123"/>
  <c r="AE92"/>
  <c r="AC91"/>
  <c r="AC67"/>
  <c r="AE60"/>
  <c r="AE36"/>
  <c r="AC35"/>
  <c r="AE28"/>
  <c r="AC20"/>
  <c r="AC133"/>
  <c r="AE74"/>
  <c r="CE127" i="85"/>
  <c r="CF127"/>
  <c r="CE103"/>
  <c r="CF103"/>
  <c r="CE79"/>
  <c r="CF79"/>
  <c r="CE55"/>
  <c r="CF55"/>
  <c r="AC72" i="87"/>
  <c r="AC64"/>
  <c r="AC142"/>
  <c r="AC126"/>
  <c r="AC80"/>
  <c r="AC16"/>
  <c r="AC143"/>
  <c r="AE120"/>
  <c r="AC48"/>
  <c r="AC7"/>
  <c r="AC108"/>
  <c r="AC90"/>
  <c r="AC84"/>
  <c r="AC66"/>
  <c r="AC34"/>
  <c r="AE132"/>
  <c r="AC131"/>
  <c r="AE100"/>
  <c r="AC99"/>
  <c r="AE68"/>
  <c r="AC59"/>
  <c r="AC27"/>
  <c r="AC52"/>
  <c r="AE54"/>
  <c r="AE126"/>
  <c r="AC109"/>
  <c r="AC101"/>
  <c r="AC69"/>
  <c r="AC61"/>
  <c r="AC53"/>
  <c r="AE82"/>
  <c r="CE147" i="85"/>
  <c r="CF147"/>
  <c r="CE123"/>
  <c r="CF123"/>
  <c r="AC68" i="87"/>
  <c r="AC146"/>
  <c r="AC4"/>
  <c r="AC86"/>
  <c r="AC62"/>
  <c r="AC30"/>
  <c r="AE96"/>
  <c r="AC95"/>
  <c r="AC31"/>
  <c r="AE70"/>
  <c r="AE146"/>
  <c r="AC57"/>
  <c r="AC41"/>
  <c r="AC12"/>
  <c r="AC132"/>
  <c r="AE123"/>
  <c r="AC114"/>
  <c r="AE8"/>
  <c r="AE37"/>
  <c r="AE86"/>
  <c r="AC141"/>
  <c r="AE94"/>
  <c r="AE15"/>
  <c r="AC110"/>
  <c r="AC104"/>
  <c r="AC9"/>
  <c r="AE62"/>
  <c r="AE128"/>
  <c r="AC103"/>
  <c r="AE64"/>
  <c r="AC63"/>
  <c r="AC39"/>
  <c r="AE32"/>
  <c r="AE34"/>
  <c r="AC56"/>
  <c r="AE41"/>
  <c r="AC24"/>
  <c r="AC129"/>
  <c r="AE122"/>
  <c r="AC97"/>
  <c r="AE90"/>
  <c r="AC49"/>
  <c r="AC74"/>
  <c r="AC42"/>
  <c r="AE78"/>
  <c r="AC139"/>
  <c r="AC107"/>
  <c r="AC75"/>
  <c r="AC43"/>
  <c r="AC77"/>
  <c r="AE6"/>
  <c r="AE150" s="1"/>
  <c r="BL107" i="85"/>
  <c r="CD107" s="1"/>
  <c r="AB107"/>
  <c r="BC99"/>
  <c r="AB99"/>
  <c r="BE91"/>
  <c r="CD91" s="1"/>
  <c r="AB91"/>
  <c r="BM83"/>
  <c r="CD83" s="1"/>
  <c r="AB83"/>
  <c r="BC75"/>
  <c r="AB75"/>
  <c r="BC27"/>
  <c r="AB27"/>
  <c r="AE74" i="84"/>
  <c r="AE75"/>
  <c r="AE50"/>
  <c r="AE51"/>
  <c r="AE14"/>
  <c r="AE15"/>
  <c r="I43" i="85"/>
  <c r="BE43" s="1"/>
  <c r="V43"/>
  <c r="BQ43" s="1"/>
  <c r="U43"/>
  <c r="BO43" s="1"/>
  <c r="D39"/>
  <c r="BM39" s="1"/>
  <c r="M39"/>
  <c r="BC39" s="1"/>
  <c r="S39"/>
  <c r="BV39" s="1"/>
  <c r="B35"/>
  <c r="V35"/>
  <c r="BO35" s="1"/>
  <c r="U35"/>
  <c r="BY35" s="1"/>
  <c r="D31"/>
  <c r="BE31" s="1"/>
  <c r="M31"/>
  <c r="BM31" s="1"/>
  <c r="W31"/>
  <c r="BX31" s="1"/>
  <c r="K15"/>
  <c r="BH15" s="1"/>
  <c r="X15"/>
  <c r="BQ15" s="1"/>
  <c r="S15"/>
  <c r="BZ15" s="1"/>
  <c r="I11"/>
  <c r="BC11" s="1"/>
  <c r="R11"/>
  <c r="BT11" s="1"/>
  <c r="U11"/>
  <c r="BU11" s="1"/>
  <c r="AE116" i="84"/>
  <c r="AE78"/>
  <c r="AE79"/>
  <c r="BC147" i="85"/>
  <c r="AB147"/>
  <c r="BM139"/>
  <c r="CD139" s="1"/>
  <c r="AB139"/>
  <c r="BH131"/>
  <c r="CD131" s="1"/>
  <c r="AB131"/>
  <c r="BC123"/>
  <c r="AB123"/>
  <c r="BI115"/>
  <c r="CD115" s="1"/>
  <c r="AB115"/>
  <c r="BF67"/>
  <c r="CD67" s="1"/>
  <c r="AB67"/>
  <c r="AB59"/>
  <c r="BI59"/>
  <c r="CC59" s="1"/>
  <c r="AE58" i="84"/>
  <c r="AE59"/>
  <c r="AE18"/>
  <c r="AE19"/>
  <c r="E43" i="85"/>
  <c r="BF43" s="1"/>
  <c r="R43"/>
  <c r="BX43" s="1"/>
  <c r="G39"/>
  <c r="BH39" s="1"/>
  <c r="T39"/>
  <c r="BS39" s="1"/>
  <c r="CF39" s="1"/>
  <c r="I35"/>
  <c r="BC35" s="1"/>
  <c r="R35"/>
  <c r="BP35" s="1"/>
  <c r="G31"/>
  <c r="BF31" s="1"/>
  <c r="T31"/>
  <c r="BU31" s="1"/>
  <c r="CF31" s="1"/>
  <c r="G15"/>
  <c r="BL15" s="1"/>
  <c r="T15"/>
  <c r="BP15" s="1"/>
  <c r="CF15" s="1"/>
  <c r="E11"/>
  <c r="BD11" s="1"/>
  <c r="N11"/>
  <c r="BX11" s="1"/>
  <c r="AE125" i="84"/>
  <c r="AE53"/>
  <c r="AE54"/>
  <c r="AE21"/>
  <c r="AE22"/>
  <c r="AE88"/>
  <c r="AE89"/>
  <c r="AE134"/>
  <c r="AE135"/>
  <c r="AE62"/>
  <c r="AE63"/>
  <c r="AE26"/>
  <c r="AE27"/>
  <c r="AE110"/>
  <c r="AE111"/>
  <c r="AE143"/>
  <c r="AE144"/>
  <c r="AE66"/>
  <c r="AE67"/>
  <c r="AE30"/>
  <c r="AE31"/>
  <c r="AC144"/>
  <c r="AC136"/>
  <c r="AC128"/>
  <c r="AC120"/>
  <c r="AC146"/>
  <c r="AC100"/>
  <c r="AC16"/>
  <c r="AC20"/>
  <c r="AC124"/>
  <c r="AC8"/>
  <c r="AC97"/>
  <c r="AC56"/>
  <c r="AC36"/>
  <c r="AC37"/>
  <c r="AC86"/>
  <c r="AC130"/>
  <c r="AC32"/>
  <c r="AC140"/>
  <c r="AC24"/>
  <c r="AC84"/>
  <c r="AC137"/>
  <c r="AC92"/>
  <c r="AC48"/>
  <c r="AC72"/>
  <c r="AC25"/>
  <c r="AC114"/>
  <c r="AC12"/>
  <c r="AC126"/>
  <c r="AC9"/>
  <c r="AC118"/>
  <c r="AC85"/>
  <c r="AC96"/>
  <c r="AC82"/>
  <c r="AC138"/>
  <c r="AC112"/>
  <c r="AC109"/>
  <c r="AC17"/>
  <c r="AC68"/>
  <c r="AC132"/>
  <c r="AC80"/>
  <c r="AC60"/>
  <c r="AC40"/>
  <c r="AC142"/>
  <c r="AC64"/>
  <c r="AC76"/>
  <c r="AC94"/>
  <c r="AC4"/>
  <c r="AC61"/>
  <c r="AC73"/>
  <c r="AC28"/>
  <c r="AC57"/>
  <c r="AC52"/>
  <c r="AC44"/>
  <c r="AC88"/>
  <c r="AC116"/>
  <c r="AC106"/>
  <c r="AC41"/>
  <c r="AC108"/>
  <c r="AC104"/>
  <c r="AE70"/>
  <c r="AE71"/>
  <c r="AE34"/>
  <c r="AE35"/>
  <c r="BL135" i="85"/>
  <c r="CD135" s="1"/>
  <c r="AB135"/>
  <c r="BF127"/>
  <c r="CC127" s="1"/>
  <c r="AB127"/>
  <c r="BE119"/>
  <c r="CD119" s="1"/>
  <c r="AB119"/>
  <c r="BM111"/>
  <c r="CD111" s="1"/>
  <c r="AB111"/>
  <c r="BJ103"/>
  <c r="CD103" s="1"/>
  <c r="AB103"/>
  <c r="BF95"/>
  <c r="CD95" s="1"/>
  <c r="AB95"/>
  <c r="BI87"/>
  <c r="CD87" s="1"/>
  <c r="AB87"/>
  <c r="BN79"/>
  <c r="CD79" s="1"/>
  <c r="AB79"/>
  <c r="BJ71"/>
  <c r="CC71" s="1"/>
  <c r="AB71"/>
  <c r="BE63"/>
  <c r="CD63" s="1"/>
  <c r="AB63"/>
  <c r="BK55"/>
  <c r="CD55" s="1"/>
  <c r="AB55"/>
  <c r="BN47"/>
  <c r="CD47" s="1"/>
  <c r="AB47"/>
  <c r="BF39"/>
  <c r="AB39"/>
  <c r="BG31"/>
  <c r="AB31"/>
  <c r="BJ15"/>
  <c r="AB15"/>
  <c r="AE38" i="84"/>
  <c r="AE39"/>
  <c r="AE120"/>
  <c r="AE121"/>
  <c r="AE42"/>
  <c r="AE43"/>
  <c r="AE93"/>
  <c r="AE6"/>
  <c r="BI143" i="85"/>
  <c r="CC143" s="1"/>
  <c r="AB143"/>
  <c r="AE5" i="84"/>
  <c r="AD150"/>
  <c r="AD151"/>
  <c r="BC51" i="85"/>
  <c r="AB51"/>
  <c r="AB43"/>
  <c r="BJ43"/>
  <c r="AB19"/>
  <c r="BN19"/>
  <c r="CD19" s="1"/>
  <c r="AB11"/>
  <c r="BF11"/>
  <c r="AE102" i="84"/>
  <c r="AE103"/>
  <c r="AE46"/>
  <c r="AE47"/>
  <c r="AE10"/>
  <c r="AE126"/>
  <c r="AE131"/>
  <c r="AC125"/>
  <c r="AC81"/>
  <c r="AC29"/>
  <c r="AE86"/>
  <c r="AC122"/>
  <c r="AC66"/>
  <c r="AC34"/>
  <c r="AC23"/>
  <c r="AC129"/>
  <c r="AC89"/>
  <c r="AC33"/>
  <c r="AC134"/>
  <c r="AC70"/>
  <c r="AC38"/>
  <c r="AC6"/>
  <c r="AE132"/>
  <c r="AC133"/>
  <c r="AC93"/>
  <c r="AC45"/>
  <c r="AE118"/>
  <c r="AC74"/>
  <c r="AC42"/>
  <c r="AC10"/>
  <c r="AE123"/>
  <c r="AE98"/>
  <c r="AE7"/>
  <c r="AC141"/>
  <c r="AC101"/>
  <c r="AC49"/>
  <c r="AE127"/>
  <c r="AC78"/>
  <c r="AC46"/>
  <c r="AC14"/>
  <c r="AE128"/>
  <c r="AE91"/>
  <c r="AE107"/>
  <c r="AE11"/>
  <c r="AC145"/>
  <c r="AC105"/>
  <c r="AC53"/>
  <c r="AC90"/>
  <c r="AC50"/>
  <c r="AC18"/>
  <c r="AE114"/>
  <c r="AE146"/>
  <c r="AE130"/>
  <c r="AE85"/>
  <c r="AC113"/>
  <c r="AC65"/>
  <c r="AC5"/>
  <c r="AC98"/>
  <c r="AC54"/>
  <c r="AC22"/>
  <c r="AE99"/>
  <c r="AE139"/>
  <c r="AE94"/>
  <c r="AC117"/>
  <c r="AC69"/>
  <c r="AC13"/>
  <c r="AC102"/>
  <c r="AC58"/>
  <c r="AC26"/>
  <c r="AE140"/>
  <c r="AE95"/>
  <c r="AE117"/>
  <c r="AC121"/>
  <c r="AC77"/>
  <c r="AC21"/>
  <c r="AC110"/>
  <c r="AC62"/>
  <c r="AC30"/>
  <c r="AC7"/>
  <c r="AE8"/>
  <c r="CD15" i="85" l="1"/>
  <c r="CF11"/>
  <c r="CD43"/>
  <c r="CD31"/>
  <c r="CC75"/>
  <c r="CD75"/>
  <c r="Y42" i="88"/>
  <c r="BU42" s="1"/>
  <c r="T42"/>
  <c r="BQ42" s="1"/>
  <c r="C42"/>
  <c r="BF42" s="1"/>
  <c r="D42"/>
  <c r="BJ42" s="1"/>
  <c r="U42"/>
  <c r="BT42" s="1"/>
  <c r="G42"/>
  <c r="BE42" s="1"/>
  <c r="N42"/>
  <c r="BY42" s="1"/>
  <c r="K42"/>
  <c r="BD42" s="1"/>
  <c r="J42"/>
  <c r="BC42" s="1"/>
  <c r="R42"/>
  <c r="BX42" s="1"/>
  <c r="V42"/>
  <c r="BP42" s="1"/>
  <c r="E42"/>
  <c r="BL42" s="1"/>
  <c r="O42"/>
  <c r="BV42" s="1"/>
  <c r="L42"/>
  <c r="BI42" s="1"/>
  <c r="I42"/>
  <c r="BH42" s="1"/>
  <c r="S42"/>
  <c r="BZ42" s="1"/>
  <c r="P42"/>
  <c r="BR42" s="1"/>
  <c r="B42"/>
  <c r="W42"/>
  <c r="BO42" s="1"/>
  <c r="M42"/>
  <c r="BG42" s="1"/>
  <c r="H42"/>
  <c r="BN42" s="1"/>
  <c r="X42"/>
  <c r="BS42" s="1"/>
  <c r="Q42"/>
  <c r="BW42" s="1"/>
  <c r="F42"/>
  <c r="BK42" s="1"/>
  <c r="R57"/>
  <c r="BQ57" s="1"/>
  <c r="H57"/>
  <c r="BH57" s="1"/>
  <c r="V57"/>
  <c r="BY57" s="1"/>
  <c r="L57"/>
  <c r="BL57" s="1"/>
  <c r="E57"/>
  <c r="BG57" s="1"/>
  <c r="W57"/>
  <c r="BV57" s="1"/>
  <c r="P57"/>
  <c r="BS57" s="1"/>
  <c r="B57"/>
  <c r="T57"/>
  <c r="BO57" s="1"/>
  <c r="I57"/>
  <c r="BF57" s="1"/>
  <c r="F57"/>
  <c r="BE57" s="1"/>
  <c r="X57"/>
  <c r="BZ57" s="1"/>
  <c r="M57"/>
  <c r="BN57" s="1"/>
  <c r="U57"/>
  <c r="BR57" s="1"/>
  <c r="Q57"/>
  <c r="BU57" s="1"/>
  <c r="K57"/>
  <c r="BM57" s="1"/>
  <c r="C57"/>
  <c r="BK57" s="1"/>
  <c r="Y57"/>
  <c r="BX57" s="1"/>
  <c r="J57"/>
  <c r="BJ57" s="1"/>
  <c r="O57"/>
  <c r="BP57" s="1"/>
  <c r="G57"/>
  <c r="BC57" s="1"/>
  <c r="N57"/>
  <c r="BW57" s="1"/>
  <c r="S57"/>
  <c r="BT57" s="1"/>
  <c r="D57"/>
  <c r="BI57" s="1"/>
  <c r="V86"/>
  <c r="BW86" s="1"/>
  <c r="R86"/>
  <c r="BS86" s="1"/>
  <c r="C86"/>
  <c r="BM86" s="1"/>
  <c r="W86"/>
  <c r="BR86" s="1"/>
  <c r="T86"/>
  <c r="BZ86" s="1"/>
  <c r="G86"/>
  <c r="BN86" s="1"/>
  <c r="X86"/>
  <c r="BO86" s="1"/>
  <c r="O86"/>
  <c r="BU86" s="1"/>
  <c r="J86"/>
  <c r="BJ86" s="1"/>
  <c r="Y86"/>
  <c r="BX86" s="1"/>
  <c r="S86"/>
  <c r="BQ86" s="1"/>
  <c r="D86"/>
  <c r="BI86" s="1"/>
  <c r="B86"/>
  <c r="P86"/>
  <c r="BY86" s="1"/>
  <c r="L86"/>
  <c r="BL86" s="1"/>
  <c r="F86"/>
  <c r="BH86" s="1"/>
  <c r="U86"/>
  <c r="BV86" s="1"/>
  <c r="E86"/>
  <c r="BG86" s="1"/>
  <c r="K86"/>
  <c r="BF86" s="1"/>
  <c r="M86"/>
  <c r="BC86" s="1"/>
  <c r="I86"/>
  <c r="BK86" s="1"/>
  <c r="Q86"/>
  <c r="BT86" s="1"/>
  <c r="N86"/>
  <c r="BP86" s="1"/>
  <c r="H86"/>
  <c r="BE86" s="1"/>
  <c r="W131"/>
  <c r="BU131" s="1"/>
  <c r="M131"/>
  <c r="BD131" s="1"/>
  <c r="B131"/>
  <c r="T131"/>
  <c r="BY131" s="1"/>
  <c r="Q131"/>
  <c r="BW131" s="1"/>
  <c r="X131"/>
  <c r="BP131" s="1"/>
  <c r="J131"/>
  <c r="BG131" s="1"/>
  <c r="F131"/>
  <c r="BL131" s="1"/>
  <c r="U131"/>
  <c r="BS131" s="1"/>
  <c r="N131"/>
  <c r="BZ131" s="1"/>
  <c r="C131"/>
  <c r="BN131" s="1"/>
  <c r="Y131"/>
  <c r="BQ131" s="1"/>
  <c r="R131"/>
  <c r="BV131" s="1"/>
  <c r="G131"/>
  <c r="BJ131" s="1"/>
  <c r="D131"/>
  <c r="BK131" s="1"/>
  <c r="V131"/>
  <c r="BO131" s="1"/>
  <c r="K131"/>
  <c r="BI131" s="1"/>
  <c r="L131"/>
  <c r="BE131" s="1"/>
  <c r="H131"/>
  <c r="BM131" s="1"/>
  <c r="O131"/>
  <c r="BT131" s="1"/>
  <c r="P131"/>
  <c r="BR131" s="1"/>
  <c r="E131"/>
  <c r="BF131" s="1"/>
  <c r="S131"/>
  <c r="BX131" s="1"/>
  <c r="I131"/>
  <c r="BC131" s="1"/>
  <c r="N48"/>
  <c r="BZ48" s="1"/>
  <c r="J48"/>
  <c r="BG48" s="1"/>
  <c r="D48"/>
  <c r="BC48" s="1"/>
  <c r="R48"/>
  <c r="BX48" s="1"/>
  <c r="U48"/>
  <c r="BS48" s="1"/>
  <c r="K48"/>
  <c r="BF48" s="1"/>
  <c r="Y48"/>
  <c r="BP48" s="1"/>
  <c r="O48"/>
  <c r="BW48" s="1"/>
  <c r="E48"/>
  <c r="BM48" s="1"/>
  <c r="V48"/>
  <c r="BT48" s="1"/>
  <c r="S48"/>
  <c r="BU48" s="1"/>
  <c r="W48"/>
  <c r="BQ48" s="1"/>
  <c r="L48"/>
  <c r="BE48" s="1"/>
  <c r="B48"/>
  <c r="M48"/>
  <c r="BD48" s="1"/>
  <c r="X48"/>
  <c r="BR48" s="1"/>
  <c r="P48"/>
  <c r="BY48" s="1"/>
  <c r="I48"/>
  <c r="BH48" s="1"/>
  <c r="Q48"/>
  <c r="BO48" s="1"/>
  <c r="F48"/>
  <c r="BL48" s="1"/>
  <c r="C48"/>
  <c r="BK48" s="1"/>
  <c r="T48"/>
  <c r="BV48" s="1"/>
  <c r="H48"/>
  <c r="BI48" s="1"/>
  <c r="G48"/>
  <c r="BJ48" s="1"/>
  <c r="U72"/>
  <c r="BW72" s="1"/>
  <c r="B72"/>
  <c r="C72"/>
  <c r="BN72" s="1"/>
  <c r="Q72"/>
  <c r="BO72" s="1"/>
  <c r="F72"/>
  <c r="BH72" s="1"/>
  <c r="G72"/>
  <c r="BF72" s="1"/>
  <c r="N72"/>
  <c r="BV72" s="1"/>
  <c r="I72"/>
  <c r="BD72" s="1"/>
  <c r="D72"/>
  <c r="BC72" s="1"/>
  <c r="R72"/>
  <c r="BT72" s="1"/>
  <c r="O72"/>
  <c r="BZ72" s="1"/>
  <c r="J72"/>
  <c r="BK72" s="1"/>
  <c r="Y72"/>
  <c r="BS72" s="1"/>
  <c r="S72"/>
  <c r="BY72" s="1"/>
  <c r="E72"/>
  <c r="BL72" s="1"/>
  <c r="V72"/>
  <c r="BP72" s="1"/>
  <c r="L72"/>
  <c r="BI72" s="1"/>
  <c r="H72"/>
  <c r="BM72" s="1"/>
  <c r="W72"/>
  <c r="BU72" s="1"/>
  <c r="P72"/>
  <c r="BX72" s="1"/>
  <c r="M72"/>
  <c r="BG72" s="1"/>
  <c r="K72"/>
  <c r="BE72" s="1"/>
  <c r="X72"/>
  <c r="BQ72" s="1"/>
  <c r="T72"/>
  <c r="BR72" s="1"/>
  <c r="K138"/>
  <c r="BJ138" s="1"/>
  <c r="L138"/>
  <c r="BD138" s="1"/>
  <c r="J138"/>
  <c r="BC138" s="1"/>
  <c r="O138"/>
  <c r="BY138" s="1"/>
  <c r="P138"/>
  <c r="BX138" s="1"/>
  <c r="E138"/>
  <c r="BK138" s="1"/>
  <c r="S138"/>
  <c r="BU138" s="1"/>
  <c r="M138"/>
  <c r="BF138" s="1"/>
  <c r="B138"/>
  <c r="V138"/>
  <c r="BV138" s="1"/>
  <c r="Q138"/>
  <c r="BQ138" s="1"/>
  <c r="H138"/>
  <c r="BI138" s="1"/>
  <c r="W138"/>
  <c r="BO138" s="1"/>
  <c r="U138"/>
  <c r="BZ138" s="1"/>
  <c r="X138"/>
  <c r="BR138" s="1"/>
  <c r="N138"/>
  <c r="BS138" s="1"/>
  <c r="F138"/>
  <c r="BE138" s="1"/>
  <c r="G138"/>
  <c r="BH138" s="1"/>
  <c r="Y138"/>
  <c r="BP138" s="1"/>
  <c r="R138"/>
  <c r="BW138" s="1"/>
  <c r="I138"/>
  <c r="BN138" s="1"/>
  <c r="D138"/>
  <c r="BM138" s="1"/>
  <c r="T138"/>
  <c r="BT138" s="1"/>
  <c r="C138"/>
  <c r="BL138" s="1"/>
  <c r="Y14"/>
  <c r="BQ14" s="1"/>
  <c r="O14"/>
  <c r="BV14" s="1"/>
  <c r="D14"/>
  <c r="BJ14" s="1"/>
  <c r="B14"/>
  <c r="S14"/>
  <c r="BZ14" s="1"/>
  <c r="K14"/>
  <c r="BK14" s="1"/>
  <c r="I14"/>
  <c r="BH14" s="1"/>
  <c r="P14"/>
  <c r="BR14" s="1"/>
  <c r="E14"/>
  <c r="BL14" s="1"/>
  <c r="J14"/>
  <c r="BG14" s="1"/>
  <c r="T14"/>
  <c r="BP14" s="1"/>
  <c r="L14"/>
  <c r="BE14" s="1"/>
  <c r="F14"/>
  <c r="BI14" s="1"/>
  <c r="V14"/>
  <c r="BT14" s="1"/>
  <c r="W14"/>
  <c r="BW14" s="1"/>
  <c r="H14"/>
  <c r="BN14" s="1"/>
  <c r="M14"/>
  <c r="BC14" s="1"/>
  <c r="N14"/>
  <c r="BY14" s="1"/>
  <c r="Q14"/>
  <c r="BU14" s="1"/>
  <c r="R14"/>
  <c r="BX14" s="1"/>
  <c r="C14"/>
  <c r="BF14" s="1"/>
  <c r="X14"/>
  <c r="BO14" s="1"/>
  <c r="U14"/>
  <c r="BS14" s="1"/>
  <c r="G14"/>
  <c r="BD14" s="1"/>
  <c r="S11"/>
  <c r="BV11" s="1"/>
  <c r="I11"/>
  <c r="BC11" s="1"/>
  <c r="B11"/>
  <c r="W11"/>
  <c r="BW11" s="1"/>
  <c r="M11"/>
  <c r="BE11" s="1"/>
  <c r="F11"/>
  <c r="BJ11" s="1"/>
  <c r="X11"/>
  <c r="BQ11" s="1"/>
  <c r="Q11"/>
  <c r="BY11" s="1"/>
  <c r="H11"/>
  <c r="BN11" s="1"/>
  <c r="U11"/>
  <c r="BU11" s="1"/>
  <c r="J11"/>
  <c r="BI11" s="1"/>
  <c r="C11"/>
  <c r="BL11" s="1"/>
  <c r="Y11"/>
  <c r="BS11" s="1"/>
  <c r="N11"/>
  <c r="BX11" s="1"/>
  <c r="G11"/>
  <c r="BH11" s="1"/>
  <c r="V11"/>
  <c r="BO11" s="1"/>
  <c r="R11"/>
  <c r="BT11" s="1"/>
  <c r="L11"/>
  <c r="BG11" s="1"/>
  <c r="D11"/>
  <c r="BM11" s="1"/>
  <c r="K11"/>
  <c r="BK11" s="1"/>
  <c r="P11"/>
  <c r="BP11" s="1"/>
  <c r="E11"/>
  <c r="BD11" s="1"/>
  <c r="O11"/>
  <c r="BR11" s="1"/>
  <c r="T11"/>
  <c r="BZ11" s="1"/>
  <c r="Q15"/>
  <c r="BU15" s="1"/>
  <c r="R15"/>
  <c r="BX15" s="1"/>
  <c r="G15"/>
  <c r="BL15" s="1"/>
  <c r="U15"/>
  <c r="BS15" s="1"/>
  <c r="K15"/>
  <c r="BH15" s="1"/>
  <c r="Y15"/>
  <c r="BO15" s="1"/>
  <c r="O15"/>
  <c r="BV15" s="1"/>
  <c r="D15"/>
  <c r="BI15" s="1"/>
  <c r="V15"/>
  <c r="BT15" s="1"/>
  <c r="S15"/>
  <c r="BZ15" s="1"/>
  <c r="E15"/>
  <c r="BF15" s="1"/>
  <c r="W15"/>
  <c r="BW15" s="1"/>
  <c r="L15"/>
  <c r="BE15" s="1"/>
  <c r="B15"/>
  <c r="X15"/>
  <c r="BQ15" s="1"/>
  <c r="P15"/>
  <c r="BR15" s="1"/>
  <c r="I15"/>
  <c r="BD15" s="1"/>
  <c r="F15"/>
  <c r="BN15" s="1"/>
  <c r="T15"/>
  <c r="BP15" s="1"/>
  <c r="J15"/>
  <c r="BK15" s="1"/>
  <c r="H15"/>
  <c r="BG15" s="1"/>
  <c r="M15"/>
  <c r="BC15" s="1"/>
  <c r="N15"/>
  <c r="BY15" s="1"/>
  <c r="C15"/>
  <c r="BM15" s="1"/>
  <c r="V45"/>
  <c r="BP45" s="1"/>
  <c r="O45"/>
  <c r="BW45" s="1"/>
  <c r="D45"/>
  <c r="BN45" s="1"/>
  <c r="E45"/>
  <c r="BM45" s="1"/>
  <c r="W45"/>
  <c r="BU45" s="1"/>
  <c r="S45"/>
  <c r="BO45" s="1"/>
  <c r="B45"/>
  <c r="L45"/>
  <c r="BG45" s="1"/>
  <c r="M45"/>
  <c r="BE45" s="1"/>
  <c r="H45"/>
  <c r="BC45" s="1"/>
  <c r="P45"/>
  <c r="BY45" s="1"/>
  <c r="Q45"/>
  <c r="BZ45" s="1"/>
  <c r="I45"/>
  <c r="BH45" s="1"/>
  <c r="T45"/>
  <c r="BR45" s="1"/>
  <c r="J45"/>
  <c r="BI45" s="1"/>
  <c r="F45"/>
  <c r="BL45" s="1"/>
  <c r="X45"/>
  <c r="BQ45" s="1"/>
  <c r="N45"/>
  <c r="BV45" s="1"/>
  <c r="U45"/>
  <c r="BT45" s="1"/>
  <c r="R45"/>
  <c r="BX45" s="1"/>
  <c r="C45"/>
  <c r="BJ45" s="1"/>
  <c r="Y45"/>
  <c r="BS45" s="1"/>
  <c r="K45"/>
  <c r="BD45" s="1"/>
  <c r="G45"/>
  <c r="BF45" s="1"/>
  <c r="W73"/>
  <c r="BU73" s="1"/>
  <c r="P73"/>
  <c r="BV73" s="1"/>
  <c r="E73"/>
  <c r="BL73" s="1"/>
  <c r="D73"/>
  <c r="BC73" s="1"/>
  <c r="G73"/>
  <c r="BH73" s="1"/>
  <c r="T73"/>
  <c r="BR73" s="1"/>
  <c r="I73"/>
  <c r="BF73" s="1"/>
  <c r="B73"/>
  <c r="X73"/>
  <c r="BQ73" s="1"/>
  <c r="M73"/>
  <c r="BE73" s="1"/>
  <c r="L73"/>
  <c r="BG73" s="1"/>
  <c r="C73"/>
  <c r="BJ73" s="1"/>
  <c r="U73"/>
  <c r="BW73" s="1"/>
  <c r="Q73"/>
  <c r="BX73" s="1"/>
  <c r="K73"/>
  <c r="BD73" s="1"/>
  <c r="F73"/>
  <c r="BM73" s="1"/>
  <c r="V73"/>
  <c r="BP73" s="1"/>
  <c r="Y73"/>
  <c r="BS73" s="1"/>
  <c r="J73"/>
  <c r="BI73" s="1"/>
  <c r="O73"/>
  <c r="BO73" s="1"/>
  <c r="N73"/>
  <c r="BZ73" s="1"/>
  <c r="S73"/>
  <c r="BY73" s="1"/>
  <c r="R73"/>
  <c r="BT73" s="1"/>
  <c r="H73"/>
  <c r="BK73" s="1"/>
  <c r="Y105"/>
  <c r="BP105" s="1"/>
  <c r="J105"/>
  <c r="BE105" s="1"/>
  <c r="O105"/>
  <c r="BW105" s="1"/>
  <c r="N105"/>
  <c r="BV105" s="1"/>
  <c r="S105"/>
  <c r="BS105" s="1"/>
  <c r="U105"/>
  <c r="BU105" s="1"/>
  <c r="R105"/>
  <c r="BY105" s="1"/>
  <c r="H105"/>
  <c r="BG105" s="1"/>
  <c r="V105"/>
  <c r="BT105" s="1"/>
  <c r="L105"/>
  <c r="BD105" s="1"/>
  <c r="W105"/>
  <c r="BQ105" s="1"/>
  <c r="P105"/>
  <c r="BZ105" s="1"/>
  <c r="E105"/>
  <c r="BN105" s="1"/>
  <c r="F105"/>
  <c r="BM105" s="1"/>
  <c r="D105"/>
  <c r="BL105" s="1"/>
  <c r="G105"/>
  <c r="BC105" s="1"/>
  <c r="T105"/>
  <c r="BO105" s="1"/>
  <c r="I105"/>
  <c r="BI105" s="1"/>
  <c r="B105"/>
  <c r="Q105"/>
  <c r="BX105" s="1"/>
  <c r="X105"/>
  <c r="BR105" s="1"/>
  <c r="M105"/>
  <c r="BF105" s="1"/>
  <c r="C105"/>
  <c r="BJ105" s="1"/>
  <c r="K105"/>
  <c r="BH105" s="1"/>
  <c r="T28"/>
  <c r="BW28" s="1"/>
  <c r="Q28"/>
  <c r="BP28" s="1"/>
  <c r="C28"/>
  <c r="BC28" s="1"/>
  <c r="V28"/>
  <c r="BY28" s="1"/>
  <c r="U28"/>
  <c r="BT28" s="1"/>
  <c r="G28"/>
  <c r="BK28" s="1"/>
  <c r="W28"/>
  <c r="BV28" s="1"/>
  <c r="N28"/>
  <c r="BO28" s="1"/>
  <c r="X28"/>
  <c r="BZ28" s="1"/>
  <c r="R28"/>
  <c r="BU28" s="1"/>
  <c r="H28"/>
  <c r="BF28" s="1"/>
  <c r="Y28"/>
  <c r="BX28" s="1"/>
  <c r="O28"/>
  <c r="BS28" s="1"/>
  <c r="I28"/>
  <c r="BM28" s="1"/>
  <c r="E28"/>
  <c r="BI28" s="1"/>
  <c r="S28"/>
  <c r="BR28" s="1"/>
  <c r="K28"/>
  <c r="BN28" s="1"/>
  <c r="J28"/>
  <c r="BH28" s="1"/>
  <c r="L28"/>
  <c r="BJ28" s="1"/>
  <c r="D28"/>
  <c r="BE28" s="1"/>
  <c r="B28"/>
  <c r="P28"/>
  <c r="BQ28" s="1"/>
  <c r="M28"/>
  <c r="BL28" s="1"/>
  <c r="F28"/>
  <c r="BD28" s="1"/>
  <c r="X115"/>
  <c r="BV115" s="1"/>
  <c r="J115"/>
  <c r="BC115" s="1"/>
  <c r="H115"/>
  <c r="BK115" s="1"/>
  <c r="U115"/>
  <c r="BO115" s="1"/>
  <c r="N115"/>
  <c r="BP115" s="1"/>
  <c r="C115"/>
  <c r="BD115" s="1"/>
  <c r="Y115"/>
  <c r="BT115" s="1"/>
  <c r="R115"/>
  <c r="BS115" s="1"/>
  <c r="G115"/>
  <c r="BG115" s="1"/>
  <c r="D115"/>
  <c r="BF115" s="1"/>
  <c r="V115"/>
  <c r="BX115" s="1"/>
  <c r="T115"/>
  <c r="BW115" s="1"/>
  <c r="L115"/>
  <c r="BH115" s="1"/>
  <c r="E115"/>
  <c r="BM115" s="1"/>
  <c r="K115"/>
  <c r="BN115" s="1"/>
  <c r="P115"/>
  <c r="BY115" s="1"/>
  <c r="O115"/>
  <c r="BU115" s="1"/>
  <c r="I115"/>
  <c r="BL115" s="1"/>
  <c r="B115"/>
  <c r="S115"/>
  <c r="BQ115" s="1"/>
  <c r="M115"/>
  <c r="BJ115" s="1"/>
  <c r="W115"/>
  <c r="BZ115" s="1"/>
  <c r="Q115"/>
  <c r="BR115" s="1"/>
  <c r="F115"/>
  <c r="BE115" s="1"/>
  <c r="E135"/>
  <c r="BH135" s="1"/>
  <c r="I135"/>
  <c r="BF135" s="1"/>
  <c r="T135"/>
  <c r="BR135" s="1"/>
  <c r="L135"/>
  <c r="BD135" s="1"/>
  <c r="J135"/>
  <c r="BI135" s="1"/>
  <c r="X135"/>
  <c r="BP135" s="1"/>
  <c r="P135"/>
  <c r="BT135" s="1"/>
  <c r="N135"/>
  <c r="BW135" s="1"/>
  <c r="H135"/>
  <c r="BE135" s="1"/>
  <c r="M135"/>
  <c r="BC135" s="1"/>
  <c r="R135"/>
  <c r="BZ135" s="1"/>
  <c r="D135"/>
  <c r="BG135" s="1"/>
  <c r="Q135"/>
  <c r="BS135" s="1"/>
  <c r="G135"/>
  <c r="BN135" s="1"/>
  <c r="F135"/>
  <c r="BM135" s="1"/>
  <c r="U135"/>
  <c r="BQ135" s="1"/>
  <c r="K135"/>
  <c r="BJ135" s="1"/>
  <c r="C135"/>
  <c r="BK135" s="1"/>
  <c r="Y135"/>
  <c r="BO135" s="1"/>
  <c r="O135"/>
  <c r="BX135" s="1"/>
  <c r="W135"/>
  <c r="BU135" s="1"/>
  <c r="V135"/>
  <c r="BV135" s="1"/>
  <c r="S135"/>
  <c r="BY135" s="1"/>
  <c r="B135"/>
  <c r="CD71" i="85"/>
  <c r="CD143"/>
  <c r="CD127"/>
  <c r="CD59"/>
  <c r="CC107"/>
  <c r="CC135"/>
  <c r="CC43"/>
  <c r="CE35"/>
  <c r="CF35"/>
  <c r="R24" i="88"/>
  <c r="BY24" s="1"/>
  <c r="S24"/>
  <c r="BQ24" s="1"/>
  <c r="D24"/>
  <c r="BC24" s="1"/>
  <c r="Y24"/>
  <c r="BT24" s="1"/>
  <c r="V24"/>
  <c r="BX24" s="1"/>
  <c r="J24"/>
  <c r="BD24" s="1"/>
  <c r="W24"/>
  <c r="BR24" s="1"/>
  <c r="L24"/>
  <c r="BF24" s="1"/>
  <c r="M24"/>
  <c r="BH24" s="1"/>
  <c r="I24"/>
  <c r="BL24" s="1"/>
  <c r="X24"/>
  <c r="BV24" s="1"/>
  <c r="P24"/>
  <c r="BU24" s="1"/>
  <c r="E24"/>
  <c r="BI24" s="1"/>
  <c r="K24"/>
  <c r="BJ24" s="1"/>
  <c r="T24"/>
  <c r="BZ24" s="1"/>
  <c r="U24"/>
  <c r="BP24" s="1"/>
  <c r="B24"/>
  <c r="C24"/>
  <c r="BG24" s="1"/>
  <c r="Q24"/>
  <c r="BO24" s="1"/>
  <c r="F24"/>
  <c r="BM24" s="1"/>
  <c r="G24"/>
  <c r="BN24" s="1"/>
  <c r="N24"/>
  <c r="BW24" s="1"/>
  <c r="O24"/>
  <c r="BS24" s="1"/>
  <c r="H24"/>
  <c r="BE24" s="1"/>
  <c r="Q103"/>
  <c r="BW103" s="1"/>
  <c r="K103"/>
  <c r="BF103" s="1"/>
  <c r="U103"/>
  <c r="BU103" s="1"/>
  <c r="O103"/>
  <c r="BV103" s="1"/>
  <c r="D103"/>
  <c r="BL103" s="1"/>
  <c r="Y103"/>
  <c r="BQ103" s="1"/>
  <c r="S103"/>
  <c r="BY103" s="1"/>
  <c r="I103"/>
  <c r="BH103" s="1"/>
  <c r="V103"/>
  <c r="BR103" s="1"/>
  <c r="H103"/>
  <c r="BI103" s="1"/>
  <c r="E103"/>
  <c r="BC103" s="1"/>
  <c r="W103"/>
  <c r="BS103" s="1"/>
  <c r="L103"/>
  <c r="BE103" s="1"/>
  <c r="B103"/>
  <c r="F103"/>
  <c r="BK103" s="1"/>
  <c r="X103"/>
  <c r="BP103" s="1"/>
  <c r="P103"/>
  <c r="BX103" s="1"/>
  <c r="J103"/>
  <c r="BG103" s="1"/>
  <c r="C103"/>
  <c r="BN103" s="1"/>
  <c r="T103"/>
  <c r="BT103" s="1"/>
  <c r="N103"/>
  <c r="BZ103" s="1"/>
  <c r="G103"/>
  <c r="BM103" s="1"/>
  <c r="M103"/>
  <c r="BD103" s="1"/>
  <c r="R103"/>
  <c r="BO103" s="1"/>
  <c r="F141"/>
  <c r="BK141" s="1"/>
  <c r="Y141"/>
  <c r="BR141" s="1"/>
  <c r="K141"/>
  <c r="BJ141" s="1"/>
  <c r="H141"/>
  <c r="BC141" s="1"/>
  <c r="V141"/>
  <c r="BV141" s="1"/>
  <c r="O141"/>
  <c r="BQ141" s="1"/>
  <c r="U141"/>
  <c r="BZ141" s="1"/>
  <c r="G141"/>
  <c r="BL141" s="1"/>
  <c r="W141"/>
  <c r="BP141" s="1"/>
  <c r="S141"/>
  <c r="BO141" s="1"/>
  <c r="I141"/>
  <c r="BN141" s="1"/>
  <c r="L141"/>
  <c r="BF141" s="1"/>
  <c r="M141"/>
  <c r="BH141" s="1"/>
  <c r="P141"/>
  <c r="BS141" s="1"/>
  <c r="Q141"/>
  <c r="BU141" s="1"/>
  <c r="C141"/>
  <c r="BM141" s="1"/>
  <c r="E141"/>
  <c r="BG141" s="1"/>
  <c r="B141"/>
  <c r="T141"/>
  <c r="BX141" s="1"/>
  <c r="J141"/>
  <c r="BD141" s="1"/>
  <c r="D141"/>
  <c r="BI141" s="1"/>
  <c r="X141"/>
  <c r="BT141" s="1"/>
  <c r="N141"/>
  <c r="BY141" s="1"/>
  <c r="R141"/>
  <c r="BW141" s="1"/>
  <c r="X41"/>
  <c r="BS41" s="1"/>
  <c r="M41"/>
  <c r="BI41" s="1"/>
  <c r="U41"/>
  <c r="BZ41" s="1"/>
  <c r="Q41"/>
  <c r="BV41" s="1"/>
  <c r="K41"/>
  <c r="BG41" s="1"/>
  <c r="C41"/>
  <c r="BF41" s="1"/>
  <c r="Y41"/>
  <c r="BU41" s="1"/>
  <c r="J41"/>
  <c r="BD41" s="1"/>
  <c r="O41"/>
  <c r="BY41" s="1"/>
  <c r="G41"/>
  <c r="BE41" s="1"/>
  <c r="N41"/>
  <c r="BR41" s="1"/>
  <c r="S41"/>
  <c r="BW41" s="1"/>
  <c r="D41"/>
  <c r="BJ41" s="1"/>
  <c r="R41"/>
  <c r="BQ41" s="1"/>
  <c r="H41"/>
  <c r="BN41" s="1"/>
  <c r="V41"/>
  <c r="BP41" s="1"/>
  <c r="L41"/>
  <c r="BC41" s="1"/>
  <c r="E41"/>
  <c r="BL41" s="1"/>
  <c r="W41"/>
  <c r="BO41" s="1"/>
  <c r="P41"/>
  <c r="BX41" s="1"/>
  <c r="B41"/>
  <c r="T41"/>
  <c r="BT41" s="1"/>
  <c r="I41"/>
  <c r="BH41" s="1"/>
  <c r="F41"/>
  <c r="BK41" s="1"/>
  <c r="S62"/>
  <c r="BR62" s="1"/>
  <c r="I62"/>
  <c r="BG62" s="1"/>
  <c r="F62"/>
  <c r="BL62" s="1"/>
  <c r="T62"/>
  <c r="BW62" s="1"/>
  <c r="E62"/>
  <c r="BD62" s="1"/>
  <c r="L62"/>
  <c r="BM62" s="1"/>
  <c r="P62"/>
  <c r="BU62" s="1"/>
  <c r="V62"/>
  <c r="BS62" s="1"/>
  <c r="M62"/>
  <c r="BC62" s="1"/>
  <c r="N62"/>
  <c r="BT62" s="1"/>
  <c r="C62"/>
  <c r="BI62" s="1"/>
  <c r="Q62"/>
  <c r="BX62" s="1"/>
  <c r="R62"/>
  <c r="BP62" s="1"/>
  <c r="G62"/>
  <c r="BK62" s="1"/>
  <c r="X62"/>
  <c r="BO62" s="1"/>
  <c r="U62"/>
  <c r="BZ62" s="1"/>
  <c r="H62"/>
  <c r="BF62" s="1"/>
  <c r="Y62"/>
  <c r="BY62" s="1"/>
  <c r="W62"/>
  <c r="BV62" s="1"/>
  <c r="D62"/>
  <c r="BE62" s="1"/>
  <c r="B62"/>
  <c r="O62"/>
  <c r="BQ62" s="1"/>
  <c r="K62"/>
  <c r="BJ62" s="1"/>
  <c r="J62"/>
  <c r="BN62" s="1"/>
  <c r="P109"/>
  <c r="BW109" s="1"/>
  <c r="Q109"/>
  <c r="BY109" s="1"/>
  <c r="C109"/>
  <c r="BL109" s="1"/>
  <c r="E109"/>
  <c r="BK109" s="1"/>
  <c r="B109"/>
  <c r="T109"/>
  <c r="BZ109" s="1"/>
  <c r="J109"/>
  <c r="BE109" s="1"/>
  <c r="D109"/>
  <c r="BM109" s="1"/>
  <c r="H109"/>
  <c r="BI109" s="1"/>
  <c r="X109"/>
  <c r="BO109" s="1"/>
  <c r="N109"/>
  <c r="BX109" s="1"/>
  <c r="L109"/>
  <c r="BF109" s="1"/>
  <c r="U109"/>
  <c r="BU109" s="1"/>
  <c r="R109"/>
  <c r="BV109" s="1"/>
  <c r="F109"/>
  <c r="BD109" s="1"/>
  <c r="Y109"/>
  <c r="BT109" s="1"/>
  <c r="K109"/>
  <c r="BC109" s="1"/>
  <c r="M109"/>
  <c r="BH109" s="1"/>
  <c r="V109"/>
  <c r="BQ109" s="1"/>
  <c r="O109"/>
  <c r="BS109" s="1"/>
  <c r="W109"/>
  <c r="BR109" s="1"/>
  <c r="S109"/>
  <c r="BP109" s="1"/>
  <c r="I109"/>
  <c r="BN109" s="1"/>
  <c r="G109"/>
  <c r="BJ109" s="1"/>
  <c r="M7"/>
  <c r="BI7" s="1"/>
  <c r="N7"/>
  <c r="BT7" s="1"/>
  <c r="G7"/>
  <c r="BJ7" s="1"/>
  <c r="Q7"/>
  <c r="BX7" s="1"/>
  <c r="R7"/>
  <c r="BO7" s="1"/>
  <c r="U7"/>
  <c r="BZ7" s="1"/>
  <c r="K7"/>
  <c r="BG7" s="1"/>
  <c r="D7"/>
  <c r="BF7" s="1"/>
  <c r="Y7"/>
  <c r="BW7" s="1"/>
  <c r="O7"/>
  <c r="BP7" s="1"/>
  <c r="I7"/>
  <c r="BE7" s="1"/>
  <c r="V7"/>
  <c r="BS7" s="1"/>
  <c r="S7"/>
  <c r="BV7" s="1"/>
  <c r="E7"/>
  <c r="BC7" s="1"/>
  <c r="W7"/>
  <c r="BY7" s="1"/>
  <c r="L7"/>
  <c r="BK7" s="1"/>
  <c r="B7"/>
  <c r="X7"/>
  <c r="BU7" s="1"/>
  <c r="P7"/>
  <c r="BR7" s="1"/>
  <c r="H7"/>
  <c r="BN7" s="1"/>
  <c r="F7"/>
  <c r="BL7" s="1"/>
  <c r="T7"/>
  <c r="BQ7" s="1"/>
  <c r="J7"/>
  <c r="BM7" s="1"/>
  <c r="C7"/>
  <c r="BH7" s="1"/>
  <c r="W64"/>
  <c r="BS64" s="1"/>
  <c r="T64"/>
  <c r="BP64" s="1"/>
  <c r="X64"/>
  <c r="BY64" s="1"/>
  <c r="L64"/>
  <c r="BC64" s="1"/>
  <c r="B64"/>
  <c r="C64"/>
  <c r="BH64" s="1"/>
  <c r="P64"/>
  <c r="BT64" s="1"/>
  <c r="M64"/>
  <c r="BM64" s="1"/>
  <c r="G64"/>
  <c r="BD64" s="1"/>
  <c r="Q64"/>
  <c r="BR64" s="1"/>
  <c r="F64"/>
  <c r="BF64" s="1"/>
  <c r="D64"/>
  <c r="BL64" s="1"/>
  <c r="N64"/>
  <c r="BQ64" s="1"/>
  <c r="J64"/>
  <c r="BJ64" s="1"/>
  <c r="H64"/>
  <c r="BN64" s="1"/>
  <c r="R64"/>
  <c r="BU64" s="1"/>
  <c r="U64"/>
  <c r="BV64" s="1"/>
  <c r="I64"/>
  <c r="BK64" s="1"/>
  <c r="Y64"/>
  <c r="BO64" s="1"/>
  <c r="O64"/>
  <c r="BX64" s="1"/>
  <c r="K64"/>
  <c r="BG64" s="1"/>
  <c r="V64"/>
  <c r="BW64" s="1"/>
  <c r="S64"/>
  <c r="BZ64" s="1"/>
  <c r="E64"/>
  <c r="BI64" s="1"/>
  <c r="X35"/>
  <c r="BU35" s="1"/>
  <c r="Q35"/>
  <c r="BX35" s="1"/>
  <c r="F35"/>
  <c r="BF35" s="1"/>
  <c r="U35"/>
  <c r="BY35" s="1"/>
  <c r="J35"/>
  <c r="BM35" s="1"/>
  <c r="C35"/>
  <c r="BH35" s="1"/>
  <c r="Y35"/>
  <c r="BW35" s="1"/>
  <c r="N35"/>
  <c r="BT35" s="1"/>
  <c r="G35"/>
  <c r="BD35" s="1"/>
  <c r="V35"/>
  <c r="BO35" s="1"/>
  <c r="R35"/>
  <c r="BP35" s="1"/>
  <c r="L35"/>
  <c r="BK35" s="1"/>
  <c r="D35"/>
  <c r="BL35" s="1"/>
  <c r="K35"/>
  <c r="BN35" s="1"/>
  <c r="P35"/>
  <c r="BS35" s="1"/>
  <c r="H35"/>
  <c r="BJ35" s="1"/>
  <c r="O35"/>
  <c r="BQ35" s="1"/>
  <c r="T35"/>
  <c r="BV35" s="1"/>
  <c r="E35"/>
  <c r="BG35" s="1"/>
  <c r="S35"/>
  <c r="BR35" s="1"/>
  <c r="I35"/>
  <c r="BC35" s="1"/>
  <c r="W35"/>
  <c r="BZ35" s="1"/>
  <c r="M35"/>
  <c r="BI35" s="1"/>
  <c r="B35"/>
  <c r="D147"/>
  <c r="BD147" s="1"/>
  <c r="T147"/>
  <c r="BU147" s="1"/>
  <c r="Q147"/>
  <c r="BR147" s="1"/>
  <c r="G147"/>
  <c r="BI147" s="1"/>
  <c r="E147"/>
  <c r="BG147" s="1"/>
  <c r="X147"/>
  <c r="BY147" s="1"/>
  <c r="J147"/>
  <c r="BJ147" s="1"/>
  <c r="U147"/>
  <c r="BV147" s="1"/>
  <c r="N147"/>
  <c r="BO147" s="1"/>
  <c r="H147"/>
  <c r="BH147" s="1"/>
  <c r="Y147"/>
  <c r="BZ147" s="1"/>
  <c r="R147"/>
  <c r="BS147" s="1"/>
  <c r="M147"/>
  <c r="BN147" s="1"/>
  <c r="V147"/>
  <c r="BW147" s="1"/>
  <c r="K147"/>
  <c r="BM147" s="1"/>
  <c r="L147"/>
  <c r="BL147" s="1"/>
  <c r="W147"/>
  <c r="BX147" s="1"/>
  <c r="F147"/>
  <c r="BF147" s="1"/>
  <c r="O147"/>
  <c r="BP147" s="1"/>
  <c r="P147"/>
  <c r="BQ147" s="1"/>
  <c r="B147"/>
  <c r="C147"/>
  <c r="BE147" s="1"/>
  <c r="S147"/>
  <c r="BT147" s="1"/>
  <c r="I147"/>
  <c r="BK147" s="1"/>
  <c r="Y120"/>
  <c r="BZ120" s="1"/>
  <c r="O120"/>
  <c r="BR120" s="1"/>
  <c r="D120"/>
  <c r="BC120" s="1"/>
  <c r="V120"/>
  <c r="BW120" s="1"/>
  <c r="S120"/>
  <c r="BT120" s="1"/>
  <c r="J120"/>
  <c r="BJ120" s="1"/>
  <c r="W120"/>
  <c r="BX120" s="1"/>
  <c r="L120"/>
  <c r="BL120" s="1"/>
  <c r="E120"/>
  <c r="BD120" s="1"/>
  <c r="X120"/>
  <c r="BY120" s="1"/>
  <c r="P120"/>
  <c r="BP120" s="1"/>
  <c r="C120"/>
  <c r="BF120" s="1"/>
  <c r="U120"/>
  <c r="BV120" s="1"/>
  <c r="B120"/>
  <c r="G120"/>
  <c r="BI120" s="1"/>
  <c r="Q120"/>
  <c r="BO120" s="1"/>
  <c r="F120"/>
  <c r="BG120" s="1"/>
  <c r="H120"/>
  <c r="BH120" s="1"/>
  <c r="N120"/>
  <c r="BQ120" s="1"/>
  <c r="M120"/>
  <c r="BN120" s="1"/>
  <c r="I120"/>
  <c r="BK120" s="1"/>
  <c r="R120"/>
  <c r="BS120" s="1"/>
  <c r="T120"/>
  <c r="BU120" s="1"/>
  <c r="K120"/>
  <c r="BM120" s="1"/>
  <c r="T29"/>
  <c r="BW29" s="1"/>
  <c r="J29"/>
  <c r="BJ29" s="1"/>
  <c r="C29"/>
  <c r="BC29" s="1"/>
  <c r="X29"/>
  <c r="BZ29" s="1"/>
  <c r="N29"/>
  <c r="BS29" s="1"/>
  <c r="G29"/>
  <c r="BI29" s="1"/>
  <c r="U29"/>
  <c r="BT29" s="1"/>
  <c r="R29"/>
  <c r="BU29" s="1"/>
  <c r="H29"/>
  <c r="BH29" s="1"/>
  <c r="Y29"/>
  <c r="BX29" s="1"/>
  <c r="K29"/>
  <c r="BM29" s="1"/>
  <c r="I29"/>
  <c r="BK29" s="1"/>
  <c r="V29"/>
  <c r="BY29" s="1"/>
  <c r="O29"/>
  <c r="BP29" s="1"/>
  <c r="D29"/>
  <c r="BD29" s="1"/>
  <c r="E29"/>
  <c r="BE29" s="1"/>
  <c r="W29"/>
  <c r="BV29" s="1"/>
  <c r="S29"/>
  <c r="BR29" s="1"/>
  <c r="B29"/>
  <c r="L29"/>
  <c r="BL29" s="1"/>
  <c r="M29"/>
  <c r="BN29" s="1"/>
  <c r="F29"/>
  <c r="BF29" s="1"/>
  <c r="P29"/>
  <c r="BO29" s="1"/>
  <c r="Q29"/>
  <c r="BQ29" s="1"/>
  <c r="N25"/>
  <c r="BS25" s="1"/>
  <c r="H25"/>
  <c r="BD25" s="1"/>
  <c r="R25"/>
  <c r="BY25" s="1"/>
  <c r="L25"/>
  <c r="BH25" s="1"/>
  <c r="E25"/>
  <c r="BI25" s="1"/>
  <c r="V25"/>
  <c r="BX25" s="1"/>
  <c r="P25"/>
  <c r="BW25" s="1"/>
  <c r="B25"/>
  <c r="W25"/>
  <c r="BR25" s="1"/>
  <c r="T25"/>
  <c r="BZ25" s="1"/>
  <c r="F25"/>
  <c r="BE25" s="1"/>
  <c r="X25"/>
  <c r="BV25" s="1"/>
  <c r="I25"/>
  <c r="BN25" s="1"/>
  <c r="U25"/>
  <c r="BP25" s="1"/>
  <c r="M25"/>
  <c r="BJ25" s="1"/>
  <c r="K25"/>
  <c r="BL25" s="1"/>
  <c r="C25"/>
  <c r="BK25" s="1"/>
  <c r="Y25"/>
  <c r="BT25" s="1"/>
  <c r="Q25"/>
  <c r="BU25" s="1"/>
  <c r="O25"/>
  <c r="BO25" s="1"/>
  <c r="G25"/>
  <c r="BM25" s="1"/>
  <c r="J25"/>
  <c r="BF25" s="1"/>
  <c r="S25"/>
  <c r="BQ25" s="1"/>
  <c r="D25"/>
  <c r="BC25" s="1"/>
  <c r="N65"/>
  <c r="BQ65" s="1"/>
  <c r="S65"/>
  <c r="BZ65" s="1"/>
  <c r="R65"/>
  <c r="BU65" s="1"/>
  <c r="H65"/>
  <c r="BJ65" s="1"/>
  <c r="E65"/>
  <c r="BH65" s="1"/>
  <c r="D65"/>
  <c r="BF65" s="1"/>
  <c r="G65"/>
  <c r="BI65" s="1"/>
  <c r="V65"/>
  <c r="BS65" s="1"/>
  <c r="L65"/>
  <c r="BC65" s="1"/>
  <c r="B65"/>
  <c r="W65"/>
  <c r="BO65" s="1"/>
  <c r="P65"/>
  <c r="BT65" s="1"/>
  <c r="Y65"/>
  <c r="BY65" s="1"/>
  <c r="C65"/>
  <c r="BE65" s="1"/>
  <c r="T65"/>
  <c r="BP65" s="1"/>
  <c r="I65"/>
  <c r="BD65" s="1"/>
  <c r="F65"/>
  <c r="BN65" s="1"/>
  <c r="J65"/>
  <c r="BG65" s="1"/>
  <c r="X65"/>
  <c r="BW65" s="1"/>
  <c r="M65"/>
  <c r="BM65" s="1"/>
  <c r="U65"/>
  <c r="BV65" s="1"/>
  <c r="Q65"/>
  <c r="BR65" s="1"/>
  <c r="K65"/>
  <c r="BK65" s="1"/>
  <c r="O65"/>
  <c r="BX65" s="1"/>
  <c r="Y127"/>
  <c r="BU127" s="1"/>
  <c r="O127"/>
  <c r="BR127" s="1"/>
  <c r="D127"/>
  <c r="BH127" s="1"/>
  <c r="V127"/>
  <c r="BQ127" s="1"/>
  <c r="S127"/>
  <c r="BX127" s="1"/>
  <c r="I127"/>
  <c r="BD127" s="1"/>
  <c r="W127"/>
  <c r="BW127" s="1"/>
  <c r="H127"/>
  <c r="BM127" s="1"/>
  <c r="E127"/>
  <c r="BC127" s="1"/>
  <c r="T127"/>
  <c r="BP127" s="1"/>
  <c r="L127"/>
  <c r="BI127" s="1"/>
  <c r="B127"/>
  <c r="F127"/>
  <c r="BN127" s="1"/>
  <c r="X127"/>
  <c r="BS127" s="1"/>
  <c r="P127"/>
  <c r="BT127" s="1"/>
  <c r="J127"/>
  <c r="BK127" s="1"/>
  <c r="C127"/>
  <c r="BJ127" s="1"/>
  <c r="M127"/>
  <c r="BG127" s="1"/>
  <c r="N127"/>
  <c r="BV127" s="1"/>
  <c r="G127"/>
  <c r="BL127" s="1"/>
  <c r="Q127"/>
  <c r="BZ127" s="1"/>
  <c r="R127"/>
  <c r="BO127" s="1"/>
  <c r="U127"/>
  <c r="BY127" s="1"/>
  <c r="K127"/>
  <c r="BE127" s="1"/>
  <c r="CC47" i="85"/>
  <c r="CC115"/>
  <c r="CC11"/>
  <c r="CD11"/>
  <c r="CC27"/>
  <c r="CD27"/>
  <c r="CC99"/>
  <c r="CD99"/>
  <c r="C139" i="88"/>
  <c r="BG139" s="1"/>
  <c r="B139"/>
  <c r="O139"/>
  <c r="BY139" s="1"/>
  <c r="P139"/>
  <c r="BX139" s="1"/>
  <c r="D139"/>
  <c r="BE139" s="1"/>
  <c r="S139"/>
  <c r="BU139" s="1"/>
  <c r="I139"/>
  <c r="BH139" s="1"/>
  <c r="E139"/>
  <c r="BL139" s="1"/>
  <c r="W139"/>
  <c r="BV139" s="1"/>
  <c r="M139"/>
  <c r="BF139" s="1"/>
  <c r="L139"/>
  <c r="BD139" s="1"/>
  <c r="T139"/>
  <c r="BZ139" s="1"/>
  <c r="Q139"/>
  <c r="BQ139" s="1"/>
  <c r="V139"/>
  <c r="BT139" s="1"/>
  <c r="H139"/>
  <c r="BN139" s="1"/>
  <c r="X139"/>
  <c r="BR139" s="1"/>
  <c r="J139"/>
  <c r="BC139" s="1"/>
  <c r="G139"/>
  <c r="BK139" s="1"/>
  <c r="K139"/>
  <c r="BJ139" s="1"/>
  <c r="U139"/>
  <c r="BO139" s="1"/>
  <c r="N139"/>
  <c r="BS139" s="1"/>
  <c r="F139"/>
  <c r="BI139" s="1"/>
  <c r="Y139"/>
  <c r="BP139" s="1"/>
  <c r="R139"/>
  <c r="BW139" s="1"/>
  <c r="N129"/>
  <c r="BR129" s="1"/>
  <c r="S129"/>
  <c r="BW129" s="1"/>
  <c r="R129"/>
  <c r="BX129" s="1"/>
  <c r="H129"/>
  <c r="BK129" s="1"/>
  <c r="E129"/>
  <c r="BJ129" s="1"/>
  <c r="Y129"/>
  <c r="BS129" s="1"/>
  <c r="D129"/>
  <c r="BH129" s="1"/>
  <c r="G129"/>
  <c r="BC129" s="1"/>
  <c r="V129"/>
  <c r="BP129" s="1"/>
  <c r="L129"/>
  <c r="BG129" s="1"/>
  <c r="B129"/>
  <c r="W129"/>
  <c r="BU129" s="1"/>
  <c r="P129"/>
  <c r="BV129" s="1"/>
  <c r="C129"/>
  <c r="BF129" s="1"/>
  <c r="T129"/>
  <c r="BO129" s="1"/>
  <c r="I129"/>
  <c r="BM129" s="1"/>
  <c r="F129"/>
  <c r="BL129" s="1"/>
  <c r="J129"/>
  <c r="BI129" s="1"/>
  <c r="X129"/>
  <c r="BQ129" s="1"/>
  <c r="M129"/>
  <c r="BE129" s="1"/>
  <c r="U129"/>
  <c r="BY129" s="1"/>
  <c r="Q129"/>
  <c r="BT129" s="1"/>
  <c r="K129"/>
  <c r="BD129" s="1"/>
  <c r="O129"/>
  <c r="BZ129" s="1"/>
  <c r="T12"/>
  <c r="BT12" s="1"/>
  <c r="Q12"/>
  <c r="BV12" s="1"/>
  <c r="I12"/>
  <c r="BN12" s="1"/>
  <c r="V12"/>
  <c r="BO12" s="1"/>
  <c r="U12"/>
  <c r="BZ12" s="1"/>
  <c r="F12"/>
  <c r="BJ12" s="1"/>
  <c r="W12"/>
  <c r="BW12" s="1"/>
  <c r="N12"/>
  <c r="BR12" s="1"/>
  <c r="H12"/>
  <c r="BI12" s="1"/>
  <c r="X12"/>
  <c r="BQ12" s="1"/>
  <c r="R12"/>
  <c r="BP12" s="1"/>
  <c r="C12"/>
  <c r="BL12" s="1"/>
  <c r="Y12"/>
  <c r="BS12" s="1"/>
  <c r="O12"/>
  <c r="BY12" s="1"/>
  <c r="G12"/>
  <c r="BH12" s="1"/>
  <c r="S12"/>
  <c r="BU12" s="1"/>
  <c r="K12"/>
  <c r="BC12" s="1"/>
  <c r="E12"/>
  <c r="BD12" s="1"/>
  <c r="L12"/>
  <c r="BG12" s="1"/>
  <c r="D12"/>
  <c r="BM12" s="1"/>
  <c r="J12"/>
  <c r="BK12" s="1"/>
  <c r="P12"/>
  <c r="BX12" s="1"/>
  <c r="M12"/>
  <c r="BE12" s="1"/>
  <c r="B12"/>
  <c r="Q30"/>
  <c r="BQ30" s="1"/>
  <c r="U30"/>
  <c r="BV30" s="1"/>
  <c r="H30"/>
  <c r="BH30" s="1"/>
  <c r="X30"/>
  <c r="BY30" s="1"/>
  <c r="O30"/>
  <c r="BS30" s="1"/>
  <c r="I30"/>
  <c r="BK30" s="1"/>
  <c r="Y30"/>
  <c r="BZ30" s="1"/>
  <c r="S30"/>
  <c r="BT30" s="1"/>
  <c r="D30"/>
  <c r="BE30" s="1"/>
  <c r="B30"/>
  <c r="P30"/>
  <c r="BO30" s="1"/>
  <c r="K30"/>
  <c r="BM30" s="1"/>
  <c r="J30"/>
  <c r="BJ30" s="1"/>
  <c r="T30"/>
  <c r="BU30" s="1"/>
  <c r="L30"/>
  <c r="BL30" s="1"/>
  <c r="F30"/>
  <c r="BF30" s="1"/>
  <c r="V30"/>
  <c r="BW30" s="1"/>
  <c r="E30"/>
  <c r="BC30" s="1"/>
  <c r="W30"/>
  <c r="BX30" s="1"/>
  <c r="N30"/>
  <c r="BP30" s="1"/>
  <c r="C30"/>
  <c r="BG30" s="1"/>
  <c r="M30"/>
  <c r="BN30" s="1"/>
  <c r="R30"/>
  <c r="BR30" s="1"/>
  <c r="G30"/>
  <c r="BI30" s="1"/>
  <c r="V101"/>
  <c r="BP101" s="1"/>
  <c r="O101"/>
  <c r="BZ101" s="1"/>
  <c r="W101"/>
  <c r="BU101" s="1"/>
  <c r="S101"/>
  <c r="BY101" s="1"/>
  <c r="I101"/>
  <c r="BF101" s="1"/>
  <c r="C101"/>
  <c r="BC101" s="1"/>
  <c r="E101"/>
  <c r="BL101" s="1"/>
  <c r="B101"/>
  <c r="L101"/>
  <c r="BG101" s="1"/>
  <c r="M101"/>
  <c r="BE101" s="1"/>
  <c r="D101"/>
  <c r="BN101" s="1"/>
  <c r="H101"/>
  <c r="BK101" s="1"/>
  <c r="P101"/>
  <c r="BO101" s="1"/>
  <c r="Q101"/>
  <c r="BX101" s="1"/>
  <c r="K101"/>
  <c r="BD101" s="1"/>
  <c r="T101"/>
  <c r="BR101" s="1"/>
  <c r="J101"/>
  <c r="BI101" s="1"/>
  <c r="Y101"/>
  <c r="BS101" s="1"/>
  <c r="G101"/>
  <c r="BH101" s="1"/>
  <c r="F101"/>
  <c r="BM101" s="1"/>
  <c r="X101"/>
  <c r="BQ101" s="1"/>
  <c r="N101"/>
  <c r="BV101" s="1"/>
  <c r="U101"/>
  <c r="BW101" s="1"/>
  <c r="R101"/>
  <c r="BT101" s="1"/>
  <c r="Y99"/>
  <c r="BU99" s="1"/>
  <c r="N99"/>
  <c r="BO99" s="1"/>
  <c r="G99"/>
  <c r="BF99" s="1"/>
  <c r="D99"/>
  <c r="BL99" s="1"/>
  <c r="V99"/>
  <c r="BQ99" s="1"/>
  <c r="R99"/>
  <c r="BR99" s="1"/>
  <c r="L99"/>
  <c r="BI99" s="1"/>
  <c r="H99"/>
  <c r="BM99" s="1"/>
  <c r="K99"/>
  <c r="BE99" s="1"/>
  <c r="P99"/>
  <c r="BT99" s="1"/>
  <c r="E99"/>
  <c r="BH99" s="1"/>
  <c r="O99"/>
  <c r="BV99" s="1"/>
  <c r="T99"/>
  <c r="BP99" s="1"/>
  <c r="S99"/>
  <c r="BZ99" s="1"/>
  <c r="I99"/>
  <c r="BD99" s="1"/>
  <c r="B99"/>
  <c r="W99"/>
  <c r="BW99" s="1"/>
  <c r="M99"/>
  <c r="BG99" s="1"/>
  <c r="X99"/>
  <c r="BS99" s="1"/>
  <c r="Q99"/>
  <c r="BX99" s="1"/>
  <c r="F99"/>
  <c r="BN99" s="1"/>
  <c r="U99"/>
  <c r="BY99" s="1"/>
  <c r="J99"/>
  <c r="BK99" s="1"/>
  <c r="C99"/>
  <c r="BJ99" s="1"/>
  <c r="Y108"/>
  <c r="BR108" s="1"/>
  <c r="R108"/>
  <c r="BV108" s="1"/>
  <c r="E108"/>
  <c r="BJ108" s="1"/>
  <c r="O108"/>
  <c r="BS108" s="1"/>
  <c r="D108"/>
  <c r="BG108" s="1"/>
  <c r="I108"/>
  <c r="BI108" s="1"/>
  <c r="S108"/>
  <c r="BP108" s="1"/>
  <c r="K108"/>
  <c r="BC108" s="1"/>
  <c r="J108"/>
  <c r="BE108" s="1"/>
  <c r="L108"/>
  <c r="BF108" s="1"/>
  <c r="M108"/>
  <c r="BH108" s="1"/>
  <c r="B108"/>
  <c r="P108"/>
  <c r="BW108" s="1"/>
  <c r="Q108"/>
  <c r="BY108" s="1"/>
  <c r="H108"/>
  <c r="BD108" s="1"/>
  <c r="V108"/>
  <c r="BO108" s="1"/>
  <c r="T108"/>
  <c r="BZ108" s="1"/>
  <c r="F108"/>
  <c r="BM108" s="1"/>
  <c r="W108"/>
  <c r="BQ108" s="1"/>
  <c r="U108"/>
  <c r="BU108" s="1"/>
  <c r="C108"/>
  <c r="BK108" s="1"/>
  <c r="X108"/>
  <c r="BT108" s="1"/>
  <c r="N108"/>
  <c r="BX108" s="1"/>
  <c r="G108"/>
  <c r="BN108" s="1"/>
  <c r="V142"/>
  <c r="BX142" s="1"/>
  <c r="E142"/>
  <c r="BG142" s="1"/>
  <c r="F142"/>
  <c r="BC142" s="1"/>
  <c r="T142"/>
  <c r="BZ142" s="1"/>
  <c r="L142"/>
  <c r="BF142" s="1"/>
  <c r="P142"/>
  <c r="BY142" s="1"/>
  <c r="W142"/>
  <c r="BR142" s="1"/>
  <c r="K142"/>
  <c r="BJ142" s="1"/>
  <c r="M142"/>
  <c r="BH142" s="1"/>
  <c r="N142"/>
  <c r="BQ142" s="1"/>
  <c r="C142"/>
  <c r="BM142" s="1"/>
  <c r="Q142"/>
  <c r="BS142" s="1"/>
  <c r="R142"/>
  <c r="BW142" s="1"/>
  <c r="G142"/>
  <c r="BK142" s="1"/>
  <c r="X142"/>
  <c r="BV142" s="1"/>
  <c r="U142"/>
  <c r="BP142" s="1"/>
  <c r="I142"/>
  <c r="BL142" s="1"/>
  <c r="B142"/>
  <c r="Y142"/>
  <c r="BT142" s="1"/>
  <c r="O142"/>
  <c r="BU142" s="1"/>
  <c r="H142"/>
  <c r="BN142" s="1"/>
  <c r="S142"/>
  <c r="BO142" s="1"/>
  <c r="D142"/>
  <c r="BI142" s="1"/>
  <c r="J142"/>
  <c r="BD142" s="1"/>
  <c r="U55"/>
  <c r="BR55" s="1"/>
  <c r="K55"/>
  <c r="BN55" s="1"/>
  <c r="Y55"/>
  <c r="BV55" s="1"/>
  <c r="O55"/>
  <c r="BW55" s="1"/>
  <c r="D55"/>
  <c r="BI55" s="1"/>
  <c r="V55"/>
  <c r="BZ55" s="1"/>
  <c r="S55"/>
  <c r="BQ55" s="1"/>
  <c r="E55"/>
  <c r="BC55" s="1"/>
  <c r="W55"/>
  <c r="BT55" s="1"/>
  <c r="H55"/>
  <c r="BF55" s="1"/>
  <c r="B55"/>
  <c r="X55"/>
  <c r="BX55" s="1"/>
  <c r="L55"/>
  <c r="BJ55" s="1"/>
  <c r="J55"/>
  <c r="BH55" s="1"/>
  <c r="F55"/>
  <c r="BD55" s="1"/>
  <c r="P55"/>
  <c r="BU55" s="1"/>
  <c r="N55"/>
  <c r="BS55" s="1"/>
  <c r="C55"/>
  <c r="BG55" s="1"/>
  <c r="M55"/>
  <c r="BL55" s="1"/>
  <c r="R55"/>
  <c r="BO55" s="1"/>
  <c r="G55"/>
  <c r="BE55" s="1"/>
  <c r="Q55"/>
  <c r="BP55" s="1"/>
  <c r="T55"/>
  <c r="BY55" s="1"/>
  <c r="I55"/>
  <c r="BM55" s="1"/>
  <c r="Y102"/>
  <c r="BQ102" s="1"/>
  <c r="S102"/>
  <c r="BW102" s="1"/>
  <c r="D102"/>
  <c r="BL102" s="1"/>
  <c r="F102"/>
  <c r="BM102" s="1"/>
  <c r="P102"/>
  <c r="BO102" s="1"/>
  <c r="I102"/>
  <c r="BF102" s="1"/>
  <c r="K102"/>
  <c r="BD102" s="1"/>
  <c r="U102"/>
  <c r="BU102" s="1"/>
  <c r="H102"/>
  <c r="BK102" s="1"/>
  <c r="W102"/>
  <c r="BS102" s="1"/>
  <c r="E102"/>
  <c r="BC102" s="1"/>
  <c r="C102"/>
  <c r="BJ102" s="1"/>
  <c r="T102"/>
  <c r="BT102" s="1"/>
  <c r="N102"/>
  <c r="BZ102" s="1"/>
  <c r="G102"/>
  <c r="BH102" s="1"/>
  <c r="M102"/>
  <c r="BE102" s="1"/>
  <c r="R102"/>
  <c r="BY102" s="1"/>
  <c r="J102"/>
  <c r="BI102" s="1"/>
  <c r="Q102"/>
  <c r="BX102" s="1"/>
  <c r="V102"/>
  <c r="BR102" s="1"/>
  <c r="L102"/>
  <c r="BG102" s="1"/>
  <c r="X102"/>
  <c r="BP102" s="1"/>
  <c r="O102"/>
  <c r="BV102" s="1"/>
  <c r="B102"/>
  <c r="R106"/>
  <c r="BZ106" s="1"/>
  <c r="V106"/>
  <c r="BQ106" s="1"/>
  <c r="J106"/>
  <c r="BE106" s="1"/>
  <c r="K106"/>
  <c r="BH106" s="1"/>
  <c r="L106"/>
  <c r="BD106" s="1"/>
  <c r="E106"/>
  <c r="BN106" s="1"/>
  <c r="O106"/>
  <c r="BX106" s="1"/>
  <c r="P106"/>
  <c r="BV106" s="1"/>
  <c r="B106"/>
  <c r="S106"/>
  <c r="BY106" s="1"/>
  <c r="M106"/>
  <c r="BF106" s="1"/>
  <c r="H106"/>
  <c r="BI106" s="1"/>
  <c r="W106"/>
  <c r="BP106" s="1"/>
  <c r="Q106"/>
  <c r="BS106" s="1"/>
  <c r="X106"/>
  <c r="BT106" s="1"/>
  <c r="T106"/>
  <c r="BO106" s="1"/>
  <c r="F106"/>
  <c r="BG106" s="1"/>
  <c r="D106"/>
  <c r="BL106" s="1"/>
  <c r="Y106"/>
  <c r="BR106" s="1"/>
  <c r="U106"/>
  <c r="BU106" s="1"/>
  <c r="C106"/>
  <c r="BJ106" s="1"/>
  <c r="N106"/>
  <c r="BW106" s="1"/>
  <c r="G106"/>
  <c r="BM106" s="1"/>
  <c r="I106"/>
  <c r="BC106" s="1"/>
  <c r="T40"/>
  <c r="BT40" s="1"/>
  <c r="C40"/>
  <c r="BL40" s="1"/>
  <c r="U40"/>
  <c r="BZ40" s="1"/>
  <c r="B40"/>
  <c r="G40"/>
  <c r="BH40" s="1"/>
  <c r="Q40"/>
  <c r="BV40" s="1"/>
  <c r="F40"/>
  <c r="BJ40" s="1"/>
  <c r="M40"/>
  <c r="BI40" s="1"/>
  <c r="N40"/>
  <c r="BR40" s="1"/>
  <c r="O40"/>
  <c r="BY40" s="1"/>
  <c r="D40"/>
  <c r="BM40" s="1"/>
  <c r="R40"/>
  <c r="BQ40" s="1"/>
  <c r="S40"/>
  <c r="BW40" s="1"/>
  <c r="J40"/>
  <c r="BN40" s="1"/>
  <c r="Y40"/>
  <c r="BO40" s="1"/>
  <c r="V40"/>
  <c r="BS40" s="1"/>
  <c r="I40"/>
  <c r="BG40" s="1"/>
  <c r="W40"/>
  <c r="BP40" s="1"/>
  <c r="L40"/>
  <c r="BC40" s="1"/>
  <c r="E40"/>
  <c r="BE40" s="1"/>
  <c r="K40"/>
  <c r="BD40" s="1"/>
  <c r="X40"/>
  <c r="BU40" s="1"/>
  <c r="P40"/>
  <c r="BX40" s="1"/>
  <c r="H40"/>
  <c r="BK40" s="1"/>
  <c r="Y87"/>
  <c r="BO87" s="1"/>
  <c r="O87"/>
  <c r="BU87" s="1"/>
  <c r="E87"/>
  <c r="BM87" s="1"/>
  <c r="V87"/>
  <c r="BW87" s="1"/>
  <c r="S87"/>
  <c r="BQ87" s="1"/>
  <c r="I87"/>
  <c r="BN87" s="1"/>
  <c r="W87"/>
  <c r="BR87" s="1"/>
  <c r="H87"/>
  <c r="BJ87" s="1"/>
  <c r="B87"/>
  <c r="F87"/>
  <c r="BE87" s="1"/>
  <c r="X87"/>
  <c r="BX87" s="1"/>
  <c r="L87"/>
  <c r="BL87" s="1"/>
  <c r="J87"/>
  <c r="BF87" s="1"/>
  <c r="C87"/>
  <c r="BD87" s="1"/>
  <c r="P87"/>
  <c r="BY87" s="1"/>
  <c r="N87"/>
  <c r="BP87" s="1"/>
  <c r="G87"/>
  <c r="BG87" s="1"/>
  <c r="M87"/>
  <c r="BC87" s="1"/>
  <c r="R87"/>
  <c r="BS87" s="1"/>
  <c r="Q87"/>
  <c r="BT87" s="1"/>
  <c r="T87"/>
  <c r="BZ87" s="1"/>
  <c r="U87"/>
  <c r="BV87" s="1"/>
  <c r="K87"/>
  <c r="BK87" s="1"/>
  <c r="D87"/>
  <c r="BH87" s="1"/>
  <c r="Y44"/>
  <c r="BS44" s="1"/>
  <c r="R44"/>
  <c r="BR44" s="1"/>
  <c r="E44"/>
  <c r="BF44" s="1"/>
  <c r="O44"/>
  <c r="BW44" s="1"/>
  <c r="K44"/>
  <c r="BE44" s="1"/>
  <c r="J44"/>
  <c r="BD44" s="1"/>
  <c r="S44"/>
  <c r="BX44" s="1"/>
  <c r="D44"/>
  <c r="BK44" s="1"/>
  <c r="B44"/>
  <c r="L44"/>
  <c r="BI44" s="1"/>
  <c r="M44"/>
  <c r="BG44" s="1"/>
  <c r="H44"/>
  <c r="BC44" s="1"/>
  <c r="P44"/>
  <c r="BY44" s="1"/>
  <c r="Q44"/>
  <c r="BZ44" s="1"/>
  <c r="I44"/>
  <c r="BH44" s="1"/>
  <c r="V44"/>
  <c r="BP44" s="1"/>
  <c r="T44"/>
  <c r="BT44" s="1"/>
  <c r="F44"/>
  <c r="BN44" s="1"/>
  <c r="W44"/>
  <c r="BU44" s="1"/>
  <c r="U44"/>
  <c r="BO44" s="1"/>
  <c r="C44"/>
  <c r="BM44" s="1"/>
  <c r="X44"/>
  <c r="BQ44" s="1"/>
  <c r="N44"/>
  <c r="BV44" s="1"/>
  <c r="G44"/>
  <c r="BL44" s="1"/>
  <c r="J17"/>
  <c r="BH17" s="1"/>
  <c r="S17"/>
  <c r="BS17" s="1"/>
  <c r="G17"/>
  <c r="BF17" s="1"/>
  <c r="N17"/>
  <c r="BV17" s="1"/>
  <c r="H17"/>
  <c r="BK17" s="1"/>
  <c r="D17"/>
  <c r="BN17" s="1"/>
  <c r="R17"/>
  <c r="BR17" s="1"/>
  <c r="L17"/>
  <c r="BC17" s="1"/>
  <c r="E17"/>
  <c r="BM17" s="1"/>
  <c r="V17"/>
  <c r="BT17" s="1"/>
  <c r="P17"/>
  <c r="BY17" s="1"/>
  <c r="B17"/>
  <c r="W17"/>
  <c r="BO17" s="1"/>
  <c r="T17"/>
  <c r="BX17" s="1"/>
  <c r="F17"/>
  <c r="BG17" s="1"/>
  <c r="X17"/>
  <c r="BP17" s="1"/>
  <c r="I17"/>
  <c r="BL17" s="1"/>
  <c r="U17"/>
  <c r="BW17" s="1"/>
  <c r="M17"/>
  <c r="BE17" s="1"/>
  <c r="K17"/>
  <c r="BD17" s="1"/>
  <c r="Y17"/>
  <c r="BQ17" s="1"/>
  <c r="Q17"/>
  <c r="BZ17" s="1"/>
  <c r="O17"/>
  <c r="BU17" s="1"/>
  <c r="C17"/>
  <c r="BJ17" s="1"/>
  <c r="W125"/>
  <c r="BY125" s="1"/>
  <c r="S125"/>
  <c r="BX125" s="1"/>
  <c r="I125"/>
  <c r="BE125" s="1"/>
  <c r="L125"/>
  <c r="BK125" s="1"/>
  <c r="M125"/>
  <c r="BI125" s="1"/>
  <c r="F125"/>
  <c r="BL125" s="1"/>
  <c r="P125"/>
  <c r="BO125" s="1"/>
  <c r="Q125"/>
  <c r="BT125" s="1"/>
  <c r="B125"/>
  <c r="D125"/>
  <c r="BJ125" s="1"/>
  <c r="T125"/>
  <c r="BQ125" s="1"/>
  <c r="J125"/>
  <c r="BM125" s="1"/>
  <c r="V125"/>
  <c r="BS125" s="1"/>
  <c r="X125"/>
  <c r="BU125" s="1"/>
  <c r="N125"/>
  <c r="BR125" s="1"/>
  <c r="G125"/>
  <c r="BD125" s="1"/>
  <c r="H125"/>
  <c r="BN125" s="1"/>
  <c r="E125"/>
  <c r="BH125" s="1"/>
  <c r="U125"/>
  <c r="BZ125" s="1"/>
  <c r="R125"/>
  <c r="BP125" s="1"/>
  <c r="O125"/>
  <c r="BV125" s="1"/>
  <c r="Y125"/>
  <c r="BW125" s="1"/>
  <c r="K125"/>
  <c r="BG125" s="1"/>
  <c r="C125"/>
  <c r="BC125" s="1"/>
  <c r="W122"/>
  <c r="BZ122" s="1"/>
  <c r="Q122"/>
  <c r="BT122" s="1"/>
  <c r="X122"/>
  <c r="BW122" s="1"/>
  <c r="U122"/>
  <c r="BX122" s="1"/>
  <c r="F122"/>
  <c r="BH122" s="1"/>
  <c r="H122"/>
  <c r="BJ122" s="1"/>
  <c r="Y122"/>
  <c r="BY122" s="1"/>
  <c r="N122"/>
  <c r="BR122" s="1"/>
  <c r="C122"/>
  <c r="BF122" s="1"/>
  <c r="I122"/>
  <c r="BI122" s="1"/>
  <c r="R122"/>
  <c r="BQ122" s="1"/>
  <c r="G122"/>
  <c r="BG122" s="1"/>
  <c r="D122"/>
  <c r="BD122" s="1"/>
  <c r="K122"/>
  <c r="BK122" s="1"/>
  <c r="L122"/>
  <c r="BN122" s="1"/>
  <c r="O122"/>
  <c r="BO122" s="1"/>
  <c r="P122"/>
  <c r="BP122" s="1"/>
  <c r="J122"/>
  <c r="BL122" s="1"/>
  <c r="S122"/>
  <c r="BV122" s="1"/>
  <c r="V122"/>
  <c r="BU122" s="1"/>
  <c r="E122"/>
  <c r="BE122" s="1"/>
  <c r="T122"/>
  <c r="BS122" s="1"/>
  <c r="M122"/>
  <c r="BM122" s="1"/>
  <c r="B122"/>
  <c r="Q136"/>
  <c r="BY136" s="1"/>
  <c r="B136"/>
  <c r="G136"/>
  <c r="BN136" s="1"/>
  <c r="N136"/>
  <c r="BX136" s="1"/>
  <c r="F136"/>
  <c r="BM136" s="1"/>
  <c r="D136"/>
  <c r="BG136" s="1"/>
  <c r="R136"/>
  <c r="BT136" s="1"/>
  <c r="I136"/>
  <c r="BF136" s="1"/>
  <c r="J136"/>
  <c r="BI136" s="1"/>
  <c r="T136"/>
  <c r="BZ136" s="1"/>
  <c r="O136"/>
  <c r="BS136" s="1"/>
  <c r="K136"/>
  <c r="BJ136" s="1"/>
  <c r="Y136"/>
  <c r="BO136" s="1"/>
  <c r="S136"/>
  <c r="BQ136" s="1"/>
  <c r="E136"/>
  <c r="BH136" s="1"/>
  <c r="V136"/>
  <c r="BR136" s="1"/>
  <c r="L136"/>
  <c r="BC136" s="1"/>
  <c r="H136"/>
  <c r="BE136" s="1"/>
  <c r="W136"/>
  <c r="BV136" s="1"/>
  <c r="P136"/>
  <c r="BW136" s="1"/>
  <c r="M136"/>
  <c r="BD136" s="1"/>
  <c r="X136"/>
  <c r="BP136" s="1"/>
  <c r="U136"/>
  <c r="BU136" s="1"/>
  <c r="C136"/>
  <c r="BK136" s="1"/>
  <c r="K83"/>
  <c r="BF83" s="1"/>
  <c r="P83"/>
  <c r="BZ83" s="1"/>
  <c r="O83"/>
  <c r="BY83" s="1"/>
  <c r="I83"/>
  <c r="BC83" s="1"/>
  <c r="B83"/>
  <c r="S83"/>
  <c r="BU83" s="1"/>
  <c r="M83"/>
  <c r="BL83" s="1"/>
  <c r="W83"/>
  <c r="BR83" s="1"/>
  <c r="Q83"/>
  <c r="BP83" s="1"/>
  <c r="F83"/>
  <c r="BI83" s="1"/>
  <c r="X83"/>
  <c r="BX83" s="1"/>
  <c r="J83"/>
  <c r="BH83" s="1"/>
  <c r="H83"/>
  <c r="BE83" s="1"/>
  <c r="U83"/>
  <c r="BT83" s="1"/>
  <c r="N83"/>
  <c r="BS83" s="1"/>
  <c r="C83"/>
  <c r="BG83" s="1"/>
  <c r="Y83"/>
  <c r="BV83" s="1"/>
  <c r="R83"/>
  <c r="BW83" s="1"/>
  <c r="G83"/>
  <c r="BK83" s="1"/>
  <c r="D83"/>
  <c r="BD83" s="1"/>
  <c r="V83"/>
  <c r="BO83" s="1"/>
  <c r="T83"/>
  <c r="BQ83" s="1"/>
  <c r="L83"/>
  <c r="BJ83" s="1"/>
  <c r="E83"/>
  <c r="BN83" s="1"/>
  <c r="CE11" i="85"/>
  <c r="CC139"/>
  <c r="AE151" i="87"/>
  <c r="AB150" i="88" s="1"/>
  <c r="CC67" i="85"/>
  <c r="CC111"/>
  <c r="O107" i="88"/>
  <c r="BX107" s="1"/>
  <c r="I107"/>
  <c r="BC107" s="1"/>
  <c r="B107"/>
  <c r="S107"/>
  <c r="BY107" s="1"/>
  <c r="M107"/>
  <c r="BH107" s="1"/>
  <c r="H107"/>
  <c r="BI107" s="1"/>
  <c r="W107"/>
  <c r="BQ107" s="1"/>
  <c r="Q107"/>
  <c r="BS107" s="1"/>
  <c r="X107"/>
  <c r="BT107" s="1"/>
  <c r="T107"/>
  <c r="BU107" s="1"/>
  <c r="F107"/>
  <c r="BM107" s="1"/>
  <c r="U107"/>
  <c r="BP107" s="1"/>
  <c r="J107"/>
  <c r="BD107" s="1"/>
  <c r="C107"/>
  <c r="BK107" s="1"/>
  <c r="Y107"/>
  <c r="BR107" s="1"/>
  <c r="N107"/>
  <c r="BW107" s="1"/>
  <c r="G107"/>
  <c r="BN107" s="1"/>
  <c r="D107"/>
  <c r="BG107" s="1"/>
  <c r="V107"/>
  <c r="BO107" s="1"/>
  <c r="R107"/>
  <c r="BZ107" s="1"/>
  <c r="L107"/>
  <c r="BF107" s="1"/>
  <c r="E107"/>
  <c r="BJ107" s="1"/>
  <c r="K107"/>
  <c r="BE107" s="1"/>
  <c r="P107"/>
  <c r="BV107" s="1"/>
  <c r="V63"/>
  <c r="BS63" s="1"/>
  <c r="T63"/>
  <c r="BW63" s="1"/>
  <c r="E63"/>
  <c r="BI63" s="1"/>
  <c r="W63"/>
  <c r="BV63" s="1"/>
  <c r="H63"/>
  <c r="BN63" s="1"/>
  <c r="B63"/>
  <c r="X63"/>
  <c r="BY63" s="1"/>
  <c r="L63"/>
  <c r="BM63" s="1"/>
  <c r="J63"/>
  <c r="BJ63" s="1"/>
  <c r="F63"/>
  <c r="BF63" s="1"/>
  <c r="P63"/>
  <c r="BU63" s="1"/>
  <c r="N63"/>
  <c r="BT63" s="1"/>
  <c r="C63"/>
  <c r="BH63" s="1"/>
  <c r="M63"/>
  <c r="BC63" s="1"/>
  <c r="R63"/>
  <c r="BP63" s="1"/>
  <c r="G63"/>
  <c r="BD63" s="1"/>
  <c r="Q63"/>
  <c r="BX63" s="1"/>
  <c r="K63"/>
  <c r="BG63" s="1"/>
  <c r="U63"/>
  <c r="BZ63" s="1"/>
  <c r="O63"/>
  <c r="BQ63" s="1"/>
  <c r="D63"/>
  <c r="BL63" s="1"/>
  <c r="Y63"/>
  <c r="BO63" s="1"/>
  <c r="S63"/>
  <c r="BR63" s="1"/>
  <c r="I63"/>
  <c r="BK63" s="1"/>
  <c r="W132"/>
  <c r="BU132" s="1"/>
  <c r="N132"/>
  <c r="BT132" s="1"/>
  <c r="G132"/>
  <c r="BJ132" s="1"/>
  <c r="X132"/>
  <c r="BP132" s="1"/>
  <c r="R132"/>
  <c r="BR132" s="1"/>
  <c r="J132"/>
  <c r="BI132" s="1"/>
  <c r="H132"/>
  <c r="BG132" s="1"/>
  <c r="Y132"/>
  <c r="BQ132" s="1"/>
  <c r="O132"/>
  <c r="BW132" s="1"/>
  <c r="S132"/>
  <c r="BS132" s="1"/>
  <c r="K132"/>
  <c r="BC132" s="1"/>
  <c r="E132"/>
  <c r="BF132" s="1"/>
  <c r="U132"/>
  <c r="BY132" s="1"/>
  <c r="D132"/>
  <c r="BK132" s="1"/>
  <c r="B132"/>
  <c r="V132"/>
  <c r="BO132" s="1"/>
  <c r="M132"/>
  <c r="BD132" s="1"/>
  <c r="I132"/>
  <c r="BM132" s="1"/>
  <c r="L132"/>
  <c r="BE132" s="1"/>
  <c r="Q132"/>
  <c r="BX132" s="1"/>
  <c r="F132"/>
  <c r="BL132" s="1"/>
  <c r="P132"/>
  <c r="BZ132" s="1"/>
  <c r="T132"/>
  <c r="BV132" s="1"/>
  <c r="C132"/>
  <c r="BN132" s="1"/>
  <c r="T69"/>
  <c r="BQ69" s="1"/>
  <c r="J69"/>
  <c r="BM69" s="1"/>
  <c r="F69"/>
  <c r="BH69" s="1"/>
  <c r="X69"/>
  <c r="BU69" s="1"/>
  <c r="N69"/>
  <c r="BR69" s="1"/>
  <c r="P69"/>
  <c r="BX69" s="1"/>
  <c r="U69"/>
  <c r="BP69" s="1"/>
  <c r="R69"/>
  <c r="BT69" s="1"/>
  <c r="Y69"/>
  <c r="BW69" s="1"/>
  <c r="K69"/>
  <c r="BG69" s="1"/>
  <c r="G69"/>
  <c r="BE69" s="1"/>
  <c r="H69"/>
  <c r="BC69" s="1"/>
  <c r="V69"/>
  <c r="BS69" s="1"/>
  <c r="O69"/>
  <c r="BZ69" s="1"/>
  <c r="W69"/>
  <c r="BY69" s="1"/>
  <c r="S69"/>
  <c r="BO69" s="1"/>
  <c r="I69"/>
  <c r="BD69" s="1"/>
  <c r="C69"/>
  <c r="BF69" s="1"/>
  <c r="Q69"/>
  <c r="BV69" s="1"/>
  <c r="E69"/>
  <c r="BL69" s="1"/>
  <c r="B69"/>
  <c r="L69"/>
  <c r="BK69" s="1"/>
  <c r="M69"/>
  <c r="BI69" s="1"/>
  <c r="D69"/>
  <c r="BJ69" s="1"/>
  <c r="W90"/>
  <c r="BO90" s="1"/>
  <c r="Q90"/>
  <c r="BV90" s="1"/>
  <c r="X90"/>
  <c r="BZ90" s="1"/>
  <c r="U90"/>
  <c r="BS90" s="1"/>
  <c r="F90"/>
  <c r="BJ90" s="1"/>
  <c r="H90"/>
  <c r="BF90" s="1"/>
  <c r="Y90"/>
  <c r="BX90" s="1"/>
  <c r="N90"/>
  <c r="BT90" s="1"/>
  <c r="C90"/>
  <c r="BI90" s="1"/>
  <c r="D90"/>
  <c r="BE90" s="1"/>
  <c r="R90"/>
  <c r="BP90" s="1"/>
  <c r="G90"/>
  <c r="BM90" s="1"/>
  <c r="V90"/>
  <c r="BW90" s="1"/>
  <c r="K90"/>
  <c r="BK90" s="1"/>
  <c r="J90"/>
  <c r="BC90" s="1"/>
  <c r="O90"/>
  <c r="BQ90" s="1"/>
  <c r="L90"/>
  <c r="BL90" s="1"/>
  <c r="E90"/>
  <c r="BD90" s="1"/>
  <c r="S90"/>
  <c r="BR90" s="1"/>
  <c r="P90"/>
  <c r="BU90" s="1"/>
  <c r="B90"/>
  <c r="T90"/>
  <c r="BY90" s="1"/>
  <c r="M90"/>
  <c r="BN90" s="1"/>
  <c r="I90"/>
  <c r="BG90" s="1"/>
  <c r="Q126"/>
  <c r="BT126" s="1"/>
  <c r="R126"/>
  <c r="BX126" s="1"/>
  <c r="G126"/>
  <c r="BD126" s="1"/>
  <c r="X126"/>
  <c r="BS126" s="1"/>
  <c r="U126"/>
  <c r="BY126" s="1"/>
  <c r="H126"/>
  <c r="BN126" s="1"/>
  <c r="B126"/>
  <c r="Y126"/>
  <c r="BU126" s="1"/>
  <c r="W126"/>
  <c r="BW126" s="1"/>
  <c r="J126"/>
  <c r="BM126" s="1"/>
  <c r="O126"/>
  <c r="BR126" s="1"/>
  <c r="D126"/>
  <c r="BH126" s="1"/>
  <c r="K126"/>
  <c r="BG126" s="1"/>
  <c r="S126"/>
  <c r="BZ126" s="1"/>
  <c r="I126"/>
  <c r="BE126" s="1"/>
  <c r="F126"/>
  <c r="BL126" s="1"/>
  <c r="T126"/>
  <c r="BP126" s="1"/>
  <c r="E126"/>
  <c r="BC126" s="1"/>
  <c r="L126"/>
  <c r="BK126" s="1"/>
  <c r="P126"/>
  <c r="BO126" s="1"/>
  <c r="V126"/>
  <c r="BQ126" s="1"/>
  <c r="M126"/>
  <c r="BI126" s="1"/>
  <c r="N126"/>
  <c r="BV126" s="1"/>
  <c r="C126"/>
  <c r="BF126" s="1"/>
  <c r="U20"/>
  <c r="BO20" s="1"/>
  <c r="D20"/>
  <c r="BG20" s="1"/>
  <c r="K20"/>
  <c r="BF20" s="1"/>
  <c r="L20"/>
  <c r="BE20" s="1"/>
  <c r="M20"/>
  <c r="BD20" s="1"/>
  <c r="F20"/>
  <c r="BK20" s="1"/>
  <c r="P20"/>
  <c r="BU20" s="1"/>
  <c r="Q20"/>
  <c r="BW20" s="1"/>
  <c r="H20"/>
  <c r="BC20" s="1"/>
  <c r="T20"/>
  <c r="BX20" s="1"/>
  <c r="N20"/>
  <c r="BZ20" s="1"/>
  <c r="I20"/>
  <c r="BL20" s="1"/>
  <c r="W20"/>
  <c r="BQ20" s="1"/>
  <c r="R20"/>
  <c r="BV20" s="1"/>
  <c r="C20"/>
  <c r="BI20" s="1"/>
  <c r="X20"/>
  <c r="BR20" s="1"/>
  <c r="V20"/>
  <c r="BT20" s="1"/>
  <c r="G20"/>
  <c r="BM20" s="1"/>
  <c r="Y20"/>
  <c r="BP20" s="1"/>
  <c r="O20"/>
  <c r="BS20" s="1"/>
  <c r="J20"/>
  <c r="BH20" s="1"/>
  <c r="E20"/>
  <c r="BJ20" s="1"/>
  <c r="S20"/>
  <c r="BY20" s="1"/>
  <c r="B20"/>
  <c r="V123"/>
  <c r="BU123" s="1"/>
  <c r="K123"/>
  <c r="BI123" s="1"/>
  <c r="L123"/>
  <c r="BM123" s="1"/>
  <c r="E123"/>
  <c r="BD123" s="1"/>
  <c r="O123"/>
  <c r="BR123" s="1"/>
  <c r="P123"/>
  <c r="BP123" s="1"/>
  <c r="S123"/>
  <c r="BV123" s="1"/>
  <c r="I123"/>
  <c r="BG123" s="1"/>
  <c r="B123"/>
  <c r="T123"/>
  <c r="BS123" s="1"/>
  <c r="M123"/>
  <c r="BK123" s="1"/>
  <c r="W123"/>
  <c r="BZ123" s="1"/>
  <c r="Q123"/>
  <c r="BT123" s="1"/>
  <c r="F123"/>
  <c r="BJ123" s="1"/>
  <c r="X123"/>
  <c r="BW123" s="1"/>
  <c r="J123"/>
  <c r="BN123" s="1"/>
  <c r="C123"/>
  <c r="BF123" s="1"/>
  <c r="U123"/>
  <c r="BX123" s="1"/>
  <c r="N123"/>
  <c r="BO123" s="1"/>
  <c r="G123"/>
  <c r="BE123" s="1"/>
  <c r="Y123"/>
  <c r="BY123" s="1"/>
  <c r="R123"/>
  <c r="BQ123" s="1"/>
  <c r="H123"/>
  <c r="BL123" s="1"/>
  <c r="D123"/>
  <c r="BH123" s="1"/>
  <c r="Q47"/>
  <c r="BO47" s="1"/>
  <c r="R47"/>
  <c r="BV47" s="1"/>
  <c r="G47"/>
  <c r="BL47" s="1"/>
  <c r="T47"/>
  <c r="BT47" s="1"/>
  <c r="K47"/>
  <c r="BF47" s="1"/>
  <c r="U47"/>
  <c r="BU47" s="1"/>
  <c r="O47"/>
  <c r="BZ47" s="1"/>
  <c r="D47"/>
  <c r="BM47" s="1"/>
  <c r="Y47"/>
  <c r="BQ47" s="1"/>
  <c r="S47"/>
  <c r="BX47" s="1"/>
  <c r="E47"/>
  <c r="BJ47" s="1"/>
  <c r="V47"/>
  <c r="BR47" s="1"/>
  <c r="H47"/>
  <c r="BI47" s="1"/>
  <c r="B47"/>
  <c r="W47"/>
  <c r="BS47" s="1"/>
  <c r="L47"/>
  <c r="BE47" s="1"/>
  <c r="I47"/>
  <c r="BH47" s="1"/>
  <c r="X47"/>
  <c r="BP47" s="1"/>
  <c r="P47"/>
  <c r="BY47" s="1"/>
  <c r="J47"/>
  <c r="BG47" s="1"/>
  <c r="F47"/>
  <c r="BC47" s="1"/>
  <c r="M47"/>
  <c r="BD47" s="1"/>
  <c r="N47"/>
  <c r="BW47" s="1"/>
  <c r="C47"/>
  <c r="BK47" s="1"/>
  <c r="V54"/>
  <c r="BZ54" s="1"/>
  <c r="J54"/>
  <c r="BF54" s="1"/>
  <c r="F54"/>
  <c r="BE54" s="1"/>
  <c r="W54"/>
  <c r="BT54" s="1"/>
  <c r="D54"/>
  <c r="BI54" s="1"/>
  <c r="K54"/>
  <c r="BL54" s="1"/>
  <c r="P54"/>
  <c r="BO54" s="1"/>
  <c r="E54"/>
  <c r="BC54" s="1"/>
  <c r="U54"/>
  <c r="BR54" s="1"/>
  <c r="N54"/>
  <c r="BS54" s="1"/>
  <c r="H54"/>
  <c r="BD54" s="1"/>
  <c r="M54"/>
  <c r="BJ54" s="1"/>
  <c r="R54"/>
  <c r="BQ54" s="1"/>
  <c r="L54"/>
  <c r="BH54" s="1"/>
  <c r="Q54"/>
  <c r="BU54" s="1"/>
  <c r="T54"/>
  <c r="BY54" s="1"/>
  <c r="C54"/>
  <c r="BK54" s="1"/>
  <c r="X54"/>
  <c r="BX54" s="1"/>
  <c r="O54"/>
  <c r="BW54" s="1"/>
  <c r="G54"/>
  <c r="BM54" s="1"/>
  <c r="Y54"/>
  <c r="BV54" s="1"/>
  <c r="S54"/>
  <c r="BP54" s="1"/>
  <c r="I54"/>
  <c r="BN54" s="1"/>
  <c r="B54"/>
  <c r="R58"/>
  <c r="BS58" s="1"/>
  <c r="K58"/>
  <c r="BM58" s="1"/>
  <c r="D58"/>
  <c r="BI58" s="1"/>
  <c r="O58"/>
  <c r="BU58" s="1"/>
  <c r="L58"/>
  <c r="BL58" s="1"/>
  <c r="S58"/>
  <c r="BQ58" s="1"/>
  <c r="P58"/>
  <c r="BW58" s="1"/>
  <c r="J58"/>
  <c r="BJ58" s="1"/>
  <c r="T58"/>
  <c r="BO58" s="1"/>
  <c r="V58"/>
  <c r="BV58" s="1"/>
  <c r="E58"/>
  <c r="BG58" s="1"/>
  <c r="W58"/>
  <c r="BX58" s="1"/>
  <c r="M58"/>
  <c r="BN58" s="1"/>
  <c r="B58"/>
  <c r="X58"/>
  <c r="BY58" s="1"/>
  <c r="Q58"/>
  <c r="BT58" s="1"/>
  <c r="F58"/>
  <c r="BH58" s="1"/>
  <c r="Y58"/>
  <c r="BZ58" s="1"/>
  <c r="U58"/>
  <c r="BR58" s="1"/>
  <c r="C58"/>
  <c r="BK58" s="1"/>
  <c r="H58"/>
  <c r="BF58" s="1"/>
  <c r="N58"/>
  <c r="BP58" s="1"/>
  <c r="G58"/>
  <c r="BE58" s="1"/>
  <c r="I58"/>
  <c r="BC58" s="1"/>
  <c r="W36"/>
  <c r="BZ36" s="1"/>
  <c r="R36"/>
  <c r="BS36" s="1"/>
  <c r="C36"/>
  <c r="BH36" s="1"/>
  <c r="X36"/>
  <c r="BU36" s="1"/>
  <c r="V36"/>
  <c r="BO36" s="1"/>
  <c r="G36"/>
  <c r="BD36" s="1"/>
  <c r="H36"/>
  <c r="BM36" s="1"/>
  <c r="Y36"/>
  <c r="BW36" s="1"/>
  <c r="O36"/>
  <c r="BX36" s="1"/>
  <c r="J36"/>
  <c r="BN36" s="1"/>
  <c r="I36"/>
  <c r="BJ36" s="1"/>
  <c r="S36"/>
  <c r="BY36" s="1"/>
  <c r="U36"/>
  <c r="BV36" s="1"/>
  <c r="D36"/>
  <c r="BL36" s="1"/>
  <c r="E36"/>
  <c r="BG36" s="1"/>
  <c r="L36"/>
  <c r="BK36" s="1"/>
  <c r="M36"/>
  <c r="BI36" s="1"/>
  <c r="B36"/>
  <c r="P36"/>
  <c r="BT36" s="1"/>
  <c r="Q36"/>
  <c r="BR36" s="1"/>
  <c r="K36"/>
  <c r="BC36" s="1"/>
  <c r="T36"/>
  <c r="BP36" s="1"/>
  <c r="N36"/>
  <c r="BQ36" s="1"/>
  <c r="F36"/>
  <c r="BF36" s="1"/>
  <c r="Y6"/>
  <c r="BW6" s="1"/>
  <c r="O6"/>
  <c r="BP6" s="1"/>
  <c r="J6"/>
  <c r="BN6" s="1"/>
  <c r="B6"/>
  <c r="S6"/>
  <c r="BX6" s="1"/>
  <c r="D6"/>
  <c r="BF6" s="1"/>
  <c r="H6"/>
  <c r="BL6" s="1"/>
  <c r="P6"/>
  <c r="BO6" s="1"/>
  <c r="I6"/>
  <c r="BG6" s="1"/>
  <c r="L6"/>
  <c r="BM6" s="1"/>
  <c r="T6"/>
  <c r="BQ6" s="1"/>
  <c r="E6"/>
  <c r="BC6" s="1"/>
  <c r="F6"/>
  <c r="BJ6" s="1"/>
  <c r="U6"/>
  <c r="BZ6" s="1"/>
  <c r="N6"/>
  <c r="BT6" s="1"/>
  <c r="K6"/>
  <c r="BI6" s="1"/>
  <c r="M6"/>
  <c r="BK6" s="1"/>
  <c r="R6"/>
  <c r="BV6" s="1"/>
  <c r="Q6"/>
  <c r="BR6" s="1"/>
  <c r="W6"/>
  <c r="BY6" s="1"/>
  <c r="C6"/>
  <c r="BD6" s="1"/>
  <c r="X6"/>
  <c r="BU6" s="1"/>
  <c r="V6"/>
  <c r="BS6" s="1"/>
  <c r="G6"/>
  <c r="BE6" s="1"/>
  <c r="S116"/>
  <c r="BS116" s="1"/>
  <c r="D116"/>
  <c r="BF116" s="1"/>
  <c r="F116"/>
  <c r="BE116" s="1"/>
  <c r="U116"/>
  <c r="BO116" s="1"/>
  <c r="M116"/>
  <c r="BJ116" s="1"/>
  <c r="H116"/>
  <c r="BC116" s="1"/>
  <c r="L116"/>
  <c r="BH116" s="1"/>
  <c r="Q116"/>
  <c r="BQ116" s="1"/>
  <c r="I116"/>
  <c r="BK116" s="1"/>
  <c r="P116"/>
  <c r="BP116" s="1"/>
  <c r="N116"/>
  <c r="BU116" s="1"/>
  <c r="K116"/>
  <c r="BL116" s="1"/>
  <c r="W116"/>
  <c r="BT116" s="1"/>
  <c r="R116"/>
  <c r="BY116" s="1"/>
  <c r="C116"/>
  <c r="BD116" s="1"/>
  <c r="X116"/>
  <c r="BX116" s="1"/>
  <c r="T116"/>
  <c r="BW116" s="1"/>
  <c r="G116"/>
  <c r="BG116" s="1"/>
  <c r="Y116"/>
  <c r="BV116" s="1"/>
  <c r="V116"/>
  <c r="BZ116" s="1"/>
  <c r="J116"/>
  <c r="BN116" s="1"/>
  <c r="E116"/>
  <c r="BM116" s="1"/>
  <c r="O116"/>
  <c r="BR116" s="1"/>
  <c r="B116"/>
  <c r="Q94"/>
  <c r="BT94" s="1"/>
  <c r="U94"/>
  <c r="BX94" s="1"/>
  <c r="H94"/>
  <c r="BG94" s="1"/>
  <c r="X94"/>
  <c r="BW94" s="1"/>
  <c r="O94"/>
  <c r="BR94" s="1"/>
  <c r="B94"/>
  <c r="Y94"/>
  <c r="BY94" s="1"/>
  <c r="S94"/>
  <c r="BO94" s="1"/>
  <c r="D94"/>
  <c r="BF94" s="1"/>
  <c r="J94"/>
  <c r="BL94" s="1"/>
  <c r="T94"/>
  <c r="BS94" s="1"/>
  <c r="K94"/>
  <c r="BK94" s="1"/>
  <c r="F94"/>
  <c r="BC94" s="1"/>
  <c r="V94"/>
  <c r="BU94" s="1"/>
  <c r="L94"/>
  <c r="BN94" s="1"/>
  <c r="P94"/>
  <c r="BQ94" s="1"/>
  <c r="E94"/>
  <c r="BH94" s="1"/>
  <c r="I94"/>
  <c r="BI94" s="1"/>
  <c r="W94"/>
  <c r="BZ94" s="1"/>
  <c r="N94"/>
  <c r="BV94" s="1"/>
  <c r="C94"/>
  <c r="BE94" s="1"/>
  <c r="M94"/>
  <c r="BM94" s="1"/>
  <c r="R94"/>
  <c r="BP94" s="1"/>
  <c r="G94"/>
  <c r="BD94" s="1"/>
  <c r="Y98"/>
  <c r="BU98" s="1"/>
  <c r="V98"/>
  <c r="BQ98" s="1"/>
  <c r="C98"/>
  <c r="BJ98" s="1"/>
  <c r="N98"/>
  <c r="BV98" s="1"/>
  <c r="G98"/>
  <c r="BD98" s="1"/>
  <c r="H98"/>
  <c r="BN98" s="1"/>
  <c r="R98"/>
  <c r="BR98" s="1"/>
  <c r="I98"/>
  <c r="BE98" s="1"/>
  <c r="E98"/>
  <c r="BF98" s="1"/>
  <c r="O98"/>
  <c r="BO98" s="1"/>
  <c r="L98"/>
  <c r="BK98" s="1"/>
  <c r="K98"/>
  <c r="BG98" s="1"/>
  <c r="S98"/>
  <c r="BZ98" s="1"/>
  <c r="P98"/>
  <c r="BT98" s="1"/>
  <c r="B98"/>
  <c r="U98"/>
  <c r="BY98" s="1"/>
  <c r="T98"/>
  <c r="BP98" s="1"/>
  <c r="W98"/>
  <c r="BW98" s="1"/>
  <c r="M98"/>
  <c r="BI98" s="1"/>
  <c r="F98"/>
  <c r="BL98" s="1"/>
  <c r="X98"/>
  <c r="BS98" s="1"/>
  <c r="Q98"/>
  <c r="BX98" s="1"/>
  <c r="J98"/>
  <c r="BM98" s="1"/>
  <c r="D98"/>
  <c r="BH98" s="1"/>
  <c r="CE15" i="85"/>
  <c r="CC119"/>
  <c r="CC55"/>
  <c r="CE39"/>
  <c r="CC83"/>
  <c r="CC103"/>
  <c r="CC51"/>
  <c r="CD51"/>
  <c r="CE43"/>
  <c r="CF43"/>
  <c r="Y75" i="88"/>
  <c r="BQ75" s="1"/>
  <c r="N75"/>
  <c r="BO75" s="1"/>
  <c r="G75"/>
  <c r="BJ75" s="1"/>
  <c r="V75"/>
  <c r="BR75" s="1"/>
  <c r="R75"/>
  <c r="BV75" s="1"/>
  <c r="L75"/>
  <c r="BE75" s="1"/>
  <c r="D75"/>
  <c r="BM75" s="1"/>
  <c r="K75"/>
  <c r="BF75" s="1"/>
  <c r="P75"/>
  <c r="BX75" s="1"/>
  <c r="E75"/>
  <c r="BL75" s="1"/>
  <c r="O75"/>
  <c r="BZ75" s="1"/>
  <c r="I75"/>
  <c r="BH75" s="1"/>
  <c r="S75"/>
  <c r="BW75" s="1"/>
  <c r="M75"/>
  <c r="BD75" s="1"/>
  <c r="B75"/>
  <c r="W75"/>
  <c r="BS75" s="1"/>
  <c r="Q75"/>
  <c r="BY75" s="1"/>
  <c r="H75"/>
  <c r="BI75" s="1"/>
  <c r="X75"/>
  <c r="BP75" s="1"/>
  <c r="T75"/>
  <c r="BT75" s="1"/>
  <c r="F75"/>
  <c r="BK75" s="1"/>
  <c r="U75"/>
  <c r="BU75" s="1"/>
  <c r="J75"/>
  <c r="BG75" s="1"/>
  <c r="C75"/>
  <c r="BN75" s="1"/>
  <c r="C97"/>
  <c r="BF97" s="1"/>
  <c r="T97"/>
  <c r="BQ97" s="1"/>
  <c r="I97"/>
  <c r="BE97" s="1"/>
  <c r="F97"/>
  <c r="BL97" s="1"/>
  <c r="X97"/>
  <c r="BU97" s="1"/>
  <c r="M97"/>
  <c r="BI97" s="1"/>
  <c r="U97"/>
  <c r="BZ97" s="1"/>
  <c r="Q97"/>
  <c r="BT97" s="1"/>
  <c r="K97"/>
  <c r="BG97" s="1"/>
  <c r="P97"/>
  <c r="BR97" s="1"/>
  <c r="Y97"/>
  <c r="BW97" s="1"/>
  <c r="J97"/>
  <c r="BM97" s="1"/>
  <c r="O97"/>
  <c r="BO97" s="1"/>
  <c r="N97"/>
  <c r="BV97" s="1"/>
  <c r="S97"/>
  <c r="BX97" s="1"/>
  <c r="R97"/>
  <c r="BP97" s="1"/>
  <c r="H97"/>
  <c r="BN97" s="1"/>
  <c r="E97"/>
  <c r="BH97" s="1"/>
  <c r="D97"/>
  <c r="BC97" s="1"/>
  <c r="G97"/>
  <c r="BD97" s="1"/>
  <c r="V97"/>
  <c r="BS97" s="1"/>
  <c r="L97"/>
  <c r="BK97" s="1"/>
  <c r="B97"/>
  <c r="W97"/>
  <c r="BY97" s="1"/>
  <c r="X39"/>
  <c r="BU39" s="1"/>
  <c r="P39"/>
  <c r="BQ39" s="1"/>
  <c r="J39"/>
  <c r="BN39" s="1"/>
  <c r="F39"/>
  <c r="BJ39" s="1"/>
  <c r="T39"/>
  <c r="BS39" s="1"/>
  <c r="N39"/>
  <c r="BX39" s="1"/>
  <c r="C39"/>
  <c r="BL39" s="1"/>
  <c r="M39"/>
  <c r="BC39" s="1"/>
  <c r="R39"/>
  <c r="BT39" s="1"/>
  <c r="G39"/>
  <c r="BH39" s="1"/>
  <c r="Q39"/>
  <c r="BY39" s="1"/>
  <c r="K39"/>
  <c r="BD39" s="1"/>
  <c r="U39"/>
  <c r="BW39" s="1"/>
  <c r="O39"/>
  <c r="BR39" s="1"/>
  <c r="D39"/>
  <c r="BM39" s="1"/>
  <c r="Y39"/>
  <c r="BO39" s="1"/>
  <c r="S39"/>
  <c r="BV39" s="1"/>
  <c r="I39"/>
  <c r="BG39" s="1"/>
  <c r="V39"/>
  <c r="BP39" s="1"/>
  <c r="H39"/>
  <c r="BK39" s="1"/>
  <c r="E39"/>
  <c r="BE39" s="1"/>
  <c r="W39"/>
  <c r="BZ39" s="1"/>
  <c r="L39"/>
  <c r="BI39" s="1"/>
  <c r="B39"/>
  <c r="W110"/>
  <c r="BQ110" s="1"/>
  <c r="K110"/>
  <c r="BE110" s="1"/>
  <c r="J110"/>
  <c r="BF110" s="1"/>
  <c r="P110"/>
  <c r="BX110" s="1"/>
  <c r="E110"/>
  <c r="BK110" s="1"/>
  <c r="F110"/>
  <c r="BD110" s="1"/>
  <c r="V110"/>
  <c r="BZ110" s="1"/>
  <c r="T110"/>
  <c r="BV110" s="1"/>
  <c r="M110"/>
  <c r="BC110" s="1"/>
  <c r="N110"/>
  <c r="BS110" s="1"/>
  <c r="C110"/>
  <c r="BL110" s="1"/>
  <c r="Q110"/>
  <c r="BP110" s="1"/>
  <c r="R110"/>
  <c r="BW110" s="1"/>
  <c r="G110"/>
  <c r="BJ110" s="1"/>
  <c r="X110"/>
  <c r="BO110" s="1"/>
  <c r="U110"/>
  <c r="BR110" s="1"/>
  <c r="L110"/>
  <c r="BH110" s="1"/>
  <c r="B110"/>
  <c r="Y110"/>
  <c r="BT110" s="1"/>
  <c r="O110"/>
  <c r="BY110" s="1"/>
  <c r="H110"/>
  <c r="BI110" s="1"/>
  <c r="S110"/>
  <c r="BU110" s="1"/>
  <c r="D110"/>
  <c r="BM110" s="1"/>
  <c r="I110"/>
  <c r="BN110" s="1"/>
  <c r="X95"/>
  <c r="BW95" s="1"/>
  <c r="L95"/>
  <c r="BM95" s="1"/>
  <c r="J95"/>
  <c r="BN95" s="1"/>
  <c r="I95"/>
  <c r="BG95" s="1"/>
  <c r="P95"/>
  <c r="BT95" s="1"/>
  <c r="N95"/>
  <c r="BV95" s="1"/>
  <c r="C95"/>
  <c r="BJ95" s="1"/>
  <c r="M95"/>
  <c r="BK95" s="1"/>
  <c r="R95"/>
  <c r="BQ95" s="1"/>
  <c r="G95"/>
  <c r="BD95" s="1"/>
  <c r="Q95"/>
  <c r="BO95" s="1"/>
  <c r="K95"/>
  <c r="BI95" s="1"/>
  <c r="U95"/>
  <c r="BX95" s="1"/>
  <c r="O95"/>
  <c r="BR95" s="1"/>
  <c r="Y95"/>
  <c r="BY95" s="1"/>
  <c r="S95"/>
  <c r="BP95" s="1"/>
  <c r="D95"/>
  <c r="BH95" s="1"/>
  <c r="V95"/>
  <c r="BU95" s="1"/>
  <c r="T95"/>
  <c r="BS95" s="1"/>
  <c r="E95"/>
  <c r="BE95" s="1"/>
  <c r="W95"/>
  <c r="BZ95" s="1"/>
  <c r="H95"/>
  <c r="BL95" s="1"/>
  <c r="B95"/>
  <c r="F95"/>
  <c r="BC95" s="1"/>
  <c r="W61"/>
  <c r="BZ61" s="1"/>
  <c r="S61"/>
  <c r="BX61" s="1"/>
  <c r="I61"/>
  <c r="BG61" s="1"/>
  <c r="L61"/>
  <c r="BN61" s="1"/>
  <c r="M61"/>
  <c r="BM61" s="1"/>
  <c r="B61"/>
  <c r="F61"/>
  <c r="BL61" s="1"/>
  <c r="P61"/>
  <c r="BP61" s="1"/>
  <c r="Q61"/>
  <c r="BQ61" s="1"/>
  <c r="T61"/>
  <c r="BS61" s="1"/>
  <c r="J61"/>
  <c r="BJ61" s="1"/>
  <c r="V61"/>
  <c r="BV61" s="1"/>
  <c r="D61"/>
  <c r="BE61" s="1"/>
  <c r="X61"/>
  <c r="BO61" s="1"/>
  <c r="N61"/>
  <c r="BU61" s="1"/>
  <c r="G61"/>
  <c r="BK61" s="1"/>
  <c r="U61"/>
  <c r="BR61" s="1"/>
  <c r="R61"/>
  <c r="BW61" s="1"/>
  <c r="E61"/>
  <c r="BD61" s="1"/>
  <c r="Y61"/>
  <c r="BY61" s="1"/>
  <c r="K61"/>
  <c r="BC61" s="1"/>
  <c r="C61"/>
  <c r="BI61" s="1"/>
  <c r="H61"/>
  <c r="BF61" s="1"/>
  <c r="O61"/>
  <c r="BT61" s="1"/>
  <c r="T59"/>
  <c r="BR59" s="1"/>
  <c r="M59"/>
  <c r="BM59" s="1"/>
  <c r="B59"/>
  <c r="W59"/>
  <c r="BV59" s="1"/>
  <c r="Q59"/>
  <c r="BT59" s="1"/>
  <c r="F59"/>
  <c r="BE59" s="1"/>
  <c r="X59"/>
  <c r="BY59" s="1"/>
  <c r="J59"/>
  <c r="BL59" s="1"/>
  <c r="C59"/>
  <c r="BD59" s="1"/>
  <c r="U59"/>
  <c r="BX59" s="1"/>
  <c r="N59"/>
  <c r="BP59" s="1"/>
  <c r="G59"/>
  <c r="BG59" s="1"/>
  <c r="Y59"/>
  <c r="BZ59" s="1"/>
  <c r="R59"/>
  <c r="BS59" s="1"/>
  <c r="H59"/>
  <c r="BF59" s="1"/>
  <c r="V59"/>
  <c r="BO59" s="1"/>
  <c r="K59"/>
  <c r="BJ59" s="1"/>
  <c r="L59"/>
  <c r="BN59" s="1"/>
  <c r="D59"/>
  <c r="BH59" s="1"/>
  <c r="O59"/>
  <c r="BU59" s="1"/>
  <c r="P59"/>
  <c r="BW59" s="1"/>
  <c r="E59"/>
  <c r="BK59" s="1"/>
  <c r="S59"/>
  <c r="BQ59" s="1"/>
  <c r="I59"/>
  <c r="BC59" s="1"/>
  <c r="S84"/>
  <c r="BT84" s="1"/>
  <c r="D84"/>
  <c r="BD84" s="1"/>
  <c r="B84"/>
  <c r="U84"/>
  <c r="BQ84" s="1"/>
  <c r="V84"/>
  <c r="BO84" s="1"/>
  <c r="K84"/>
  <c r="BC84" s="1"/>
  <c r="L84"/>
  <c r="BJ84" s="1"/>
  <c r="M84"/>
  <c r="BL84" s="1"/>
  <c r="F84"/>
  <c r="BI84" s="1"/>
  <c r="P84"/>
  <c r="BS84" s="1"/>
  <c r="Q84"/>
  <c r="BU84" s="1"/>
  <c r="H84"/>
  <c r="BH84" s="1"/>
  <c r="W84"/>
  <c r="BR84" s="1"/>
  <c r="N84"/>
  <c r="BY84" s="1"/>
  <c r="C84"/>
  <c r="BG84" s="1"/>
  <c r="X84"/>
  <c r="BX84" s="1"/>
  <c r="R84"/>
  <c r="BZ84" s="1"/>
  <c r="G84"/>
  <c r="BK84" s="1"/>
  <c r="I84"/>
  <c r="BE84" s="1"/>
  <c r="Y84"/>
  <c r="BV84" s="1"/>
  <c r="T84"/>
  <c r="BW84" s="1"/>
  <c r="J84"/>
  <c r="BF84" s="1"/>
  <c r="O84"/>
  <c r="BP84" s="1"/>
  <c r="E84"/>
  <c r="BN84" s="1"/>
  <c r="N80"/>
  <c r="BZ80" s="1"/>
  <c r="J80"/>
  <c r="BD80" s="1"/>
  <c r="D80"/>
  <c r="BG80" s="1"/>
  <c r="R80"/>
  <c r="BO80" s="1"/>
  <c r="U80"/>
  <c r="BP80" s="1"/>
  <c r="K80"/>
  <c r="BJ80" s="1"/>
  <c r="Y80"/>
  <c r="BT80" s="1"/>
  <c r="O80"/>
  <c r="BS80" s="1"/>
  <c r="M80"/>
  <c r="BH80" s="1"/>
  <c r="V80"/>
  <c r="BX80" s="1"/>
  <c r="S80"/>
  <c r="BU80" s="1"/>
  <c r="E80"/>
  <c r="BM80" s="1"/>
  <c r="W80"/>
  <c r="BR80" s="1"/>
  <c r="L80"/>
  <c r="BF80" s="1"/>
  <c r="X80"/>
  <c r="BV80" s="1"/>
  <c r="P80"/>
  <c r="BW80" s="1"/>
  <c r="B80"/>
  <c r="C80"/>
  <c r="BK80" s="1"/>
  <c r="Q80"/>
  <c r="BY80" s="1"/>
  <c r="F80"/>
  <c r="BI80" s="1"/>
  <c r="G80"/>
  <c r="BC80" s="1"/>
  <c r="T80"/>
  <c r="BQ80" s="1"/>
  <c r="H80"/>
  <c r="BE80" s="1"/>
  <c r="I80"/>
  <c r="BL80" s="1"/>
  <c r="T133"/>
  <c r="BV133" s="1"/>
  <c r="J133"/>
  <c r="BI133" s="1"/>
  <c r="F133"/>
  <c r="BG133" s="1"/>
  <c r="X133"/>
  <c r="BO133" s="1"/>
  <c r="N133"/>
  <c r="BT133" s="1"/>
  <c r="H133"/>
  <c r="BM133" s="1"/>
  <c r="U133"/>
  <c r="BY133" s="1"/>
  <c r="R133"/>
  <c r="BR133" s="1"/>
  <c r="P133"/>
  <c r="BZ133" s="1"/>
  <c r="Y133"/>
  <c r="BP133" s="1"/>
  <c r="K133"/>
  <c r="BC133" s="1"/>
  <c r="G133"/>
  <c r="BF133" s="1"/>
  <c r="Q133"/>
  <c r="BX133" s="1"/>
  <c r="V133"/>
  <c r="BU133" s="1"/>
  <c r="O133"/>
  <c r="BW133" s="1"/>
  <c r="W133"/>
  <c r="BQ133" s="1"/>
  <c r="S133"/>
  <c r="BS133" s="1"/>
  <c r="I133"/>
  <c r="BJ133" s="1"/>
  <c r="C133"/>
  <c r="BH133" s="1"/>
  <c r="E133"/>
  <c r="BN133" s="1"/>
  <c r="B133"/>
  <c r="L133"/>
  <c r="BE133" s="1"/>
  <c r="M133"/>
  <c r="BD133" s="1"/>
  <c r="D133"/>
  <c r="BL133" s="1"/>
  <c r="D89"/>
  <c r="BE89" s="1"/>
  <c r="R89"/>
  <c r="BY89" s="1"/>
  <c r="H89"/>
  <c r="BF89" s="1"/>
  <c r="C89"/>
  <c r="BI89" s="1"/>
  <c r="V89"/>
  <c r="BW89" s="1"/>
  <c r="L89"/>
  <c r="BC89" s="1"/>
  <c r="F89"/>
  <c r="BJ89" s="1"/>
  <c r="W89"/>
  <c r="BO89" s="1"/>
  <c r="P89"/>
  <c r="BP89" s="1"/>
  <c r="T89"/>
  <c r="BS89" s="1"/>
  <c r="I89"/>
  <c r="BG89" s="1"/>
  <c r="G89"/>
  <c r="BM89" s="1"/>
  <c r="S89"/>
  <c r="BV89" s="1"/>
  <c r="X89"/>
  <c r="BZ89" s="1"/>
  <c r="M89"/>
  <c r="BL89" s="1"/>
  <c r="N89"/>
  <c r="BU89" s="1"/>
  <c r="U89"/>
  <c r="BR89" s="1"/>
  <c r="Q89"/>
  <c r="BQ89" s="1"/>
  <c r="K89"/>
  <c r="BN89" s="1"/>
  <c r="B89"/>
  <c r="Y89"/>
  <c r="BX89" s="1"/>
  <c r="J89"/>
  <c r="BK89" s="1"/>
  <c r="O89"/>
  <c r="BT89" s="1"/>
  <c r="E89"/>
  <c r="BD89" s="1"/>
  <c r="Q22"/>
  <c r="BU22" s="1"/>
  <c r="R22"/>
  <c r="BY22" s="1"/>
  <c r="I22"/>
  <c r="BJ22" s="1"/>
  <c r="W22"/>
  <c r="BP22" s="1"/>
  <c r="V22"/>
  <c r="BV22" s="1"/>
  <c r="C22"/>
  <c r="BN22" s="1"/>
  <c r="X22"/>
  <c r="BT22" s="1"/>
  <c r="O22"/>
  <c r="BW22" s="1"/>
  <c r="G22"/>
  <c r="BM22" s="1"/>
  <c r="Y22"/>
  <c r="BR22" s="1"/>
  <c r="S22"/>
  <c r="BO22" s="1"/>
  <c r="J22"/>
  <c r="BE22" s="1"/>
  <c r="B22"/>
  <c r="P22"/>
  <c r="BZ22" s="1"/>
  <c r="D22"/>
  <c r="BK22" s="1"/>
  <c r="F22"/>
  <c r="BC22" s="1"/>
  <c r="T22"/>
  <c r="BX22" s="1"/>
  <c r="L22"/>
  <c r="BD22" s="1"/>
  <c r="K22"/>
  <c r="BH22" s="1"/>
  <c r="U22"/>
  <c r="BQ22" s="1"/>
  <c r="E22"/>
  <c r="BI22" s="1"/>
  <c r="M22"/>
  <c r="BF22" s="1"/>
  <c r="N22"/>
  <c r="BS22" s="1"/>
  <c r="H22"/>
  <c r="BL22" s="1"/>
  <c r="W26"/>
  <c r="BT26" s="1"/>
  <c r="P26"/>
  <c r="BU26" s="1"/>
  <c r="B26"/>
  <c r="X26"/>
  <c r="BX26" s="1"/>
  <c r="T26"/>
  <c r="BY26" s="1"/>
  <c r="F26"/>
  <c r="BE26" s="1"/>
  <c r="Y26"/>
  <c r="BV26" s="1"/>
  <c r="M26"/>
  <c r="BJ26" s="1"/>
  <c r="C26"/>
  <c r="BG26" s="1"/>
  <c r="H26"/>
  <c r="BD26" s="1"/>
  <c r="Q26"/>
  <c r="BQ26" s="1"/>
  <c r="G26"/>
  <c r="BM26" s="1"/>
  <c r="N26"/>
  <c r="BS26" s="1"/>
  <c r="U26"/>
  <c r="BR26" s="1"/>
  <c r="I26"/>
  <c r="BN26" s="1"/>
  <c r="D26"/>
  <c r="BI26" s="1"/>
  <c r="R26"/>
  <c r="BW26" s="1"/>
  <c r="K26"/>
  <c r="BL26" s="1"/>
  <c r="O26"/>
  <c r="BO26" s="1"/>
  <c r="V26"/>
  <c r="BZ26" s="1"/>
  <c r="J26"/>
  <c r="BF26" s="1"/>
  <c r="S26"/>
  <c r="BP26" s="1"/>
  <c r="L26"/>
  <c r="BH26" s="1"/>
  <c r="E26"/>
  <c r="BK26" s="1"/>
  <c r="Q79"/>
  <c r="BS79" s="1"/>
  <c r="R79"/>
  <c r="BO79" s="1"/>
  <c r="T79"/>
  <c r="BX79" s="1"/>
  <c r="K79"/>
  <c r="BJ79" s="1"/>
  <c r="I79"/>
  <c r="BL79" s="1"/>
  <c r="U79"/>
  <c r="BQ79" s="1"/>
  <c r="O79"/>
  <c r="BZ79" s="1"/>
  <c r="Y79"/>
  <c r="BR79" s="1"/>
  <c r="S79"/>
  <c r="BU79" s="1"/>
  <c r="D79"/>
  <c r="BM79" s="1"/>
  <c r="V79"/>
  <c r="BV79" s="1"/>
  <c r="H79"/>
  <c r="BE79" s="1"/>
  <c r="E79"/>
  <c r="BC79" s="1"/>
  <c r="W79"/>
  <c r="BP79" s="1"/>
  <c r="L79"/>
  <c r="BF79" s="1"/>
  <c r="B79"/>
  <c r="F79"/>
  <c r="BG79" s="1"/>
  <c r="X79"/>
  <c r="BT79" s="1"/>
  <c r="P79"/>
  <c r="BY79" s="1"/>
  <c r="J79"/>
  <c r="BD79" s="1"/>
  <c r="C79"/>
  <c r="BK79" s="1"/>
  <c r="M79"/>
  <c r="BH79" s="1"/>
  <c r="N79"/>
  <c r="BW79" s="1"/>
  <c r="G79"/>
  <c r="BI79" s="1"/>
  <c r="N144"/>
  <c r="BU144" s="1"/>
  <c r="U144"/>
  <c r="BR144" s="1"/>
  <c r="M144"/>
  <c r="BJ144" s="1"/>
  <c r="R144"/>
  <c r="BW144" s="1"/>
  <c r="K144"/>
  <c r="BL144" s="1"/>
  <c r="E144"/>
  <c r="BG144" s="1"/>
  <c r="Y144"/>
  <c r="BV144" s="1"/>
  <c r="O144"/>
  <c r="BQ144" s="1"/>
  <c r="V144"/>
  <c r="BZ144" s="1"/>
  <c r="S144"/>
  <c r="BP144" s="1"/>
  <c r="B144"/>
  <c r="W144"/>
  <c r="BT144" s="1"/>
  <c r="L144"/>
  <c r="BH144" s="1"/>
  <c r="C144"/>
  <c r="BE144" s="1"/>
  <c r="X144"/>
  <c r="BX144" s="1"/>
  <c r="P144"/>
  <c r="BS144" s="1"/>
  <c r="F144"/>
  <c r="BK144" s="1"/>
  <c r="I144"/>
  <c r="BN144" s="1"/>
  <c r="T144"/>
  <c r="BY144" s="1"/>
  <c r="H144"/>
  <c r="BD144" s="1"/>
  <c r="D144"/>
  <c r="BC144" s="1"/>
  <c r="Q144"/>
  <c r="BO144" s="1"/>
  <c r="J144"/>
  <c r="BF144" s="1"/>
  <c r="G144"/>
  <c r="BM144" s="1"/>
  <c r="W100"/>
  <c r="BU100" s="1"/>
  <c r="N100"/>
  <c r="BO100" s="1"/>
  <c r="G100"/>
  <c r="BF100" s="1"/>
  <c r="X100"/>
  <c r="BQ100" s="1"/>
  <c r="R100"/>
  <c r="BT100" s="1"/>
  <c r="J100"/>
  <c r="BK100" s="1"/>
  <c r="H100"/>
  <c r="BM100" s="1"/>
  <c r="Y100"/>
  <c r="BS100" s="1"/>
  <c r="O100"/>
  <c r="BV100" s="1"/>
  <c r="S100"/>
  <c r="BY100" s="1"/>
  <c r="I100"/>
  <c r="BD100" s="1"/>
  <c r="E100"/>
  <c r="BH100" s="1"/>
  <c r="U100"/>
  <c r="BW100" s="1"/>
  <c r="D100"/>
  <c r="BL100" s="1"/>
  <c r="B100"/>
  <c r="L100"/>
  <c r="BI100" s="1"/>
  <c r="M100"/>
  <c r="BG100" s="1"/>
  <c r="K100"/>
  <c r="BE100" s="1"/>
  <c r="P100"/>
  <c r="BX100" s="1"/>
  <c r="Q100"/>
  <c r="BZ100" s="1"/>
  <c r="F100"/>
  <c r="BN100" s="1"/>
  <c r="T100"/>
  <c r="BR100" s="1"/>
  <c r="V100"/>
  <c r="BP100" s="1"/>
  <c r="C100"/>
  <c r="BC100" s="1"/>
  <c r="P5"/>
  <c r="BO5" s="1"/>
  <c r="Q5"/>
  <c r="BR5" s="1"/>
  <c r="H5"/>
  <c r="BL5" s="1"/>
  <c r="T5"/>
  <c r="BS5" s="1"/>
  <c r="J5"/>
  <c r="BN5" s="1"/>
  <c r="F5"/>
  <c r="BJ5" s="1"/>
  <c r="X5"/>
  <c r="BW5" s="1"/>
  <c r="N5"/>
  <c r="BP5" s="1"/>
  <c r="C5"/>
  <c r="BC5" s="1"/>
  <c r="U5"/>
  <c r="BX5" s="1"/>
  <c r="R5"/>
  <c r="BQ5" s="1"/>
  <c r="G5"/>
  <c r="BE5" s="1"/>
  <c r="Y5"/>
  <c r="BY5" s="1"/>
  <c r="K5"/>
  <c r="BI5" s="1"/>
  <c r="D5"/>
  <c r="BH5" s="1"/>
  <c r="V5"/>
  <c r="BU5" s="1"/>
  <c r="O5"/>
  <c r="BT5" s="1"/>
  <c r="W5"/>
  <c r="BZ5" s="1"/>
  <c r="S5"/>
  <c r="BV5" s="1"/>
  <c r="I5"/>
  <c r="BG5" s="1"/>
  <c r="E5"/>
  <c r="BF5" s="1"/>
  <c r="L5"/>
  <c r="BM5" s="1"/>
  <c r="M5"/>
  <c r="BK5" s="1"/>
  <c r="B5"/>
  <c r="Y140"/>
  <c r="BR140" s="1"/>
  <c r="V140"/>
  <c r="BV140" s="1"/>
  <c r="E140"/>
  <c r="BL140" s="1"/>
  <c r="O140"/>
  <c r="BQ140" s="1"/>
  <c r="G140"/>
  <c r="BK140" s="1"/>
  <c r="J140"/>
  <c r="BJ140" s="1"/>
  <c r="S140"/>
  <c r="BW140" s="1"/>
  <c r="D140"/>
  <c r="BE140" s="1"/>
  <c r="B140"/>
  <c r="T140"/>
  <c r="BZ140" s="1"/>
  <c r="M140"/>
  <c r="BF140" s="1"/>
  <c r="H140"/>
  <c r="BC140" s="1"/>
  <c r="L140"/>
  <c r="BD140" s="1"/>
  <c r="Q140"/>
  <c r="BU140" s="1"/>
  <c r="F140"/>
  <c r="BI140" s="1"/>
  <c r="P140"/>
  <c r="BS140" s="1"/>
  <c r="U140"/>
  <c r="BO140" s="1"/>
  <c r="K140"/>
  <c r="BH140" s="1"/>
  <c r="W140"/>
  <c r="BP140" s="1"/>
  <c r="N140"/>
  <c r="BY140" s="1"/>
  <c r="C140"/>
  <c r="BG140" s="1"/>
  <c r="X140"/>
  <c r="BT140" s="1"/>
  <c r="R140"/>
  <c r="BX140" s="1"/>
  <c r="I140"/>
  <c r="BN140" s="1"/>
  <c r="F85"/>
  <c r="BH85" s="1"/>
  <c r="L85"/>
  <c r="BJ85" s="1"/>
  <c r="M85"/>
  <c r="BL85" s="1"/>
  <c r="P85"/>
  <c r="BS85" s="1"/>
  <c r="Q85"/>
  <c r="BU85" s="1"/>
  <c r="G85"/>
  <c r="BN85" s="1"/>
  <c r="T85"/>
  <c r="BW85" s="1"/>
  <c r="J85"/>
  <c r="BF85" s="1"/>
  <c r="I85"/>
  <c r="BK85" s="1"/>
  <c r="X85"/>
  <c r="BO85" s="1"/>
  <c r="N85"/>
  <c r="BY85" s="1"/>
  <c r="C85"/>
  <c r="BM85" s="1"/>
  <c r="E85"/>
  <c r="BG85" s="1"/>
  <c r="B85"/>
  <c r="U85"/>
  <c r="BQ85" s="1"/>
  <c r="R85"/>
  <c r="BZ85" s="1"/>
  <c r="D85"/>
  <c r="BI85" s="1"/>
  <c r="Y85"/>
  <c r="BX85" s="1"/>
  <c r="K85"/>
  <c r="BC85" s="1"/>
  <c r="W85"/>
  <c r="BV85" s="1"/>
  <c r="V85"/>
  <c r="BR85" s="1"/>
  <c r="O85"/>
  <c r="BP85" s="1"/>
  <c r="H85"/>
  <c r="BE85" s="1"/>
  <c r="S85"/>
  <c r="BT85" s="1"/>
  <c r="Y88"/>
  <c r="BO88" s="1"/>
  <c r="O88"/>
  <c r="BT88" s="1"/>
  <c r="J88"/>
  <c r="BF88" s="1"/>
  <c r="V88"/>
  <c r="BZ88" s="1"/>
  <c r="S88"/>
  <c r="BV88" s="1"/>
  <c r="M88"/>
  <c r="BL88" s="1"/>
  <c r="W88"/>
  <c r="BW88" s="1"/>
  <c r="L88"/>
  <c r="BC88" s="1"/>
  <c r="E88"/>
  <c r="BM88" s="1"/>
  <c r="K88"/>
  <c r="BK88" s="1"/>
  <c r="X88"/>
  <c r="BX88" s="1"/>
  <c r="P88"/>
  <c r="BP88" s="1"/>
  <c r="I88"/>
  <c r="BN88" s="1"/>
  <c r="U88"/>
  <c r="BR88" s="1"/>
  <c r="C88"/>
  <c r="BD88" s="1"/>
  <c r="Q88"/>
  <c r="BQ88" s="1"/>
  <c r="B88"/>
  <c r="G88"/>
  <c r="BG88" s="1"/>
  <c r="N88"/>
  <c r="BU88" s="1"/>
  <c r="F88"/>
  <c r="BE88" s="1"/>
  <c r="H88"/>
  <c r="BJ88" s="1"/>
  <c r="R88"/>
  <c r="BY88" s="1"/>
  <c r="T88"/>
  <c r="BS88" s="1"/>
  <c r="D88"/>
  <c r="BH88" s="1"/>
  <c r="K51"/>
  <c r="BJ51" s="1"/>
  <c r="P51"/>
  <c r="BY51" s="1"/>
  <c r="E51"/>
  <c r="BM51" s="1"/>
  <c r="O51"/>
  <c r="BW51" s="1"/>
  <c r="I51"/>
  <c r="BL51" s="1"/>
  <c r="S51"/>
  <c r="BS51" s="1"/>
  <c r="M51"/>
  <c r="BH51" s="1"/>
  <c r="B51"/>
  <c r="W51"/>
  <c r="BP51" s="1"/>
  <c r="Q51"/>
  <c r="BU51" s="1"/>
  <c r="F51"/>
  <c r="BG51" s="1"/>
  <c r="X51"/>
  <c r="BT51" s="1"/>
  <c r="J51"/>
  <c r="BD51" s="1"/>
  <c r="H51"/>
  <c r="BE51" s="1"/>
  <c r="U51"/>
  <c r="BQ51" s="1"/>
  <c r="N51"/>
  <c r="BO51" s="1"/>
  <c r="C51"/>
  <c r="BK51" s="1"/>
  <c r="Y51"/>
  <c r="BR51" s="1"/>
  <c r="R51"/>
  <c r="BZ51" s="1"/>
  <c r="G51"/>
  <c r="BN51" s="1"/>
  <c r="V51"/>
  <c r="BV51" s="1"/>
  <c r="T51"/>
  <c r="BX51" s="1"/>
  <c r="L51"/>
  <c r="BF51" s="1"/>
  <c r="D51"/>
  <c r="BI51" s="1"/>
  <c r="L92"/>
  <c r="BL92" s="1"/>
  <c r="Q92"/>
  <c r="BR92" s="1"/>
  <c r="I92"/>
  <c r="BG92" s="1"/>
  <c r="P92"/>
  <c r="BT92" s="1"/>
  <c r="U92"/>
  <c r="BO92" s="1"/>
  <c r="C92"/>
  <c r="BH92" s="1"/>
  <c r="W92"/>
  <c r="BX92" s="1"/>
  <c r="N92"/>
  <c r="BQ92" s="1"/>
  <c r="G92"/>
  <c r="BD92" s="1"/>
  <c r="X92"/>
  <c r="BY92" s="1"/>
  <c r="R92"/>
  <c r="BU92" s="1"/>
  <c r="Y92"/>
  <c r="BZ92" s="1"/>
  <c r="O92"/>
  <c r="BV92" s="1"/>
  <c r="H92"/>
  <c r="BC92" s="1"/>
  <c r="E92"/>
  <c r="BI92" s="1"/>
  <c r="S92"/>
  <c r="BP92" s="1"/>
  <c r="K92"/>
  <c r="BM92" s="1"/>
  <c r="J92"/>
  <c r="BK92" s="1"/>
  <c r="T92"/>
  <c r="BS92" s="1"/>
  <c r="D92"/>
  <c r="BJ92" s="1"/>
  <c r="B92"/>
  <c r="V92"/>
  <c r="BW92" s="1"/>
  <c r="M92"/>
  <c r="BN92" s="1"/>
  <c r="F92"/>
  <c r="BF92" s="1"/>
  <c r="X71"/>
  <c r="BS71" s="1"/>
  <c r="P71"/>
  <c r="BX71" s="1"/>
  <c r="J71"/>
  <c r="BK71" s="1"/>
  <c r="F71"/>
  <c r="BC71" s="1"/>
  <c r="T71"/>
  <c r="BP71" s="1"/>
  <c r="N71"/>
  <c r="BZ71" s="1"/>
  <c r="I71"/>
  <c r="BD71" s="1"/>
  <c r="M71"/>
  <c r="BG71" s="1"/>
  <c r="R71"/>
  <c r="BR71" s="1"/>
  <c r="C71"/>
  <c r="BN71" s="1"/>
  <c r="Q71"/>
  <c r="BO71" s="1"/>
  <c r="K71"/>
  <c r="BE71" s="1"/>
  <c r="G71"/>
  <c r="BH71" s="1"/>
  <c r="U71"/>
  <c r="BY71" s="1"/>
  <c r="O71"/>
  <c r="BV71" s="1"/>
  <c r="Y71"/>
  <c r="BU71" s="1"/>
  <c r="S71"/>
  <c r="BT71" s="1"/>
  <c r="D71"/>
  <c r="BL71" s="1"/>
  <c r="V71"/>
  <c r="BQ71" s="1"/>
  <c r="H71"/>
  <c r="BM71" s="1"/>
  <c r="E71"/>
  <c r="BF71" s="1"/>
  <c r="W71"/>
  <c r="BW71" s="1"/>
  <c r="L71"/>
  <c r="BI71" s="1"/>
  <c r="B71"/>
  <c r="Y76"/>
  <c r="BP76" s="1"/>
  <c r="R76"/>
  <c r="BX76" s="1"/>
  <c r="E76"/>
  <c r="BL76" s="1"/>
  <c r="V76"/>
  <c r="BT76" s="1"/>
  <c r="K76"/>
  <c r="BF76" s="1"/>
  <c r="J76"/>
  <c r="BG76" s="1"/>
  <c r="O76"/>
  <c r="BZ76" s="1"/>
  <c r="D76"/>
  <c r="BM76" s="1"/>
  <c r="B76"/>
  <c r="S76"/>
  <c r="BU76" s="1"/>
  <c r="M76"/>
  <c r="BD76" s="1"/>
  <c r="H76"/>
  <c r="BI76" s="1"/>
  <c r="L76"/>
  <c r="BE76" s="1"/>
  <c r="Q76"/>
  <c r="BW76" s="1"/>
  <c r="F76"/>
  <c r="BK76" s="1"/>
  <c r="P76"/>
  <c r="BY76" s="1"/>
  <c r="T76"/>
  <c r="BV76" s="1"/>
  <c r="C76"/>
  <c r="BC76" s="1"/>
  <c r="W76"/>
  <c r="BQ76" s="1"/>
  <c r="U76"/>
  <c r="BS76" s="1"/>
  <c r="G76"/>
  <c r="BJ76" s="1"/>
  <c r="X76"/>
  <c r="BR76" s="1"/>
  <c r="N76"/>
  <c r="BO76" s="1"/>
  <c r="I76"/>
  <c r="BH76" s="1"/>
  <c r="CC63" i="85"/>
  <c r="CC79"/>
  <c r="CC91"/>
  <c r="CC123"/>
  <c r="CD123"/>
  <c r="Y43" i="88"/>
  <c r="BU43" s="1"/>
  <c r="N43"/>
  <c r="BY43" s="1"/>
  <c r="G43"/>
  <c r="BL43" s="1"/>
  <c r="V43"/>
  <c r="BQ43" s="1"/>
  <c r="R43"/>
  <c r="BX43" s="1"/>
  <c r="L43"/>
  <c r="BI43" s="1"/>
  <c r="D43"/>
  <c r="BK43" s="1"/>
  <c r="K43"/>
  <c r="BD43" s="1"/>
  <c r="P43"/>
  <c r="BR43" s="1"/>
  <c r="E43"/>
  <c r="BF43" s="1"/>
  <c r="O43"/>
  <c r="BV43" s="1"/>
  <c r="I43"/>
  <c r="BE43" s="1"/>
  <c r="S43"/>
  <c r="BZ43" s="1"/>
  <c r="M43"/>
  <c r="BG43" s="1"/>
  <c r="B43"/>
  <c r="W43"/>
  <c r="BP43" s="1"/>
  <c r="Q43"/>
  <c r="BW43" s="1"/>
  <c r="H43"/>
  <c r="BH43" s="1"/>
  <c r="X43"/>
  <c r="BS43" s="1"/>
  <c r="T43"/>
  <c r="BT43" s="1"/>
  <c r="F43"/>
  <c r="BN43" s="1"/>
  <c r="U43"/>
  <c r="BO43" s="1"/>
  <c r="J43"/>
  <c r="BC43" s="1"/>
  <c r="C43"/>
  <c r="BM43" s="1"/>
  <c r="U104"/>
  <c r="BS104" s="1"/>
  <c r="C104"/>
  <c r="BN104" s="1"/>
  <c r="Q104"/>
  <c r="BX104" s="1"/>
  <c r="B104"/>
  <c r="G104"/>
  <c r="BC104" s="1"/>
  <c r="N104"/>
  <c r="BV104" s="1"/>
  <c r="F104"/>
  <c r="BM104" s="1"/>
  <c r="M104"/>
  <c r="BD104" s="1"/>
  <c r="R104"/>
  <c r="BO104" s="1"/>
  <c r="O104"/>
  <c r="BW104" s="1"/>
  <c r="D104"/>
  <c r="BK104" s="1"/>
  <c r="Y104"/>
  <c r="BP104" s="1"/>
  <c r="S104"/>
  <c r="BY104" s="1"/>
  <c r="I104"/>
  <c r="BH104" s="1"/>
  <c r="V104"/>
  <c r="BT104" s="1"/>
  <c r="L104"/>
  <c r="BE104" s="1"/>
  <c r="J104"/>
  <c r="BG104" s="1"/>
  <c r="W104"/>
  <c r="BQ104" s="1"/>
  <c r="P104"/>
  <c r="BZ104" s="1"/>
  <c r="E104"/>
  <c r="BL104" s="1"/>
  <c r="K104"/>
  <c r="BF104" s="1"/>
  <c r="X104"/>
  <c r="BR104" s="1"/>
  <c r="T104"/>
  <c r="BU104" s="1"/>
  <c r="H104"/>
  <c r="BI104" s="1"/>
  <c r="S114"/>
  <c r="BQ114" s="1"/>
  <c r="M114"/>
  <c r="BJ114" s="1"/>
  <c r="F114"/>
  <c r="BF114" s="1"/>
  <c r="U114"/>
  <c r="BW114" s="1"/>
  <c r="Q114"/>
  <c r="BR114" s="1"/>
  <c r="I114"/>
  <c r="BK114" s="1"/>
  <c r="W114"/>
  <c r="BO114" s="1"/>
  <c r="N114"/>
  <c r="BP114" s="1"/>
  <c r="H114"/>
  <c r="BE114" s="1"/>
  <c r="X114"/>
  <c r="BV114" s="1"/>
  <c r="R114"/>
  <c r="BS114" s="1"/>
  <c r="J114"/>
  <c r="BC114" s="1"/>
  <c r="D114"/>
  <c r="BI114" s="1"/>
  <c r="Y114"/>
  <c r="BT114" s="1"/>
  <c r="T114"/>
  <c r="BX114" s="1"/>
  <c r="C114"/>
  <c r="BM114" s="1"/>
  <c r="V114"/>
  <c r="BZ114" s="1"/>
  <c r="G114"/>
  <c r="BL114" s="1"/>
  <c r="E114"/>
  <c r="BG114" s="1"/>
  <c r="K114"/>
  <c r="BN114" s="1"/>
  <c r="L114"/>
  <c r="BH114" s="1"/>
  <c r="B114"/>
  <c r="O114"/>
  <c r="BU114" s="1"/>
  <c r="P114"/>
  <c r="BY114" s="1"/>
  <c r="V31"/>
  <c r="BW31" s="1"/>
  <c r="H31"/>
  <c r="BJ31" s="1"/>
  <c r="E31"/>
  <c r="BC31" s="1"/>
  <c r="W31"/>
  <c r="BX31" s="1"/>
  <c r="L31"/>
  <c r="BN31" s="1"/>
  <c r="B31"/>
  <c r="X31"/>
  <c r="BY31" s="1"/>
  <c r="P31"/>
  <c r="BQ31" s="1"/>
  <c r="J31"/>
  <c r="BL31" s="1"/>
  <c r="F31"/>
  <c r="BH31" s="1"/>
  <c r="T31"/>
  <c r="BU31" s="1"/>
  <c r="N31"/>
  <c r="BP31" s="1"/>
  <c r="C31"/>
  <c r="BD31" s="1"/>
  <c r="M31"/>
  <c r="BM31" s="1"/>
  <c r="R31"/>
  <c r="BO31" s="1"/>
  <c r="G31"/>
  <c r="BF31" s="1"/>
  <c r="Q31"/>
  <c r="BT31" s="1"/>
  <c r="K31"/>
  <c r="BK31" s="1"/>
  <c r="U31"/>
  <c r="BV31" s="1"/>
  <c r="O31"/>
  <c r="BS31" s="1"/>
  <c r="I31"/>
  <c r="BI31" s="1"/>
  <c r="Y31"/>
  <c r="BZ31" s="1"/>
  <c r="S31"/>
  <c r="BR31" s="1"/>
  <c r="D31"/>
  <c r="BE31" s="1"/>
  <c r="W68"/>
  <c r="BY68" s="1"/>
  <c r="R68"/>
  <c r="BQ68" s="1"/>
  <c r="C68"/>
  <c r="BL68" s="1"/>
  <c r="X68"/>
  <c r="BU68" s="1"/>
  <c r="O68"/>
  <c r="BZ68" s="1"/>
  <c r="G68"/>
  <c r="BH68" s="1"/>
  <c r="H68"/>
  <c r="BC68" s="1"/>
  <c r="Y68"/>
  <c r="BW68" s="1"/>
  <c r="S68"/>
  <c r="BT68" s="1"/>
  <c r="J68"/>
  <c r="BG68" s="1"/>
  <c r="U68"/>
  <c r="BO68" s="1"/>
  <c r="E68"/>
  <c r="BE68" s="1"/>
  <c r="V68"/>
  <c r="BS68" s="1"/>
  <c r="D68"/>
  <c r="BN68" s="1"/>
  <c r="B68"/>
  <c r="L68"/>
  <c r="BM68" s="1"/>
  <c r="M68"/>
  <c r="BK68" s="1"/>
  <c r="I68"/>
  <c r="BD68" s="1"/>
  <c r="P68"/>
  <c r="BX68" s="1"/>
  <c r="Q68"/>
  <c r="BV68" s="1"/>
  <c r="K68"/>
  <c r="BI68" s="1"/>
  <c r="T68"/>
  <c r="BP68" s="1"/>
  <c r="N68"/>
  <c r="BR68" s="1"/>
  <c r="F68"/>
  <c r="BJ68" s="1"/>
  <c r="L53"/>
  <c r="BH53" s="1"/>
  <c r="M53"/>
  <c r="BJ53" s="1"/>
  <c r="F53"/>
  <c r="BE53" s="1"/>
  <c r="P53"/>
  <c r="BO53" s="1"/>
  <c r="Q53"/>
  <c r="BU53" s="1"/>
  <c r="H53"/>
  <c r="BD53" s="1"/>
  <c r="T53"/>
  <c r="BZ53" s="1"/>
  <c r="J53"/>
  <c r="BF53" s="1"/>
  <c r="X53"/>
  <c r="BV53" s="1"/>
  <c r="N53"/>
  <c r="BW53" s="1"/>
  <c r="C53"/>
  <c r="BC53" s="1"/>
  <c r="U53"/>
  <c r="BP53" s="1"/>
  <c r="R53"/>
  <c r="BY53" s="1"/>
  <c r="G53"/>
  <c r="BM53" s="1"/>
  <c r="Y53"/>
  <c r="BT53" s="1"/>
  <c r="K53"/>
  <c r="BL53" s="1"/>
  <c r="D53"/>
  <c r="BG53" s="1"/>
  <c r="V53"/>
  <c r="BX53" s="1"/>
  <c r="O53"/>
  <c r="BS53" s="1"/>
  <c r="E53"/>
  <c r="BI53" s="1"/>
  <c r="W53"/>
  <c r="BR53" s="1"/>
  <c r="S53"/>
  <c r="BQ53" s="1"/>
  <c r="I53"/>
  <c r="BN53" s="1"/>
  <c r="B53"/>
  <c r="S27"/>
  <c r="BP27" s="1"/>
  <c r="I27"/>
  <c r="BM27" s="1"/>
  <c r="B27"/>
  <c r="W27"/>
  <c r="BT27" s="1"/>
  <c r="M27"/>
  <c r="BL27" s="1"/>
  <c r="F27"/>
  <c r="BD27" s="1"/>
  <c r="X27"/>
  <c r="BX27" s="1"/>
  <c r="Q27"/>
  <c r="BQ27" s="1"/>
  <c r="C27"/>
  <c r="BG27" s="1"/>
  <c r="U27"/>
  <c r="BR27" s="1"/>
  <c r="J27"/>
  <c r="BH27" s="1"/>
  <c r="G27"/>
  <c r="BK27" s="1"/>
  <c r="Y27"/>
  <c r="BV27" s="1"/>
  <c r="N27"/>
  <c r="BO27" s="1"/>
  <c r="H27"/>
  <c r="BF27" s="1"/>
  <c r="V27"/>
  <c r="BZ27" s="1"/>
  <c r="R27"/>
  <c r="BW27" s="1"/>
  <c r="L27"/>
  <c r="BJ27" s="1"/>
  <c r="D27"/>
  <c r="BE27" s="1"/>
  <c r="K27"/>
  <c r="BN27" s="1"/>
  <c r="P27"/>
  <c r="BU27" s="1"/>
  <c r="E27"/>
  <c r="BI27" s="1"/>
  <c r="O27"/>
  <c r="BS27" s="1"/>
  <c r="T27"/>
  <c r="BY27" s="1"/>
  <c r="S66"/>
  <c r="BV66" s="1"/>
  <c r="L66"/>
  <c r="BM66" s="1"/>
  <c r="E66"/>
  <c r="BH66" s="1"/>
  <c r="U66"/>
  <c r="BP66" s="1"/>
  <c r="P66"/>
  <c r="BQ66" s="1"/>
  <c r="I66"/>
  <c r="BD66" s="1"/>
  <c r="V66"/>
  <c r="BS66" s="1"/>
  <c r="T66"/>
  <c r="BU66" s="1"/>
  <c r="K66"/>
  <c r="BG66" s="1"/>
  <c r="W66"/>
  <c r="BO66" s="1"/>
  <c r="M66"/>
  <c r="BK66" s="1"/>
  <c r="B66"/>
  <c r="X66"/>
  <c r="BW66" s="1"/>
  <c r="Q66"/>
  <c r="BZ66" s="1"/>
  <c r="F66"/>
  <c r="BN66" s="1"/>
  <c r="Y66"/>
  <c r="BY66" s="1"/>
  <c r="N66"/>
  <c r="BX66" s="1"/>
  <c r="J66"/>
  <c r="BC66" s="1"/>
  <c r="D66"/>
  <c r="BF66" s="1"/>
  <c r="R66"/>
  <c r="BT66" s="1"/>
  <c r="C66"/>
  <c r="BE66" s="1"/>
  <c r="O66"/>
  <c r="BR66" s="1"/>
  <c r="G66"/>
  <c r="BI66" s="1"/>
  <c r="H66"/>
  <c r="BJ66" s="1"/>
  <c r="Q16"/>
  <c r="BZ16" s="1"/>
  <c r="H16"/>
  <c r="BG16" s="1"/>
  <c r="D16"/>
  <c r="BI16" s="1"/>
  <c r="V16"/>
  <c r="BP16" s="1"/>
  <c r="J16"/>
  <c r="BK16" s="1"/>
  <c r="K16"/>
  <c r="BH16" s="1"/>
  <c r="N16"/>
  <c r="BV16" s="1"/>
  <c r="U16"/>
  <c r="BW16" s="1"/>
  <c r="M16"/>
  <c r="BE16" s="1"/>
  <c r="R16"/>
  <c r="BR16" s="1"/>
  <c r="O16"/>
  <c r="BU16" s="1"/>
  <c r="E16"/>
  <c r="BF16" s="1"/>
  <c r="Y16"/>
  <c r="BO16" s="1"/>
  <c r="S16"/>
  <c r="BS16" s="1"/>
  <c r="W16"/>
  <c r="BT16" s="1"/>
  <c r="L16"/>
  <c r="BC16" s="1"/>
  <c r="B16"/>
  <c r="X16"/>
  <c r="BQ16" s="1"/>
  <c r="P16"/>
  <c r="BY16" s="1"/>
  <c r="I16"/>
  <c r="BD16" s="1"/>
  <c r="C16"/>
  <c r="BM16" s="1"/>
  <c r="T16"/>
  <c r="BX16" s="1"/>
  <c r="F16"/>
  <c r="BN16" s="1"/>
  <c r="G16"/>
  <c r="BL16" s="1"/>
  <c r="W91"/>
  <c r="BW91" s="1"/>
  <c r="Q91"/>
  <c r="BV91" s="1"/>
  <c r="F91"/>
  <c r="BF91" s="1"/>
  <c r="X91"/>
  <c r="BZ91" s="1"/>
  <c r="J91"/>
  <c r="BC91" s="1"/>
  <c r="C91"/>
  <c r="BH91" s="1"/>
  <c r="U91"/>
  <c r="BO91" s="1"/>
  <c r="N91"/>
  <c r="BT91" s="1"/>
  <c r="G91"/>
  <c r="BD91" s="1"/>
  <c r="Y91"/>
  <c r="BX91" s="1"/>
  <c r="R91"/>
  <c r="BP91" s="1"/>
  <c r="H91"/>
  <c r="BG91" s="1"/>
  <c r="D91"/>
  <c r="BJ91" s="1"/>
  <c r="V91"/>
  <c r="BY91" s="1"/>
  <c r="K91"/>
  <c r="BK91" s="1"/>
  <c r="L91"/>
  <c r="BL91" s="1"/>
  <c r="E91"/>
  <c r="BI91" s="1"/>
  <c r="O91"/>
  <c r="BQ91" s="1"/>
  <c r="P91"/>
  <c r="BU91" s="1"/>
  <c r="S91"/>
  <c r="BR91" s="1"/>
  <c r="I91"/>
  <c r="BM91" s="1"/>
  <c r="B91"/>
  <c r="T91"/>
  <c r="BS91" s="1"/>
  <c r="M91"/>
  <c r="BN91" s="1"/>
  <c r="V33"/>
  <c r="BU33" s="1"/>
  <c r="P33"/>
  <c r="BP33" s="1"/>
  <c r="B33"/>
  <c r="W33"/>
  <c r="BZ33" s="1"/>
  <c r="T33"/>
  <c r="BO33" s="1"/>
  <c r="F33"/>
  <c r="BF33" s="1"/>
  <c r="X33"/>
  <c r="BW33" s="1"/>
  <c r="I33"/>
  <c r="BJ33" s="1"/>
  <c r="U33"/>
  <c r="BV33" s="1"/>
  <c r="M33"/>
  <c r="BK33" s="1"/>
  <c r="K33"/>
  <c r="BI33" s="1"/>
  <c r="C33"/>
  <c r="BG33" s="1"/>
  <c r="Y33"/>
  <c r="BY33" s="1"/>
  <c r="Q33"/>
  <c r="BQ33" s="1"/>
  <c r="O33"/>
  <c r="BT33" s="1"/>
  <c r="G33"/>
  <c r="BC33" s="1"/>
  <c r="J33"/>
  <c r="BN33" s="1"/>
  <c r="S33"/>
  <c r="BX33" s="1"/>
  <c r="D33"/>
  <c r="BE33" s="1"/>
  <c r="N33"/>
  <c r="BS33" s="1"/>
  <c r="H33"/>
  <c r="BL33" s="1"/>
  <c r="R33"/>
  <c r="BR33" s="1"/>
  <c r="L33"/>
  <c r="BM33" s="1"/>
  <c r="E33"/>
  <c r="BD33" s="1"/>
  <c r="X8"/>
  <c r="BS8" s="1"/>
  <c r="P8"/>
  <c r="BT8" s="1"/>
  <c r="M8"/>
  <c r="BI8" s="1"/>
  <c r="K8"/>
  <c r="BG8" s="1"/>
  <c r="T8"/>
  <c r="BZ8" s="1"/>
  <c r="B8"/>
  <c r="U8"/>
  <c r="BY8" s="1"/>
  <c r="H8"/>
  <c r="BN8" s="1"/>
  <c r="C8"/>
  <c r="BH8" s="1"/>
  <c r="Q8"/>
  <c r="BR8" s="1"/>
  <c r="F8"/>
  <c r="BJ8" s="1"/>
  <c r="G8"/>
  <c r="BC8" s="1"/>
  <c r="N8"/>
  <c r="BP8" s="1"/>
  <c r="O8"/>
  <c r="BX8" s="1"/>
  <c r="D8"/>
  <c r="BL8" s="1"/>
  <c r="R8"/>
  <c r="BO8" s="1"/>
  <c r="S8"/>
  <c r="BV8" s="1"/>
  <c r="J8"/>
  <c r="BM8" s="1"/>
  <c r="Y8"/>
  <c r="BU8" s="1"/>
  <c r="V8"/>
  <c r="BQ8" s="1"/>
  <c r="I8"/>
  <c r="BE8" s="1"/>
  <c r="W8"/>
  <c r="BW8" s="1"/>
  <c r="L8"/>
  <c r="BK8" s="1"/>
  <c r="E8"/>
  <c r="BF8" s="1"/>
  <c r="X121"/>
  <c r="BY121" s="1"/>
  <c r="M121"/>
  <c r="BM121" s="1"/>
  <c r="U121"/>
  <c r="BV121" s="1"/>
  <c r="Q121"/>
  <c r="BP121" s="1"/>
  <c r="K121"/>
  <c r="BK121" s="1"/>
  <c r="Y121"/>
  <c r="BZ121" s="1"/>
  <c r="J121"/>
  <c r="BL121" s="1"/>
  <c r="O121"/>
  <c r="BO121" s="1"/>
  <c r="E121"/>
  <c r="BD121" s="1"/>
  <c r="I121"/>
  <c r="BI121" s="1"/>
  <c r="D121"/>
  <c r="BC121" s="1"/>
  <c r="G121"/>
  <c r="BG121" s="1"/>
  <c r="N121"/>
  <c r="BR121" s="1"/>
  <c r="S121"/>
  <c r="BT121" s="1"/>
  <c r="B121"/>
  <c r="R121"/>
  <c r="BS121" s="1"/>
  <c r="H121"/>
  <c r="BJ121" s="1"/>
  <c r="T121"/>
  <c r="BU121" s="1"/>
  <c r="C121"/>
  <c r="BE121" s="1"/>
  <c r="V121"/>
  <c r="BW121" s="1"/>
  <c r="L121"/>
  <c r="BN121" s="1"/>
  <c r="F121"/>
  <c r="BH121" s="1"/>
  <c r="W121"/>
  <c r="BX121" s="1"/>
  <c r="P121"/>
  <c r="BQ121" s="1"/>
  <c r="Y134"/>
  <c r="BP134" s="1"/>
  <c r="O134"/>
  <c r="BX134" s="1"/>
  <c r="D134"/>
  <c r="BL134" s="1"/>
  <c r="L134"/>
  <c r="BD134" s="1"/>
  <c r="S134"/>
  <c r="BY134" s="1"/>
  <c r="K134"/>
  <c r="BI134" s="1"/>
  <c r="F134"/>
  <c r="BG134" s="1"/>
  <c r="P134"/>
  <c r="BT134" s="1"/>
  <c r="H134"/>
  <c r="BM134" s="1"/>
  <c r="I134"/>
  <c r="BJ134" s="1"/>
  <c r="U134"/>
  <c r="BQ134" s="1"/>
  <c r="E134"/>
  <c r="BN134" s="1"/>
  <c r="V134"/>
  <c r="BV134" s="1"/>
  <c r="T134"/>
  <c r="BR134" s="1"/>
  <c r="C134"/>
  <c r="BH134" s="1"/>
  <c r="M134"/>
  <c r="BC134" s="1"/>
  <c r="N134"/>
  <c r="BW134" s="1"/>
  <c r="G134"/>
  <c r="BF134" s="1"/>
  <c r="Q134"/>
  <c r="BS134" s="1"/>
  <c r="R134"/>
  <c r="BZ134" s="1"/>
  <c r="J134"/>
  <c r="BE134" s="1"/>
  <c r="X134"/>
  <c r="BO134" s="1"/>
  <c r="W134"/>
  <c r="BU134" s="1"/>
  <c r="B134"/>
  <c r="L13"/>
  <c r="BG13" s="1"/>
  <c r="M13"/>
  <c r="BE13" s="1"/>
  <c r="B13"/>
  <c r="P13"/>
  <c r="BX13" s="1"/>
  <c r="Q13"/>
  <c r="BV13" s="1"/>
  <c r="I13"/>
  <c r="BH13" s="1"/>
  <c r="T13"/>
  <c r="BT13" s="1"/>
  <c r="J13"/>
  <c r="BK13" s="1"/>
  <c r="F13"/>
  <c r="BI13" s="1"/>
  <c r="X13"/>
  <c r="BO13" s="1"/>
  <c r="N13"/>
  <c r="BR13" s="1"/>
  <c r="H13"/>
  <c r="BN13" s="1"/>
  <c r="U13"/>
  <c r="BZ13" s="1"/>
  <c r="R13"/>
  <c r="BP13" s="1"/>
  <c r="C13"/>
  <c r="BF13" s="1"/>
  <c r="Y13"/>
  <c r="BQ13" s="1"/>
  <c r="K13"/>
  <c r="BC13" s="1"/>
  <c r="G13"/>
  <c r="BD13" s="1"/>
  <c r="V13"/>
  <c r="BW13" s="1"/>
  <c r="O13"/>
  <c r="BY13" s="1"/>
  <c r="D13"/>
  <c r="BJ13" s="1"/>
  <c r="W13"/>
  <c r="BS13" s="1"/>
  <c r="S13"/>
  <c r="BU13" s="1"/>
  <c r="E13"/>
  <c r="BL13" s="1"/>
  <c r="U118"/>
  <c r="BT118" s="1"/>
  <c r="N118"/>
  <c r="BR118" s="1"/>
  <c r="C118"/>
  <c r="BI118" s="1"/>
  <c r="M118"/>
  <c r="BL118" s="1"/>
  <c r="R118"/>
  <c r="BS118" s="1"/>
  <c r="G118"/>
  <c r="BG118" s="1"/>
  <c r="Q118"/>
  <c r="BP118" s="1"/>
  <c r="T118"/>
  <c r="BW118" s="1"/>
  <c r="I118"/>
  <c r="BM118" s="1"/>
  <c r="X118"/>
  <c r="BZ118" s="1"/>
  <c r="O118"/>
  <c r="BQ118" s="1"/>
  <c r="K118"/>
  <c r="BN118" s="1"/>
  <c r="B118"/>
  <c r="Y118"/>
  <c r="BX118" s="1"/>
  <c r="S118"/>
  <c r="BO118" s="1"/>
  <c r="J118"/>
  <c r="BH118" s="1"/>
  <c r="F118"/>
  <c r="BC118" s="1"/>
  <c r="V118"/>
  <c r="BY118" s="1"/>
  <c r="W118"/>
  <c r="BV118" s="1"/>
  <c r="D118"/>
  <c r="BE118" s="1"/>
  <c r="H118"/>
  <c r="BK118" s="1"/>
  <c r="P118"/>
  <c r="BU118" s="1"/>
  <c r="E118"/>
  <c r="BD118" s="1"/>
  <c r="L118"/>
  <c r="BJ118" s="1"/>
  <c r="L21"/>
  <c r="BD21" s="1"/>
  <c r="M21"/>
  <c r="BF21" s="1"/>
  <c r="F21"/>
  <c r="BM21" s="1"/>
  <c r="P21"/>
  <c r="BU21" s="1"/>
  <c r="Q21"/>
  <c r="BW21" s="1"/>
  <c r="H21"/>
  <c r="BC21" s="1"/>
  <c r="T21"/>
  <c r="BV21" s="1"/>
  <c r="J21"/>
  <c r="BE21" s="1"/>
  <c r="I21"/>
  <c r="BL21" s="1"/>
  <c r="X21"/>
  <c r="BR21" s="1"/>
  <c r="N21"/>
  <c r="BZ21" s="1"/>
  <c r="U21"/>
  <c r="BX21" s="1"/>
  <c r="R21"/>
  <c r="BY21" s="1"/>
  <c r="C21"/>
  <c r="BN21" s="1"/>
  <c r="Y21"/>
  <c r="BP21" s="1"/>
  <c r="K21"/>
  <c r="BH21" s="1"/>
  <c r="G21"/>
  <c r="BJ21" s="1"/>
  <c r="V21"/>
  <c r="BT21" s="1"/>
  <c r="O21"/>
  <c r="BS21" s="1"/>
  <c r="D21"/>
  <c r="BK21" s="1"/>
  <c r="E21"/>
  <c r="BI21" s="1"/>
  <c r="W21"/>
  <c r="BQ21" s="1"/>
  <c r="S21"/>
  <c r="BO21" s="1"/>
  <c r="B21"/>
  <c r="T50"/>
  <c r="BX50" s="1"/>
  <c r="C50"/>
  <c r="BK50" s="1"/>
  <c r="V50"/>
  <c r="BV50" s="1"/>
  <c r="G50"/>
  <c r="BL50" s="1"/>
  <c r="E50"/>
  <c r="BN50" s="1"/>
  <c r="O50"/>
  <c r="BO50" s="1"/>
  <c r="L50"/>
  <c r="BD50" s="1"/>
  <c r="K50"/>
  <c r="BH50" s="1"/>
  <c r="S50"/>
  <c r="BS50" s="1"/>
  <c r="P50"/>
  <c r="BY50" s="1"/>
  <c r="B50"/>
  <c r="U50"/>
  <c r="BQ50" s="1"/>
  <c r="M50"/>
  <c r="BF50" s="1"/>
  <c r="F50"/>
  <c r="BI50" s="1"/>
  <c r="W50"/>
  <c r="BP50" s="1"/>
  <c r="Q50"/>
  <c r="BU50" s="1"/>
  <c r="I50"/>
  <c r="BJ50" s="1"/>
  <c r="X50"/>
  <c r="BT50" s="1"/>
  <c r="N50"/>
  <c r="BW50" s="1"/>
  <c r="H50"/>
  <c r="BG50" s="1"/>
  <c r="Y50"/>
  <c r="BR50" s="1"/>
  <c r="R50"/>
  <c r="BZ50" s="1"/>
  <c r="J50"/>
  <c r="BE50" s="1"/>
  <c r="D50"/>
  <c r="BM50" s="1"/>
  <c r="W128"/>
  <c r="BU128" s="1"/>
  <c r="L128"/>
  <c r="BI128" s="1"/>
  <c r="B128"/>
  <c r="X128"/>
  <c r="BQ128" s="1"/>
  <c r="P128"/>
  <c r="BV128" s="1"/>
  <c r="M128"/>
  <c r="BG128" s="1"/>
  <c r="C128"/>
  <c r="BJ128" s="1"/>
  <c r="T128"/>
  <c r="BY128" s="1"/>
  <c r="F128"/>
  <c r="BL128" s="1"/>
  <c r="G128"/>
  <c r="BC128" s="1"/>
  <c r="Q128"/>
  <c r="BT128" s="1"/>
  <c r="J128"/>
  <c r="BK128" s="1"/>
  <c r="D128"/>
  <c r="BN128" s="1"/>
  <c r="N128"/>
  <c r="BR128" s="1"/>
  <c r="K128"/>
  <c r="BE128" s="1"/>
  <c r="H128"/>
  <c r="BM128" s="1"/>
  <c r="R128"/>
  <c r="BO128" s="1"/>
  <c r="U128"/>
  <c r="BW128" s="1"/>
  <c r="I128"/>
  <c r="BD128" s="1"/>
  <c r="Y128"/>
  <c r="BS128" s="1"/>
  <c r="O128"/>
  <c r="BZ128" s="1"/>
  <c r="E128"/>
  <c r="BH128" s="1"/>
  <c r="V128"/>
  <c r="BP128" s="1"/>
  <c r="S128"/>
  <c r="BX128" s="1"/>
  <c r="CC95" i="85"/>
  <c r="CE31"/>
  <c r="CC131"/>
  <c r="CC39"/>
  <c r="CD39"/>
  <c r="F77" i="88"/>
  <c r="BI77" s="1"/>
  <c r="Y77"/>
  <c r="BP77" s="1"/>
  <c r="K77"/>
  <c r="BH77" s="1"/>
  <c r="V77"/>
  <c r="BT77" s="1"/>
  <c r="O77"/>
  <c r="BW77" s="1"/>
  <c r="W77"/>
  <c r="BQ77" s="1"/>
  <c r="S77"/>
  <c r="BU77" s="1"/>
  <c r="I77"/>
  <c r="BJ77" s="1"/>
  <c r="G77"/>
  <c r="BL77" s="1"/>
  <c r="H77"/>
  <c r="BG77" s="1"/>
  <c r="L77"/>
  <c r="BD77" s="1"/>
  <c r="M77"/>
  <c r="BF77" s="1"/>
  <c r="P77"/>
  <c r="BO77" s="1"/>
  <c r="Q77"/>
  <c r="BY77" s="1"/>
  <c r="C77"/>
  <c r="BC77" s="1"/>
  <c r="R77"/>
  <c r="BX77" s="1"/>
  <c r="E77"/>
  <c r="BM77" s="1"/>
  <c r="B77"/>
  <c r="T77"/>
  <c r="BV77" s="1"/>
  <c r="J77"/>
  <c r="BE77" s="1"/>
  <c r="D77"/>
  <c r="BK77" s="1"/>
  <c r="X77"/>
  <c r="BR77" s="1"/>
  <c r="N77"/>
  <c r="BZ77" s="1"/>
  <c r="U77"/>
  <c r="BS77" s="1"/>
  <c r="Y49"/>
  <c r="BP49" s="1"/>
  <c r="J49"/>
  <c r="BE49" s="1"/>
  <c r="O49"/>
  <c r="BO49" s="1"/>
  <c r="G49"/>
  <c r="BL49" s="1"/>
  <c r="N49"/>
  <c r="BW49" s="1"/>
  <c r="S49"/>
  <c r="BU49" s="1"/>
  <c r="D49"/>
  <c r="BC49" s="1"/>
  <c r="R49"/>
  <c r="BX49" s="1"/>
  <c r="H49"/>
  <c r="BG49" s="1"/>
  <c r="V49"/>
  <c r="BT49" s="1"/>
  <c r="L49"/>
  <c r="BD49" s="1"/>
  <c r="E49"/>
  <c r="BM49" s="1"/>
  <c r="W49"/>
  <c r="BQ49" s="1"/>
  <c r="P49"/>
  <c r="BZ49" s="1"/>
  <c r="B49"/>
  <c r="T49"/>
  <c r="BV49" s="1"/>
  <c r="I49"/>
  <c r="BJ49" s="1"/>
  <c r="F49"/>
  <c r="BI49" s="1"/>
  <c r="X49"/>
  <c r="BR49" s="1"/>
  <c r="M49"/>
  <c r="BF49" s="1"/>
  <c r="U49"/>
  <c r="BS49" s="1"/>
  <c r="Q49"/>
  <c r="BY49" s="1"/>
  <c r="K49"/>
  <c r="BH49" s="1"/>
  <c r="C49"/>
  <c r="BN49" s="1"/>
  <c r="N9"/>
  <c r="BP9" s="1"/>
  <c r="H9"/>
  <c r="BM9" s="1"/>
  <c r="D9"/>
  <c r="BF9" s="1"/>
  <c r="R9"/>
  <c r="BV9" s="1"/>
  <c r="L9"/>
  <c r="BI9" s="1"/>
  <c r="E9"/>
  <c r="BH9" s="1"/>
  <c r="V9"/>
  <c r="BQ9" s="1"/>
  <c r="P9"/>
  <c r="BT9" s="1"/>
  <c r="B9"/>
  <c r="W9"/>
  <c r="BW9" s="1"/>
  <c r="T9"/>
  <c r="BO9" s="1"/>
  <c r="F9"/>
  <c r="BJ9" s="1"/>
  <c r="X9"/>
  <c r="BS9" s="1"/>
  <c r="I9"/>
  <c r="BN9" s="1"/>
  <c r="U9"/>
  <c r="BZ9" s="1"/>
  <c r="M9"/>
  <c r="BG9" s="1"/>
  <c r="K9"/>
  <c r="BE9" s="1"/>
  <c r="Y9"/>
  <c r="BU9" s="1"/>
  <c r="Q9"/>
  <c r="BR9" s="1"/>
  <c r="O9"/>
  <c r="BX9" s="1"/>
  <c r="C9"/>
  <c r="BD9" s="1"/>
  <c r="J9"/>
  <c r="BK9" s="1"/>
  <c r="S9"/>
  <c r="BY9" s="1"/>
  <c r="G9"/>
  <c r="BC9" s="1"/>
  <c r="U146"/>
  <c r="BT146" s="1"/>
  <c r="T146"/>
  <c r="BW146" s="1"/>
  <c r="B146"/>
  <c r="V146"/>
  <c r="BY146" s="1"/>
  <c r="M146"/>
  <c r="BL146" s="1"/>
  <c r="W146"/>
  <c r="BV146" s="1"/>
  <c r="Q146"/>
  <c r="BP146" s="1"/>
  <c r="F146"/>
  <c r="BD146" s="1"/>
  <c r="X146"/>
  <c r="BZ146" s="1"/>
  <c r="N146"/>
  <c r="BQ146" s="1"/>
  <c r="H146"/>
  <c r="BF146" s="1"/>
  <c r="D146"/>
  <c r="BG146" s="1"/>
  <c r="Y146"/>
  <c r="BX146" s="1"/>
  <c r="R146"/>
  <c r="BU146" s="1"/>
  <c r="J146"/>
  <c r="BH146" s="1"/>
  <c r="G146"/>
  <c r="BK146" s="1"/>
  <c r="K146"/>
  <c r="BN146" s="1"/>
  <c r="C146"/>
  <c r="BE146" s="1"/>
  <c r="I146"/>
  <c r="BM146" s="1"/>
  <c r="O146"/>
  <c r="BO146" s="1"/>
  <c r="L146"/>
  <c r="BJ146" s="1"/>
  <c r="S146"/>
  <c r="BR146" s="1"/>
  <c r="P146"/>
  <c r="BS146" s="1"/>
  <c r="E146"/>
  <c r="BI146" s="1"/>
  <c r="S52"/>
  <c r="BQ52" s="1"/>
  <c r="D52"/>
  <c r="BI52" s="1"/>
  <c r="K52"/>
  <c r="BJ52" s="1"/>
  <c r="U52"/>
  <c r="BP52" s="1"/>
  <c r="M52"/>
  <c r="BH52" s="1"/>
  <c r="F52"/>
  <c r="BG52" s="1"/>
  <c r="L52"/>
  <c r="BF52" s="1"/>
  <c r="Q52"/>
  <c r="BS52" s="1"/>
  <c r="H52"/>
  <c r="BE52" s="1"/>
  <c r="P52"/>
  <c r="BU52" s="1"/>
  <c r="N52"/>
  <c r="BO52" s="1"/>
  <c r="I52"/>
  <c r="BL52" s="1"/>
  <c r="W52"/>
  <c r="BR52" s="1"/>
  <c r="R52"/>
  <c r="BY52" s="1"/>
  <c r="C52"/>
  <c r="BC52" s="1"/>
  <c r="X52"/>
  <c r="BV52" s="1"/>
  <c r="T52"/>
  <c r="BZ52" s="1"/>
  <c r="G52"/>
  <c r="BN52" s="1"/>
  <c r="Y52"/>
  <c r="BT52" s="1"/>
  <c r="V52"/>
  <c r="BX52" s="1"/>
  <c r="J52"/>
  <c r="BD52" s="1"/>
  <c r="E52"/>
  <c r="BM52" s="1"/>
  <c r="O52"/>
  <c r="BW52" s="1"/>
  <c r="B52"/>
  <c r="X34"/>
  <c r="BU34" s="1"/>
  <c r="Q34"/>
  <c r="BX34" s="1"/>
  <c r="F34"/>
  <c r="BL34" s="1"/>
  <c r="Y34"/>
  <c r="BW34" s="1"/>
  <c r="V34"/>
  <c r="BZ34" s="1"/>
  <c r="J34"/>
  <c r="BN34" s="1"/>
  <c r="D34"/>
  <c r="BE34" s="1"/>
  <c r="N34"/>
  <c r="BT34" s="1"/>
  <c r="C34"/>
  <c r="BG34" s="1"/>
  <c r="I34"/>
  <c r="BC34" s="1"/>
  <c r="R34"/>
  <c r="BP34" s="1"/>
  <c r="G34"/>
  <c r="BF34" s="1"/>
  <c r="O34"/>
  <c r="BQ34" s="1"/>
  <c r="L34"/>
  <c r="BM34" s="1"/>
  <c r="H34"/>
  <c r="BJ34" s="1"/>
  <c r="S34"/>
  <c r="BR34" s="1"/>
  <c r="P34"/>
  <c r="BS34" s="1"/>
  <c r="E34"/>
  <c r="BD34" s="1"/>
  <c r="U34"/>
  <c r="BV34" s="1"/>
  <c r="T34"/>
  <c r="BO34" s="1"/>
  <c r="K34"/>
  <c r="BI34" s="1"/>
  <c r="W34"/>
  <c r="BY34" s="1"/>
  <c r="M34"/>
  <c r="BK34" s="1"/>
  <c r="B34"/>
  <c r="Q143"/>
  <c r="BO143" s="1"/>
  <c r="G143"/>
  <c r="BK143" s="1"/>
  <c r="U143"/>
  <c r="BP143" s="1"/>
  <c r="K143"/>
  <c r="BL143" s="1"/>
  <c r="R143"/>
  <c r="BY143" s="1"/>
  <c r="D143"/>
  <c r="BG143" s="1"/>
  <c r="Y143"/>
  <c r="BT143" s="1"/>
  <c r="O143"/>
  <c r="BU143" s="1"/>
  <c r="F143"/>
  <c r="BC143" s="1"/>
  <c r="I143"/>
  <c r="BN143" s="1"/>
  <c r="V143"/>
  <c r="BX143" s="1"/>
  <c r="S143"/>
  <c r="BW143" s="1"/>
  <c r="C143"/>
  <c r="BE143" s="1"/>
  <c r="W143"/>
  <c r="BR143" s="1"/>
  <c r="H143"/>
  <c r="BD143" s="1"/>
  <c r="T143"/>
  <c r="BZ143" s="1"/>
  <c r="L143"/>
  <c r="BH143" s="1"/>
  <c r="J143"/>
  <c r="BF143" s="1"/>
  <c r="B143"/>
  <c r="M143"/>
  <c r="BJ143" s="1"/>
  <c r="E143"/>
  <c r="BM143" s="1"/>
  <c r="X143"/>
  <c r="BV143" s="1"/>
  <c r="P143"/>
  <c r="BS143" s="1"/>
  <c r="N143"/>
  <c r="BQ143" s="1"/>
  <c r="X67"/>
  <c r="BW67" s="1"/>
  <c r="Q67"/>
  <c r="BZ67" s="1"/>
  <c r="F67"/>
  <c r="BJ67" s="1"/>
  <c r="U67"/>
  <c r="BO67" s="1"/>
  <c r="J67"/>
  <c r="BC67" s="1"/>
  <c r="C67"/>
  <c r="BL67" s="1"/>
  <c r="Y67"/>
  <c r="BY67" s="1"/>
  <c r="N67"/>
  <c r="BX67" s="1"/>
  <c r="G67"/>
  <c r="BH67" s="1"/>
  <c r="V67"/>
  <c r="BU67" s="1"/>
  <c r="R67"/>
  <c r="BT67" s="1"/>
  <c r="L67"/>
  <c r="BM67" s="1"/>
  <c r="D67"/>
  <c r="BN67" s="1"/>
  <c r="K67"/>
  <c r="BG67" s="1"/>
  <c r="P67"/>
  <c r="BQ67" s="1"/>
  <c r="H67"/>
  <c r="BD67" s="1"/>
  <c r="O67"/>
  <c r="BR67" s="1"/>
  <c r="T67"/>
  <c r="BP67" s="1"/>
  <c r="E67"/>
  <c r="BE67" s="1"/>
  <c r="S67"/>
  <c r="BV67" s="1"/>
  <c r="I67"/>
  <c r="BI67" s="1"/>
  <c r="W67"/>
  <c r="BS67" s="1"/>
  <c r="M67"/>
  <c r="BK67" s="1"/>
  <c r="B67"/>
  <c r="Y130"/>
  <c r="BQ130" s="1"/>
  <c r="R130"/>
  <c r="BV130" s="1"/>
  <c r="C130"/>
  <c r="BF130" s="1"/>
  <c r="K130"/>
  <c r="BD130" s="1"/>
  <c r="G130"/>
  <c r="BL130" s="1"/>
  <c r="H130"/>
  <c r="BM130" s="1"/>
  <c r="O130"/>
  <c r="BT130" s="1"/>
  <c r="L130"/>
  <c r="BG130" s="1"/>
  <c r="E130"/>
  <c r="BJ130" s="1"/>
  <c r="S130"/>
  <c r="BX130" s="1"/>
  <c r="P130"/>
  <c r="BR130" s="1"/>
  <c r="I130"/>
  <c r="BC130" s="1"/>
  <c r="U130"/>
  <c r="BY130" s="1"/>
  <c r="T130"/>
  <c r="BO130" s="1"/>
  <c r="B130"/>
  <c r="V130"/>
  <c r="BU130" s="1"/>
  <c r="M130"/>
  <c r="BE130" s="1"/>
  <c r="W130"/>
  <c r="BS130" s="1"/>
  <c r="Q130"/>
  <c r="BW130" s="1"/>
  <c r="F130"/>
  <c r="BK130" s="1"/>
  <c r="X130"/>
  <c r="BP130" s="1"/>
  <c r="N130"/>
  <c r="BZ130" s="1"/>
  <c r="J130"/>
  <c r="BI130" s="1"/>
  <c r="D130"/>
  <c r="BH130" s="1"/>
  <c r="P119"/>
  <c r="BP119" s="1"/>
  <c r="N119"/>
  <c r="BR119" s="1"/>
  <c r="G119"/>
  <c r="BG119" s="1"/>
  <c r="M119"/>
  <c r="BN119" s="1"/>
  <c r="R119"/>
  <c r="BU119" s="1"/>
  <c r="I119"/>
  <c r="BK119" s="1"/>
  <c r="Q119"/>
  <c r="BO119" s="1"/>
  <c r="T119"/>
  <c r="BW119" s="1"/>
  <c r="U119"/>
  <c r="BT119" s="1"/>
  <c r="K119"/>
  <c r="BM119" s="1"/>
  <c r="Y119"/>
  <c r="BX119" s="1"/>
  <c r="O119"/>
  <c r="BQ119" s="1"/>
  <c r="D119"/>
  <c r="BD119" s="1"/>
  <c r="V119"/>
  <c r="BY119" s="1"/>
  <c r="S119"/>
  <c r="BS119" s="1"/>
  <c r="E119"/>
  <c r="BI119" s="1"/>
  <c r="W119"/>
  <c r="BV119" s="1"/>
  <c r="H119"/>
  <c r="BH119" s="1"/>
  <c r="B119"/>
  <c r="F119"/>
  <c r="BC119" s="1"/>
  <c r="X119"/>
  <c r="BZ119" s="1"/>
  <c r="L119"/>
  <c r="BL119" s="1"/>
  <c r="J119"/>
  <c r="BJ119" s="1"/>
  <c r="C119"/>
  <c r="BF119" s="1"/>
  <c r="X93"/>
  <c r="BY93" s="1"/>
  <c r="N93"/>
  <c r="BQ93" s="1"/>
  <c r="G93"/>
  <c r="BI93" s="1"/>
  <c r="U93"/>
  <c r="BS93" s="1"/>
  <c r="R93"/>
  <c r="BP93" s="1"/>
  <c r="T93"/>
  <c r="BU93" s="1"/>
  <c r="Y93"/>
  <c r="BZ93" s="1"/>
  <c r="K93"/>
  <c r="BK93" s="1"/>
  <c r="C93"/>
  <c r="BE93" s="1"/>
  <c r="E93"/>
  <c r="BH93" s="1"/>
  <c r="B93"/>
  <c r="V93"/>
  <c r="BW93" s="1"/>
  <c r="O93"/>
  <c r="BV93" s="1"/>
  <c r="D93"/>
  <c r="BF93" s="1"/>
  <c r="W93"/>
  <c r="BX93" s="1"/>
  <c r="S93"/>
  <c r="BO93" s="1"/>
  <c r="I93"/>
  <c r="BG93" s="1"/>
  <c r="L93"/>
  <c r="BN93" s="1"/>
  <c r="M93"/>
  <c r="BM93" s="1"/>
  <c r="H93"/>
  <c r="BC93" s="1"/>
  <c r="J93"/>
  <c r="BL93" s="1"/>
  <c r="F93"/>
  <c r="BD93" s="1"/>
  <c r="P93"/>
  <c r="BT93" s="1"/>
  <c r="Q93"/>
  <c r="BR93" s="1"/>
  <c r="V113"/>
  <c r="BZ113" s="1"/>
  <c r="L113"/>
  <c r="BC113" s="1"/>
  <c r="W113"/>
  <c r="BO113" s="1"/>
  <c r="P113"/>
  <c r="BS113" s="1"/>
  <c r="T113"/>
  <c r="BW113" s="1"/>
  <c r="I113"/>
  <c r="BK113" s="1"/>
  <c r="X113"/>
  <c r="BV113" s="1"/>
  <c r="M113"/>
  <c r="BH113" s="1"/>
  <c r="E113"/>
  <c r="BG113" s="1"/>
  <c r="R113"/>
  <c r="BX113" s="1"/>
  <c r="D113"/>
  <c r="BI113" s="1"/>
  <c r="G113"/>
  <c r="BL113" s="1"/>
  <c r="U113"/>
  <c r="BQ113" s="1"/>
  <c r="Q113"/>
  <c r="BU113" s="1"/>
  <c r="K113"/>
  <c r="BJ113" s="1"/>
  <c r="B113"/>
  <c r="Y113"/>
  <c r="BT113" s="1"/>
  <c r="J113"/>
  <c r="BN113" s="1"/>
  <c r="O113"/>
  <c r="BP113" s="1"/>
  <c r="H113"/>
  <c r="BE113" s="1"/>
  <c r="C113"/>
  <c r="BM113" s="1"/>
  <c r="N113"/>
  <c r="BY113" s="1"/>
  <c r="S113"/>
  <c r="BR113" s="1"/>
  <c r="F113"/>
  <c r="BF113" s="1"/>
  <c r="U23"/>
  <c r="BQ23" s="1"/>
  <c r="O23"/>
  <c r="BW23" s="1"/>
  <c r="Y23"/>
  <c r="BR23" s="1"/>
  <c r="S23"/>
  <c r="BY23" s="1"/>
  <c r="D23"/>
  <c r="BI23" s="1"/>
  <c r="V23"/>
  <c r="BV23" s="1"/>
  <c r="H23"/>
  <c r="BE23" s="1"/>
  <c r="E23"/>
  <c r="BN23" s="1"/>
  <c r="W23"/>
  <c r="BP23" s="1"/>
  <c r="L23"/>
  <c r="BF23" s="1"/>
  <c r="B23"/>
  <c r="X23"/>
  <c r="BT23" s="1"/>
  <c r="P23"/>
  <c r="BU23" s="1"/>
  <c r="J23"/>
  <c r="BD23" s="1"/>
  <c r="F23"/>
  <c r="BC23" s="1"/>
  <c r="T23"/>
  <c r="BX23" s="1"/>
  <c r="N23"/>
  <c r="BS23" s="1"/>
  <c r="I23"/>
  <c r="BL23" s="1"/>
  <c r="M23"/>
  <c r="BH23" s="1"/>
  <c r="R23"/>
  <c r="BZ23" s="1"/>
  <c r="C23"/>
  <c r="BG23" s="1"/>
  <c r="Q23"/>
  <c r="BO23" s="1"/>
  <c r="K23"/>
  <c r="BJ23" s="1"/>
  <c r="G23"/>
  <c r="BM23" s="1"/>
  <c r="W96"/>
  <c r="BY96" s="1"/>
  <c r="T96"/>
  <c r="BQ96" s="1"/>
  <c r="E96"/>
  <c r="BH96" s="1"/>
  <c r="I96"/>
  <c r="BG96" s="1"/>
  <c r="X96"/>
  <c r="BU96" s="1"/>
  <c r="L96"/>
  <c r="BM96" s="1"/>
  <c r="P96"/>
  <c r="BT96" s="1"/>
  <c r="B96"/>
  <c r="C96"/>
  <c r="BJ96" s="1"/>
  <c r="Q96"/>
  <c r="BO96" s="1"/>
  <c r="F96"/>
  <c r="BD96" s="1"/>
  <c r="G96"/>
  <c r="BE96" s="1"/>
  <c r="N96"/>
  <c r="BR96" s="1"/>
  <c r="J96"/>
  <c r="BN96" s="1"/>
  <c r="M96"/>
  <c r="BK96" s="1"/>
  <c r="R96"/>
  <c r="BP96" s="1"/>
  <c r="U96"/>
  <c r="BZ96" s="1"/>
  <c r="D96"/>
  <c r="BC96" s="1"/>
  <c r="Y96"/>
  <c r="BW96" s="1"/>
  <c r="O96"/>
  <c r="BV96" s="1"/>
  <c r="H96"/>
  <c r="BL96" s="1"/>
  <c r="V96"/>
  <c r="BS96" s="1"/>
  <c r="S96"/>
  <c r="BX96" s="1"/>
  <c r="K96"/>
  <c r="BI96" s="1"/>
  <c r="E117"/>
  <c r="BD117" s="1"/>
  <c r="B117"/>
  <c r="U117"/>
  <c r="BW117" s="1"/>
  <c r="R117"/>
  <c r="BS117" s="1"/>
  <c r="D117"/>
  <c r="BE117" s="1"/>
  <c r="C117"/>
  <c r="BI117" s="1"/>
  <c r="Y117"/>
  <c r="BV117" s="1"/>
  <c r="K117"/>
  <c r="BN117" s="1"/>
  <c r="X117"/>
  <c r="BX117" s="1"/>
  <c r="V117"/>
  <c r="BZ117" s="1"/>
  <c r="O117"/>
  <c r="BR117" s="1"/>
  <c r="F117"/>
  <c r="BG117" s="1"/>
  <c r="W117"/>
  <c r="BT117" s="1"/>
  <c r="S117"/>
  <c r="BO117" s="1"/>
  <c r="I117"/>
  <c r="BK117" s="1"/>
  <c r="L117"/>
  <c r="BJ117" s="1"/>
  <c r="M117"/>
  <c r="BL117" s="1"/>
  <c r="P117"/>
  <c r="BP117" s="1"/>
  <c r="Q117"/>
  <c r="BQ117" s="1"/>
  <c r="H117"/>
  <c r="BC117" s="1"/>
  <c r="G117"/>
  <c r="BM117" s="1"/>
  <c r="T117"/>
  <c r="BY117" s="1"/>
  <c r="J117"/>
  <c r="BH117" s="1"/>
  <c r="N117"/>
  <c r="BU117" s="1"/>
  <c r="U82"/>
  <c r="BQ82" s="1"/>
  <c r="V82"/>
  <c r="BR82" s="1"/>
  <c r="B82"/>
  <c r="W82"/>
  <c r="BT82" s="1"/>
  <c r="M82"/>
  <c r="BJ82" s="1"/>
  <c r="F82"/>
  <c r="BD82" s="1"/>
  <c r="X82"/>
  <c r="BX82" s="1"/>
  <c r="Q82"/>
  <c r="BP82" s="1"/>
  <c r="H82"/>
  <c r="BE82" s="1"/>
  <c r="Y82"/>
  <c r="BV82" s="1"/>
  <c r="N82"/>
  <c r="BS82" s="1"/>
  <c r="J82"/>
  <c r="BF82" s="1"/>
  <c r="D82"/>
  <c r="BM82" s="1"/>
  <c r="R82"/>
  <c r="BW82" s="1"/>
  <c r="C82"/>
  <c r="BN82" s="1"/>
  <c r="I82"/>
  <c r="BC82" s="1"/>
  <c r="T82"/>
  <c r="BO82" s="1"/>
  <c r="G82"/>
  <c r="BI82" s="1"/>
  <c r="O82"/>
  <c r="BY82" s="1"/>
  <c r="L82"/>
  <c r="BH82" s="1"/>
  <c r="E82"/>
  <c r="BK82" s="1"/>
  <c r="S82"/>
  <c r="BU82" s="1"/>
  <c r="P82"/>
  <c r="BZ82" s="1"/>
  <c r="K82"/>
  <c r="BL82" s="1"/>
  <c r="N112"/>
  <c r="BY112" s="1"/>
  <c r="J112"/>
  <c r="BE112" s="1"/>
  <c r="D112"/>
  <c r="BD112" s="1"/>
  <c r="R112"/>
  <c r="BX112" s="1"/>
  <c r="U112"/>
  <c r="BQ112" s="1"/>
  <c r="E112"/>
  <c r="BL112" s="1"/>
  <c r="Y112"/>
  <c r="BO112" s="1"/>
  <c r="O112"/>
  <c r="BP112" s="1"/>
  <c r="K112"/>
  <c r="BN112" s="1"/>
  <c r="V112"/>
  <c r="BV112" s="1"/>
  <c r="S112"/>
  <c r="BR112" s="1"/>
  <c r="W112"/>
  <c r="BZ112" s="1"/>
  <c r="L112"/>
  <c r="BC112" s="1"/>
  <c r="B112"/>
  <c r="M112"/>
  <c r="BH112" s="1"/>
  <c r="X112"/>
  <c r="BT112" s="1"/>
  <c r="P112"/>
  <c r="BS112" s="1"/>
  <c r="I112"/>
  <c r="BJ112" s="1"/>
  <c r="Q112"/>
  <c r="BU112" s="1"/>
  <c r="F112"/>
  <c r="BI112" s="1"/>
  <c r="C112"/>
  <c r="BG112" s="1"/>
  <c r="T112"/>
  <c r="BW112" s="1"/>
  <c r="H112"/>
  <c r="BF112" s="1"/>
  <c r="G112"/>
  <c r="BK112" s="1"/>
  <c r="W32"/>
  <c r="BZ32" s="1"/>
  <c r="L32"/>
  <c r="BN32" s="1"/>
  <c r="E32"/>
  <c r="BE32" s="1"/>
  <c r="X32"/>
  <c r="BW32" s="1"/>
  <c r="P32"/>
  <c r="BP32" s="1"/>
  <c r="C32"/>
  <c r="BD32" s="1"/>
  <c r="T32"/>
  <c r="BV32" s="1"/>
  <c r="B32"/>
  <c r="G32"/>
  <c r="BC32" s="1"/>
  <c r="Q32"/>
  <c r="BQ32" s="1"/>
  <c r="F32"/>
  <c r="BF32" s="1"/>
  <c r="I32"/>
  <c r="BI32" s="1"/>
  <c r="V32"/>
  <c r="BU32" s="1"/>
  <c r="J32"/>
  <c r="BL32" s="1"/>
  <c r="M32"/>
  <c r="BM32" s="1"/>
  <c r="N32"/>
  <c r="BS32" s="1"/>
  <c r="U32"/>
  <c r="BX32" s="1"/>
  <c r="D32"/>
  <c r="BH32" s="1"/>
  <c r="R32"/>
  <c r="BO32" s="1"/>
  <c r="O32"/>
  <c r="BT32" s="1"/>
  <c r="H32"/>
  <c r="BJ32" s="1"/>
  <c r="Y32"/>
  <c r="BY32" s="1"/>
  <c r="S32"/>
  <c r="BR32" s="1"/>
  <c r="K32"/>
  <c r="BK32" s="1"/>
  <c r="K19"/>
  <c r="BH19" s="1"/>
  <c r="P19"/>
  <c r="BV19" s="1"/>
  <c r="E19"/>
  <c r="BJ19" s="1"/>
  <c r="O19"/>
  <c r="BZ19" s="1"/>
  <c r="T19"/>
  <c r="BX19" s="1"/>
  <c r="S19"/>
  <c r="BW19" s="1"/>
  <c r="I19"/>
  <c r="BF19" s="1"/>
  <c r="B19"/>
  <c r="W19"/>
  <c r="BT19" s="1"/>
  <c r="M19"/>
  <c r="BD19" s="1"/>
  <c r="F19"/>
  <c r="BK19" s="1"/>
  <c r="X19"/>
  <c r="BP19" s="1"/>
  <c r="Q19"/>
  <c r="BS19" s="1"/>
  <c r="H19"/>
  <c r="BL19" s="1"/>
  <c r="U19"/>
  <c r="BO19" s="1"/>
  <c r="J19"/>
  <c r="BC19" s="1"/>
  <c r="C19"/>
  <c r="BI19" s="1"/>
  <c r="Y19"/>
  <c r="BQ19" s="1"/>
  <c r="N19"/>
  <c r="BU19" s="1"/>
  <c r="G19"/>
  <c r="BM19" s="1"/>
  <c r="V19"/>
  <c r="BR19" s="1"/>
  <c r="R19"/>
  <c r="BY19" s="1"/>
  <c r="L19"/>
  <c r="BE19" s="1"/>
  <c r="D19"/>
  <c r="BG19" s="1"/>
  <c r="V70"/>
  <c r="BQ70" s="1"/>
  <c r="E70"/>
  <c r="BL70" s="1"/>
  <c r="I70"/>
  <c r="BE70" s="1"/>
  <c r="T70"/>
  <c r="BP70" s="1"/>
  <c r="N70"/>
  <c r="BZ70" s="1"/>
  <c r="K70"/>
  <c r="BG70" s="1"/>
  <c r="M70"/>
  <c r="BI70" s="1"/>
  <c r="R70"/>
  <c r="BT70" s="1"/>
  <c r="Q70"/>
  <c r="BX70" s="1"/>
  <c r="W70"/>
  <c r="BW70" s="1"/>
  <c r="C70"/>
  <c r="BF70" s="1"/>
  <c r="X70"/>
  <c r="BS70" s="1"/>
  <c r="O70"/>
  <c r="BV70" s="1"/>
  <c r="G70"/>
  <c r="BH70" s="1"/>
  <c r="Y70"/>
  <c r="BU70" s="1"/>
  <c r="S70"/>
  <c r="BO70" s="1"/>
  <c r="J70"/>
  <c r="BM70" s="1"/>
  <c r="B70"/>
  <c r="P70"/>
  <c r="BR70" s="1"/>
  <c r="D70"/>
  <c r="BJ70" s="1"/>
  <c r="L70"/>
  <c r="BK70" s="1"/>
  <c r="U70"/>
  <c r="BY70" s="1"/>
  <c r="H70"/>
  <c r="BD70" s="1"/>
  <c r="F70"/>
  <c r="BC70" s="1"/>
  <c r="CC15" i="85"/>
  <c r="CC31"/>
  <c r="CC19"/>
  <c r="CC87"/>
  <c r="CC147"/>
  <c r="CD147"/>
  <c r="O74" i="88"/>
  <c r="BO74" s="1"/>
  <c r="P74"/>
  <c r="BX74" s="1"/>
  <c r="B74"/>
  <c r="S74"/>
  <c r="BW74" s="1"/>
  <c r="M74"/>
  <c r="BE74" s="1"/>
  <c r="H74"/>
  <c r="BK74" s="1"/>
  <c r="W74"/>
  <c r="BS74" s="1"/>
  <c r="Q74"/>
  <c r="BY74" s="1"/>
  <c r="F74"/>
  <c r="BM74" s="1"/>
  <c r="X74"/>
  <c r="BP74" s="1"/>
  <c r="T74"/>
  <c r="BT74" s="1"/>
  <c r="I74"/>
  <c r="BF74" s="1"/>
  <c r="Y74"/>
  <c r="BQ74" s="1"/>
  <c r="U74"/>
  <c r="BU74" s="1"/>
  <c r="C74"/>
  <c r="BN74" s="1"/>
  <c r="D74"/>
  <c r="BL74" s="1"/>
  <c r="V74"/>
  <c r="BR74" s="1"/>
  <c r="G74"/>
  <c r="BH74" s="1"/>
  <c r="N74"/>
  <c r="BZ74" s="1"/>
  <c r="K74"/>
  <c r="BD74" s="1"/>
  <c r="J74"/>
  <c r="BI74" s="1"/>
  <c r="R74"/>
  <c r="BV74" s="1"/>
  <c r="L74"/>
  <c r="BG74" s="1"/>
  <c r="E74"/>
  <c r="BJ74" s="1"/>
  <c r="Y56"/>
  <c r="BX56" s="1"/>
  <c r="O56"/>
  <c r="BP56" s="1"/>
  <c r="D56"/>
  <c r="BD56" s="1"/>
  <c r="V56"/>
  <c r="BY56" s="1"/>
  <c r="S56"/>
  <c r="BQ56" s="1"/>
  <c r="J56"/>
  <c r="BH56" s="1"/>
  <c r="W56"/>
  <c r="BV56" s="1"/>
  <c r="L56"/>
  <c r="BJ56" s="1"/>
  <c r="E56"/>
  <c r="BI56" s="1"/>
  <c r="K56"/>
  <c r="BN56" s="1"/>
  <c r="X56"/>
  <c r="BZ56" s="1"/>
  <c r="P56"/>
  <c r="BS56" s="1"/>
  <c r="U56"/>
  <c r="BT56" s="1"/>
  <c r="B56"/>
  <c r="C56"/>
  <c r="BG56" s="1"/>
  <c r="Q56"/>
  <c r="BU56" s="1"/>
  <c r="F56"/>
  <c r="BE56" s="1"/>
  <c r="G56"/>
  <c r="BC56" s="1"/>
  <c r="N56"/>
  <c r="BW56" s="1"/>
  <c r="M56"/>
  <c r="BL56" s="1"/>
  <c r="H56"/>
  <c r="BF56" s="1"/>
  <c r="R56"/>
  <c r="BO56" s="1"/>
  <c r="T56"/>
  <c r="BR56" s="1"/>
  <c r="I56"/>
  <c r="BM56" s="1"/>
  <c r="AC150" i="87"/>
  <c r="AC151"/>
  <c r="S4" i="88"/>
  <c r="J4"/>
  <c r="I4"/>
  <c r="U4"/>
  <c r="D4"/>
  <c r="E4"/>
  <c r="L4"/>
  <c r="M4"/>
  <c r="B4"/>
  <c r="P4"/>
  <c r="Q4"/>
  <c r="H4"/>
  <c r="T4"/>
  <c r="N4"/>
  <c r="K4"/>
  <c r="W4"/>
  <c r="R4"/>
  <c r="F4"/>
  <c r="X4"/>
  <c r="V4"/>
  <c r="C4"/>
  <c r="Y4"/>
  <c r="O4"/>
  <c r="G4"/>
  <c r="L124"/>
  <c r="BM124" s="1"/>
  <c r="Q124"/>
  <c r="BV124" s="1"/>
  <c r="F124"/>
  <c r="BJ124" s="1"/>
  <c r="P124"/>
  <c r="BT124" s="1"/>
  <c r="V124"/>
  <c r="BS124" s="1"/>
  <c r="C124"/>
  <c r="BC124" s="1"/>
  <c r="W124"/>
  <c r="BY124" s="1"/>
  <c r="U124"/>
  <c r="BZ124" s="1"/>
  <c r="G124"/>
  <c r="BE124" s="1"/>
  <c r="X124"/>
  <c r="BU124" s="1"/>
  <c r="N124"/>
  <c r="BO124" s="1"/>
  <c r="Y124"/>
  <c r="BW124" s="1"/>
  <c r="R124"/>
  <c r="BP124" s="1"/>
  <c r="H124"/>
  <c r="BL124" s="1"/>
  <c r="E124"/>
  <c r="BD124" s="1"/>
  <c r="O124"/>
  <c r="BR124" s="1"/>
  <c r="D124"/>
  <c r="BH124" s="1"/>
  <c r="J124"/>
  <c r="BN124" s="1"/>
  <c r="S124"/>
  <c r="BX124" s="1"/>
  <c r="I124"/>
  <c r="BG124" s="1"/>
  <c r="K124"/>
  <c r="BI124" s="1"/>
  <c r="T124"/>
  <c r="BQ124" s="1"/>
  <c r="M124"/>
  <c r="BK124" s="1"/>
  <c r="B124"/>
  <c r="V111"/>
  <c r="BZ111" s="1"/>
  <c r="H111"/>
  <c r="BF111" s="1"/>
  <c r="B111"/>
  <c r="W111"/>
  <c r="BQ111" s="1"/>
  <c r="L111"/>
  <c r="BH111" s="1"/>
  <c r="I111"/>
  <c r="BJ111" s="1"/>
  <c r="F111"/>
  <c r="BI111" s="1"/>
  <c r="X111"/>
  <c r="BT111" s="1"/>
  <c r="P111"/>
  <c r="BX111" s="1"/>
  <c r="J111"/>
  <c r="BE111" s="1"/>
  <c r="C111"/>
  <c r="BG111" s="1"/>
  <c r="M111"/>
  <c r="BC111" s="1"/>
  <c r="N111"/>
  <c r="BS111" s="1"/>
  <c r="G111"/>
  <c r="BK111" s="1"/>
  <c r="Q111"/>
  <c r="BP111" s="1"/>
  <c r="R111"/>
  <c r="BW111" s="1"/>
  <c r="T111"/>
  <c r="BV111" s="1"/>
  <c r="K111"/>
  <c r="BN111" s="1"/>
  <c r="U111"/>
  <c r="BR111" s="1"/>
  <c r="O111"/>
  <c r="BY111" s="1"/>
  <c r="D111"/>
  <c r="BD111" s="1"/>
  <c r="Y111"/>
  <c r="BO111" s="1"/>
  <c r="S111"/>
  <c r="BU111" s="1"/>
  <c r="E111"/>
  <c r="BL111" s="1"/>
  <c r="L60"/>
  <c r="BN60" s="1"/>
  <c r="Q60"/>
  <c r="BQ60" s="1"/>
  <c r="C60"/>
  <c r="BD60" s="1"/>
  <c r="P60"/>
  <c r="BP60" s="1"/>
  <c r="V60"/>
  <c r="BO60" s="1"/>
  <c r="G60"/>
  <c r="BG60" s="1"/>
  <c r="W60"/>
  <c r="BV60" s="1"/>
  <c r="U60"/>
  <c r="BR60" s="1"/>
  <c r="X60"/>
  <c r="BY60" s="1"/>
  <c r="N60"/>
  <c r="BU60" s="1"/>
  <c r="H60"/>
  <c r="BL60" s="1"/>
  <c r="Y60"/>
  <c r="BZ60" s="1"/>
  <c r="R60"/>
  <c r="BW60" s="1"/>
  <c r="K60"/>
  <c r="BC60" s="1"/>
  <c r="E60"/>
  <c r="BK60" s="1"/>
  <c r="O60"/>
  <c r="BT60" s="1"/>
  <c r="D60"/>
  <c r="BH60" s="1"/>
  <c r="J60"/>
  <c r="BJ60" s="1"/>
  <c r="S60"/>
  <c r="BX60" s="1"/>
  <c r="I60"/>
  <c r="BF60" s="1"/>
  <c r="B60"/>
  <c r="T60"/>
  <c r="BS60" s="1"/>
  <c r="M60"/>
  <c r="BM60" s="1"/>
  <c r="F60"/>
  <c r="BE60" s="1"/>
  <c r="U37"/>
  <c r="BV37" s="1"/>
  <c r="R37"/>
  <c r="BS37" s="1"/>
  <c r="D37"/>
  <c r="BF37" s="1"/>
  <c r="Y37"/>
  <c r="BU37" s="1"/>
  <c r="K37"/>
  <c r="BC37" s="1"/>
  <c r="V37"/>
  <c r="BZ37" s="1"/>
  <c r="O37"/>
  <c r="BX37" s="1"/>
  <c r="H37"/>
  <c r="BJ37" s="1"/>
  <c r="E37"/>
  <c r="BH37" s="1"/>
  <c r="W37"/>
  <c r="BW37" s="1"/>
  <c r="S37"/>
  <c r="BY37" s="1"/>
  <c r="I37"/>
  <c r="BD37" s="1"/>
  <c r="B37"/>
  <c r="L37"/>
  <c r="BK37" s="1"/>
  <c r="M37"/>
  <c r="BI37" s="1"/>
  <c r="F37"/>
  <c r="BM37" s="1"/>
  <c r="P37"/>
  <c r="BT37" s="1"/>
  <c r="Q37"/>
  <c r="BR37" s="1"/>
  <c r="T37"/>
  <c r="BP37" s="1"/>
  <c r="J37"/>
  <c r="BN37" s="1"/>
  <c r="C37"/>
  <c r="BE37" s="1"/>
  <c r="X37"/>
  <c r="BO37" s="1"/>
  <c r="N37"/>
  <c r="BQ37" s="1"/>
  <c r="G37"/>
  <c r="BG37" s="1"/>
  <c r="Q10"/>
  <c r="BY10" s="1"/>
  <c r="C10"/>
  <c r="BD10" s="1"/>
  <c r="U10"/>
  <c r="BZ10" s="1"/>
  <c r="G10"/>
  <c r="BJ10" s="1"/>
  <c r="J10"/>
  <c r="BK10" s="1"/>
  <c r="R10"/>
  <c r="BT10" s="1"/>
  <c r="K10"/>
  <c r="BE10" s="1"/>
  <c r="N10"/>
  <c r="BX10" s="1"/>
  <c r="O10"/>
  <c r="BR10" s="1"/>
  <c r="V10"/>
  <c r="BW10" s="1"/>
  <c r="E10"/>
  <c r="BH10" s="1"/>
  <c r="S10"/>
  <c r="BV10" s="1"/>
  <c r="L10"/>
  <c r="BI10" s="1"/>
  <c r="I10"/>
  <c r="BC10" s="1"/>
  <c r="W10"/>
  <c r="BU10" s="1"/>
  <c r="P10"/>
  <c r="BP10" s="1"/>
  <c r="B10"/>
  <c r="X10"/>
  <c r="BQ10" s="1"/>
  <c r="T10"/>
  <c r="BO10" s="1"/>
  <c r="F10"/>
  <c r="BM10" s="1"/>
  <c r="Y10"/>
  <c r="BS10" s="1"/>
  <c r="M10"/>
  <c r="BG10" s="1"/>
  <c r="H10"/>
  <c r="BN10" s="1"/>
  <c r="D10"/>
  <c r="BF10" s="1"/>
  <c r="P78"/>
  <c r="BO78" s="1"/>
  <c r="T78"/>
  <c r="BX78" s="1"/>
  <c r="M78"/>
  <c r="BF78" s="1"/>
  <c r="W78"/>
  <c r="BP78" s="1"/>
  <c r="C78"/>
  <c r="BN78" s="1"/>
  <c r="Q78"/>
  <c r="BY78" s="1"/>
  <c r="N78"/>
  <c r="BW78" s="1"/>
  <c r="G78"/>
  <c r="BL78" s="1"/>
  <c r="X78"/>
  <c r="BT78" s="1"/>
  <c r="R78"/>
  <c r="BU78" s="1"/>
  <c r="I78"/>
  <c r="BJ78" s="1"/>
  <c r="Y78"/>
  <c r="BR78" s="1"/>
  <c r="U78"/>
  <c r="BQ78" s="1"/>
  <c r="D78"/>
  <c r="BM78" s="1"/>
  <c r="B78"/>
  <c r="V78"/>
  <c r="BV78" s="1"/>
  <c r="K78"/>
  <c r="BH78" s="1"/>
  <c r="H78"/>
  <c r="BG78" s="1"/>
  <c r="O78"/>
  <c r="BZ78" s="1"/>
  <c r="E78"/>
  <c r="BC78" s="1"/>
  <c r="J78"/>
  <c r="BE78" s="1"/>
  <c r="S78"/>
  <c r="BS78" s="1"/>
  <c r="L78"/>
  <c r="BD78" s="1"/>
  <c r="F78"/>
  <c r="BI78" s="1"/>
  <c r="D81"/>
  <c r="BM81" s="1"/>
  <c r="G81"/>
  <c r="BC81" s="1"/>
  <c r="U81"/>
  <c r="BQ81" s="1"/>
  <c r="Q81"/>
  <c r="BY81" s="1"/>
  <c r="K81"/>
  <c r="BL81" s="1"/>
  <c r="B81"/>
  <c r="Y81"/>
  <c r="BT81" s="1"/>
  <c r="J81"/>
  <c r="BF81" s="1"/>
  <c r="O81"/>
  <c r="BS81" s="1"/>
  <c r="M81"/>
  <c r="BJ81" s="1"/>
  <c r="C81"/>
  <c r="BN81" s="1"/>
  <c r="N81"/>
  <c r="BZ81" s="1"/>
  <c r="S81"/>
  <c r="BP81" s="1"/>
  <c r="F81"/>
  <c r="BI81" s="1"/>
  <c r="E81"/>
  <c r="BK81" s="1"/>
  <c r="R81"/>
  <c r="BU81" s="1"/>
  <c r="H81"/>
  <c r="BD81" s="1"/>
  <c r="X81"/>
  <c r="BV81" s="1"/>
  <c r="V81"/>
  <c r="BX81" s="1"/>
  <c r="L81"/>
  <c r="BH81" s="1"/>
  <c r="W81"/>
  <c r="BR81" s="1"/>
  <c r="P81"/>
  <c r="BW81" s="1"/>
  <c r="T81"/>
  <c r="BO81" s="1"/>
  <c r="I81"/>
  <c r="BE81" s="1"/>
  <c r="Y46"/>
  <c r="BQ46" s="1"/>
  <c r="O46"/>
  <c r="BZ46" s="1"/>
  <c r="L46"/>
  <c r="BG46" s="1"/>
  <c r="B46"/>
  <c r="S46"/>
  <c r="BO46" s="1"/>
  <c r="D46"/>
  <c r="BN46" s="1"/>
  <c r="H46"/>
  <c r="BH46" s="1"/>
  <c r="W46"/>
  <c r="BS46" s="1"/>
  <c r="K46"/>
  <c r="BD46" s="1"/>
  <c r="I46"/>
  <c r="BF46" s="1"/>
  <c r="P46"/>
  <c r="BV46" s="1"/>
  <c r="E46"/>
  <c r="BM46" s="1"/>
  <c r="J46"/>
  <c r="BI46" s="1"/>
  <c r="V46"/>
  <c r="BR46" s="1"/>
  <c r="T46"/>
  <c r="BT46" s="1"/>
  <c r="F46"/>
  <c r="BC46" s="1"/>
  <c r="M46"/>
  <c r="BE46" s="1"/>
  <c r="N46"/>
  <c r="BW46" s="1"/>
  <c r="Q46"/>
  <c r="BY46" s="1"/>
  <c r="R46"/>
  <c r="BX46" s="1"/>
  <c r="C46"/>
  <c r="BJ46" s="1"/>
  <c r="X46"/>
  <c r="BP46" s="1"/>
  <c r="U46"/>
  <c r="BU46" s="1"/>
  <c r="G46"/>
  <c r="BL46" s="1"/>
  <c r="U18"/>
  <c r="BX18" s="1"/>
  <c r="P18"/>
  <c r="BV18" s="1"/>
  <c r="B18"/>
  <c r="W18"/>
  <c r="BO18" s="1"/>
  <c r="T18"/>
  <c r="BR18" s="1"/>
  <c r="F18"/>
  <c r="BG18" s="1"/>
  <c r="X18"/>
  <c r="BP18" s="1"/>
  <c r="M18"/>
  <c r="BD18" s="1"/>
  <c r="I18"/>
  <c r="BL18" s="1"/>
  <c r="Y18"/>
  <c r="BQ18" s="1"/>
  <c r="Q18"/>
  <c r="BS18" s="1"/>
  <c r="H18"/>
  <c r="BK18" s="1"/>
  <c r="D18"/>
  <c r="BN18" s="1"/>
  <c r="V18"/>
  <c r="BT18" s="1"/>
  <c r="J18"/>
  <c r="BC18" s="1"/>
  <c r="N18"/>
  <c r="BU18" s="1"/>
  <c r="R18"/>
  <c r="BY18" s="1"/>
  <c r="C18"/>
  <c r="BJ18" s="1"/>
  <c r="O18"/>
  <c r="BZ18" s="1"/>
  <c r="G18"/>
  <c r="BF18" s="1"/>
  <c r="E18"/>
  <c r="BM18" s="1"/>
  <c r="S18"/>
  <c r="BW18" s="1"/>
  <c r="L18"/>
  <c r="BE18" s="1"/>
  <c r="K18"/>
  <c r="BH18" s="1"/>
  <c r="G145"/>
  <c r="BK145" s="1"/>
  <c r="U145"/>
  <c r="BR145" s="1"/>
  <c r="Q145"/>
  <c r="BS145" s="1"/>
  <c r="K145"/>
  <c r="BN145" s="1"/>
  <c r="B145"/>
  <c r="Y145"/>
  <c r="BV145" s="1"/>
  <c r="J145"/>
  <c r="BH145" s="1"/>
  <c r="O145"/>
  <c r="BO145" s="1"/>
  <c r="C145"/>
  <c r="BI145" s="1"/>
  <c r="N145"/>
  <c r="BQ145" s="1"/>
  <c r="S145"/>
  <c r="BP145" s="1"/>
  <c r="F145"/>
  <c r="BD145" s="1"/>
  <c r="X145"/>
  <c r="BX145" s="1"/>
  <c r="D145"/>
  <c r="BC145" s="1"/>
  <c r="R145"/>
  <c r="BW145" s="1"/>
  <c r="H145"/>
  <c r="BF145" s="1"/>
  <c r="M145"/>
  <c r="BL145" s="1"/>
  <c r="E145"/>
  <c r="BG145" s="1"/>
  <c r="V145"/>
  <c r="BZ145" s="1"/>
  <c r="L145"/>
  <c r="BJ145" s="1"/>
  <c r="W145"/>
  <c r="BT145" s="1"/>
  <c r="P145"/>
  <c r="BU145" s="1"/>
  <c r="T145"/>
  <c r="BY145" s="1"/>
  <c r="I145"/>
  <c r="BM145" s="1"/>
  <c r="W137"/>
  <c r="BO137" s="1"/>
  <c r="P137"/>
  <c r="BW137" s="1"/>
  <c r="E137"/>
  <c r="BK137" s="1"/>
  <c r="D137"/>
  <c r="BM137" s="1"/>
  <c r="T137"/>
  <c r="BZ137" s="1"/>
  <c r="I137"/>
  <c r="BN137" s="1"/>
  <c r="B137"/>
  <c r="X137"/>
  <c r="BR137" s="1"/>
  <c r="M137"/>
  <c r="BD137" s="1"/>
  <c r="C137"/>
  <c r="BL137" s="1"/>
  <c r="U137"/>
  <c r="BU137" s="1"/>
  <c r="Q137"/>
  <c r="BY137" s="1"/>
  <c r="K137"/>
  <c r="BF137" s="1"/>
  <c r="F137"/>
  <c r="BE137" s="1"/>
  <c r="G137"/>
  <c r="BH137" s="1"/>
  <c r="Y137"/>
  <c r="BP137" s="1"/>
  <c r="J137"/>
  <c r="BJ137" s="1"/>
  <c r="O137"/>
  <c r="BS137" s="1"/>
  <c r="V137"/>
  <c r="BV137" s="1"/>
  <c r="N137"/>
  <c r="BX137" s="1"/>
  <c r="S137"/>
  <c r="BQ137" s="1"/>
  <c r="L137"/>
  <c r="BC137" s="1"/>
  <c r="R137"/>
  <c r="BT137" s="1"/>
  <c r="H137"/>
  <c r="BI137" s="1"/>
  <c r="X38"/>
  <c r="BO38" s="1"/>
  <c r="O38"/>
  <c r="BR38" s="1"/>
  <c r="L38"/>
  <c r="BI38" s="1"/>
  <c r="Y38"/>
  <c r="BU38" s="1"/>
  <c r="S38"/>
  <c r="BV38" s="1"/>
  <c r="D38"/>
  <c r="BF38" s="1"/>
  <c r="B38"/>
  <c r="P38"/>
  <c r="BQ38" s="1"/>
  <c r="H38"/>
  <c r="BJ38" s="1"/>
  <c r="F38"/>
  <c r="BM38" s="1"/>
  <c r="U38"/>
  <c r="BW38" s="1"/>
  <c r="I38"/>
  <c r="BD38" s="1"/>
  <c r="K38"/>
  <c r="BN38" s="1"/>
  <c r="W38"/>
  <c r="BZ38" s="1"/>
  <c r="E38"/>
  <c r="BH38" s="1"/>
  <c r="T38"/>
  <c r="BS38" s="1"/>
  <c r="N38"/>
  <c r="BX38" s="1"/>
  <c r="C38"/>
  <c r="BE38" s="1"/>
  <c r="M38"/>
  <c r="BC38" s="1"/>
  <c r="R38"/>
  <c r="BT38" s="1"/>
  <c r="G38"/>
  <c r="BG38" s="1"/>
  <c r="Q38"/>
  <c r="BY38" s="1"/>
  <c r="V38"/>
  <c r="BP38" s="1"/>
  <c r="J38"/>
  <c r="BK38" s="1"/>
  <c r="N5" i="85"/>
  <c r="BP5" s="1"/>
  <c r="S5"/>
  <c r="BV5" s="1"/>
  <c r="F5"/>
  <c r="BJ5" s="1"/>
  <c r="R5"/>
  <c r="BQ5" s="1"/>
  <c r="W5"/>
  <c r="BZ5" s="1"/>
  <c r="J5"/>
  <c r="BN5" s="1"/>
  <c r="V5"/>
  <c r="BU5" s="1"/>
  <c r="L5"/>
  <c r="BM5" s="1"/>
  <c r="C5"/>
  <c r="BC5" s="1"/>
  <c r="X5"/>
  <c r="BW5" s="1"/>
  <c r="P5"/>
  <c r="BO5" s="1"/>
  <c r="G5"/>
  <c r="BE5" s="1"/>
  <c r="Y5"/>
  <c r="BY5" s="1"/>
  <c r="T5"/>
  <c r="BS5" s="1"/>
  <c r="D5"/>
  <c r="BH5" s="1"/>
  <c r="M5"/>
  <c r="BK5" s="1"/>
  <c r="H5"/>
  <c r="BL5" s="1"/>
  <c r="E5"/>
  <c r="BF5" s="1"/>
  <c r="Q5"/>
  <c r="BR5" s="1"/>
  <c r="K5"/>
  <c r="BI5" s="1"/>
  <c r="I5"/>
  <c r="BG5" s="1"/>
  <c r="U5"/>
  <c r="BX5" s="1"/>
  <c r="O5"/>
  <c r="BT5" s="1"/>
  <c r="B5"/>
  <c r="N93"/>
  <c r="BQ93" s="1"/>
  <c r="S93"/>
  <c r="BO93" s="1"/>
  <c r="F93"/>
  <c r="BD93" s="1"/>
  <c r="R93"/>
  <c r="BP93" s="1"/>
  <c r="L93"/>
  <c r="BN93" s="1"/>
  <c r="J93"/>
  <c r="BL93" s="1"/>
  <c r="V93"/>
  <c r="BW93" s="1"/>
  <c r="P93"/>
  <c r="BT93" s="1"/>
  <c r="C93"/>
  <c r="BE93" s="1"/>
  <c r="X93"/>
  <c r="BY93" s="1"/>
  <c r="T93"/>
  <c r="BU93" s="1"/>
  <c r="G93"/>
  <c r="BI93" s="1"/>
  <c r="Y93"/>
  <c r="BZ93" s="1"/>
  <c r="M93"/>
  <c r="BM93" s="1"/>
  <c r="D93"/>
  <c r="BF93" s="1"/>
  <c r="Q93"/>
  <c r="BR93" s="1"/>
  <c r="H93"/>
  <c r="BC93" s="1"/>
  <c r="E93"/>
  <c r="BH93" s="1"/>
  <c r="U93"/>
  <c r="BS93" s="1"/>
  <c r="K93"/>
  <c r="BK93" s="1"/>
  <c r="I93"/>
  <c r="BG93" s="1"/>
  <c r="W93"/>
  <c r="BX93" s="1"/>
  <c r="O93"/>
  <c r="BV93" s="1"/>
  <c r="B93"/>
  <c r="S54"/>
  <c r="BP54" s="1"/>
  <c r="H54"/>
  <c r="BD54" s="1"/>
  <c r="L54"/>
  <c r="BH54" s="1"/>
  <c r="W54"/>
  <c r="BT54" s="1"/>
  <c r="T54"/>
  <c r="BY54" s="1"/>
  <c r="O54"/>
  <c r="BW54" s="1"/>
  <c r="Y54"/>
  <c r="BV54" s="1"/>
  <c r="F54"/>
  <c r="BE54" s="1"/>
  <c r="E54"/>
  <c r="BC54" s="1"/>
  <c r="Q54"/>
  <c r="BU54" s="1"/>
  <c r="J54"/>
  <c r="BF54" s="1"/>
  <c r="I54"/>
  <c r="BN54" s="1"/>
  <c r="U54"/>
  <c r="BR54" s="1"/>
  <c r="C54"/>
  <c r="BK54" s="1"/>
  <c r="M54"/>
  <c r="BJ54" s="1"/>
  <c r="X54"/>
  <c r="BX54" s="1"/>
  <c r="G54"/>
  <c r="BM54" s="1"/>
  <c r="P54"/>
  <c r="BO54" s="1"/>
  <c r="R54"/>
  <c r="BQ54" s="1"/>
  <c r="N54"/>
  <c r="BS54" s="1"/>
  <c r="B54"/>
  <c r="V54"/>
  <c r="BZ54" s="1"/>
  <c r="D54"/>
  <c r="BI54" s="1"/>
  <c r="K54"/>
  <c r="BL54" s="1"/>
  <c r="Q62"/>
  <c r="BX62" s="1"/>
  <c r="M62"/>
  <c r="BC62" s="1"/>
  <c r="B62"/>
  <c r="U62"/>
  <c r="BZ62" s="1"/>
  <c r="D62"/>
  <c r="BE62" s="1"/>
  <c r="N62"/>
  <c r="BT62" s="1"/>
  <c r="R62"/>
  <c r="BP62" s="1"/>
  <c r="H62"/>
  <c r="BF62" s="1"/>
  <c r="F62"/>
  <c r="BL62" s="1"/>
  <c r="V62"/>
  <c r="BS62" s="1"/>
  <c r="O62"/>
  <c r="BQ62" s="1"/>
  <c r="J62"/>
  <c r="BN62" s="1"/>
  <c r="S62"/>
  <c r="BR62" s="1"/>
  <c r="P62"/>
  <c r="BU62" s="1"/>
  <c r="K62"/>
  <c r="BJ62" s="1"/>
  <c r="W62"/>
  <c r="BV62" s="1"/>
  <c r="T62"/>
  <c r="BW62" s="1"/>
  <c r="L62"/>
  <c r="BM62" s="1"/>
  <c r="X62"/>
  <c r="BO62" s="1"/>
  <c r="C62"/>
  <c r="BI62" s="1"/>
  <c r="E62"/>
  <c r="BD62" s="1"/>
  <c r="Y62"/>
  <c r="BY62" s="1"/>
  <c r="G62"/>
  <c r="BK62" s="1"/>
  <c r="I62"/>
  <c r="BG62" s="1"/>
  <c r="P145"/>
  <c r="BU145" s="1"/>
  <c r="M145"/>
  <c r="BL145" s="1"/>
  <c r="D145"/>
  <c r="BC145" s="1"/>
  <c r="T145"/>
  <c r="BY145" s="1"/>
  <c r="Q145"/>
  <c r="BS145" s="1"/>
  <c r="H145"/>
  <c r="BF145" s="1"/>
  <c r="W145"/>
  <c r="BT145" s="1"/>
  <c r="U145"/>
  <c r="BR145" s="1"/>
  <c r="J145"/>
  <c r="BH145" s="1"/>
  <c r="X145"/>
  <c r="BX145" s="1"/>
  <c r="N145"/>
  <c r="BQ145" s="1"/>
  <c r="E145"/>
  <c r="BG145" s="1"/>
  <c r="Y145"/>
  <c r="BV145" s="1"/>
  <c r="R145"/>
  <c r="BW145" s="1"/>
  <c r="I145"/>
  <c r="BM145" s="1"/>
  <c r="V145"/>
  <c r="BZ145" s="1"/>
  <c r="K145"/>
  <c r="BN145" s="1"/>
  <c r="C145"/>
  <c r="BI145" s="1"/>
  <c r="O145"/>
  <c r="BO145" s="1"/>
  <c r="B145"/>
  <c r="G145"/>
  <c r="BK145" s="1"/>
  <c r="S145"/>
  <c r="BP145" s="1"/>
  <c r="F145"/>
  <c r="BD145" s="1"/>
  <c r="L145"/>
  <c r="BJ145" s="1"/>
  <c r="T42"/>
  <c r="BQ42" s="1"/>
  <c r="F42"/>
  <c r="BK42" s="1"/>
  <c r="H42"/>
  <c r="BN42" s="1"/>
  <c r="Q42"/>
  <c r="BW42" s="1"/>
  <c r="J42"/>
  <c r="BC42" s="1"/>
  <c r="L42"/>
  <c r="BI42" s="1"/>
  <c r="U42"/>
  <c r="BT42" s="1"/>
  <c r="M42"/>
  <c r="BG42" s="1"/>
  <c r="K42"/>
  <c r="BD42" s="1"/>
  <c r="X42"/>
  <c r="BS42" s="1"/>
  <c r="R42"/>
  <c r="BX42" s="1"/>
  <c r="N42"/>
  <c r="BY42" s="1"/>
  <c r="Y42"/>
  <c r="BU42" s="1"/>
  <c r="V42"/>
  <c r="BP42" s="1"/>
  <c r="P42"/>
  <c r="BR42" s="1"/>
  <c r="O42"/>
  <c r="BV42" s="1"/>
  <c r="E42"/>
  <c r="BL42" s="1"/>
  <c r="C42"/>
  <c r="BF42" s="1"/>
  <c r="S42"/>
  <c r="BZ42" s="1"/>
  <c r="I42"/>
  <c r="BH42" s="1"/>
  <c r="G42"/>
  <c r="BE42" s="1"/>
  <c r="W42"/>
  <c r="BO42" s="1"/>
  <c r="B42"/>
  <c r="D42"/>
  <c r="BJ42" s="1"/>
  <c r="Y38"/>
  <c r="BU38" s="1"/>
  <c r="D38"/>
  <c r="BF38" s="1"/>
  <c r="B38"/>
  <c r="R38"/>
  <c r="BT38" s="1"/>
  <c r="H38"/>
  <c r="BJ38" s="1"/>
  <c r="F38"/>
  <c r="BM38" s="1"/>
  <c r="V38"/>
  <c r="BP38" s="1"/>
  <c r="K38"/>
  <c r="BN38" s="1"/>
  <c r="J38"/>
  <c r="BK38" s="1"/>
  <c r="S38"/>
  <c r="BV38" s="1"/>
  <c r="O38"/>
  <c r="BR38" s="1"/>
  <c r="C38"/>
  <c r="BE38" s="1"/>
  <c r="W38"/>
  <c r="BZ38" s="1"/>
  <c r="T38"/>
  <c r="BS38" s="1"/>
  <c r="G38"/>
  <c r="BG38" s="1"/>
  <c r="Q38"/>
  <c r="BY38" s="1"/>
  <c r="P38"/>
  <c r="BQ38" s="1"/>
  <c r="E38"/>
  <c r="BH38" s="1"/>
  <c r="U38"/>
  <c r="BW38" s="1"/>
  <c r="L38"/>
  <c r="BI38" s="1"/>
  <c r="I38"/>
  <c r="BD38" s="1"/>
  <c r="X38"/>
  <c r="BO38" s="1"/>
  <c r="N38"/>
  <c r="BX38" s="1"/>
  <c r="M38"/>
  <c r="BC38" s="1"/>
  <c r="Y66"/>
  <c r="BY66" s="1"/>
  <c r="V66"/>
  <c r="BS66" s="1"/>
  <c r="I66"/>
  <c r="BD66" s="1"/>
  <c r="O66"/>
  <c r="BR66" s="1"/>
  <c r="B66"/>
  <c r="C66"/>
  <c r="BE66" s="1"/>
  <c r="S66"/>
  <c r="BV66" s="1"/>
  <c r="P66"/>
  <c r="BQ66" s="1"/>
  <c r="G66"/>
  <c r="BI66" s="1"/>
  <c r="W66"/>
  <c r="BO66" s="1"/>
  <c r="F66"/>
  <c r="BN66" s="1"/>
  <c r="L66"/>
  <c r="BM66" s="1"/>
  <c r="T66"/>
  <c r="BU66" s="1"/>
  <c r="J66"/>
  <c r="BC66" s="1"/>
  <c r="D66"/>
  <c r="BF66" s="1"/>
  <c r="Q66"/>
  <c r="BZ66" s="1"/>
  <c r="K66"/>
  <c r="BG66" s="1"/>
  <c r="H66"/>
  <c r="BJ66" s="1"/>
  <c r="U66"/>
  <c r="BP66" s="1"/>
  <c r="N66"/>
  <c r="BX66" s="1"/>
  <c r="M66"/>
  <c r="BK66" s="1"/>
  <c r="X66"/>
  <c r="BW66" s="1"/>
  <c r="R66"/>
  <c r="BT66" s="1"/>
  <c r="E66"/>
  <c r="BH66" s="1"/>
  <c r="W116"/>
  <c r="BX116" s="1"/>
  <c r="S116"/>
  <c r="BS116" s="1"/>
  <c r="O116"/>
  <c r="BR116" s="1"/>
  <c r="Y116"/>
  <c r="BV116" s="1"/>
  <c r="P116"/>
  <c r="BP116" s="1"/>
  <c r="B116"/>
  <c r="T116"/>
  <c r="BW116" s="1"/>
  <c r="K116"/>
  <c r="BN116" s="1"/>
  <c r="D116"/>
  <c r="BF116" s="1"/>
  <c r="Q116"/>
  <c r="BQ116" s="1"/>
  <c r="F116"/>
  <c r="BE116" s="1"/>
  <c r="H116"/>
  <c r="BC116" s="1"/>
  <c r="U116"/>
  <c r="BO116" s="1"/>
  <c r="L116"/>
  <c r="BL116" s="1"/>
  <c r="M116"/>
  <c r="BJ116" s="1"/>
  <c r="X116"/>
  <c r="BT116" s="1"/>
  <c r="C116"/>
  <c r="BD116" s="1"/>
  <c r="E116"/>
  <c r="BM116" s="1"/>
  <c r="R116"/>
  <c r="BY116" s="1"/>
  <c r="G116"/>
  <c r="BG116" s="1"/>
  <c r="I116"/>
  <c r="BK116" s="1"/>
  <c r="V116"/>
  <c r="BZ116" s="1"/>
  <c r="J116"/>
  <c r="BH116" s="1"/>
  <c r="N116"/>
  <c r="BU116" s="1"/>
  <c r="AC150" i="84"/>
  <c r="AC151"/>
  <c r="T4" i="85"/>
  <c r="C4"/>
  <c r="E4"/>
  <c r="U4"/>
  <c r="G4"/>
  <c r="I4"/>
  <c r="R4"/>
  <c r="L4"/>
  <c r="B4"/>
  <c r="V4"/>
  <c r="N4"/>
  <c r="F4"/>
  <c r="X4"/>
  <c r="Q4"/>
  <c r="J4"/>
  <c r="Y4"/>
  <c r="S4"/>
  <c r="K4"/>
  <c r="W4"/>
  <c r="M4"/>
  <c r="D4"/>
  <c r="P4"/>
  <c r="O4"/>
  <c r="H4"/>
  <c r="X132"/>
  <c r="BP132" s="1"/>
  <c r="S132"/>
  <c r="BS132" s="1"/>
  <c r="L132"/>
  <c r="BE132" s="1"/>
  <c r="Y132"/>
  <c r="BQ132" s="1"/>
  <c r="P132"/>
  <c r="BZ132" s="1"/>
  <c r="B132"/>
  <c r="T132"/>
  <c r="BV132" s="1"/>
  <c r="F132"/>
  <c r="BL132" s="1"/>
  <c r="D132"/>
  <c r="BK132" s="1"/>
  <c r="Q132"/>
  <c r="BX132" s="1"/>
  <c r="N132"/>
  <c r="BT132" s="1"/>
  <c r="H132"/>
  <c r="BG132" s="1"/>
  <c r="U132"/>
  <c r="BY132" s="1"/>
  <c r="O132"/>
  <c r="BW132" s="1"/>
  <c r="J132"/>
  <c r="BI132" s="1"/>
  <c r="W132"/>
  <c r="BU132" s="1"/>
  <c r="C132"/>
  <c r="BN132" s="1"/>
  <c r="M132"/>
  <c r="BD132" s="1"/>
  <c r="R132"/>
  <c r="BR132" s="1"/>
  <c r="G132"/>
  <c r="BJ132" s="1"/>
  <c r="E132"/>
  <c r="BF132" s="1"/>
  <c r="V132"/>
  <c r="BO132" s="1"/>
  <c r="K132"/>
  <c r="BC132" s="1"/>
  <c r="I132"/>
  <c r="BM132" s="1"/>
  <c r="N85"/>
  <c r="BY85" s="1"/>
  <c r="S85"/>
  <c r="BT85" s="1"/>
  <c r="F85"/>
  <c r="BH85" s="1"/>
  <c r="R85"/>
  <c r="BZ85" s="1"/>
  <c r="L85"/>
  <c r="BJ85" s="1"/>
  <c r="J85"/>
  <c r="BF85" s="1"/>
  <c r="V85"/>
  <c r="BR85" s="1"/>
  <c r="P85"/>
  <c r="BS85" s="1"/>
  <c r="C85"/>
  <c r="BM85" s="1"/>
  <c r="X85"/>
  <c r="BO85" s="1"/>
  <c r="T85"/>
  <c r="BW85" s="1"/>
  <c r="G85"/>
  <c r="BN85" s="1"/>
  <c r="Y85"/>
  <c r="BX85" s="1"/>
  <c r="W85"/>
  <c r="BV85" s="1"/>
  <c r="D85"/>
  <c r="BI85" s="1"/>
  <c r="M85"/>
  <c r="BL85" s="1"/>
  <c r="H85"/>
  <c r="BE85" s="1"/>
  <c r="E85"/>
  <c r="BG85" s="1"/>
  <c r="Q85"/>
  <c r="BU85" s="1"/>
  <c r="K85"/>
  <c r="BC85" s="1"/>
  <c r="I85"/>
  <c r="BK85" s="1"/>
  <c r="U85"/>
  <c r="BQ85" s="1"/>
  <c r="O85"/>
  <c r="BP85" s="1"/>
  <c r="B85"/>
  <c r="X48"/>
  <c r="BR48" s="1"/>
  <c r="B48"/>
  <c r="O48"/>
  <c r="BW48" s="1"/>
  <c r="V48"/>
  <c r="BT48" s="1"/>
  <c r="Q48"/>
  <c r="BO48" s="1"/>
  <c r="J48"/>
  <c r="BG48" s="1"/>
  <c r="Y48"/>
  <c r="BP48" s="1"/>
  <c r="K48"/>
  <c r="BF48" s="1"/>
  <c r="N48"/>
  <c r="BZ48" s="1"/>
  <c r="L48"/>
  <c r="BE48" s="1"/>
  <c r="C48"/>
  <c r="BK48" s="1"/>
  <c r="U48"/>
  <c r="BS48" s="1"/>
  <c r="G48"/>
  <c r="BJ48" s="1"/>
  <c r="R48"/>
  <c r="BX48" s="1"/>
  <c r="M48"/>
  <c r="BD48" s="1"/>
  <c r="S48"/>
  <c r="BU48" s="1"/>
  <c r="D48"/>
  <c r="BC48" s="1"/>
  <c r="W48"/>
  <c r="BQ48" s="1"/>
  <c r="H48"/>
  <c r="BI48" s="1"/>
  <c r="P48"/>
  <c r="BY48" s="1"/>
  <c r="E48"/>
  <c r="BM48" s="1"/>
  <c r="T48"/>
  <c r="BV48" s="1"/>
  <c r="I48"/>
  <c r="BH48" s="1"/>
  <c r="F48"/>
  <c r="BL48" s="1"/>
  <c r="U86"/>
  <c r="BV86" s="1"/>
  <c r="N86"/>
  <c r="BP86" s="1"/>
  <c r="P86"/>
  <c r="BY86" s="1"/>
  <c r="R86"/>
  <c r="BS86" s="1"/>
  <c r="O86"/>
  <c r="BU86" s="1"/>
  <c r="B86"/>
  <c r="V86"/>
  <c r="BW86" s="1"/>
  <c r="D86"/>
  <c r="BI86" s="1"/>
  <c r="L86"/>
  <c r="BL86" s="1"/>
  <c r="S86"/>
  <c r="BQ86" s="1"/>
  <c r="H86"/>
  <c r="BE86" s="1"/>
  <c r="F86"/>
  <c r="BH86" s="1"/>
  <c r="Y86"/>
  <c r="BX86" s="1"/>
  <c r="X86"/>
  <c r="BO86" s="1"/>
  <c r="J86"/>
  <c r="BJ86" s="1"/>
  <c r="T86"/>
  <c r="BZ86" s="1"/>
  <c r="C86"/>
  <c r="BM86" s="1"/>
  <c r="E86"/>
  <c r="BG86" s="1"/>
  <c r="W86"/>
  <c r="BR86" s="1"/>
  <c r="G86"/>
  <c r="BN86" s="1"/>
  <c r="I86"/>
  <c r="BK86" s="1"/>
  <c r="Q86"/>
  <c r="BT86" s="1"/>
  <c r="K86"/>
  <c r="BF86" s="1"/>
  <c r="M86"/>
  <c r="BC86" s="1"/>
  <c r="S16"/>
  <c r="BS16" s="1"/>
  <c r="E16"/>
  <c r="BF16" s="1"/>
  <c r="N16"/>
  <c r="BV16" s="1"/>
  <c r="W16"/>
  <c r="BT16" s="1"/>
  <c r="I16"/>
  <c r="BD16" s="1"/>
  <c r="C16"/>
  <c r="BM16" s="1"/>
  <c r="P16"/>
  <c r="BY16" s="1"/>
  <c r="L16"/>
  <c r="BC16" s="1"/>
  <c r="G16"/>
  <c r="BL16" s="1"/>
  <c r="T16"/>
  <c r="BX16" s="1"/>
  <c r="B16"/>
  <c r="K16"/>
  <c r="BH16" s="1"/>
  <c r="X16"/>
  <c r="BQ16" s="1"/>
  <c r="O16"/>
  <c r="BU16" s="1"/>
  <c r="D16"/>
  <c r="BI16" s="1"/>
  <c r="Y16"/>
  <c r="BO16" s="1"/>
  <c r="U16"/>
  <c r="BW16" s="1"/>
  <c r="H16"/>
  <c r="BG16" s="1"/>
  <c r="R16"/>
  <c r="BR16" s="1"/>
  <c r="Q16"/>
  <c r="BZ16" s="1"/>
  <c r="F16"/>
  <c r="BN16" s="1"/>
  <c r="V16"/>
  <c r="BP16" s="1"/>
  <c r="M16"/>
  <c r="BE16" s="1"/>
  <c r="J16"/>
  <c r="BK16" s="1"/>
  <c r="AB35"/>
  <c r="BE35"/>
  <c r="CD35" s="1"/>
  <c r="P81"/>
  <c r="BW81" s="1"/>
  <c r="M81"/>
  <c r="BJ81" s="1"/>
  <c r="D81"/>
  <c r="BM81" s="1"/>
  <c r="T81"/>
  <c r="BO81" s="1"/>
  <c r="Q81"/>
  <c r="BY81" s="1"/>
  <c r="H81"/>
  <c r="BD81" s="1"/>
  <c r="W81"/>
  <c r="BR81" s="1"/>
  <c r="U81"/>
  <c r="BQ81" s="1"/>
  <c r="E81"/>
  <c r="BK81" s="1"/>
  <c r="X81"/>
  <c r="BV81" s="1"/>
  <c r="N81"/>
  <c r="BZ81" s="1"/>
  <c r="I81"/>
  <c r="BE81" s="1"/>
  <c r="Y81"/>
  <c r="BT81" s="1"/>
  <c r="R81"/>
  <c r="BU81" s="1"/>
  <c r="L81"/>
  <c r="BH81" s="1"/>
  <c r="V81"/>
  <c r="BX81" s="1"/>
  <c r="B81"/>
  <c r="C81"/>
  <c r="BN81" s="1"/>
  <c r="O81"/>
  <c r="BS81" s="1"/>
  <c r="F81"/>
  <c r="BI81" s="1"/>
  <c r="G81"/>
  <c r="BC81" s="1"/>
  <c r="S81"/>
  <c r="BP81" s="1"/>
  <c r="J81"/>
  <c r="BF81" s="1"/>
  <c r="K81"/>
  <c r="BL81" s="1"/>
  <c r="N21"/>
  <c r="BZ21" s="1"/>
  <c r="S21"/>
  <c r="BO21" s="1"/>
  <c r="F21"/>
  <c r="BM21" s="1"/>
  <c r="R21"/>
  <c r="BY21" s="1"/>
  <c r="W21"/>
  <c r="BQ21" s="1"/>
  <c r="J21"/>
  <c r="BE21" s="1"/>
  <c r="V21"/>
  <c r="BT21" s="1"/>
  <c r="L21"/>
  <c r="BD21" s="1"/>
  <c r="C21"/>
  <c r="BN21" s="1"/>
  <c r="X21"/>
  <c r="BR21" s="1"/>
  <c r="P21"/>
  <c r="BU21" s="1"/>
  <c r="G21"/>
  <c r="BJ21" s="1"/>
  <c r="Y21"/>
  <c r="BP21" s="1"/>
  <c r="T21"/>
  <c r="BV21" s="1"/>
  <c r="D21"/>
  <c r="BK21" s="1"/>
  <c r="M21"/>
  <c r="BF21" s="1"/>
  <c r="H21"/>
  <c r="BC21" s="1"/>
  <c r="E21"/>
  <c r="BI21" s="1"/>
  <c r="Q21"/>
  <c r="BW21" s="1"/>
  <c r="K21"/>
  <c r="BH21" s="1"/>
  <c r="I21"/>
  <c r="BL21" s="1"/>
  <c r="U21"/>
  <c r="BX21" s="1"/>
  <c r="O21"/>
  <c r="BS21" s="1"/>
  <c r="B21"/>
  <c r="W26"/>
  <c r="BT26" s="1"/>
  <c r="J26"/>
  <c r="BF26" s="1"/>
  <c r="K26"/>
  <c r="BL26" s="1"/>
  <c r="T26"/>
  <c r="BY26" s="1"/>
  <c r="L26"/>
  <c r="BH26" s="1"/>
  <c r="D26"/>
  <c r="BI26" s="1"/>
  <c r="Q26"/>
  <c r="BQ26" s="1"/>
  <c r="M26"/>
  <c r="BJ26" s="1"/>
  <c r="H26"/>
  <c r="BD26" s="1"/>
  <c r="U26"/>
  <c r="BR26" s="1"/>
  <c r="P26"/>
  <c r="BU26" s="1"/>
  <c r="N26"/>
  <c r="BS26" s="1"/>
  <c r="X26"/>
  <c r="BX26" s="1"/>
  <c r="R26"/>
  <c r="BW26" s="1"/>
  <c r="E26"/>
  <c r="BK26" s="1"/>
  <c r="Y26"/>
  <c r="BV26" s="1"/>
  <c r="V26"/>
  <c r="BZ26" s="1"/>
  <c r="I26"/>
  <c r="BN26" s="1"/>
  <c r="O26"/>
  <c r="BO26" s="1"/>
  <c r="B26"/>
  <c r="C26"/>
  <c r="BG26" s="1"/>
  <c r="S26"/>
  <c r="BP26" s="1"/>
  <c r="F26"/>
  <c r="BE26" s="1"/>
  <c r="G26"/>
  <c r="BM26" s="1"/>
  <c r="W30"/>
  <c r="BX30" s="1"/>
  <c r="X30"/>
  <c r="BY30" s="1"/>
  <c r="L30"/>
  <c r="BL30" s="1"/>
  <c r="T30"/>
  <c r="BU30" s="1"/>
  <c r="C30"/>
  <c r="BG30" s="1"/>
  <c r="E30"/>
  <c r="BC30" s="1"/>
  <c r="Q30"/>
  <c r="BQ30" s="1"/>
  <c r="G30"/>
  <c r="BI30" s="1"/>
  <c r="I30"/>
  <c r="BK30" s="1"/>
  <c r="U30"/>
  <c r="BV30" s="1"/>
  <c r="M30"/>
  <c r="BN30" s="1"/>
  <c r="B30"/>
  <c r="R30"/>
  <c r="BR30" s="1"/>
  <c r="D30"/>
  <c r="BE30" s="1"/>
  <c r="N30"/>
  <c r="BP30" s="1"/>
  <c r="V30"/>
  <c r="BW30" s="1"/>
  <c r="H30"/>
  <c r="BH30" s="1"/>
  <c r="F30"/>
  <c r="BF30" s="1"/>
  <c r="Y30"/>
  <c r="BZ30" s="1"/>
  <c r="K30"/>
  <c r="BM30" s="1"/>
  <c r="J30"/>
  <c r="BJ30" s="1"/>
  <c r="S30"/>
  <c r="BT30" s="1"/>
  <c r="P30"/>
  <c r="BO30" s="1"/>
  <c r="O30"/>
  <c r="BS30" s="1"/>
  <c r="P105"/>
  <c r="BZ105" s="1"/>
  <c r="M105"/>
  <c r="BF105" s="1"/>
  <c r="H105"/>
  <c r="BG105" s="1"/>
  <c r="T105"/>
  <c r="BO105" s="1"/>
  <c r="Q105"/>
  <c r="BX105" s="1"/>
  <c r="L105"/>
  <c r="BD105" s="1"/>
  <c r="W105"/>
  <c r="BQ105" s="1"/>
  <c r="U105"/>
  <c r="BU105" s="1"/>
  <c r="K105"/>
  <c r="BH105" s="1"/>
  <c r="X105"/>
  <c r="BR105" s="1"/>
  <c r="N105"/>
  <c r="BV105" s="1"/>
  <c r="E105"/>
  <c r="BN105" s="1"/>
  <c r="Y105"/>
  <c r="BP105" s="1"/>
  <c r="R105"/>
  <c r="BY105" s="1"/>
  <c r="I105"/>
  <c r="BI105" s="1"/>
  <c r="V105"/>
  <c r="BT105" s="1"/>
  <c r="B105"/>
  <c r="C105"/>
  <c r="BJ105" s="1"/>
  <c r="O105"/>
  <c r="BW105" s="1"/>
  <c r="F105"/>
  <c r="BM105" s="1"/>
  <c r="G105"/>
  <c r="BC105" s="1"/>
  <c r="S105"/>
  <c r="BS105" s="1"/>
  <c r="J105"/>
  <c r="BE105" s="1"/>
  <c r="D105"/>
  <c r="BL105" s="1"/>
  <c r="Y78"/>
  <c r="BR78" s="1"/>
  <c r="W78"/>
  <c r="BP78" s="1"/>
  <c r="P78"/>
  <c r="BO78" s="1"/>
  <c r="T78"/>
  <c r="BX78" s="1"/>
  <c r="C78"/>
  <c r="BN78" s="1"/>
  <c r="E78"/>
  <c r="BC78" s="1"/>
  <c r="Q78"/>
  <c r="BY78" s="1"/>
  <c r="G78"/>
  <c r="BL78" s="1"/>
  <c r="I78"/>
  <c r="BJ78" s="1"/>
  <c r="U78"/>
  <c r="BQ78" s="1"/>
  <c r="K78"/>
  <c r="BH78" s="1"/>
  <c r="O78"/>
  <c r="BZ78" s="1"/>
  <c r="X78"/>
  <c r="BT78" s="1"/>
  <c r="M78"/>
  <c r="BF78" s="1"/>
  <c r="B78"/>
  <c r="R78"/>
  <c r="BU78" s="1"/>
  <c r="D78"/>
  <c r="BM78" s="1"/>
  <c r="N78"/>
  <c r="BW78" s="1"/>
  <c r="V78"/>
  <c r="BV78" s="1"/>
  <c r="H78"/>
  <c r="BG78" s="1"/>
  <c r="F78"/>
  <c r="BI78" s="1"/>
  <c r="S78"/>
  <c r="BS78" s="1"/>
  <c r="L78"/>
  <c r="BD78" s="1"/>
  <c r="J78"/>
  <c r="BE78" s="1"/>
  <c r="T10"/>
  <c r="BO10" s="1"/>
  <c r="F10"/>
  <c r="BM10" s="1"/>
  <c r="D10"/>
  <c r="BF10" s="1"/>
  <c r="Q10"/>
  <c r="BY10" s="1"/>
  <c r="J10"/>
  <c r="BK10" s="1"/>
  <c r="H10"/>
  <c r="BN10" s="1"/>
  <c r="U10"/>
  <c r="BZ10" s="1"/>
  <c r="K10"/>
  <c r="BE10" s="1"/>
  <c r="L10"/>
  <c r="BI10" s="1"/>
  <c r="X10"/>
  <c r="BQ10" s="1"/>
  <c r="R10"/>
  <c r="BT10" s="1"/>
  <c r="N10"/>
  <c r="BX10" s="1"/>
  <c r="Y10"/>
  <c r="BS10" s="1"/>
  <c r="V10"/>
  <c r="BW10" s="1"/>
  <c r="P10"/>
  <c r="BP10" s="1"/>
  <c r="O10"/>
  <c r="BR10" s="1"/>
  <c r="E10"/>
  <c r="BH10" s="1"/>
  <c r="C10"/>
  <c r="BD10" s="1"/>
  <c r="S10"/>
  <c r="BV10" s="1"/>
  <c r="I10"/>
  <c r="BC10" s="1"/>
  <c r="G10"/>
  <c r="BJ10" s="1"/>
  <c r="W10"/>
  <c r="BU10" s="1"/>
  <c r="B10"/>
  <c r="M10"/>
  <c r="BG10" s="1"/>
  <c r="W6"/>
  <c r="BY6" s="1"/>
  <c r="Y6"/>
  <c r="BW6" s="1"/>
  <c r="O6"/>
  <c r="BP6" s="1"/>
  <c r="T6"/>
  <c r="BQ6" s="1"/>
  <c r="C6"/>
  <c r="BD6" s="1"/>
  <c r="E6"/>
  <c r="BC6" s="1"/>
  <c r="Q6"/>
  <c r="BR6" s="1"/>
  <c r="G6"/>
  <c r="BE6" s="1"/>
  <c r="I6"/>
  <c r="BG6" s="1"/>
  <c r="U6"/>
  <c r="BZ6" s="1"/>
  <c r="P6"/>
  <c r="BO6" s="1"/>
  <c r="B6"/>
  <c r="R6"/>
  <c r="BV6" s="1"/>
  <c r="L6"/>
  <c r="BM6" s="1"/>
  <c r="F6"/>
  <c r="BJ6" s="1"/>
  <c r="V6"/>
  <c r="BS6" s="1"/>
  <c r="N6"/>
  <c r="BT6" s="1"/>
  <c r="J6"/>
  <c r="BN6" s="1"/>
  <c r="X6"/>
  <c r="BU6" s="1"/>
  <c r="D6"/>
  <c r="BF6" s="1"/>
  <c r="K6"/>
  <c r="BI6" s="1"/>
  <c r="S6"/>
  <c r="BX6" s="1"/>
  <c r="H6"/>
  <c r="BL6" s="1"/>
  <c r="M6"/>
  <c r="BK6" s="1"/>
  <c r="U34"/>
  <c r="BV34" s="1"/>
  <c r="N34"/>
  <c r="BT34" s="1"/>
  <c r="K34"/>
  <c r="BI34" s="1"/>
  <c r="X34"/>
  <c r="BU34" s="1"/>
  <c r="R34"/>
  <c r="BP34" s="1"/>
  <c r="M34"/>
  <c r="BK34" s="1"/>
  <c r="Y34"/>
  <c r="BW34" s="1"/>
  <c r="V34"/>
  <c r="BZ34" s="1"/>
  <c r="E34"/>
  <c r="BD34" s="1"/>
  <c r="O34"/>
  <c r="BQ34" s="1"/>
  <c r="I34"/>
  <c r="BC34" s="1"/>
  <c r="C34"/>
  <c r="BG34" s="1"/>
  <c r="S34"/>
  <c r="BR34" s="1"/>
  <c r="B34"/>
  <c r="G34"/>
  <c r="BF34" s="1"/>
  <c r="W34"/>
  <c r="BY34" s="1"/>
  <c r="P34"/>
  <c r="BS34" s="1"/>
  <c r="L34"/>
  <c r="BM34" s="1"/>
  <c r="T34"/>
  <c r="BO34" s="1"/>
  <c r="F34"/>
  <c r="BL34" s="1"/>
  <c r="D34"/>
  <c r="BE34" s="1"/>
  <c r="Q34"/>
  <c r="BX34" s="1"/>
  <c r="J34"/>
  <c r="BN34" s="1"/>
  <c r="H34"/>
  <c r="BJ34" s="1"/>
  <c r="AE150" i="84"/>
  <c r="AE151"/>
  <c r="AB150" i="85" s="1"/>
  <c r="Y106"/>
  <c r="BR106" s="1"/>
  <c r="V106"/>
  <c r="BQ106" s="1"/>
  <c r="E106"/>
  <c r="BN106" s="1"/>
  <c r="O106"/>
  <c r="BX106" s="1"/>
  <c r="I106"/>
  <c r="BC106" s="1"/>
  <c r="C106"/>
  <c r="BJ106" s="1"/>
  <c r="S106"/>
  <c r="BY106" s="1"/>
  <c r="B106"/>
  <c r="G106"/>
  <c r="BM106" s="1"/>
  <c r="T106"/>
  <c r="BO106" s="1"/>
  <c r="F106"/>
  <c r="BG106" s="1"/>
  <c r="D106"/>
  <c r="BL106" s="1"/>
  <c r="W106"/>
  <c r="BP106" s="1"/>
  <c r="J106"/>
  <c r="BE106" s="1"/>
  <c r="H106"/>
  <c r="BI106" s="1"/>
  <c r="Q106"/>
  <c r="BS106" s="1"/>
  <c r="M106"/>
  <c r="BF106" s="1"/>
  <c r="L106"/>
  <c r="BD106" s="1"/>
  <c r="U106"/>
  <c r="BU106" s="1"/>
  <c r="N106"/>
  <c r="BW106" s="1"/>
  <c r="K106"/>
  <c r="BH106" s="1"/>
  <c r="X106"/>
  <c r="BT106" s="1"/>
  <c r="R106"/>
  <c r="BZ106" s="1"/>
  <c r="P106"/>
  <c r="BV106" s="1"/>
  <c r="N61"/>
  <c r="BU61" s="1"/>
  <c r="S61"/>
  <c r="BX61" s="1"/>
  <c r="F61"/>
  <c r="BL61" s="1"/>
  <c r="R61"/>
  <c r="BW61" s="1"/>
  <c r="W61"/>
  <c r="BZ61" s="1"/>
  <c r="J61"/>
  <c r="BJ61" s="1"/>
  <c r="V61"/>
  <c r="BV61" s="1"/>
  <c r="L61"/>
  <c r="BN61" s="1"/>
  <c r="C61"/>
  <c r="BI61" s="1"/>
  <c r="X61"/>
  <c r="BO61" s="1"/>
  <c r="P61"/>
  <c r="BP61" s="1"/>
  <c r="G61"/>
  <c r="BK61" s="1"/>
  <c r="Y61"/>
  <c r="BY61" s="1"/>
  <c r="T61"/>
  <c r="BS61" s="1"/>
  <c r="D61"/>
  <c r="BE61" s="1"/>
  <c r="M61"/>
  <c r="BM61" s="1"/>
  <c r="H61"/>
  <c r="BF61" s="1"/>
  <c r="E61"/>
  <c r="BD61" s="1"/>
  <c r="Q61"/>
  <c r="BQ61" s="1"/>
  <c r="K61"/>
  <c r="BC61" s="1"/>
  <c r="I61"/>
  <c r="BG61" s="1"/>
  <c r="U61"/>
  <c r="BR61" s="1"/>
  <c r="O61"/>
  <c r="BT61" s="1"/>
  <c r="B61"/>
  <c r="X80"/>
  <c r="BV80" s="1"/>
  <c r="O80"/>
  <c r="BS80" s="1"/>
  <c r="K80"/>
  <c r="BJ80" s="1"/>
  <c r="V80"/>
  <c r="BX80" s="1"/>
  <c r="H80"/>
  <c r="BE80" s="1"/>
  <c r="J80"/>
  <c r="BD80" s="1"/>
  <c r="Y80"/>
  <c r="BT80" s="1"/>
  <c r="L80"/>
  <c r="BF80" s="1"/>
  <c r="N80"/>
  <c r="BZ80" s="1"/>
  <c r="B80"/>
  <c r="Q80"/>
  <c r="BY80" s="1"/>
  <c r="U80"/>
  <c r="BP80" s="1"/>
  <c r="C80"/>
  <c r="BK80" s="1"/>
  <c r="R80"/>
  <c r="BO80" s="1"/>
  <c r="G80"/>
  <c r="BC80" s="1"/>
  <c r="S80"/>
  <c r="BU80" s="1"/>
  <c r="M80"/>
  <c r="BH80" s="1"/>
  <c r="W80"/>
  <c r="BR80" s="1"/>
  <c r="D80"/>
  <c r="BG80" s="1"/>
  <c r="P80"/>
  <c r="BW80" s="1"/>
  <c r="E80"/>
  <c r="BM80" s="1"/>
  <c r="T80"/>
  <c r="BQ80" s="1"/>
  <c r="I80"/>
  <c r="BL80" s="1"/>
  <c r="F80"/>
  <c r="BI80" s="1"/>
  <c r="X96"/>
  <c r="BU96" s="1"/>
  <c r="U96"/>
  <c r="BZ96" s="1"/>
  <c r="M96"/>
  <c r="BK96" s="1"/>
  <c r="V96"/>
  <c r="BS96" s="1"/>
  <c r="K96"/>
  <c r="BI96" s="1"/>
  <c r="J96"/>
  <c r="BN96" s="1"/>
  <c r="Y96"/>
  <c r="BW96" s="1"/>
  <c r="B96"/>
  <c r="O96"/>
  <c r="BV96" s="1"/>
  <c r="Q96"/>
  <c r="BO96" s="1"/>
  <c r="C96"/>
  <c r="BJ96" s="1"/>
  <c r="N96"/>
  <c r="BR96" s="1"/>
  <c r="G96"/>
  <c r="BE96" s="1"/>
  <c r="R96"/>
  <c r="BP96" s="1"/>
  <c r="L96"/>
  <c r="BM96" s="1"/>
  <c r="S96"/>
  <c r="BX96" s="1"/>
  <c r="D96"/>
  <c r="BC96" s="1"/>
  <c r="P96"/>
  <c r="BT96" s="1"/>
  <c r="H96"/>
  <c r="BL96" s="1"/>
  <c r="T96"/>
  <c r="BQ96" s="1"/>
  <c r="E96"/>
  <c r="BH96" s="1"/>
  <c r="W96"/>
  <c r="BY96" s="1"/>
  <c r="I96"/>
  <c r="BG96" s="1"/>
  <c r="F96"/>
  <c r="BD96" s="1"/>
  <c r="X72"/>
  <c r="BQ72" s="1"/>
  <c r="M72"/>
  <c r="BG72" s="1"/>
  <c r="O72"/>
  <c r="BZ72" s="1"/>
  <c r="V72"/>
  <c r="BP72" s="1"/>
  <c r="L72"/>
  <c r="BI72" s="1"/>
  <c r="J72"/>
  <c r="BK72" s="1"/>
  <c r="S72"/>
  <c r="BY72" s="1"/>
  <c r="D72"/>
  <c r="BC72" s="1"/>
  <c r="W72"/>
  <c r="BU72" s="1"/>
  <c r="H72"/>
  <c r="BM72" s="1"/>
  <c r="P72"/>
  <c r="BX72" s="1"/>
  <c r="N72"/>
  <c r="BV72" s="1"/>
  <c r="T72"/>
  <c r="BR72" s="1"/>
  <c r="E72"/>
  <c r="BL72" s="1"/>
  <c r="F72"/>
  <c r="BH72" s="1"/>
  <c r="Y72"/>
  <c r="BS72" s="1"/>
  <c r="I72"/>
  <c r="BD72" s="1"/>
  <c r="K72"/>
  <c r="BE72" s="1"/>
  <c r="B72"/>
  <c r="Q72"/>
  <c r="BO72" s="1"/>
  <c r="U72"/>
  <c r="BW72" s="1"/>
  <c r="C72"/>
  <c r="BN72" s="1"/>
  <c r="R72"/>
  <c r="BT72" s="1"/>
  <c r="G72"/>
  <c r="BF72" s="1"/>
  <c r="Y130"/>
  <c r="BQ130" s="1"/>
  <c r="V130"/>
  <c r="BU130" s="1"/>
  <c r="L130"/>
  <c r="BG130" s="1"/>
  <c r="O130"/>
  <c r="BT130" s="1"/>
  <c r="E130"/>
  <c r="BJ130" s="1"/>
  <c r="C130"/>
  <c r="BF130" s="1"/>
  <c r="S130"/>
  <c r="BX130" s="1"/>
  <c r="I130"/>
  <c r="BC130" s="1"/>
  <c r="G130"/>
  <c r="BL130" s="1"/>
  <c r="T130"/>
  <c r="BO130" s="1"/>
  <c r="B130"/>
  <c r="K130"/>
  <c r="BD130" s="1"/>
  <c r="W130"/>
  <c r="BS130" s="1"/>
  <c r="N130"/>
  <c r="BZ130" s="1"/>
  <c r="J130"/>
  <c r="BI130" s="1"/>
  <c r="Q130"/>
  <c r="BW130" s="1"/>
  <c r="P130"/>
  <c r="BR130" s="1"/>
  <c r="D130"/>
  <c r="BH130" s="1"/>
  <c r="U130"/>
  <c r="BY130" s="1"/>
  <c r="F130"/>
  <c r="BK130" s="1"/>
  <c r="H130"/>
  <c r="BM130" s="1"/>
  <c r="X130"/>
  <c r="BP130" s="1"/>
  <c r="R130"/>
  <c r="BV130" s="1"/>
  <c r="M130"/>
  <c r="BE130" s="1"/>
  <c r="V20"/>
  <c r="BT20" s="1"/>
  <c r="O20"/>
  <c r="BS20" s="1"/>
  <c r="B20"/>
  <c r="Y20"/>
  <c r="BP20" s="1"/>
  <c r="S20"/>
  <c r="BY20" s="1"/>
  <c r="Q20"/>
  <c r="BW20" s="1"/>
  <c r="W20"/>
  <c r="BQ20" s="1"/>
  <c r="F20"/>
  <c r="BK20" s="1"/>
  <c r="D20"/>
  <c r="BG20" s="1"/>
  <c r="P20"/>
  <c r="BU20" s="1"/>
  <c r="J20"/>
  <c r="BH20" s="1"/>
  <c r="H20"/>
  <c r="BC20" s="1"/>
  <c r="T20"/>
  <c r="BX20" s="1"/>
  <c r="C20"/>
  <c r="BI20" s="1"/>
  <c r="E20"/>
  <c r="BJ20" s="1"/>
  <c r="U20"/>
  <c r="BO20" s="1"/>
  <c r="G20"/>
  <c r="BM20" s="1"/>
  <c r="I20"/>
  <c r="BL20" s="1"/>
  <c r="X20"/>
  <c r="BR20" s="1"/>
  <c r="K20"/>
  <c r="BF20" s="1"/>
  <c r="L20"/>
  <c r="BE20" s="1"/>
  <c r="R20"/>
  <c r="BV20" s="1"/>
  <c r="N20"/>
  <c r="BZ20" s="1"/>
  <c r="M20"/>
  <c r="BD20" s="1"/>
  <c r="W7"/>
  <c r="BY7" s="1"/>
  <c r="Q7"/>
  <c r="BX7" s="1"/>
  <c r="D7"/>
  <c r="BF7" s="1"/>
  <c r="Y7"/>
  <c r="BW7" s="1"/>
  <c r="U7"/>
  <c r="BZ7" s="1"/>
  <c r="H7"/>
  <c r="BN7" s="1"/>
  <c r="N7"/>
  <c r="BT7" s="1"/>
  <c r="E7"/>
  <c r="BC7" s="1"/>
  <c r="B7"/>
  <c r="R7"/>
  <c r="BO7" s="1"/>
  <c r="I7"/>
  <c r="BE7" s="1"/>
  <c r="F7"/>
  <c r="BL7" s="1"/>
  <c r="V7"/>
  <c r="BS7" s="1"/>
  <c r="L7"/>
  <c r="BK7" s="1"/>
  <c r="J7"/>
  <c r="BM7" s="1"/>
  <c r="X7"/>
  <c r="BU7" s="1"/>
  <c r="P7"/>
  <c r="BR7" s="1"/>
  <c r="K7"/>
  <c r="BG7" s="1"/>
  <c r="O7"/>
  <c r="BP7" s="1"/>
  <c r="T7"/>
  <c r="BQ7" s="1"/>
  <c r="C7"/>
  <c r="BH7" s="1"/>
  <c r="S7"/>
  <c r="BV7" s="1"/>
  <c r="M7"/>
  <c r="BI7" s="1"/>
  <c r="G7"/>
  <c r="BJ7" s="1"/>
  <c r="P113"/>
  <c r="BS113" s="1"/>
  <c r="M113"/>
  <c r="BH113" s="1"/>
  <c r="D113"/>
  <c r="BI113" s="1"/>
  <c r="T113"/>
  <c r="BW113" s="1"/>
  <c r="Q113"/>
  <c r="BU113" s="1"/>
  <c r="H113"/>
  <c r="BE113" s="1"/>
  <c r="W113"/>
  <c r="BO113" s="1"/>
  <c r="U113"/>
  <c r="BQ113" s="1"/>
  <c r="E113"/>
  <c r="BG113" s="1"/>
  <c r="X113"/>
  <c r="BV113" s="1"/>
  <c r="N113"/>
  <c r="BY113" s="1"/>
  <c r="I113"/>
  <c r="BK113" s="1"/>
  <c r="Y113"/>
  <c r="BT113" s="1"/>
  <c r="R113"/>
  <c r="BX113" s="1"/>
  <c r="K113"/>
  <c r="BJ113" s="1"/>
  <c r="V113"/>
  <c r="BZ113" s="1"/>
  <c r="B113"/>
  <c r="J113"/>
  <c r="BN113" s="1"/>
  <c r="O113"/>
  <c r="BP113" s="1"/>
  <c r="L113"/>
  <c r="BC113" s="1"/>
  <c r="C113"/>
  <c r="BM113" s="1"/>
  <c r="S113"/>
  <c r="BR113" s="1"/>
  <c r="F113"/>
  <c r="BF113" s="1"/>
  <c r="G113"/>
  <c r="BL113" s="1"/>
  <c r="N53"/>
  <c r="BW53" s="1"/>
  <c r="S53"/>
  <c r="BQ53" s="1"/>
  <c r="F53"/>
  <c r="BE53" s="1"/>
  <c r="R53"/>
  <c r="BY53" s="1"/>
  <c r="W53"/>
  <c r="BR53" s="1"/>
  <c r="J53"/>
  <c r="BF53" s="1"/>
  <c r="V53"/>
  <c r="BX53" s="1"/>
  <c r="L53"/>
  <c r="BH53" s="1"/>
  <c r="C53"/>
  <c r="BC53" s="1"/>
  <c r="X53"/>
  <c r="BV53" s="1"/>
  <c r="P53"/>
  <c r="BO53" s="1"/>
  <c r="G53"/>
  <c r="BM53" s="1"/>
  <c r="Y53"/>
  <c r="BT53" s="1"/>
  <c r="T53"/>
  <c r="BZ53" s="1"/>
  <c r="D53"/>
  <c r="BG53" s="1"/>
  <c r="M53"/>
  <c r="BJ53" s="1"/>
  <c r="H53"/>
  <c r="BD53" s="1"/>
  <c r="E53"/>
  <c r="BI53" s="1"/>
  <c r="Q53"/>
  <c r="BU53" s="1"/>
  <c r="K53"/>
  <c r="BL53" s="1"/>
  <c r="I53"/>
  <c r="BN53" s="1"/>
  <c r="U53"/>
  <c r="BP53" s="1"/>
  <c r="O53"/>
  <c r="BS53" s="1"/>
  <c r="B53"/>
  <c r="W46"/>
  <c r="BS46" s="1"/>
  <c r="X46"/>
  <c r="BP46" s="1"/>
  <c r="P46"/>
  <c r="BV46" s="1"/>
  <c r="T46"/>
  <c r="BT46" s="1"/>
  <c r="C46"/>
  <c r="BJ46" s="1"/>
  <c r="E46"/>
  <c r="BM46" s="1"/>
  <c r="Q46"/>
  <c r="BY46" s="1"/>
  <c r="G46"/>
  <c r="BL46" s="1"/>
  <c r="I46"/>
  <c r="BF46" s="1"/>
  <c r="U46"/>
  <c r="BU46" s="1"/>
  <c r="M46"/>
  <c r="BE46" s="1"/>
  <c r="K46"/>
  <c r="BD46" s="1"/>
  <c r="Y46"/>
  <c r="BQ46" s="1"/>
  <c r="O46"/>
  <c r="BZ46" s="1"/>
  <c r="B46"/>
  <c r="R46"/>
  <c r="BX46" s="1"/>
  <c r="D46"/>
  <c r="BN46" s="1"/>
  <c r="N46"/>
  <c r="BW46" s="1"/>
  <c r="V46"/>
  <c r="BR46" s="1"/>
  <c r="H46"/>
  <c r="BH46" s="1"/>
  <c r="F46"/>
  <c r="BC46" s="1"/>
  <c r="S46"/>
  <c r="BO46" s="1"/>
  <c r="L46"/>
  <c r="BG46" s="1"/>
  <c r="J46"/>
  <c r="BI46" s="1"/>
  <c r="W23"/>
  <c r="BP23" s="1"/>
  <c r="Q23"/>
  <c r="BO23" s="1"/>
  <c r="D23"/>
  <c r="BI23" s="1"/>
  <c r="Y23"/>
  <c r="BR23" s="1"/>
  <c r="U23"/>
  <c r="BQ23" s="1"/>
  <c r="H23"/>
  <c r="BE23" s="1"/>
  <c r="X23"/>
  <c r="BT23" s="1"/>
  <c r="E23"/>
  <c r="BN23" s="1"/>
  <c r="B23"/>
  <c r="N23"/>
  <c r="BS23" s="1"/>
  <c r="I23"/>
  <c r="BL23" s="1"/>
  <c r="F23"/>
  <c r="BC23" s="1"/>
  <c r="R23"/>
  <c r="BZ23" s="1"/>
  <c r="L23"/>
  <c r="BF23" s="1"/>
  <c r="J23"/>
  <c r="BD23" s="1"/>
  <c r="V23"/>
  <c r="BV23" s="1"/>
  <c r="P23"/>
  <c r="BU23" s="1"/>
  <c r="C23"/>
  <c r="BG23" s="1"/>
  <c r="O23"/>
  <c r="BW23" s="1"/>
  <c r="T23"/>
  <c r="BX23" s="1"/>
  <c r="G23"/>
  <c r="BM23" s="1"/>
  <c r="S23"/>
  <c r="BY23" s="1"/>
  <c r="M23"/>
  <c r="BH23" s="1"/>
  <c r="K23"/>
  <c r="BJ23" s="1"/>
  <c r="S41"/>
  <c r="BW41" s="1"/>
  <c r="M41"/>
  <c r="BI41" s="1"/>
  <c r="H41"/>
  <c r="BN41" s="1"/>
  <c r="W41"/>
  <c r="BO41" s="1"/>
  <c r="Q41"/>
  <c r="BV41" s="1"/>
  <c r="L41"/>
  <c r="BC41" s="1"/>
  <c r="P41"/>
  <c r="BX41" s="1"/>
  <c r="U41"/>
  <c r="BZ41" s="1"/>
  <c r="K41"/>
  <c r="BG41" s="1"/>
  <c r="T41"/>
  <c r="BT41" s="1"/>
  <c r="N41"/>
  <c r="BR41" s="1"/>
  <c r="E41"/>
  <c r="BL41" s="1"/>
  <c r="Y41"/>
  <c r="BU41" s="1"/>
  <c r="R41"/>
  <c r="BQ41" s="1"/>
  <c r="I41"/>
  <c r="BH41" s="1"/>
  <c r="V41"/>
  <c r="BP41" s="1"/>
  <c r="B41"/>
  <c r="C41"/>
  <c r="BF41" s="1"/>
  <c r="X41"/>
  <c r="BS41" s="1"/>
  <c r="F41"/>
  <c r="BK41" s="1"/>
  <c r="G41"/>
  <c r="BE41" s="1"/>
  <c r="O41"/>
  <c r="BY41" s="1"/>
  <c r="J41"/>
  <c r="BD41" s="1"/>
  <c r="D41"/>
  <c r="BJ41" s="1"/>
  <c r="P73"/>
  <c r="BV73" s="1"/>
  <c r="M73"/>
  <c r="BE73" s="1"/>
  <c r="D73"/>
  <c r="BC73" s="1"/>
  <c r="T73"/>
  <c r="BR73" s="1"/>
  <c r="Q73"/>
  <c r="BX73" s="1"/>
  <c r="H73"/>
  <c r="BK73" s="1"/>
  <c r="W73"/>
  <c r="BU73" s="1"/>
  <c r="U73"/>
  <c r="BW73" s="1"/>
  <c r="L73"/>
  <c r="BG73" s="1"/>
  <c r="X73"/>
  <c r="BQ73" s="1"/>
  <c r="N73"/>
  <c r="BZ73" s="1"/>
  <c r="E73"/>
  <c r="BL73" s="1"/>
  <c r="Y73"/>
  <c r="BS73" s="1"/>
  <c r="R73"/>
  <c r="BT73" s="1"/>
  <c r="I73"/>
  <c r="BF73" s="1"/>
  <c r="V73"/>
  <c r="BP73" s="1"/>
  <c r="B73"/>
  <c r="K73"/>
  <c r="BD73" s="1"/>
  <c r="O73"/>
  <c r="BO73" s="1"/>
  <c r="F73"/>
  <c r="BM73" s="1"/>
  <c r="C73"/>
  <c r="BJ73" s="1"/>
  <c r="S73"/>
  <c r="BY73" s="1"/>
  <c r="J73"/>
  <c r="BI73" s="1"/>
  <c r="G73"/>
  <c r="BH73" s="1"/>
  <c r="V60"/>
  <c r="BO60" s="1"/>
  <c r="S60"/>
  <c r="BX60" s="1"/>
  <c r="K60"/>
  <c r="BC60" s="1"/>
  <c r="P60"/>
  <c r="BP60" s="1"/>
  <c r="L60"/>
  <c r="BN60" s="1"/>
  <c r="H60"/>
  <c r="BL60" s="1"/>
  <c r="U60"/>
  <c r="BR60" s="1"/>
  <c r="M60"/>
  <c r="BM60" s="1"/>
  <c r="R60"/>
  <c r="BW60" s="1"/>
  <c r="C60"/>
  <c r="BD60" s="1"/>
  <c r="D60"/>
  <c r="BH60" s="1"/>
  <c r="Y60"/>
  <c r="BZ60" s="1"/>
  <c r="G60"/>
  <c r="BG60" s="1"/>
  <c r="E60"/>
  <c r="BK60" s="1"/>
  <c r="O60"/>
  <c r="BT60" s="1"/>
  <c r="I60"/>
  <c r="BF60" s="1"/>
  <c r="W60"/>
  <c r="BV60" s="1"/>
  <c r="N60"/>
  <c r="BU60" s="1"/>
  <c r="X60"/>
  <c r="BY60" s="1"/>
  <c r="B60"/>
  <c r="T60"/>
  <c r="BS60" s="1"/>
  <c r="F60"/>
  <c r="BE60" s="1"/>
  <c r="Q60"/>
  <c r="BQ60" s="1"/>
  <c r="J60"/>
  <c r="BJ60" s="1"/>
  <c r="U82"/>
  <c r="BQ82" s="1"/>
  <c r="N82"/>
  <c r="BS82" s="1"/>
  <c r="H82"/>
  <c r="BE82" s="1"/>
  <c r="X82"/>
  <c r="BX82" s="1"/>
  <c r="R82"/>
  <c r="BW82" s="1"/>
  <c r="M82"/>
  <c r="BJ82" s="1"/>
  <c r="Y82"/>
  <c r="BV82" s="1"/>
  <c r="V82"/>
  <c r="BR82" s="1"/>
  <c r="E82"/>
  <c r="BK82" s="1"/>
  <c r="O82"/>
  <c r="BY82" s="1"/>
  <c r="I82"/>
  <c r="BC82" s="1"/>
  <c r="C82"/>
  <c r="BN82" s="1"/>
  <c r="S82"/>
  <c r="BU82" s="1"/>
  <c r="L82"/>
  <c r="BH82" s="1"/>
  <c r="G82"/>
  <c r="BI82" s="1"/>
  <c r="T82"/>
  <c r="BO82" s="1"/>
  <c r="B82"/>
  <c r="K82"/>
  <c r="BL82" s="1"/>
  <c r="W82"/>
  <c r="BT82" s="1"/>
  <c r="F82"/>
  <c r="BD82" s="1"/>
  <c r="P82"/>
  <c r="BZ82" s="1"/>
  <c r="Q82"/>
  <c r="BP82" s="1"/>
  <c r="J82"/>
  <c r="BF82" s="1"/>
  <c r="D82"/>
  <c r="BM82" s="1"/>
  <c r="S25"/>
  <c r="BQ25" s="1"/>
  <c r="M25"/>
  <c r="BJ25" s="1"/>
  <c r="D25"/>
  <c r="BC25" s="1"/>
  <c r="W25"/>
  <c r="BR25" s="1"/>
  <c r="Q25"/>
  <c r="BU25" s="1"/>
  <c r="H25"/>
  <c r="BD25" s="1"/>
  <c r="P25"/>
  <c r="BW25" s="1"/>
  <c r="U25"/>
  <c r="BP25" s="1"/>
  <c r="E25"/>
  <c r="BI25" s="1"/>
  <c r="T25"/>
  <c r="BZ25" s="1"/>
  <c r="N25"/>
  <c r="BS25" s="1"/>
  <c r="I25"/>
  <c r="BN25" s="1"/>
  <c r="Y25"/>
  <c r="BT25" s="1"/>
  <c r="R25"/>
  <c r="BY25" s="1"/>
  <c r="B25"/>
  <c r="V25"/>
  <c r="BX25" s="1"/>
  <c r="F25"/>
  <c r="BE25" s="1"/>
  <c r="C25"/>
  <c r="BK25" s="1"/>
  <c r="X25"/>
  <c r="BV25" s="1"/>
  <c r="J25"/>
  <c r="BF25" s="1"/>
  <c r="G25"/>
  <c r="BM25" s="1"/>
  <c r="O25"/>
  <c r="BO25" s="1"/>
  <c r="L25"/>
  <c r="BH25" s="1"/>
  <c r="K25"/>
  <c r="BL25" s="1"/>
  <c r="S32"/>
  <c r="BR32" s="1"/>
  <c r="H32"/>
  <c r="BJ32" s="1"/>
  <c r="N32"/>
  <c r="BS32" s="1"/>
  <c r="W32"/>
  <c r="BZ32" s="1"/>
  <c r="K32"/>
  <c r="BK32" s="1"/>
  <c r="Q32"/>
  <c r="BQ32" s="1"/>
  <c r="P32"/>
  <c r="BP32" s="1"/>
  <c r="E32"/>
  <c r="BE32" s="1"/>
  <c r="O32"/>
  <c r="BT32" s="1"/>
  <c r="T32"/>
  <c r="BV32" s="1"/>
  <c r="I32"/>
  <c r="BI32" s="1"/>
  <c r="C32"/>
  <c r="BD32" s="1"/>
  <c r="X32"/>
  <c r="BW32" s="1"/>
  <c r="B32"/>
  <c r="G32"/>
  <c r="BC32" s="1"/>
  <c r="Y32"/>
  <c r="BY32" s="1"/>
  <c r="U32"/>
  <c r="BX32" s="1"/>
  <c r="L32"/>
  <c r="BN32" s="1"/>
  <c r="V32"/>
  <c r="BU32" s="1"/>
  <c r="D32"/>
  <c r="BH32" s="1"/>
  <c r="J32"/>
  <c r="BL32" s="1"/>
  <c r="F32"/>
  <c r="BF32" s="1"/>
  <c r="M32"/>
  <c r="BM32" s="1"/>
  <c r="R32"/>
  <c r="BO32" s="1"/>
  <c r="V124"/>
  <c r="BS124" s="1"/>
  <c r="S124"/>
  <c r="BX124" s="1"/>
  <c r="K124"/>
  <c r="BI124" s="1"/>
  <c r="Y124"/>
  <c r="BW124" s="1"/>
  <c r="W124"/>
  <c r="BY124" s="1"/>
  <c r="M124"/>
  <c r="BK124" s="1"/>
  <c r="X124"/>
  <c r="BU124" s="1"/>
  <c r="C124"/>
  <c r="BC124" s="1"/>
  <c r="D124"/>
  <c r="BH124" s="1"/>
  <c r="P124"/>
  <c r="BT124" s="1"/>
  <c r="G124"/>
  <c r="BE124" s="1"/>
  <c r="H124"/>
  <c r="BL124" s="1"/>
  <c r="T124"/>
  <c r="BQ124" s="1"/>
  <c r="J124"/>
  <c r="BN124" s="1"/>
  <c r="E124"/>
  <c r="BD124" s="1"/>
  <c r="Q124"/>
  <c r="BV124" s="1"/>
  <c r="L124"/>
  <c r="BM124" s="1"/>
  <c r="I124"/>
  <c r="BG124" s="1"/>
  <c r="U124"/>
  <c r="BZ124" s="1"/>
  <c r="N124"/>
  <c r="BO124" s="1"/>
  <c r="B124"/>
  <c r="R124"/>
  <c r="BP124" s="1"/>
  <c r="O124"/>
  <c r="BR124" s="1"/>
  <c r="F124"/>
  <c r="BJ124" s="1"/>
  <c r="X144"/>
  <c r="BX144" s="1"/>
  <c r="U144"/>
  <c r="BR144" s="1"/>
  <c r="H144"/>
  <c r="BD144" s="1"/>
  <c r="Y144"/>
  <c r="BV144" s="1"/>
  <c r="N144"/>
  <c r="BU144" s="1"/>
  <c r="J144"/>
  <c r="BF144" s="1"/>
  <c r="R144"/>
  <c r="BW144" s="1"/>
  <c r="E144"/>
  <c r="BG144" s="1"/>
  <c r="F144"/>
  <c r="BK144" s="1"/>
  <c r="V144"/>
  <c r="BZ144" s="1"/>
  <c r="I144"/>
  <c r="BN144" s="1"/>
  <c r="C144"/>
  <c r="BE144" s="1"/>
  <c r="S144"/>
  <c r="BP144" s="1"/>
  <c r="K144"/>
  <c r="BL144" s="1"/>
  <c r="G144"/>
  <c r="BM144" s="1"/>
  <c r="P144"/>
  <c r="BS144" s="1"/>
  <c r="B144"/>
  <c r="L144"/>
  <c r="BH144" s="1"/>
  <c r="T144"/>
  <c r="BY144" s="1"/>
  <c r="O144"/>
  <c r="BQ144" s="1"/>
  <c r="M144"/>
  <c r="BJ144" s="1"/>
  <c r="W144"/>
  <c r="BT144" s="1"/>
  <c r="Q144"/>
  <c r="BO144" s="1"/>
  <c r="D144"/>
  <c r="BC144" s="1"/>
  <c r="W65"/>
  <c r="BO65" s="1"/>
  <c r="M65"/>
  <c r="BM65" s="1"/>
  <c r="D65"/>
  <c r="BF65" s="1"/>
  <c r="P65"/>
  <c r="BT65" s="1"/>
  <c r="Q65"/>
  <c r="BR65" s="1"/>
  <c r="H65"/>
  <c r="BJ65" s="1"/>
  <c r="T65"/>
  <c r="BP65" s="1"/>
  <c r="U65"/>
  <c r="BV65" s="1"/>
  <c r="E65"/>
  <c r="BH65" s="1"/>
  <c r="X65"/>
  <c r="BW65" s="1"/>
  <c r="N65"/>
  <c r="BQ65" s="1"/>
  <c r="I65"/>
  <c r="BD65" s="1"/>
  <c r="Y65"/>
  <c r="BY65" s="1"/>
  <c r="R65"/>
  <c r="BU65" s="1"/>
  <c r="B65"/>
  <c r="V65"/>
  <c r="BS65" s="1"/>
  <c r="F65"/>
  <c r="BN65" s="1"/>
  <c r="C65"/>
  <c r="BE65" s="1"/>
  <c r="O65"/>
  <c r="BX65" s="1"/>
  <c r="J65"/>
  <c r="BG65" s="1"/>
  <c r="G65"/>
  <c r="BI65" s="1"/>
  <c r="S65"/>
  <c r="BZ65" s="1"/>
  <c r="K65"/>
  <c r="BK65" s="1"/>
  <c r="L65"/>
  <c r="BC65" s="1"/>
  <c r="Y90"/>
  <c r="BX90" s="1"/>
  <c r="V90"/>
  <c r="BW90" s="1"/>
  <c r="N90"/>
  <c r="BT90" s="1"/>
  <c r="O90"/>
  <c r="BQ90" s="1"/>
  <c r="B90"/>
  <c r="C90"/>
  <c r="BI90" s="1"/>
  <c r="S90"/>
  <c r="BR90" s="1"/>
  <c r="F90"/>
  <c r="BJ90" s="1"/>
  <c r="G90"/>
  <c r="BM90" s="1"/>
  <c r="T90"/>
  <c r="BY90" s="1"/>
  <c r="J90"/>
  <c r="BC90" s="1"/>
  <c r="K90"/>
  <c r="BK90" s="1"/>
  <c r="Q90"/>
  <c r="BV90" s="1"/>
  <c r="L90"/>
  <c r="BL90" s="1"/>
  <c r="D90"/>
  <c r="BE90" s="1"/>
  <c r="U90"/>
  <c r="BS90" s="1"/>
  <c r="M90"/>
  <c r="BN90" s="1"/>
  <c r="H90"/>
  <c r="BF90" s="1"/>
  <c r="W90"/>
  <c r="BO90" s="1"/>
  <c r="P90"/>
  <c r="BU90" s="1"/>
  <c r="E90"/>
  <c r="BD90" s="1"/>
  <c r="X90"/>
  <c r="BZ90" s="1"/>
  <c r="R90"/>
  <c r="BP90" s="1"/>
  <c r="I90"/>
  <c r="BG90" s="1"/>
  <c r="S14"/>
  <c r="BZ14" s="1"/>
  <c r="M14"/>
  <c r="BC14" s="1"/>
  <c r="F14"/>
  <c r="BI14" s="1"/>
  <c r="W14"/>
  <c r="BW14" s="1"/>
  <c r="L14"/>
  <c r="BE14" s="1"/>
  <c r="J14"/>
  <c r="BG14" s="1"/>
  <c r="Y14"/>
  <c r="BQ14" s="1"/>
  <c r="T14"/>
  <c r="BP14" s="1"/>
  <c r="P14"/>
  <c r="BR14" s="1"/>
  <c r="X14"/>
  <c r="BO14" s="1"/>
  <c r="C14"/>
  <c r="BF14" s="1"/>
  <c r="E14"/>
  <c r="BL14" s="1"/>
  <c r="Q14"/>
  <c r="BU14" s="1"/>
  <c r="G14"/>
  <c r="BD14" s="1"/>
  <c r="I14"/>
  <c r="BH14" s="1"/>
  <c r="U14"/>
  <c r="BS14" s="1"/>
  <c r="K14"/>
  <c r="BK14" s="1"/>
  <c r="O14"/>
  <c r="BV14" s="1"/>
  <c r="R14"/>
  <c r="BX14" s="1"/>
  <c r="D14"/>
  <c r="BJ14" s="1"/>
  <c r="B14"/>
  <c r="V14"/>
  <c r="BT14" s="1"/>
  <c r="H14"/>
  <c r="BN14" s="1"/>
  <c r="N14"/>
  <c r="BY14" s="1"/>
  <c r="N133"/>
  <c r="BT133" s="1"/>
  <c r="S133"/>
  <c r="BS133" s="1"/>
  <c r="F133"/>
  <c r="BG133" s="1"/>
  <c r="R133"/>
  <c r="BR133" s="1"/>
  <c r="L133"/>
  <c r="BE133" s="1"/>
  <c r="C133"/>
  <c r="BH133" s="1"/>
  <c r="V133"/>
  <c r="BU133" s="1"/>
  <c r="P133"/>
  <c r="BZ133" s="1"/>
  <c r="G133"/>
  <c r="BF133" s="1"/>
  <c r="X133"/>
  <c r="BO133" s="1"/>
  <c r="T133"/>
  <c r="BV133" s="1"/>
  <c r="D133"/>
  <c r="BL133" s="1"/>
  <c r="Y133"/>
  <c r="BP133" s="1"/>
  <c r="M133"/>
  <c r="BD133" s="1"/>
  <c r="H133"/>
  <c r="BM133" s="1"/>
  <c r="Q133"/>
  <c r="BX133" s="1"/>
  <c r="J133"/>
  <c r="BI133" s="1"/>
  <c r="E133"/>
  <c r="BN133" s="1"/>
  <c r="U133"/>
  <c r="BY133" s="1"/>
  <c r="K133"/>
  <c r="BC133" s="1"/>
  <c r="I133"/>
  <c r="BJ133" s="1"/>
  <c r="W133"/>
  <c r="BQ133" s="1"/>
  <c r="O133"/>
  <c r="BW133" s="1"/>
  <c r="B133"/>
  <c r="P129"/>
  <c r="BV129" s="1"/>
  <c r="M129"/>
  <c r="BE129" s="1"/>
  <c r="J129"/>
  <c r="BI129" s="1"/>
  <c r="T129"/>
  <c r="BO129" s="1"/>
  <c r="Q129"/>
  <c r="BT129" s="1"/>
  <c r="D129"/>
  <c r="BH129" s="1"/>
  <c r="W129"/>
  <c r="BU129" s="1"/>
  <c r="U129"/>
  <c r="BY129" s="1"/>
  <c r="H129"/>
  <c r="BK129" s="1"/>
  <c r="X129"/>
  <c r="BQ129" s="1"/>
  <c r="N129"/>
  <c r="BR129" s="1"/>
  <c r="L129"/>
  <c r="BG129" s="1"/>
  <c r="Y129"/>
  <c r="BS129" s="1"/>
  <c r="R129"/>
  <c r="BX129" s="1"/>
  <c r="E129"/>
  <c r="BJ129" s="1"/>
  <c r="V129"/>
  <c r="BP129" s="1"/>
  <c r="I129"/>
  <c r="BM129" s="1"/>
  <c r="C129"/>
  <c r="BF129" s="1"/>
  <c r="O129"/>
  <c r="BZ129" s="1"/>
  <c r="B129"/>
  <c r="G129"/>
  <c r="BC129" s="1"/>
  <c r="S129"/>
  <c r="BW129" s="1"/>
  <c r="F129"/>
  <c r="BL129" s="1"/>
  <c r="K129"/>
  <c r="BD129" s="1"/>
  <c r="N125"/>
  <c r="BR125" s="1"/>
  <c r="S125"/>
  <c r="BX125" s="1"/>
  <c r="F125"/>
  <c r="BL125" s="1"/>
  <c r="R125"/>
  <c r="BP125" s="1"/>
  <c r="W125"/>
  <c r="BY125" s="1"/>
  <c r="C125"/>
  <c r="BC125" s="1"/>
  <c r="V125"/>
  <c r="BS125" s="1"/>
  <c r="L125"/>
  <c r="BK125" s="1"/>
  <c r="G125"/>
  <c r="BD125" s="1"/>
  <c r="X125"/>
  <c r="BU125" s="1"/>
  <c r="P125"/>
  <c r="BO125" s="1"/>
  <c r="J125"/>
  <c r="BM125" s="1"/>
  <c r="Y125"/>
  <c r="BW125" s="1"/>
  <c r="T125"/>
  <c r="BQ125" s="1"/>
  <c r="D125"/>
  <c r="BJ125" s="1"/>
  <c r="M125"/>
  <c r="BI125" s="1"/>
  <c r="H125"/>
  <c r="BN125" s="1"/>
  <c r="E125"/>
  <c r="BH125" s="1"/>
  <c r="Q125"/>
  <c r="BT125" s="1"/>
  <c r="K125"/>
  <c r="BG125" s="1"/>
  <c r="I125"/>
  <c r="BE125" s="1"/>
  <c r="U125"/>
  <c r="BZ125" s="1"/>
  <c r="O125"/>
  <c r="BV125" s="1"/>
  <c r="B125"/>
  <c r="V108"/>
  <c r="BO108" s="1"/>
  <c r="X108"/>
  <c r="BT108" s="1"/>
  <c r="B108"/>
  <c r="T108"/>
  <c r="BZ108" s="1"/>
  <c r="M108"/>
  <c r="BH108" s="1"/>
  <c r="H108"/>
  <c r="BD108" s="1"/>
  <c r="U108"/>
  <c r="BU108" s="1"/>
  <c r="N108"/>
  <c r="BX108" s="1"/>
  <c r="R108"/>
  <c r="BV108" s="1"/>
  <c r="O108"/>
  <c r="BS108" s="1"/>
  <c r="D108"/>
  <c r="BG108" s="1"/>
  <c r="Y108"/>
  <c r="BR108" s="1"/>
  <c r="C108"/>
  <c r="BK108" s="1"/>
  <c r="K108"/>
  <c r="BC108" s="1"/>
  <c r="G108"/>
  <c r="BN108" s="1"/>
  <c r="L108"/>
  <c r="BF108" s="1"/>
  <c r="S108"/>
  <c r="BP108" s="1"/>
  <c r="E108"/>
  <c r="BJ108" s="1"/>
  <c r="P108"/>
  <c r="BW108" s="1"/>
  <c r="I108"/>
  <c r="BI108" s="1"/>
  <c r="W108"/>
  <c r="BQ108" s="1"/>
  <c r="F108"/>
  <c r="BM108" s="1"/>
  <c r="Q108"/>
  <c r="BY108" s="1"/>
  <c r="J108"/>
  <c r="BE108" s="1"/>
  <c r="P28"/>
  <c r="BQ28" s="1"/>
  <c r="L28"/>
  <c r="BJ28" s="1"/>
  <c r="Q28"/>
  <c r="BP28" s="1"/>
  <c r="T28"/>
  <c r="BW28" s="1"/>
  <c r="M28"/>
  <c r="BL28" s="1"/>
  <c r="E28"/>
  <c r="BI28" s="1"/>
  <c r="U28"/>
  <c r="BT28" s="1"/>
  <c r="C28"/>
  <c r="BC28" s="1"/>
  <c r="I28"/>
  <c r="BM28" s="1"/>
  <c r="R28"/>
  <c r="BU28" s="1"/>
  <c r="G28"/>
  <c r="BK28" s="1"/>
  <c r="N28"/>
  <c r="BO28" s="1"/>
  <c r="V28"/>
  <c r="BY28" s="1"/>
  <c r="K28"/>
  <c r="BN28" s="1"/>
  <c r="B28"/>
  <c r="Y28"/>
  <c r="BX28" s="1"/>
  <c r="S28"/>
  <c r="BR28" s="1"/>
  <c r="O28"/>
  <c r="BS28" s="1"/>
  <c r="X28"/>
  <c r="BZ28" s="1"/>
  <c r="J28"/>
  <c r="BH28" s="1"/>
  <c r="H28"/>
  <c r="BF28" s="1"/>
  <c r="F28"/>
  <c r="BD28" s="1"/>
  <c r="W28"/>
  <c r="BV28" s="1"/>
  <c r="D28"/>
  <c r="BE28" s="1"/>
  <c r="S40"/>
  <c r="BW40" s="1"/>
  <c r="I40"/>
  <c r="BG40" s="1"/>
  <c r="C40"/>
  <c r="BL40" s="1"/>
  <c r="W40"/>
  <c r="BP40" s="1"/>
  <c r="O40"/>
  <c r="BY40" s="1"/>
  <c r="G40"/>
  <c r="BH40" s="1"/>
  <c r="P40"/>
  <c r="BX40" s="1"/>
  <c r="Q40"/>
  <c r="BV40" s="1"/>
  <c r="D40"/>
  <c r="BM40" s="1"/>
  <c r="T40"/>
  <c r="BT40" s="1"/>
  <c r="B40"/>
  <c r="H40"/>
  <c r="BK40" s="1"/>
  <c r="X40"/>
  <c r="BU40" s="1"/>
  <c r="M40"/>
  <c r="BI40" s="1"/>
  <c r="L40"/>
  <c r="BC40" s="1"/>
  <c r="Y40"/>
  <c r="BO40" s="1"/>
  <c r="U40"/>
  <c r="BZ40" s="1"/>
  <c r="N40"/>
  <c r="BR40" s="1"/>
  <c r="V40"/>
  <c r="BS40" s="1"/>
  <c r="E40"/>
  <c r="BE40" s="1"/>
  <c r="J40"/>
  <c r="BN40" s="1"/>
  <c r="R40"/>
  <c r="BQ40" s="1"/>
  <c r="F40"/>
  <c r="BJ40" s="1"/>
  <c r="K40"/>
  <c r="BD40" s="1"/>
  <c r="T138"/>
  <c r="BT138" s="1"/>
  <c r="F138"/>
  <c r="BE138" s="1"/>
  <c r="H138"/>
  <c r="BI138" s="1"/>
  <c r="Q138"/>
  <c r="BQ138" s="1"/>
  <c r="L138"/>
  <c r="BD138" s="1"/>
  <c r="J138"/>
  <c r="BC138" s="1"/>
  <c r="U138"/>
  <c r="BZ138" s="1"/>
  <c r="M138"/>
  <c r="BF138" s="1"/>
  <c r="K138"/>
  <c r="BJ138" s="1"/>
  <c r="X138"/>
  <c r="BR138" s="1"/>
  <c r="R138"/>
  <c r="BW138" s="1"/>
  <c r="N138"/>
  <c r="BS138" s="1"/>
  <c r="Y138"/>
  <c r="BP138" s="1"/>
  <c r="V138"/>
  <c r="BV138" s="1"/>
  <c r="P138"/>
  <c r="BX138" s="1"/>
  <c r="W138"/>
  <c r="BO138" s="1"/>
  <c r="E138"/>
  <c r="BK138" s="1"/>
  <c r="C138"/>
  <c r="BL138" s="1"/>
  <c r="O138"/>
  <c r="BY138" s="1"/>
  <c r="I138"/>
  <c r="BN138" s="1"/>
  <c r="G138"/>
  <c r="BH138" s="1"/>
  <c r="S138"/>
  <c r="BU138" s="1"/>
  <c r="B138"/>
  <c r="D138"/>
  <c r="BM138" s="1"/>
  <c r="Y114"/>
  <c r="BT114" s="1"/>
  <c r="R114"/>
  <c r="BS114" s="1"/>
  <c r="E114"/>
  <c r="BG114" s="1"/>
  <c r="V114"/>
  <c r="BZ114" s="1"/>
  <c r="I114"/>
  <c r="BK114" s="1"/>
  <c r="C114"/>
  <c r="BM114" s="1"/>
  <c r="O114"/>
  <c r="BU114" s="1"/>
  <c r="K114"/>
  <c r="BN114" s="1"/>
  <c r="G114"/>
  <c r="BL114" s="1"/>
  <c r="S114"/>
  <c r="BQ114" s="1"/>
  <c r="B114"/>
  <c r="P114"/>
  <c r="BY114" s="1"/>
  <c r="T114"/>
  <c r="BX114" s="1"/>
  <c r="L114"/>
  <c r="BH114" s="1"/>
  <c r="D114"/>
  <c r="BI114" s="1"/>
  <c r="Q114"/>
  <c r="BR114" s="1"/>
  <c r="F114"/>
  <c r="BF114" s="1"/>
  <c r="H114"/>
  <c r="BE114" s="1"/>
  <c r="U114"/>
  <c r="BW114" s="1"/>
  <c r="J114"/>
  <c r="BC114" s="1"/>
  <c r="M114"/>
  <c r="BJ114" s="1"/>
  <c r="X114"/>
  <c r="BV114" s="1"/>
  <c r="W114"/>
  <c r="BO114" s="1"/>
  <c r="N114"/>
  <c r="BP114" s="1"/>
  <c r="V140"/>
  <c r="BV140" s="1"/>
  <c r="W140"/>
  <c r="BP140" s="1"/>
  <c r="E140"/>
  <c r="BL140" s="1"/>
  <c r="Y140"/>
  <c r="BR140" s="1"/>
  <c r="S140"/>
  <c r="BW140" s="1"/>
  <c r="I140"/>
  <c r="BN140" s="1"/>
  <c r="P140"/>
  <c r="BS140" s="1"/>
  <c r="B140"/>
  <c r="D140"/>
  <c r="BE140" s="1"/>
  <c r="T140"/>
  <c r="BZ140" s="1"/>
  <c r="F140"/>
  <c r="BI140" s="1"/>
  <c r="H140"/>
  <c r="BC140" s="1"/>
  <c r="X140"/>
  <c r="BT140" s="1"/>
  <c r="L140"/>
  <c r="BD140" s="1"/>
  <c r="J140"/>
  <c r="BJ140" s="1"/>
  <c r="Q140"/>
  <c r="BU140" s="1"/>
  <c r="M140"/>
  <c r="BF140" s="1"/>
  <c r="K140"/>
  <c r="BH140" s="1"/>
  <c r="U140"/>
  <c r="BO140" s="1"/>
  <c r="C140"/>
  <c r="BG140" s="1"/>
  <c r="N140"/>
  <c r="BY140" s="1"/>
  <c r="R140"/>
  <c r="BX140" s="1"/>
  <c r="G140"/>
  <c r="BK140" s="1"/>
  <c r="O140"/>
  <c r="BQ140" s="1"/>
  <c r="T8"/>
  <c r="BZ8" s="1"/>
  <c r="B8"/>
  <c r="O8"/>
  <c r="BX8" s="1"/>
  <c r="Y8"/>
  <c r="BU8" s="1"/>
  <c r="U8"/>
  <c r="BY8" s="1"/>
  <c r="D8"/>
  <c r="BL8" s="1"/>
  <c r="R8"/>
  <c r="BO8" s="1"/>
  <c r="H8"/>
  <c r="BN8" s="1"/>
  <c r="F8"/>
  <c r="BJ8" s="1"/>
  <c r="V8"/>
  <c r="BQ8" s="1"/>
  <c r="L8"/>
  <c r="BK8" s="1"/>
  <c r="J8"/>
  <c r="BM8" s="1"/>
  <c r="X8"/>
  <c r="BS8" s="1"/>
  <c r="N8"/>
  <c r="BP8" s="1"/>
  <c r="K8"/>
  <c r="BG8" s="1"/>
  <c r="S8"/>
  <c r="BV8" s="1"/>
  <c r="E8"/>
  <c r="BF8" s="1"/>
  <c r="C8"/>
  <c r="BH8" s="1"/>
  <c r="W8"/>
  <c r="BW8" s="1"/>
  <c r="I8"/>
  <c r="BE8" s="1"/>
  <c r="G8"/>
  <c r="BC8" s="1"/>
  <c r="P8"/>
  <c r="BT8" s="1"/>
  <c r="Q8"/>
  <c r="BR8" s="1"/>
  <c r="M8"/>
  <c r="BI8" s="1"/>
  <c r="X136"/>
  <c r="BP136" s="1"/>
  <c r="U136"/>
  <c r="BU136" s="1"/>
  <c r="H136"/>
  <c r="BE136" s="1"/>
  <c r="Y136"/>
  <c r="BO136" s="1"/>
  <c r="N136"/>
  <c r="BX136" s="1"/>
  <c r="J136"/>
  <c r="BI136" s="1"/>
  <c r="R136"/>
  <c r="BT136" s="1"/>
  <c r="K136"/>
  <c r="BJ136" s="1"/>
  <c r="F136"/>
  <c r="BM136" s="1"/>
  <c r="V136"/>
  <c r="BR136" s="1"/>
  <c r="E136"/>
  <c r="BH136" s="1"/>
  <c r="L136"/>
  <c r="BC136" s="1"/>
  <c r="S136"/>
  <c r="BQ136" s="1"/>
  <c r="I136"/>
  <c r="BF136" s="1"/>
  <c r="C136"/>
  <c r="BK136" s="1"/>
  <c r="P136"/>
  <c r="BW136" s="1"/>
  <c r="B136"/>
  <c r="G136"/>
  <c r="BN136" s="1"/>
  <c r="T136"/>
  <c r="BZ136" s="1"/>
  <c r="M136"/>
  <c r="BD136" s="1"/>
  <c r="O136"/>
  <c r="BS136" s="1"/>
  <c r="W136"/>
  <c r="BV136" s="1"/>
  <c r="Q136"/>
  <c r="BY136" s="1"/>
  <c r="D136"/>
  <c r="BG136" s="1"/>
  <c r="N69"/>
  <c r="BR69" s="1"/>
  <c r="S69"/>
  <c r="BO69" s="1"/>
  <c r="F69"/>
  <c r="BH69" s="1"/>
  <c r="R69"/>
  <c r="BT69" s="1"/>
  <c r="W69"/>
  <c r="BY69" s="1"/>
  <c r="J69"/>
  <c r="BM69" s="1"/>
  <c r="V69"/>
  <c r="BS69" s="1"/>
  <c r="L69"/>
  <c r="BK69" s="1"/>
  <c r="C69"/>
  <c r="BF69" s="1"/>
  <c r="X69"/>
  <c r="BU69" s="1"/>
  <c r="P69"/>
  <c r="BX69" s="1"/>
  <c r="G69"/>
  <c r="BE69" s="1"/>
  <c r="Y69"/>
  <c r="BW69" s="1"/>
  <c r="T69"/>
  <c r="BQ69" s="1"/>
  <c r="D69"/>
  <c r="BJ69" s="1"/>
  <c r="M69"/>
  <c r="BI69" s="1"/>
  <c r="H69"/>
  <c r="BC69" s="1"/>
  <c r="E69"/>
  <c r="BL69" s="1"/>
  <c r="Q69"/>
  <c r="BV69" s="1"/>
  <c r="K69"/>
  <c r="BG69" s="1"/>
  <c r="I69"/>
  <c r="BD69" s="1"/>
  <c r="U69"/>
  <c r="BP69" s="1"/>
  <c r="O69"/>
  <c r="BZ69" s="1"/>
  <c r="B69"/>
  <c r="P89"/>
  <c r="BP89" s="1"/>
  <c r="M89"/>
  <c r="BL89" s="1"/>
  <c r="D89"/>
  <c r="BE89" s="1"/>
  <c r="T89"/>
  <c r="BS89" s="1"/>
  <c r="Q89"/>
  <c r="BQ89" s="1"/>
  <c r="H89"/>
  <c r="BF89" s="1"/>
  <c r="W89"/>
  <c r="BO89" s="1"/>
  <c r="U89"/>
  <c r="BR89" s="1"/>
  <c r="E89"/>
  <c r="BD89" s="1"/>
  <c r="X89"/>
  <c r="BZ89" s="1"/>
  <c r="N89"/>
  <c r="BU89" s="1"/>
  <c r="I89"/>
  <c r="BG89" s="1"/>
  <c r="Y89"/>
  <c r="BX89" s="1"/>
  <c r="R89"/>
  <c r="BY89" s="1"/>
  <c r="B89"/>
  <c r="V89"/>
  <c r="BW89" s="1"/>
  <c r="F89"/>
  <c r="BJ89" s="1"/>
  <c r="C89"/>
  <c r="BI89" s="1"/>
  <c r="O89"/>
  <c r="BT89" s="1"/>
  <c r="J89"/>
  <c r="BK89" s="1"/>
  <c r="G89"/>
  <c r="BM89" s="1"/>
  <c r="S89"/>
  <c r="BV89" s="1"/>
  <c r="L89"/>
  <c r="BC89" s="1"/>
  <c r="K89"/>
  <c r="BN89" s="1"/>
  <c r="X104"/>
  <c r="BR104" s="1"/>
  <c r="U104"/>
  <c r="BS104" s="1"/>
  <c r="L104"/>
  <c r="BE104" s="1"/>
  <c r="V104"/>
  <c r="BT104" s="1"/>
  <c r="I104"/>
  <c r="BH104" s="1"/>
  <c r="J104"/>
  <c r="BG104" s="1"/>
  <c r="S104"/>
  <c r="BY104" s="1"/>
  <c r="K104"/>
  <c r="BF104" s="1"/>
  <c r="P104"/>
  <c r="BZ104" s="1"/>
  <c r="E104"/>
  <c r="BL104" s="1"/>
  <c r="T104"/>
  <c r="BU104" s="1"/>
  <c r="O104"/>
  <c r="BW104" s="1"/>
  <c r="W104"/>
  <c r="BQ104" s="1"/>
  <c r="B104"/>
  <c r="F104"/>
  <c r="BM104" s="1"/>
  <c r="Y104"/>
  <c r="BP104" s="1"/>
  <c r="M104"/>
  <c r="BD104" s="1"/>
  <c r="C104"/>
  <c r="BN104" s="1"/>
  <c r="Q104"/>
  <c r="BX104" s="1"/>
  <c r="G104"/>
  <c r="BC104" s="1"/>
  <c r="N104"/>
  <c r="BV104" s="1"/>
  <c r="D104"/>
  <c r="BK104" s="1"/>
  <c r="R104"/>
  <c r="BO104" s="1"/>
  <c r="H104"/>
  <c r="BI104" s="1"/>
  <c r="W57"/>
  <c r="BV57" s="1"/>
  <c r="M57"/>
  <c r="BN57" s="1"/>
  <c r="H57"/>
  <c r="BH57" s="1"/>
  <c r="P57"/>
  <c r="BS57" s="1"/>
  <c r="Q57"/>
  <c r="BU57" s="1"/>
  <c r="E57"/>
  <c r="BG57" s="1"/>
  <c r="T57"/>
  <c r="BO57" s="1"/>
  <c r="U57"/>
  <c r="BR57" s="1"/>
  <c r="I57"/>
  <c r="BF57" s="1"/>
  <c r="X57"/>
  <c r="BZ57" s="1"/>
  <c r="N57"/>
  <c r="BW57" s="1"/>
  <c r="B57"/>
  <c r="Y57"/>
  <c r="BX57" s="1"/>
  <c r="R57"/>
  <c r="BQ57" s="1"/>
  <c r="K57"/>
  <c r="BM57" s="1"/>
  <c r="V57"/>
  <c r="BY57" s="1"/>
  <c r="F57"/>
  <c r="BE57" s="1"/>
  <c r="C57"/>
  <c r="BK57" s="1"/>
  <c r="O57"/>
  <c r="BP57" s="1"/>
  <c r="J57"/>
  <c r="BJ57" s="1"/>
  <c r="G57"/>
  <c r="BC57" s="1"/>
  <c r="S57"/>
  <c r="BT57" s="1"/>
  <c r="L57"/>
  <c r="BL57" s="1"/>
  <c r="D57"/>
  <c r="BI57" s="1"/>
  <c r="Y142"/>
  <c r="BT142" s="1"/>
  <c r="T142"/>
  <c r="BZ142" s="1"/>
  <c r="P142"/>
  <c r="BY142" s="1"/>
  <c r="Q142"/>
  <c r="BS142" s="1"/>
  <c r="C142"/>
  <c r="BM142" s="1"/>
  <c r="E142"/>
  <c r="BG142" s="1"/>
  <c r="U142"/>
  <c r="BP142" s="1"/>
  <c r="G142"/>
  <c r="BK142" s="1"/>
  <c r="I142"/>
  <c r="BL142" s="1"/>
  <c r="X142"/>
  <c r="BV142" s="1"/>
  <c r="L142"/>
  <c r="BF142" s="1"/>
  <c r="K142"/>
  <c r="BJ142" s="1"/>
  <c r="R142"/>
  <c r="BW142" s="1"/>
  <c r="M142"/>
  <c r="BH142" s="1"/>
  <c r="N142"/>
  <c r="BQ142" s="1"/>
  <c r="V142"/>
  <c r="BX142" s="1"/>
  <c r="D142"/>
  <c r="BI142" s="1"/>
  <c r="O142"/>
  <c r="BU142" s="1"/>
  <c r="W142"/>
  <c r="BR142" s="1"/>
  <c r="H142"/>
  <c r="BN142" s="1"/>
  <c r="B142"/>
  <c r="S142"/>
  <c r="BO142" s="1"/>
  <c r="J142"/>
  <c r="BD142" s="1"/>
  <c r="F142"/>
  <c r="BC142" s="1"/>
  <c r="X112"/>
  <c r="BT112" s="1"/>
  <c r="Y112"/>
  <c r="BO112" s="1"/>
  <c r="U112"/>
  <c r="BQ112" s="1"/>
  <c r="D112"/>
  <c r="BD112" s="1"/>
  <c r="N112"/>
  <c r="BY112" s="1"/>
  <c r="H112"/>
  <c r="BF112" s="1"/>
  <c r="R112"/>
  <c r="BX112" s="1"/>
  <c r="E112"/>
  <c r="BL112" s="1"/>
  <c r="F112"/>
  <c r="BI112" s="1"/>
  <c r="V112"/>
  <c r="BV112" s="1"/>
  <c r="I112"/>
  <c r="BJ112" s="1"/>
  <c r="J112"/>
  <c r="BE112" s="1"/>
  <c r="S112"/>
  <c r="BR112" s="1"/>
  <c r="K112"/>
  <c r="BN112" s="1"/>
  <c r="C112"/>
  <c r="BG112" s="1"/>
  <c r="P112"/>
  <c r="BS112" s="1"/>
  <c r="B112"/>
  <c r="G112"/>
  <c r="BK112" s="1"/>
  <c r="T112"/>
  <c r="BW112" s="1"/>
  <c r="L112"/>
  <c r="BC112" s="1"/>
  <c r="M112"/>
  <c r="BH112" s="1"/>
  <c r="W112"/>
  <c r="BZ112" s="1"/>
  <c r="Q112"/>
  <c r="BU112" s="1"/>
  <c r="O112"/>
  <c r="BP112" s="1"/>
  <c r="P12"/>
  <c r="BX12" s="1"/>
  <c r="K12"/>
  <c r="BC12" s="1"/>
  <c r="L12"/>
  <c r="BG12" s="1"/>
  <c r="T12"/>
  <c r="BT12" s="1"/>
  <c r="Q12"/>
  <c r="BV12" s="1"/>
  <c r="O12"/>
  <c r="BY12" s="1"/>
  <c r="U12"/>
  <c r="BZ12" s="1"/>
  <c r="C12"/>
  <c r="BL12" s="1"/>
  <c r="E12"/>
  <c r="BD12" s="1"/>
  <c r="R12"/>
  <c r="BP12" s="1"/>
  <c r="G12"/>
  <c r="BH12" s="1"/>
  <c r="I12"/>
  <c r="BN12" s="1"/>
  <c r="V12"/>
  <c r="BO12" s="1"/>
  <c r="M12"/>
  <c r="BE12" s="1"/>
  <c r="N12"/>
  <c r="BR12" s="1"/>
  <c r="Y12"/>
  <c r="BS12" s="1"/>
  <c r="S12"/>
  <c r="BU12" s="1"/>
  <c r="B12"/>
  <c r="W12"/>
  <c r="BW12" s="1"/>
  <c r="F12"/>
  <c r="BJ12" s="1"/>
  <c r="D12"/>
  <c r="BM12" s="1"/>
  <c r="X12"/>
  <c r="BQ12" s="1"/>
  <c r="J12"/>
  <c r="BK12" s="1"/>
  <c r="H12"/>
  <c r="BI12" s="1"/>
  <c r="S24"/>
  <c r="BQ24" s="1"/>
  <c r="N24"/>
  <c r="BW24" s="1"/>
  <c r="L24"/>
  <c r="BF24" s="1"/>
  <c r="W24"/>
  <c r="BR24" s="1"/>
  <c r="O24"/>
  <c r="BS24" s="1"/>
  <c r="M24"/>
  <c r="BH24" s="1"/>
  <c r="P24"/>
  <c r="BU24" s="1"/>
  <c r="E24"/>
  <c r="BI24" s="1"/>
  <c r="C24"/>
  <c r="BG24" s="1"/>
  <c r="T24"/>
  <c r="BZ24" s="1"/>
  <c r="I24"/>
  <c r="BL24" s="1"/>
  <c r="G24"/>
  <c r="BN24" s="1"/>
  <c r="X24"/>
  <c r="BV24" s="1"/>
  <c r="B24"/>
  <c r="Q24"/>
  <c r="BO24" s="1"/>
  <c r="Y24"/>
  <c r="BT24" s="1"/>
  <c r="U24"/>
  <c r="BP24" s="1"/>
  <c r="K24"/>
  <c r="BJ24" s="1"/>
  <c r="R24"/>
  <c r="BY24" s="1"/>
  <c r="D24"/>
  <c r="BC24" s="1"/>
  <c r="F24"/>
  <c r="BM24" s="1"/>
  <c r="V24"/>
  <c r="BX24" s="1"/>
  <c r="H24"/>
  <c r="BE24" s="1"/>
  <c r="J24"/>
  <c r="BD24" s="1"/>
  <c r="P97"/>
  <c r="BR97" s="1"/>
  <c r="M97"/>
  <c r="BI97" s="1"/>
  <c r="D97"/>
  <c r="BC97" s="1"/>
  <c r="T97"/>
  <c r="BQ97" s="1"/>
  <c r="Q97"/>
  <c r="BT97" s="1"/>
  <c r="H97"/>
  <c r="BN97" s="1"/>
  <c r="W97"/>
  <c r="BY97" s="1"/>
  <c r="U97"/>
  <c r="BZ97" s="1"/>
  <c r="K97"/>
  <c r="BG97" s="1"/>
  <c r="X97"/>
  <c r="BU97" s="1"/>
  <c r="N97"/>
  <c r="BV97" s="1"/>
  <c r="E97"/>
  <c r="BH97" s="1"/>
  <c r="Y97"/>
  <c r="BW97" s="1"/>
  <c r="R97"/>
  <c r="BP97" s="1"/>
  <c r="I97"/>
  <c r="BE97" s="1"/>
  <c r="V97"/>
  <c r="BS97" s="1"/>
  <c r="B97"/>
  <c r="C97"/>
  <c r="BF97" s="1"/>
  <c r="O97"/>
  <c r="BO97" s="1"/>
  <c r="F97"/>
  <c r="BL97" s="1"/>
  <c r="G97"/>
  <c r="BD97" s="1"/>
  <c r="S97"/>
  <c r="BX97" s="1"/>
  <c r="J97"/>
  <c r="BM97" s="1"/>
  <c r="L97"/>
  <c r="BK97" s="1"/>
  <c r="X128"/>
  <c r="BQ128" s="1"/>
  <c r="U128"/>
  <c r="BW128" s="1"/>
  <c r="D128"/>
  <c r="BN128" s="1"/>
  <c r="Y128"/>
  <c r="BS128" s="1"/>
  <c r="N128"/>
  <c r="BR128" s="1"/>
  <c r="H128"/>
  <c r="BM128" s="1"/>
  <c r="R128"/>
  <c r="BO128" s="1"/>
  <c r="L128"/>
  <c r="BI128" s="1"/>
  <c r="F128"/>
  <c r="BL128" s="1"/>
  <c r="V128"/>
  <c r="BP128" s="1"/>
  <c r="O128"/>
  <c r="BZ128" s="1"/>
  <c r="C128"/>
  <c r="BJ128" s="1"/>
  <c r="S128"/>
  <c r="BX128" s="1"/>
  <c r="E128"/>
  <c r="BH128" s="1"/>
  <c r="G128"/>
  <c r="BC128" s="1"/>
  <c r="P128"/>
  <c r="BV128" s="1"/>
  <c r="I128"/>
  <c r="BD128" s="1"/>
  <c r="K128"/>
  <c r="BE128" s="1"/>
  <c r="T128"/>
  <c r="BY128" s="1"/>
  <c r="B128"/>
  <c r="J128"/>
  <c r="BK128" s="1"/>
  <c r="W128"/>
  <c r="BU128" s="1"/>
  <c r="Q128"/>
  <c r="BT128" s="1"/>
  <c r="M128"/>
  <c r="BG128" s="1"/>
  <c r="N77"/>
  <c r="BZ77" s="1"/>
  <c r="S77"/>
  <c r="BU77" s="1"/>
  <c r="F77"/>
  <c r="BI77" s="1"/>
  <c r="R77"/>
  <c r="BX77" s="1"/>
  <c r="W77"/>
  <c r="BQ77" s="1"/>
  <c r="J77"/>
  <c r="BE77" s="1"/>
  <c r="V77"/>
  <c r="BT77" s="1"/>
  <c r="L77"/>
  <c r="BD77" s="1"/>
  <c r="C77"/>
  <c r="BC77" s="1"/>
  <c r="X77"/>
  <c r="BR77" s="1"/>
  <c r="P77"/>
  <c r="BO77" s="1"/>
  <c r="G77"/>
  <c r="BL77" s="1"/>
  <c r="Y77"/>
  <c r="BP77" s="1"/>
  <c r="T77"/>
  <c r="BV77" s="1"/>
  <c r="D77"/>
  <c r="BK77" s="1"/>
  <c r="M77"/>
  <c r="BF77" s="1"/>
  <c r="H77"/>
  <c r="BG77" s="1"/>
  <c r="E77"/>
  <c r="BM77" s="1"/>
  <c r="Q77"/>
  <c r="BY77" s="1"/>
  <c r="K77"/>
  <c r="BH77" s="1"/>
  <c r="I77"/>
  <c r="BJ77" s="1"/>
  <c r="U77"/>
  <c r="BS77" s="1"/>
  <c r="O77"/>
  <c r="BW77" s="1"/>
  <c r="B77"/>
  <c r="N13"/>
  <c r="BR13" s="1"/>
  <c r="S13"/>
  <c r="BU13" s="1"/>
  <c r="F13"/>
  <c r="BI13" s="1"/>
  <c r="R13"/>
  <c r="BP13" s="1"/>
  <c r="W13"/>
  <c r="BS13" s="1"/>
  <c r="J13"/>
  <c r="BK13" s="1"/>
  <c r="V13"/>
  <c r="BW13" s="1"/>
  <c r="L13"/>
  <c r="BG13" s="1"/>
  <c r="C13"/>
  <c r="BF13" s="1"/>
  <c r="X13"/>
  <c r="BO13" s="1"/>
  <c r="P13"/>
  <c r="BX13" s="1"/>
  <c r="G13"/>
  <c r="BD13" s="1"/>
  <c r="Y13"/>
  <c r="BQ13" s="1"/>
  <c r="T13"/>
  <c r="BT13" s="1"/>
  <c r="D13"/>
  <c r="BJ13" s="1"/>
  <c r="M13"/>
  <c r="BE13" s="1"/>
  <c r="H13"/>
  <c r="BN13" s="1"/>
  <c r="E13"/>
  <c r="BL13" s="1"/>
  <c r="Q13"/>
  <c r="BV13" s="1"/>
  <c r="K13"/>
  <c r="BC13" s="1"/>
  <c r="I13"/>
  <c r="BH13" s="1"/>
  <c r="U13"/>
  <c r="BZ13" s="1"/>
  <c r="O13"/>
  <c r="BY13" s="1"/>
  <c r="B13"/>
  <c r="T98"/>
  <c r="BP98" s="1"/>
  <c r="P98"/>
  <c r="BT98" s="1"/>
  <c r="N98"/>
  <c r="BV98" s="1"/>
  <c r="Q98"/>
  <c r="BX98" s="1"/>
  <c r="F98"/>
  <c r="BL98" s="1"/>
  <c r="D98"/>
  <c r="BH98" s="1"/>
  <c r="U98"/>
  <c r="BY98" s="1"/>
  <c r="J98"/>
  <c r="BM98" s="1"/>
  <c r="H98"/>
  <c r="BN98" s="1"/>
  <c r="X98"/>
  <c r="BS98" s="1"/>
  <c r="R98"/>
  <c r="BR98" s="1"/>
  <c r="K98"/>
  <c r="BG98" s="1"/>
  <c r="Y98"/>
  <c r="BU98" s="1"/>
  <c r="V98"/>
  <c r="BQ98" s="1"/>
  <c r="M98"/>
  <c r="BI98" s="1"/>
  <c r="W98"/>
  <c r="BW98" s="1"/>
  <c r="E98"/>
  <c r="BF98" s="1"/>
  <c r="C98"/>
  <c r="BJ98" s="1"/>
  <c r="O98"/>
  <c r="BO98" s="1"/>
  <c r="I98"/>
  <c r="BE98" s="1"/>
  <c r="G98"/>
  <c r="BD98" s="1"/>
  <c r="S98"/>
  <c r="BZ98" s="1"/>
  <c r="B98"/>
  <c r="L98"/>
  <c r="BK98" s="1"/>
  <c r="T18"/>
  <c r="BR18" s="1"/>
  <c r="F18"/>
  <c r="BG18" s="1"/>
  <c r="P18"/>
  <c r="BV18" s="1"/>
  <c r="Q18"/>
  <c r="BS18" s="1"/>
  <c r="J18"/>
  <c r="BC18" s="1"/>
  <c r="D18"/>
  <c r="BN18" s="1"/>
  <c r="U18"/>
  <c r="BX18" s="1"/>
  <c r="N18"/>
  <c r="BU18" s="1"/>
  <c r="H18"/>
  <c r="BK18" s="1"/>
  <c r="X18"/>
  <c r="BP18" s="1"/>
  <c r="R18"/>
  <c r="BY18" s="1"/>
  <c r="E18"/>
  <c r="BM18" s="1"/>
  <c r="Y18"/>
  <c r="BQ18" s="1"/>
  <c r="V18"/>
  <c r="BT18" s="1"/>
  <c r="I18"/>
  <c r="BL18" s="1"/>
  <c r="O18"/>
  <c r="BZ18" s="1"/>
  <c r="L18"/>
  <c r="BE18" s="1"/>
  <c r="C18"/>
  <c r="BJ18" s="1"/>
  <c r="S18"/>
  <c r="BW18" s="1"/>
  <c r="M18"/>
  <c r="BD18" s="1"/>
  <c r="G18"/>
  <c r="BF18" s="1"/>
  <c r="W18"/>
  <c r="BO18" s="1"/>
  <c r="B18"/>
  <c r="K18"/>
  <c r="BH18" s="1"/>
  <c r="R141"/>
  <c r="BW141" s="1"/>
  <c r="S141"/>
  <c r="BO141" s="1"/>
  <c r="B141"/>
  <c r="V141"/>
  <c r="BV141" s="1"/>
  <c r="L141"/>
  <c r="BF141" s="1"/>
  <c r="F141"/>
  <c r="BK141" s="1"/>
  <c r="W141"/>
  <c r="BP141" s="1"/>
  <c r="P141"/>
  <c r="BS141" s="1"/>
  <c r="C141"/>
  <c r="BM141" s="1"/>
  <c r="X141"/>
  <c r="BT141" s="1"/>
  <c r="T141"/>
  <c r="BX141" s="1"/>
  <c r="G141"/>
  <c r="BL141" s="1"/>
  <c r="Y141"/>
  <c r="BR141" s="1"/>
  <c r="M141"/>
  <c r="BH141" s="1"/>
  <c r="D141"/>
  <c r="BI141" s="1"/>
  <c r="Q141"/>
  <c r="BU141" s="1"/>
  <c r="H141"/>
  <c r="BC141" s="1"/>
  <c r="J141"/>
  <c r="BD141" s="1"/>
  <c r="U141"/>
  <c r="BZ141" s="1"/>
  <c r="K141"/>
  <c r="BJ141" s="1"/>
  <c r="E141"/>
  <c r="BG141" s="1"/>
  <c r="N141"/>
  <c r="BY141" s="1"/>
  <c r="O141"/>
  <c r="BQ141" s="1"/>
  <c r="I141"/>
  <c r="BN141" s="1"/>
  <c r="N45"/>
  <c r="BV45" s="1"/>
  <c r="S45"/>
  <c r="BO45" s="1"/>
  <c r="F45"/>
  <c r="BL45" s="1"/>
  <c r="R45"/>
  <c r="BX45" s="1"/>
  <c r="W45"/>
  <c r="BU45" s="1"/>
  <c r="J45"/>
  <c r="BI45" s="1"/>
  <c r="V45"/>
  <c r="BP45" s="1"/>
  <c r="L45"/>
  <c r="BG45" s="1"/>
  <c r="C45"/>
  <c r="BJ45" s="1"/>
  <c r="X45"/>
  <c r="BQ45" s="1"/>
  <c r="P45"/>
  <c r="BY45" s="1"/>
  <c r="G45"/>
  <c r="BF45" s="1"/>
  <c r="Y45"/>
  <c r="BS45" s="1"/>
  <c r="T45"/>
  <c r="BR45" s="1"/>
  <c r="D45"/>
  <c r="BN45" s="1"/>
  <c r="M45"/>
  <c r="BE45" s="1"/>
  <c r="H45"/>
  <c r="BC45" s="1"/>
  <c r="E45"/>
  <c r="BM45" s="1"/>
  <c r="Q45"/>
  <c r="BZ45" s="1"/>
  <c r="K45"/>
  <c r="BD45" s="1"/>
  <c r="I45"/>
  <c r="BH45" s="1"/>
  <c r="U45"/>
  <c r="BT45" s="1"/>
  <c r="O45"/>
  <c r="BW45" s="1"/>
  <c r="B45"/>
  <c r="W33"/>
  <c r="BZ33" s="1"/>
  <c r="M33"/>
  <c r="BK33" s="1"/>
  <c r="D33"/>
  <c r="BE33" s="1"/>
  <c r="P33"/>
  <c r="BP33" s="1"/>
  <c r="Q33"/>
  <c r="BQ33" s="1"/>
  <c r="H33"/>
  <c r="BL33" s="1"/>
  <c r="T33"/>
  <c r="BO33" s="1"/>
  <c r="U33"/>
  <c r="BV33" s="1"/>
  <c r="K33"/>
  <c r="BI33" s="1"/>
  <c r="X33"/>
  <c r="BW33" s="1"/>
  <c r="N33"/>
  <c r="BS33" s="1"/>
  <c r="E33"/>
  <c r="BD33" s="1"/>
  <c r="Y33"/>
  <c r="BY33" s="1"/>
  <c r="R33"/>
  <c r="BR33" s="1"/>
  <c r="I33"/>
  <c r="BJ33" s="1"/>
  <c r="V33"/>
  <c r="BU33" s="1"/>
  <c r="B33"/>
  <c r="C33"/>
  <c r="BG33" s="1"/>
  <c r="O33"/>
  <c r="BT33" s="1"/>
  <c r="F33"/>
  <c r="BF33" s="1"/>
  <c r="G33"/>
  <c r="BC33" s="1"/>
  <c r="S33"/>
  <c r="BX33" s="1"/>
  <c r="J33"/>
  <c r="BN33" s="1"/>
  <c r="L33"/>
  <c r="BM33" s="1"/>
  <c r="N29"/>
  <c r="BS29" s="1"/>
  <c r="S29"/>
  <c r="BR29" s="1"/>
  <c r="F29"/>
  <c r="BF29" s="1"/>
  <c r="R29"/>
  <c r="BU29" s="1"/>
  <c r="W29"/>
  <c r="BV29" s="1"/>
  <c r="J29"/>
  <c r="BJ29" s="1"/>
  <c r="V29"/>
  <c r="BY29" s="1"/>
  <c r="L29"/>
  <c r="BL29" s="1"/>
  <c r="C29"/>
  <c r="BC29" s="1"/>
  <c r="X29"/>
  <c r="BZ29" s="1"/>
  <c r="P29"/>
  <c r="BO29" s="1"/>
  <c r="G29"/>
  <c r="BI29" s="1"/>
  <c r="Y29"/>
  <c r="BX29" s="1"/>
  <c r="T29"/>
  <c r="BW29" s="1"/>
  <c r="D29"/>
  <c r="BD29" s="1"/>
  <c r="M29"/>
  <c r="BN29" s="1"/>
  <c r="H29"/>
  <c r="BH29" s="1"/>
  <c r="E29"/>
  <c r="BE29" s="1"/>
  <c r="Q29"/>
  <c r="BQ29" s="1"/>
  <c r="K29"/>
  <c r="BM29" s="1"/>
  <c r="I29"/>
  <c r="BK29" s="1"/>
  <c r="U29"/>
  <c r="BT29" s="1"/>
  <c r="O29"/>
  <c r="BP29" s="1"/>
  <c r="B29"/>
  <c r="V52"/>
  <c r="BX52" s="1"/>
  <c r="S52"/>
  <c r="BQ52" s="1"/>
  <c r="L52"/>
  <c r="BF52" s="1"/>
  <c r="T52"/>
  <c r="BZ52" s="1"/>
  <c r="F52"/>
  <c r="BG52" s="1"/>
  <c r="H52"/>
  <c r="BE52" s="1"/>
  <c r="W52"/>
  <c r="BR52" s="1"/>
  <c r="I52"/>
  <c r="BL52" s="1"/>
  <c r="P52"/>
  <c r="BU52" s="1"/>
  <c r="K52"/>
  <c r="BJ52" s="1"/>
  <c r="Q52"/>
  <c r="BS52" s="1"/>
  <c r="O52"/>
  <c r="BW52" s="1"/>
  <c r="U52"/>
  <c r="BP52" s="1"/>
  <c r="B52"/>
  <c r="X52"/>
  <c r="BV52" s="1"/>
  <c r="J52"/>
  <c r="BD52" s="1"/>
  <c r="R52"/>
  <c r="BY52" s="1"/>
  <c r="C52"/>
  <c r="BC52" s="1"/>
  <c r="D52"/>
  <c r="BI52" s="1"/>
  <c r="Y52"/>
  <c r="BT52" s="1"/>
  <c r="G52"/>
  <c r="BN52" s="1"/>
  <c r="M52"/>
  <c r="BH52" s="1"/>
  <c r="N52"/>
  <c r="BO52" s="1"/>
  <c r="E52"/>
  <c r="BM52" s="1"/>
  <c r="X64"/>
  <c r="BY64" s="1"/>
  <c r="B64"/>
  <c r="L64"/>
  <c r="BC64" s="1"/>
  <c r="V64"/>
  <c r="BW64" s="1"/>
  <c r="D64"/>
  <c r="BL64" s="1"/>
  <c r="J64"/>
  <c r="BJ64" s="1"/>
  <c r="Y64"/>
  <c r="BO64" s="1"/>
  <c r="E64"/>
  <c r="BI64" s="1"/>
  <c r="K64"/>
  <c r="BG64" s="1"/>
  <c r="I64"/>
  <c r="BK64" s="1"/>
  <c r="N64"/>
  <c r="BQ64" s="1"/>
  <c r="U64"/>
  <c r="BV64" s="1"/>
  <c r="C64"/>
  <c r="BH64" s="1"/>
  <c r="R64"/>
  <c r="BU64" s="1"/>
  <c r="G64"/>
  <c r="BD64" s="1"/>
  <c r="S64"/>
  <c r="BZ64" s="1"/>
  <c r="Q64"/>
  <c r="BR64" s="1"/>
  <c r="W64"/>
  <c r="BS64" s="1"/>
  <c r="M64"/>
  <c r="BM64" s="1"/>
  <c r="P64"/>
  <c r="BT64" s="1"/>
  <c r="H64"/>
  <c r="BN64" s="1"/>
  <c r="T64"/>
  <c r="BP64" s="1"/>
  <c r="O64"/>
  <c r="BX64" s="1"/>
  <c r="F64"/>
  <c r="BF64" s="1"/>
  <c r="N109"/>
  <c r="BX109" s="1"/>
  <c r="S109"/>
  <c r="BP109" s="1"/>
  <c r="F109"/>
  <c r="BD109" s="1"/>
  <c r="R109"/>
  <c r="BV109" s="1"/>
  <c r="L109"/>
  <c r="BF109" s="1"/>
  <c r="J109"/>
  <c r="BE109" s="1"/>
  <c r="V109"/>
  <c r="BQ109" s="1"/>
  <c r="P109"/>
  <c r="BW109" s="1"/>
  <c r="C109"/>
  <c r="BL109" s="1"/>
  <c r="X109"/>
  <c r="BO109" s="1"/>
  <c r="T109"/>
  <c r="BZ109" s="1"/>
  <c r="G109"/>
  <c r="BJ109" s="1"/>
  <c r="Y109"/>
  <c r="BT109" s="1"/>
  <c r="W109"/>
  <c r="BR109" s="1"/>
  <c r="D109"/>
  <c r="BM109" s="1"/>
  <c r="M109"/>
  <c r="BH109" s="1"/>
  <c r="H109"/>
  <c r="BI109" s="1"/>
  <c r="E109"/>
  <c r="BK109" s="1"/>
  <c r="Q109"/>
  <c r="BY109" s="1"/>
  <c r="K109"/>
  <c r="BC109" s="1"/>
  <c r="I109"/>
  <c r="BN109" s="1"/>
  <c r="U109"/>
  <c r="BU109" s="1"/>
  <c r="O109"/>
  <c r="BS109" s="1"/>
  <c r="B109"/>
  <c r="Y126"/>
  <c r="BU126" s="1"/>
  <c r="W126"/>
  <c r="BW126" s="1"/>
  <c r="M126"/>
  <c r="BI126" s="1"/>
  <c r="T126"/>
  <c r="BP126" s="1"/>
  <c r="J126"/>
  <c r="BM126" s="1"/>
  <c r="E126"/>
  <c r="BC126" s="1"/>
  <c r="X126"/>
  <c r="BS126" s="1"/>
  <c r="D126"/>
  <c r="BH126" s="1"/>
  <c r="I126"/>
  <c r="BE126" s="1"/>
  <c r="Q126"/>
  <c r="BT126" s="1"/>
  <c r="H126"/>
  <c r="BN126" s="1"/>
  <c r="B126"/>
  <c r="U126"/>
  <c r="BY126" s="1"/>
  <c r="L126"/>
  <c r="BK126" s="1"/>
  <c r="F126"/>
  <c r="BL126" s="1"/>
  <c r="R126"/>
  <c r="BX126" s="1"/>
  <c r="N126"/>
  <c r="BV126" s="1"/>
  <c r="C126"/>
  <c r="BF126" s="1"/>
  <c r="V126"/>
  <c r="BQ126" s="1"/>
  <c r="O126"/>
  <c r="BR126" s="1"/>
  <c r="G126"/>
  <c r="BD126" s="1"/>
  <c r="S126"/>
  <c r="BZ126" s="1"/>
  <c r="P126"/>
  <c r="BO126" s="1"/>
  <c r="K126"/>
  <c r="BG126" s="1"/>
  <c r="V84"/>
  <c r="BO84" s="1"/>
  <c r="S84"/>
  <c r="BT84" s="1"/>
  <c r="B84"/>
  <c r="T84"/>
  <c r="BW84" s="1"/>
  <c r="C84"/>
  <c r="BG84" s="1"/>
  <c r="H84"/>
  <c r="BH84" s="1"/>
  <c r="X84"/>
  <c r="BX84" s="1"/>
  <c r="I84"/>
  <c r="BE84" s="1"/>
  <c r="P84"/>
  <c r="BS84" s="1"/>
  <c r="L84"/>
  <c r="BJ84" s="1"/>
  <c r="W84"/>
  <c r="BR84" s="1"/>
  <c r="F84"/>
  <c r="BI84" s="1"/>
  <c r="Q84"/>
  <c r="BU84" s="1"/>
  <c r="J84"/>
  <c r="BF84" s="1"/>
  <c r="U84"/>
  <c r="BQ84" s="1"/>
  <c r="G84"/>
  <c r="BK84" s="1"/>
  <c r="R84"/>
  <c r="BZ84" s="1"/>
  <c r="K84"/>
  <c r="BC84" s="1"/>
  <c r="D84"/>
  <c r="BD84" s="1"/>
  <c r="Y84"/>
  <c r="BV84" s="1"/>
  <c r="N84"/>
  <c r="BY84" s="1"/>
  <c r="M84"/>
  <c r="BL84" s="1"/>
  <c r="O84"/>
  <c r="BP84" s="1"/>
  <c r="E84"/>
  <c r="BN84" s="1"/>
  <c r="X56"/>
  <c r="BZ56" s="1"/>
  <c r="M56"/>
  <c r="BL56" s="1"/>
  <c r="Q56"/>
  <c r="BU56" s="1"/>
  <c r="V56"/>
  <c r="BY56" s="1"/>
  <c r="N56"/>
  <c r="BW56" s="1"/>
  <c r="J56"/>
  <c r="BH56" s="1"/>
  <c r="S56"/>
  <c r="BQ56" s="1"/>
  <c r="D56"/>
  <c r="BD56" s="1"/>
  <c r="W56"/>
  <c r="BV56" s="1"/>
  <c r="H56"/>
  <c r="BF56" s="1"/>
  <c r="P56"/>
  <c r="BS56" s="1"/>
  <c r="E56"/>
  <c r="BI56" s="1"/>
  <c r="T56"/>
  <c r="BR56" s="1"/>
  <c r="I56"/>
  <c r="BM56" s="1"/>
  <c r="F56"/>
  <c r="BE56" s="1"/>
  <c r="Y56"/>
  <c r="BX56" s="1"/>
  <c r="B56"/>
  <c r="L56"/>
  <c r="BJ56" s="1"/>
  <c r="K56"/>
  <c r="BN56" s="1"/>
  <c r="O56"/>
  <c r="BP56" s="1"/>
  <c r="U56"/>
  <c r="BT56" s="1"/>
  <c r="C56"/>
  <c r="BG56" s="1"/>
  <c r="R56"/>
  <c r="BO56" s="1"/>
  <c r="G56"/>
  <c r="BC56" s="1"/>
  <c r="X120"/>
  <c r="BY120" s="1"/>
  <c r="U120"/>
  <c r="BV120" s="1"/>
  <c r="L120"/>
  <c r="BL120" s="1"/>
  <c r="Y120"/>
  <c r="BZ120" s="1"/>
  <c r="N120"/>
  <c r="BQ120" s="1"/>
  <c r="D120"/>
  <c r="BC120" s="1"/>
  <c r="R120"/>
  <c r="BS120" s="1"/>
  <c r="H120"/>
  <c r="BH120" s="1"/>
  <c r="F120"/>
  <c r="BG120" s="1"/>
  <c r="V120"/>
  <c r="BW120" s="1"/>
  <c r="E120"/>
  <c r="BD120" s="1"/>
  <c r="K120"/>
  <c r="BM120" s="1"/>
  <c r="S120"/>
  <c r="BT120" s="1"/>
  <c r="I120"/>
  <c r="BK120" s="1"/>
  <c r="O120"/>
  <c r="BR120" s="1"/>
  <c r="P120"/>
  <c r="BP120" s="1"/>
  <c r="B120"/>
  <c r="C120"/>
  <c r="BF120" s="1"/>
  <c r="T120"/>
  <c r="BU120" s="1"/>
  <c r="M120"/>
  <c r="BN120" s="1"/>
  <c r="G120"/>
  <c r="BI120" s="1"/>
  <c r="W120"/>
  <c r="BX120" s="1"/>
  <c r="Q120"/>
  <c r="BO120" s="1"/>
  <c r="J120"/>
  <c r="BJ120" s="1"/>
  <c r="Y102"/>
  <c r="BQ102" s="1"/>
  <c r="T102"/>
  <c r="BT102" s="1"/>
  <c r="G102"/>
  <c r="BH102" s="1"/>
  <c r="X102"/>
  <c r="BP102" s="1"/>
  <c r="P102"/>
  <c r="BO102" s="1"/>
  <c r="E102"/>
  <c r="BC102" s="1"/>
  <c r="Q102"/>
  <c r="BX102" s="1"/>
  <c r="L102"/>
  <c r="BG102" s="1"/>
  <c r="I102"/>
  <c r="BF102" s="1"/>
  <c r="U102"/>
  <c r="BU102" s="1"/>
  <c r="D102"/>
  <c r="BL102" s="1"/>
  <c r="M102"/>
  <c r="BE102" s="1"/>
  <c r="R102"/>
  <c r="BY102" s="1"/>
  <c r="H102"/>
  <c r="BK102" s="1"/>
  <c r="B102"/>
  <c r="V102"/>
  <c r="BR102" s="1"/>
  <c r="K102"/>
  <c r="BD102" s="1"/>
  <c r="F102"/>
  <c r="BM102" s="1"/>
  <c r="S102"/>
  <c r="BW102" s="1"/>
  <c r="N102"/>
  <c r="BZ102" s="1"/>
  <c r="J102"/>
  <c r="BI102" s="1"/>
  <c r="W102"/>
  <c r="BS102" s="1"/>
  <c r="O102"/>
  <c r="BV102" s="1"/>
  <c r="C102"/>
  <c r="BJ102" s="1"/>
  <c r="P44"/>
  <c r="BY44" s="1"/>
  <c r="M44"/>
  <c r="BG44" s="1"/>
  <c r="T44"/>
  <c r="BT44" s="1"/>
  <c r="O44"/>
  <c r="BW44" s="1"/>
  <c r="U44"/>
  <c r="BO44" s="1"/>
  <c r="Q44"/>
  <c r="BZ44" s="1"/>
  <c r="E44"/>
  <c r="BF44" s="1"/>
  <c r="R44"/>
  <c r="BR44" s="1"/>
  <c r="C44"/>
  <c r="BM44" s="1"/>
  <c r="I44"/>
  <c r="BH44" s="1"/>
  <c r="V44"/>
  <c r="BP44" s="1"/>
  <c r="G44"/>
  <c r="BL44" s="1"/>
  <c r="N44"/>
  <c r="BV44" s="1"/>
  <c r="Y44"/>
  <c r="BS44" s="1"/>
  <c r="S44"/>
  <c r="BX44" s="1"/>
  <c r="B44"/>
  <c r="X44"/>
  <c r="BQ44" s="1"/>
  <c r="J44"/>
  <c r="BD44" s="1"/>
  <c r="H44"/>
  <c r="BC44" s="1"/>
  <c r="D44"/>
  <c r="BK44" s="1"/>
  <c r="L44"/>
  <c r="BI44" s="1"/>
  <c r="K44"/>
  <c r="BE44" s="1"/>
  <c r="F44"/>
  <c r="BN44" s="1"/>
  <c r="W44"/>
  <c r="BU44" s="1"/>
  <c r="W17"/>
  <c r="BO17" s="1"/>
  <c r="M17"/>
  <c r="BE17" s="1"/>
  <c r="D17"/>
  <c r="BN17" s="1"/>
  <c r="P17"/>
  <c r="BY17" s="1"/>
  <c r="Q17"/>
  <c r="BZ17" s="1"/>
  <c r="H17"/>
  <c r="BK17" s="1"/>
  <c r="T17"/>
  <c r="BX17" s="1"/>
  <c r="U17"/>
  <c r="BW17" s="1"/>
  <c r="E17"/>
  <c r="BM17" s="1"/>
  <c r="X17"/>
  <c r="BP17" s="1"/>
  <c r="N17"/>
  <c r="BV17" s="1"/>
  <c r="I17"/>
  <c r="BL17" s="1"/>
  <c r="Y17"/>
  <c r="BQ17" s="1"/>
  <c r="R17"/>
  <c r="BR17" s="1"/>
  <c r="L17"/>
  <c r="BC17" s="1"/>
  <c r="V17"/>
  <c r="BT17" s="1"/>
  <c r="B17"/>
  <c r="C17"/>
  <c r="BJ17" s="1"/>
  <c r="O17"/>
  <c r="BU17" s="1"/>
  <c r="F17"/>
  <c r="BG17" s="1"/>
  <c r="G17"/>
  <c r="BF17" s="1"/>
  <c r="S17"/>
  <c r="BS17" s="1"/>
  <c r="J17"/>
  <c r="BH17" s="1"/>
  <c r="K17"/>
  <c r="BD17" s="1"/>
  <c r="S9"/>
  <c r="BY9" s="1"/>
  <c r="M9"/>
  <c r="BG9" s="1"/>
  <c r="D9"/>
  <c r="BF9" s="1"/>
  <c r="W9"/>
  <c r="BW9" s="1"/>
  <c r="Q9"/>
  <c r="BR9" s="1"/>
  <c r="H9"/>
  <c r="BM9" s="1"/>
  <c r="P9"/>
  <c r="BT9" s="1"/>
  <c r="U9"/>
  <c r="BZ9" s="1"/>
  <c r="L9"/>
  <c r="BI9" s="1"/>
  <c r="T9"/>
  <c r="BO9" s="1"/>
  <c r="N9"/>
  <c r="BP9" s="1"/>
  <c r="E9"/>
  <c r="BH9" s="1"/>
  <c r="Y9"/>
  <c r="BU9" s="1"/>
  <c r="R9"/>
  <c r="BV9" s="1"/>
  <c r="I9"/>
  <c r="BN9" s="1"/>
  <c r="V9"/>
  <c r="BQ9" s="1"/>
  <c r="B9"/>
  <c r="K9"/>
  <c r="BE9" s="1"/>
  <c r="X9"/>
  <c r="BS9" s="1"/>
  <c r="F9"/>
  <c r="BJ9" s="1"/>
  <c r="C9"/>
  <c r="BD9" s="1"/>
  <c r="O9"/>
  <c r="BX9" s="1"/>
  <c r="J9"/>
  <c r="BK9" s="1"/>
  <c r="G9"/>
  <c r="BC9" s="1"/>
  <c r="P137"/>
  <c r="BW137" s="1"/>
  <c r="M137"/>
  <c r="BD137" s="1"/>
  <c r="H137"/>
  <c r="BI137" s="1"/>
  <c r="T137"/>
  <c r="BZ137" s="1"/>
  <c r="Q137"/>
  <c r="BY137" s="1"/>
  <c r="J137"/>
  <c r="BJ137" s="1"/>
  <c r="W137"/>
  <c r="BO137" s="1"/>
  <c r="U137"/>
  <c r="BU137" s="1"/>
  <c r="K137"/>
  <c r="BF137" s="1"/>
  <c r="X137"/>
  <c r="BR137" s="1"/>
  <c r="N137"/>
  <c r="BX137" s="1"/>
  <c r="E137"/>
  <c r="BK137" s="1"/>
  <c r="Y137"/>
  <c r="BP137" s="1"/>
  <c r="R137"/>
  <c r="BT137" s="1"/>
  <c r="I137"/>
  <c r="BN137" s="1"/>
  <c r="V137"/>
  <c r="BV137" s="1"/>
  <c r="B137"/>
  <c r="C137"/>
  <c r="BL137" s="1"/>
  <c r="O137"/>
  <c r="BS137" s="1"/>
  <c r="F137"/>
  <c r="BE137" s="1"/>
  <c r="G137"/>
  <c r="BH137" s="1"/>
  <c r="S137"/>
  <c r="BQ137" s="1"/>
  <c r="L137"/>
  <c r="BC137" s="1"/>
  <c r="D137"/>
  <c r="BM137" s="1"/>
  <c r="T36"/>
  <c r="BP36" s="1"/>
  <c r="C36"/>
  <c r="BH36" s="1"/>
  <c r="K36"/>
  <c r="BC36" s="1"/>
  <c r="U36"/>
  <c r="BV36" s="1"/>
  <c r="G36"/>
  <c r="BD36" s="1"/>
  <c r="O36"/>
  <c r="BX36" s="1"/>
  <c r="X36"/>
  <c r="BU36" s="1"/>
  <c r="L36"/>
  <c r="BK36" s="1"/>
  <c r="M36"/>
  <c r="BI36" s="1"/>
  <c r="R36"/>
  <c r="BS36" s="1"/>
  <c r="N36"/>
  <c r="BQ36" s="1"/>
  <c r="E36"/>
  <c r="BG36" s="1"/>
  <c r="V36"/>
  <c r="BO36" s="1"/>
  <c r="Q36"/>
  <c r="BR36" s="1"/>
  <c r="I36"/>
  <c r="BJ36" s="1"/>
  <c r="Y36"/>
  <c r="BW36" s="1"/>
  <c r="S36"/>
  <c r="BY36" s="1"/>
  <c r="B36"/>
  <c r="P36"/>
  <c r="BT36" s="1"/>
  <c r="J36"/>
  <c r="BN36" s="1"/>
  <c r="H36"/>
  <c r="BM36" s="1"/>
  <c r="D36"/>
  <c r="BL36" s="1"/>
  <c r="F36"/>
  <c r="BF36" s="1"/>
  <c r="W36"/>
  <c r="BZ36" s="1"/>
  <c r="Y146"/>
  <c r="BX146" s="1"/>
  <c r="V146"/>
  <c r="BY146" s="1"/>
  <c r="J146"/>
  <c r="BH146" s="1"/>
  <c r="O146"/>
  <c r="BO146" s="1"/>
  <c r="E146"/>
  <c r="BI146" s="1"/>
  <c r="C146"/>
  <c r="BE146" s="1"/>
  <c r="S146"/>
  <c r="BR146" s="1"/>
  <c r="I146"/>
  <c r="BM146" s="1"/>
  <c r="G146"/>
  <c r="BK146" s="1"/>
  <c r="W146"/>
  <c r="BV146" s="1"/>
  <c r="K146"/>
  <c r="BN146" s="1"/>
  <c r="L146"/>
  <c r="BJ146" s="1"/>
  <c r="T146"/>
  <c r="BW146" s="1"/>
  <c r="B146"/>
  <c r="P146"/>
  <c r="BS146" s="1"/>
  <c r="Q146"/>
  <c r="BP146" s="1"/>
  <c r="F146"/>
  <c r="BD146" s="1"/>
  <c r="D146"/>
  <c r="BG146" s="1"/>
  <c r="U146"/>
  <c r="BT146" s="1"/>
  <c r="N146"/>
  <c r="BQ146" s="1"/>
  <c r="H146"/>
  <c r="BF146" s="1"/>
  <c r="X146"/>
  <c r="BZ146" s="1"/>
  <c r="R146"/>
  <c r="BU146" s="1"/>
  <c r="M146"/>
  <c r="BL146" s="1"/>
  <c r="R117"/>
  <c r="BS117" s="1"/>
  <c r="S117"/>
  <c r="BO117" s="1"/>
  <c r="F117"/>
  <c r="BG117" s="1"/>
  <c r="V117"/>
  <c r="BT117" s="1"/>
  <c r="L117"/>
  <c r="BJ117" s="1"/>
  <c r="C117"/>
  <c r="BI117" s="1"/>
  <c r="W117"/>
  <c r="BZ117" s="1"/>
  <c r="P117"/>
  <c r="BP117" s="1"/>
  <c r="G117"/>
  <c r="BM117" s="1"/>
  <c r="X117"/>
  <c r="BX117" s="1"/>
  <c r="T117"/>
  <c r="BY117" s="1"/>
  <c r="J117"/>
  <c r="BH117" s="1"/>
  <c r="Y117"/>
  <c r="BV117" s="1"/>
  <c r="M117"/>
  <c r="BL117" s="1"/>
  <c r="D117"/>
  <c r="BE117" s="1"/>
  <c r="Q117"/>
  <c r="BQ117" s="1"/>
  <c r="H117"/>
  <c r="BC117" s="1"/>
  <c r="E117"/>
  <c r="BD117" s="1"/>
  <c r="U117"/>
  <c r="BW117" s="1"/>
  <c r="K117"/>
  <c r="BN117" s="1"/>
  <c r="I117"/>
  <c r="BK117" s="1"/>
  <c r="N117"/>
  <c r="BU117" s="1"/>
  <c r="O117"/>
  <c r="BR117" s="1"/>
  <c r="B117"/>
  <c r="P121"/>
  <c r="BQ121" s="1"/>
  <c r="M121"/>
  <c r="BM121" s="1"/>
  <c r="L121"/>
  <c r="BN121" s="1"/>
  <c r="T121"/>
  <c r="BU121" s="1"/>
  <c r="Q121"/>
  <c r="BP121" s="1"/>
  <c r="D121"/>
  <c r="BC121" s="1"/>
  <c r="W121"/>
  <c r="BX121" s="1"/>
  <c r="U121"/>
  <c r="BV121" s="1"/>
  <c r="H121"/>
  <c r="BJ121" s="1"/>
  <c r="X121"/>
  <c r="BY121" s="1"/>
  <c r="N121"/>
  <c r="BR121" s="1"/>
  <c r="E121"/>
  <c r="BD121" s="1"/>
  <c r="Y121"/>
  <c r="BZ121" s="1"/>
  <c r="R121"/>
  <c r="BS121" s="1"/>
  <c r="I121"/>
  <c r="BI121" s="1"/>
  <c r="V121"/>
  <c r="BW121" s="1"/>
  <c r="B121"/>
  <c r="C121"/>
  <c r="BE121" s="1"/>
  <c r="O121"/>
  <c r="BO121" s="1"/>
  <c r="F121"/>
  <c r="BH121" s="1"/>
  <c r="G121"/>
  <c r="BG121" s="1"/>
  <c r="S121"/>
  <c r="BT121" s="1"/>
  <c r="K121"/>
  <c r="BK121" s="1"/>
  <c r="J121"/>
  <c r="BL121" s="1"/>
  <c r="U50"/>
  <c r="BQ50" s="1"/>
  <c r="N50"/>
  <c r="BW50" s="1"/>
  <c r="M50"/>
  <c r="BF50" s="1"/>
  <c r="X50"/>
  <c r="BT50" s="1"/>
  <c r="R50"/>
  <c r="BZ50" s="1"/>
  <c r="E50"/>
  <c r="BN50" s="1"/>
  <c r="Y50"/>
  <c r="BR50" s="1"/>
  <c r="V50"/>
  <c r="BV50" s="1"/>
  <c r="I50"/>
  <c r="BJ50" s="1"/>
  <c r="O50"/>
  <c r="BO50" s="1"/>
  <c r="K50"/>
  <c r="BH50" s="1"/>
  <c r="C50"/>
  <c r="BK50" s="1"/>
  <c r="S50"/>
  <c r="BS50" s="1"/>
  <c r="L50"/>
  <c r="BD50" s="1"/>
  <c r="G50"/>
  <c r="BL50" s="1"/>
  <c r="W50"/>
  <c r="BP50" s="1"/>
  <c r="B50"/>
  <c r="P50"/>
  <c r="BY50" s="1"/>
  <c r="T50"/>
  <c r="BX50" s="1"/>
  <c r="F50"/>
  <c r="BI50" s="1"/>
  <c r="D50"/>
  <c r="BM50" s="1"/>
  <c r="Q50"/>
  <c r="BU50" s="1"/>
  <c r="J50"/>
  <c r="BE50" s="1"/>
  <c r="H50"/>
  <c r="BG50" s="1"/>
  <c r="N101"/>
  <c r="BV101" s="1"/>
  <c r="S101"/>
  <c r="BY101" s="1"/>
  <c r="F101"/>
  <c r="BM101" s="1"/>
  <c r="R101"/>
  <c r="BT101" s="1"/>
  <c r="W101"/>
  <c r="BU101" s="1"/>
  <c r="J101"/>
  <c r="BI101" s="1"/>
  <c r="V101"/>
  <c r="BP101" s="1"/>
  <c r="L101"/>
  <c r="BG101" s="1"/>
  <c r="C101"/>
  <c r="BC101" s="1"/>
  <c r="X101"/>
  <c r="BQ101" s="1"/>
  <c r="P101"/>
  <c r="BO101" s="1"/>
  <c r="G101"/>
  <c r="BH101" s="1"/>
  <c r="Y101"/>
  <c r="BS101" s="1"/>
  <c r="T101"/>
  <c r="BR101" s="1"/>
  <c r="D101"/>
  <c r="BN101" s="1"/>
  <c r="M101"/>
  <c r="BE101" s="1"/>
  <c r="H101"/>
  <c r="BK101" s="1"/>
  <c r="E101"/>
  <c r="BL101" s="1"/>
  <c r="Q101"/>
  <c r="BX101" s="1"/>
  <c r="K101"/>
  <c r="BD101" s="1"/>
  <c r="I101"/>
  <c r="BF101" s="1"/>
  <c r="U101"/>
  <c r="BW101" s="1"/>
  <c r="O101"/>
  <c r="BZ101" s="1"/>
  <c r="B101"/>
  <c r="Y134"/>
  <c r="BP134" s="1"/>
  <c r="T134"/>
  <c r="BR134" s="1"/>
  <c r="O134"/>
  <c r="BX134" s="1"/>
  <c r="Q134"/>
  <c r="BS134" s="1"/>
  <c r="C134"/>
  <c r="BH134" s="1"/>
  <c r="E134"/>
  <c r="BN134" s="1"/>
  <c r="U134"/>
  <c r="BQ134" s="1"/>
  <c r="G134"/>
  <c r="BF134" s="1"/>
  <c r="I134"/>
  <c r="BJ134" s="1"/>
  <c r="W134"/>
  <c r="BU134" s="1"/>
  <c r="P134"/>
  <c r="BT134" s="1"/>
  <c r="M134"/>
  <c r="BC134" s="1"/>
  <c r="R134"/>
  <c r="BZ134" s="1"/>
  <c r="D134"/>
  <c r="BL134" s="1"/>
  <c r="B134"/>
  <c r="V134"/>
  <c r="BV134" s="1"/>
  <c r="H134"/>
  <c r="BM134" s="1"/>
  <c r="L134"/>
  <c r="BD134" s="1"/>
  <c r="X134"/>
  <c r="BO134" s="1"/>
  <c r="J134"/>
  <c r="BE134" s="1"/>
  <c r="F134"/>
  <c r="BG134" s="1"/>
  <c r="S134"/>
  <c r="BY134" s="1"/>
  <c r="K134"/>
  <c r="BI134" s="1"/>
  <c r="N134"/>
  <c r="BW134" s="1"/>
  <c r="V76"/>
  <c r="BT76" s="1"/>
  <c r="S76"/>
  <c r="BU76" s="1"/>
  <c r="N76"/>
  <c r="BO76" s="1"/>
  <c r="T76"/>
  <c r="BV76" s="1"/>
  <c r="J76"/>
  <c r="BG76" s="1"/>
  <c r="H76"/>
  <c r="BI76" s="1"/>
  <c r="U76"/>
  <c r="BS76" s="1"/>
  <c r="K76"/>
  <c r="BF76" s="1"/>
  <c r="R76"/>
  <c r="BX76" s="1"/>
  <c r="M76"/>
  <c r="BD76" s="1"/>
  <c r="D76"/>
  <c r="BM76" s="1"/>
  <c r="Y76"/>
  <c r="BP76" s="1"/>
  <c r="C76"/>
  <c r="BC76" s="1"/>
  <c r="L76"/>
  <c r="BE76" s="1"/>
  <c r="G76"/>
  <c r="BJ76" s="1"/>
  <c r="O76"/>
  <c r="BZ76" s="1"/>
  <c r="W76"/>
  <c r="BQ76" s="1"/>
  <c r="E76"/>
  <c r="BL76" s="1"/>
  <c r="P76"/>
  <c r="BY76" s="1"/>
  <c r="I76"/>
  <c r="BH76" s="1"/>
  <c r="X76"/>
  <c r="BR76" s="1"/>
  <c r="B76"/>
  <c r="Q76"/>
  <c r="BW76" s="1"/>
  <c r="F76"/>
  <c r="BK76" s="1"/>
  <c r="R110"/>
  <c r="BW110" s="1"/>
  <c r="N110"/>
  <c r="BS110" s="1"/>
  <c r="L110"/>
  <c r="BH110" s="1"/>
  <c r="V110"/>
  <c r="BZ110" s="1"/>
  <c r="O110"/>
  <c r="BY110" s="1"/>
  <c r="B110"/>
  <c r="S110"/>
  <c r="BU110" s="1"/>
  <c r="D110"/>
  <c r="BM110" s="1"/>
  <c r="F110"/>
  <c r="BD110" s="1"/>
  <c r="X110"/>
  <c r="BO110" s="1"/>
  <c r="H110"/>
  <c r="BI110" s="1"/>
  <c r="P110"/>
  <c r="BX110" s="1"/>
  <c r="Y110"/>
  <c r="BT110" s="1"/>
  <c r="T110"/>
  <c r="BV110" s="1"/>
  <c r="J110"/>
  <c r="BF110" s="1"/>
  <c r="W110"/>
  <c r="BQ110" s="1"/>
  <c r="C110"/>
  <c r="BL110" s="1"/>
  <c r="E110"/>
  <c r="BK110" s="1"/>
  <c r="Q110"/>
  <c r="BP110" s="1"/>
  <c r="G110"/>
  <c r="BJ110" s="1"/>
  <c r="I110"/>
  <c r="BN110" s="1"/>
  <c r="U110"/>
  <c r="BR110" s="1"/>
  <c r="M110"/>
  <c r="BC110" s="1"/>
  <c r="K110"/>
  <c r="BE110" s="1"/>
  <c r="T58"/>
  <c r="BO58" s="1"/>
  <c r="L58"/>
  <c r="BL58" s="1"/>
  <c r="H58"/>
  <c r="BF58" s="1"/>
  <c r="Q58"/>
  <c r="BT58" s="1"/>
  <c r="M58"/>
  <c r="BN58" s="1"/>
  <c r="N58"/>
  <c r="BP58" s="1"/>
  <c r="U58"/>
  <c r="BR58" s="1"/>
  <c r="P58"/>
  <c r="BW58" s="1"/>
  <c r="E58"/>
  <c r="BG58" s="1"/>
  <c r="X58"/>
  <c r="BY58" s="1"/>
  <c r="R58"/>
  <c r="BS58" s="1"/>
  <c r="I58"/>
  <c r="BC58" s="1"/>
  <c r="Y58"/>
  <c r="BZ58" s="1"/>
  <c r="V58"/>
  <c r="BV58" s="1"/>
  <c r="B58"/>
  <c r="O58"/>
  <c r="BU58" s="1"/>
  <c r="K58"/>
  <c r="BM58" s="1"/>
  <c r="C58"/>
  <c r="BK58" s="1"/>
  <c r="S58"/>
  <c r="BQ58" s="1"/>
  <c r="F58"/>
  <c r="BH58" s="1"/>
  <c r="G58"/>
  <c r="BE58" s="1"/>
  <c r="W58"/>
  <c r="BX58" s="1"/>
  <c r="J58"/>
  <c r="BJ58" s="1"/>
  <c r="D58"/>
  <c r="BI58" s="1"/>
  <c r="S22"/>
  <c r="BO22" s="1"/>
  <c r="H22"/>
  <c r="BL22" s="1"/>
  <c r="F22"/>
  <c r="BC22" s="1"/>
  <c r="W22"/>
  <c r="BP22" s="1"/>
  <c r="T22"/>
  <c r="BX22" s="1"/>
  <c r="J22"/>
  <c r="BE22" s="1"/>
  <c r="Q22"/>
  <c r="BU22" s="1"/>
  <c r="C22"/>
  <c r="BN22" s="1"/>
  <c r="E22"/>
  <c r="BI22" s="1"/>
  <c r="U22"/>
  <c r="BQ22" s="1"/>
  <c r="G22"/>
  <c r="BM22" s="1"/>
  <c r="I22"/>
  <c r="BJ22" s="1"/>
  <c r="X22"/>
  <c r="BT22" s="1"/>
  <c r="K22"/>
  <c r="BH22" s="1"/>
  <c r="P22"/>
  <c r="BZ22" s="1"/>
  <c r="R22"/>
  <c r="BY22" s="1"/>
  <c r="N22"/>
  <c r="BS22" s="1"/>
  <c r="B22"/>
  <c r="V22"/>
  <c r="BV22" s="1"/>
  <c r="O22"/>
  <c r="BW22" s="1"/>
  <c r="L22"/>
  <c r="BD22" s="1"/>
  <c r="Y22"/>
  <c r="BR22" s="1"/>
  <c r="D22"/>
  <c r="BK22" s="1"/>
  <c r="M22"/>
  <c r="BF22" s="1"/>
  <c r="W49"/>
  <c r="BQ49" s="1"/>
  <c r="M49"/>
  <c r="BF49" s="1"/>
  <c r="H49"/>
  <c r="BG49" s="1"/>
  <c r="P49"/>
  <c r="BZ49" s="1"/>
  <c r="Q49"/>
  <c r="BY49" s="1"/>
  <c r="E49"/>
  <c r="BM49" s="1"/>
  <c r="T49"/>
  <c r="BV49" s="1"/>
  <c r="U49"/>
  <c r="BS49" s="1"/>
  <c r="I49"/>
  <c r="BJ49" s="1"/>
  <c r="X49"/>
  <c r="BR49" s="1"/>
  <c r="N49"/>
  <c r="BW49" s="1"/>
  <c r="K49"/>
  <c r="BH49" s="1"/>
  <c r="Y49"/>
  <c r="BP49" s="1"/>
  <c r="R49"/>
  <c r="BX49" s="1"/>
  <c r="L49"/>
  <c r="BD49" s="1"/>
  <c r="V49"/>
  <c r="BT49" s="1"/>
  <c r="B49"/>
  <c r="C49"/>
  <c r="BN49" s="1"/>
  <c r="O49"/>
  <c r="BO49" s="1"/>
  <c r="F49"/>
  <c r="BI49" s="1"/>
  <c r="G49"/>
  <c r="BL49" s="1"/>
  <c r="S49"/>
  <c r="BU49" s="1"/>
  <c r="J49"/>
  <c r="BE49" s="1"/>
  <c r="D49"/>
  <c r="BC49" s="1"/>
  <c r="T74"/>
  <c r="BT74" s="1"/>
  <c r="J74"/>
  <c r="BI74" s="1"/>
  <c r="H74"/>
  <c r="BK74" s="1"/>
  <c r="Q74"/>
  <c r="BY74" s="1"/>
  <c r="M74"/>
  <c r="BE74" s="1"/>
  <c r="L74"/>
  <c r="BG74" s="1"/>
  <c r="U74"/>
  <c r="BU74" s="1"/>
  <c r="K74"/>
  <c r="BD74" s="1"/>
  <c r="N74"/>
  <c r="BZ74" s="1"/>
  <c r="X74"/>
  <c r="BP74" s="1"/>
  <c r="R74"/>
  <c r="BV74" s="1"/>
  <c r="P74"/>
  <c r="BX74" s="1"/>
  <c r="Y74"/>
  <c r="BQ74" s="1"/>
  <c r="V74"/>
  <c r="BR74" s="1"/>
  <c r="E74"/>
  <c r="BJ74" s="1"/>
  <c r="O74"/>
  <c r="BO74" s="1"/>
  <c r="I74"/>
  <c r="BF74" s="1"/>
  <c r="C74"/>
  <c r="BN74" s="1"/>
  <c r="S74"/>
  <c r="BW74" s="1"/>
  <c r="B74"/>
  <c r="G74"/>
  <c r="BH74" s="1"/>
  <c r="W74"/>
  <c r="BS74" s="1"/>
  <c r="F74"/>
  <c r="BM74" s="1"/>
  <c r="D74"/>
  <c r="BL74" s="1"/>
  <c r="X70"/>
  <c r="BS70" s="1"/>
  <c r="D70"/>
  <c r="BJ70" s="1"/>
  <c r="J70"/>
  <c r="BM70" s="1"/>
  <c r="S70"/>
  <c r="BO70" s="1"/>
  <c r="H70"/>
  <c r="BD70" s="1"/>
  <c r="K70"/>
  <c r="BG70" s="1"/>
  <c r="W70"/>
  <c r="BW70" s="1"/>
  <c r="Y70"/>
  <c r="BU70" s="1"/>
  <c r="O70"/>
  <c r="BV70" s="1"/>
  <c r="T70"/>
  <c r="BP70" s="1"/>
  <c r="C70"/>
  <c r="BF70" s="1"/>
  <c r="E70"/>
  <c r="BL70" s="1"/>
  <c r="Q70"/>
  <c r="BX70" s="1"/>
  <c r="G70"/>
  <c r="BH70" s="1"/>
  <c r="I70"/>
  <c r="BE70" s="1"/>
  <c r="U70"/>
  <c r="BY70" s="1"/>
  <c r="P70"/>
  <c r="BR70" s="1"/>
  <c r="M70"/>
  <c r="BI70" s="1"/>
  <c r="R70"/>
  <c r="BT70" s="1"/>
  <c r="L70"/>
  <c r="BK70" s="1"/>
  <c r="B70"/>
  <c r="V70"/>
  <c r="BQ70" s="1"/>
  <c r="N70"/>
  <c r="BZ70" s="1"/>
  <c r="F70"/>
  <c r="BC70" s="1"/>
  <c r="U122"/>
  <c r="BX122" s="1"/>
  <c r="P122"/>
  <c r="BP122" s="1"/>
  <c r="D122"/>
  <c r="BD122" s="1"/>
  <c r="X122"/>
  <c r="BW122" s="1"/>
  <c r="R122"/>
  <c r="BQ122" s="1"/>
  <c r="H122"/>
  <c r="BJ122" s="1"/>
  <c r="Y122"/>
  <c r="BY122" s="1"/>
  <c r="V122"/>
  <c r="BU122" s="1"/>
  <c r="E122"/>
  <c r="BE122" s="1"/>
  <c r="O122"/>
  <c r="BO122" s="1"/>
  <c r="I122"/>
  <c r="BI122" s="1"/>
  <c r="C122"/>
  <c r="BF122" s="1"/>
  <c r="S122"/>
  <c r="BV122" s="1"/>
  <c r="B122"/>
  <c r="G122"/>
  <c r="BG122" s="1"/>
  <c r="W122"/>
  <c r="BZ122" s="1"/>
  <c r="F122"/>
  <c r="BH122" s="1"/>
  <c r="J122"/>
  <c r="BL122" s="1"/>
  <c r="T122"/>
  <c r="BS122" s="1"/>
  <c r="K122"/>
  <c r="BK122" s="1"/>
  <c r="L122"/>
  <c r="BN122" s="1"/>
  <c r="Q122"/>
  <c r="BT122" s="1"/>
  <c r="M122"/>
  <c r="BM122" s="1"/>
  <c r="N122"/>
  <c r="BR122" s="1"/>
  <c r="X88"/>
  <c r="BX88" s="1"/>
  <c r="U88"/>
  <c r="BR88" s="1"/>
  <c r="D88"/>
  <c r="BH88" s="1"/>
  <c r="V88"/>
  <c r="BZ88" s="1"/>
  <c r="E88"/>
  <c r="BM88" s="1"/>
  <c r="J88"/>
  <c r="BF88" s="1"/>
  <c r="S88"/>
  <c r="BV88" s="1"/>
  <c r="H88"/>
  <c r="BJ88" s="1"/>
  <c r="P88"/>
  <c r="BP88" s="1"/>
  <c r="O88"/>
  <c r="BT88" s="1"/>
  <c r="T88"/>
  <c r="BS88" s="1"/>
  <c r="I88"/>
  <c r="BN88" s="1"/>
  <c r="W88"/>
  <c r="BW88" s="1"/>
  <c r="B88"/>
  <c r="F88"/>
  <c r="BE88" s="1"/>
  <c r="Y88"/>
  <c r="BO88" s="1"/>
  <c r="M88"/>
  <c r="BL88" s="1"/>
  <c r="L88"/>
  <c r="BC88" s="1"/>
  <c r="Q88"/>
  <c r="BQ88" s="1"/>
  <c r="C88"/>
  <c r="BD88" s="1"/>
  <c r="N88"/>
  <c r="BU88" s="1"/>
  <c r="G88"/>
  <c r="BG88" s="1"/>
  <c r="R88"/>
  <c r="BY88" s="1"/>
  <c r="K88"/>
  <c r="BK88" s="1"/>
  <c r="X94"/>
  <c r="BW94" s="1"/>
  <c r="K94"/>
  <c r="BK94" s="1"/>
  <c r="N94"/>
  <c r="BV94" s="1"/>
  <c r="S94"/>
  <c r="BO94" s="1"/>
  <c r="P94"/>
  <c r="BQ94" s="1"/>
  <c r="O94"/>
  <c r="BR94" s="1"/>
  <c r="Y94"/>
  <c r="BY94" s="1"/>
  <c r="T94"/>
  <c r="BS94" s="1"/>
  <c r="L94"/>
  <c r="BN94" s="1"/>
  <c r="Q94"/>
  <c r="BT94" s="1"/>
  <c r="C94"/>
  <c r="BE94" s="1"/>
  <c r="E94"/>
  <c r="BH94" s="1"/>
  <c r="U94"/>
  <c r="BX94" s="1"/>
  <c r="G94"/>
  <c r="BD94" s="1"/>
  <c r="I94"/>
  <c r="BI94" s="1"/>
  <c r="W94"/>
  <c r="BZ94" s="1"/>
  <c r="M94"/>
  <c r="BM94" s="1"/>
  <c r="B94"/>
  <c r="R94"/>
  <c r="BP94" s="1"/>
  <c r="D94"/>
  <c r="BF94" s="1"/>
  <c r="F94"/>
  <c r="BC94" s="1"/>
  <c r="V94"/>
  <c r="BU94" s="1"/>
  <c r="H94"/>
  <c r="BG94" s="1"/>
  <c r="J94"/>
  <c r="BL94" s="1"/>
  <c r="X68"/>
  <c r="BU68" s="1"/>
  <c r="S68"/>
  <c r="BT68" s="1"/>
  <c r="F68"/>
  <c r="BJ68" s="1"/>
  <c r="T68"/>
  <c r="BP68" s="1"/>
  <c r="O68"/>
  <c r="BZ68" s="1"/>
  <c r="H68"/>
  <c r="BC68" s="1"/>
  <c r="W68"/>
  <c r="BY68" s="1"/>
  <c r="I68"/>
  <c r="BD68" s="1"/>
  <c r="P68"/>
  <c r="BX68" s="1"/>
  <c r="B68"/>
  <c r="Q68"/>
  <c r="BV68" s="1"/>
  <c r="J68"/>
  <c r="BG68" s="1"/>
  <c r="U68"/>
  <c r="BO68" s="1"/>
  <c r="K68"/>
  <c r="BI68" s="1"/>
  <c r="R68"/>
  <c r="BQ68" s="1"/>
  <c r="C68"/>
  <c r="BL68" s="1"/>
  <c r="V68"/>
  <c r="BS68" s="1"/>
  <c r="G68"/>
  <c r="BH68" s="1"/>
  <c r="D68"/>
  <c r="BN68" s="1"/>
  <c r="Y68"/>
  <c r="BW68" s="1"/>
  <c r="L68"/>
  <c r="BM68" s="1"/>
  <c r="M68"/>
  <c r="BK68" s="1"/>
  <c r="N68"/>
  <c r="BR68" s="1"/>
  <c r="E68"/>
  <c r="BE68" s="1"/>
  <c r="Y118"/>
  <c r="BX118" s="1"/>
  <c r="T118"/>
  <c r="BW118" s="1"/>
  <c r="F118"/>
  <c r="BC118" s="1"/>
  <c r="Q118"/>
  <c r="BP118" s="1"/>
  <c r="K118"/>
  <c r="BN118" s="1"/>
  <c r="E118"/>
  <c r="BD118" s="1"/>
  <c r="U118"/>
  <c r="BT118" s="1"/>
  <c r="L118"/>
  <c r="BJ118" s="1"/>
  <c r="I118"/>
  <c r="BM118" s="1"/>
  <c r="X118"/>
  <c r="BZ118" s="1"/>
  <c r="C118"/>
  <c r="BI118" s="1"/>
  <c r="M118"/>
  <c r="BL118" s="1"/>
  <c r="R118"/>
  <c r="BS118" s="1"/>
  <c r="G118"/>
  <c r="BG118" s="1"/>
  <c r="P118"/>
  <c r="BU118" s="1"/>
  <c r="V118"/>
  <c r="BY118" s="1"/>
  <c r="J118"/>
  <c r="BH118" s="1"/>
  <c r="B118"/>
  <c r="W118"/>
  <c r="BV118" s="1"/>
  <c r="D118"/>
  <c r="BE118" s="1"/>
  <c r="N118"/>
  <c r="BR118" s="1"/>
  <c r="S118"/>
  <c r="BO118" s="1"/>
  <c r="H118"/>
  <c r="BK118" s="1"/>
  <c r="O118"/>
  <c r="BQ118" s="1"/>
  <c r="V92"/>
  <c r="BW92" s="1"/>
  <c r="S92"/>
  <c r="BP92" s="1"/>
  <c r="O92"/>
  <c r="BV92" s="1"/>
  <c r="Q92"/>
  <c r="BR92" s="1"/>
  <c r="L92"/>
  <c r="BL92" s="1"/>
  <c r="H92"/>
  <c r="BC92" s="1"/>
  <c r="X92"/>
  <c r="BY92" s="1"/>
  <c r="M92"/>
  <c r="BN92" s="1"/>
  <c r="R92"/>
  <c r="BU92" s="1"/>
  <c r="C92"/>
  <c r="BH92" s="1"/>
  <c r="D92"/>
  <c r="BJ92" s="1"/>
  <c r="Y92"/>
  <c r="BZ92" s="1"/>
  <c r="G92"/>
  <c r="BD92" s="1"/>
  <c r="E92"/>
  <c r="BI92" s="1"/>
  <c r="K92"/>
  <c r="BM92" s="1"/>
  <c r="I92"/>
  <c r="BG92" s="1"/>
  <c r="P92"/>
  <c r="BT92" s="1"/>
  <c r="B92"/>
  <c r="T92"/>
  <c r="BS92" s="1"/>
  <c r="N92"/>
  <c r="BQ92" s="1"/>
  <c r="U92"/>
  <c r="BO92" s="1"/>
  <c r="F92"/>
  <c r="BF92" s="1"/>
  <c r="W92"/>
  <c r="BX92" s="1"/>
  <c r="J92"/>
  <c r="BK92" s="1"/>
  <c r="N37"/>
  <c r="BQ37" s="1"/>
  <c r="S37"/>
  <c r="BY37" s="1"/>
  <c r="F37"/>
  <c r="BM37" s="1"/>
  <c r="R37"/>
  <c r="BS37" s="1"/>
  <c r="W37"/>
  <c r="BW37" s="1"/>
  <c r="J37"/>
  <c r="BN37" s="1"/>
  <c r="V37"/>
  <c r="BZ37" s="1"/>
  <c r="L37"/>
  <c r="BK37" s="1"/>
  <c r="C37"/>
  <c r="BE37" s="1"/>
  <c r="X37"/>
  <c r="BO37" s="1"/>
  <c r="P37"/>
  <c r="BT37" s="1"/>
  <c r="G37"/>
  <c r="BG37" s="1"/>
  <c r="Y37"/>
  <c r="BU37" s="1"/>
  <c r="T37"/>
  <c r="BP37" s="1"/>
  <c r="D37"/>
  <c r="BF37" s="1"/>
  <c r="M37"/>
  <c r="BI37" s="1"/>
  <c r="H37"/>
  <c r="BJ37" s="1"/>
  <c r="E37"/>
  <c r="BH37" s="1"/>
  <c r="Q37"/>
  <c r="BR37" s="1"/>
  <c r="K37"/>
  <c r="BC37" s="1"/>
  <c r="I37"/>
  <c r="BD37" s="1"/>
  <c r="U37"/>
  <c r="BV37" s="1"/>
  <c r="O37"/>
  <c r="BX37" s="1"/>
  <c r="B37"/>
  <c r="V100"/>
  <c r="BP100" s="1"/>
  <c r="S100"/>
  <c r="BY100" s="1"/>
  <c r="E100"/>
  <c r="BH100" s="1"/>
  <c r="T100"/>
  <c r="BR100" s="1"/>
  <c r="F100"/>
  <c r="BN100" s="1"/>
  <c r="H100"/>
  <c r="BM100" s="1"/>
  <c r="W100"/>
  <c r="BU100" s="1"/>
  <c r="O100"/>
  <c r="BV100" s="1"/>
  <c r="P100"/>
  <c r="BX100" s="1"/>
  <c r="M100"/>
  <c r="BG100" s="1"/>
  <c r="X100"/>
  <c r="BQ100" s="1"/>
  <c r="I100"/>
  <c r="BD100" s="1"/>
  <c r="Q100"/>
  <c r="BZ100" s="1"/>
  <c r="B100"/>
  <c r="U100"/>
  <c r="BW100" s="1"/>
  <c r="J100"/>
  <c r="BK100" s="1"/>
  <c r="R100"/>
  <c r="BT100" s="1"/>
  <c r="C100"/>
  <c r="BC100" s="1"/>
  <c r="D100"/>
  <c r="BL100" s="1"/>
  <c r="Y100"/>
  <c r="BS100" s="1"/>
  <c r="G100"/>
  <c r="BF100" s="1"/>
  <c r="K100"/>
  <c r="BE100" s="1"/>
  <c r="L100"/>
  <c r="BI100" s="1"/>
  <c r="N100"/>
  <c r="BO100" s="1"/>
  <c r="CE38" i="88" l="1"/>
  <c r="CF38"/>
  <c r="CE137"/>
  <c r="CF137"/>
  <c r="CE78"/>
  <c r="CF78"/>
  <c r="CE82"/>
  <c r="CF82"/>
  <c r="CE143"/>
  <c r="CF143"/>
  <c r="CE50"/>
  <c r="CF50"/>
  <c r="CE134"/>
  <c r="CF134"/>
  <c r="CF27"/>
  <c r="CE27"/>
  <c r="CF43"/>
  <c r="CE43"/>
  <c r="CE71"/>
  <c r="CF71"/>
  <c r="CE26"/>
  <c r="CF26"/>
  <c r="CE22"/>
  <c r="CF22"/>
  <c r="CE95"/>
  <c r="CF95"/>
  <c r="CE36"/>
  <c r="CF36"/>
  <c r="CF99"/>
  <c r="CE99"/>
  <c r="CF35"/>
  <c r="CE35"/>
  <c r="CE109"/>
  <c r="CF109"/>
  <c r="CE141"/>
  <c r="CF141"/>
  <c r="CE135"/>
  <c r="CF135"/>
  <c r="CE48"/>
  <c r="CF48"/>
  <c r="CE42"/>
  <c r="CF42"/>
  <c r="CE96"/>
  <c r="CF96"/>
  <c r="CE21"/>
  <c r="CF21"/>
  <c r="CE118"/>
  <c r="CF118"/>
  <c r="CF91"/>
  <c r="CE91"/>
  <c r="CE31"/>
  <c r="CF31"/>
  <c r="CE114"/>
  <c r="CF114"/>
  <c r="CE133"/>
  <c r="CF133"/>
  <c r="CE80"/>
  <c r="CF80"/>
  <c r="CE63"/>
  <c r="CF63"/>
  <c r="CE30"/>
  <c r="CF30"/>
  <c r="CE65"/>
  <c r="CF65"/>
  <c r="CE64"/>
  <c r="CF64"/>
  <c r="CE41"/>
  <c r="CF41"/>
  <c r="CE24"/>
  <c r="CF24"/>
  <c r="CF115"/>
  <c r="CE115"/>
  <c r="CE73"/>
  <c r="CF73"/>
  <c r="CE72"/>
  <c r="CF72"/>
  <c r="CE10"/>
  <c r="CF10"/>
  <c r="CE124"/>
  <c r="CF124"/>
  <c r="CE32"/>
  <c r="CF32"/>
  <c r="CE113"/>
  <c r="CF113"/>
  <c r="CE52"/>
  <c r="CF52"/>
  <c r="CE9"/>
  <c r="CF9"/>
  <c r="CE49"/>
  <c r="CF49"/>
  <c r="CE121"/>
  <c r="CF121"/>
  <c r="CE8"/>
  <c r="CF8"/>
  <c r="CE92"/>
  <c r="CF92"/>
  <c r="CE84"/>
  <c r="CF84"/>
  <c r="CE97"/>
  <c r="CF97"/>
  <c r="CE54"/>
  <c r="CF54"/>
  <c r="CE44"/>
  <c r="CF44"/>
  <c r="CE55"/>
  <c r="CF55"/>
  <c r="CE12"/>
  <c r="CF12"/>
  <c r="CF139"/>
  <c r="CE139"/>
  <c r="CE25"/>
  <c r="CF25"/>
  <c r="CE138"/>
  <c r="CF138"/>
  <c r="CE18"/>
  <c r="CF18"/>
  <c r="CE56"/>
  <c r="CF56"/>
  <c r="CF67"/>
  <c r="CE67"/>
  <c r="CE34"/>
  <c r="CF34"/>
  <c r="CE146"/>
  <c r="CF146"/>
  <c r="CE128"/>
  <c r="CF128"/>
  <c r="CE104"/>
  <c r="CF104"/>
  <c r="CE144"/>
  <c r="CF144"/>
  <c r="CE61"/>
  <c r="CF61"/>
  <c r="CE94"/>
  <c r="CF94"/>
  <c r="CE6"/>
  <c r="CF6"/>
  <c r="CE69"/>
  <c r="CF69"/>
  <c r="CE132"/>
  <c r="CF132"/>
  <c r="CF83"/>
  <c r="CE83"/>
  <c r="CE136"/>
  <c r="CF136"/>
  <c r="CE17"/>
  <c r="CF17"/>
  <c r="CE102"/>
  <c r="CF102"/>
  <c r="CE101"/>
  <c r="CF101"/>
  <c r="CE7"/>
  <c r="CF7"/>
  <c r="CE45"/>
  <c r="CF45"/>
  <c r="CE15"/>
  <c r="CF15"/>
  <c r="CE14"/>
  <c r="CF14"/>
  <c r="CF46"/>
  <c r="CE46"/>
  <c r="CE60"/>
  <c r="CF60"/>
  <c r="CE77"/>
  <c r="CF77"/>
  <c r="CE13"/>
  <c r="CF13"/>
  <c r="CE66"/>
  <c r="CF66"/>
  <c r="CE76"/>
  <c r="CF76"/>
  <c r="CE110"/>
  <c r="CF110"/>
  <c r="CE58"/>
  <c r="CF58"/>
  <c r="CE47"/>
  <c r="CF47"/>
  <c r="CE20"/>
  <c r="CF20"/>
  <c r="CE90"/>
  <c r="CF90"/>
  <c r="CE142"/>
  <c r="CF142"/>
  <c r="CE127"/>
  <c r="CF127"/>
  <c r="CE86"/>
  <c r="CF86"/>
  <c r="CE37"/>
  <c r="CF37"/>
  <c r="CE111"/>
  <c r="CF111"/>
  <c r="CE117"/>
  <c r="CF117"/>
  <c r="CE23"/>
  <c r="CF23"/>
  <c r="CE130"/>
  <c r="CF130"/>
  <c r="CE68"/>
  <c r="CF68"/>
  <c r="CF51"/>
  <c r="CE51"/>
  <c r="CE89"/>
  <c r="CF89"/>
  <c r="CF59"/>
  <c r="CE59"/>
  <c r="CE39"/>
  <c r="CF39"/>
  <c r="CE98"/>
  <c r="CF98"/>
  <c r="CE125"/>
  <c r="CF125"/>
  <c r="CE40"/>
  <c r="CF40"/>
  <c r="CE129"/>
  <c r="CF129"/>
  <c r="CE29"/>
  <c r="CF29"/>
  <c r="CE62"/>
  <c r="CF62"/>
  <c r="CE28"/>
  <c r="CF28"/>
  <c r="CF11"/>
  <c r="CE11"/>
  <c r="CF131"/>
  <c r="CE131"/>
  <c r="CE81"/>
  <c r="CF81"/>
  <c r="CE74"/>
  <c r="CF74"/>
  <c r="CF19"/>
  <c r="CE19"/>
  <c r="CE112"/>
  <c r="CF112"/>
  <c r="CE119"/>
  <c r="CF119"/>
  <c r="CE53"/>
  <c r="CF53"/>
  <c r="CE88"/>
  <c r="CF88"/>
  <c r="CE140"/>
  <c r="CF140"/>
  <c r="CE5"/>
  <c r="CF5"/>
  <c r="CF123"/>
  <c r="CE123"/>
  <c r="CF107"/>
  <c r="CE107"/>
  <c r="CE122"/>
  <c r="CF122"/>
  <c r="CE106"/>
  <c r="CF106"/>
  <c r="CE108"/>
  <c r="CF108"/>
  <c r="CE120"/>
  <c r="CF120"/>
  <c r="CE103"/>
  <c r="CF103"/>
  <c r="CE105"/>
  <c r="CF105"/>
  <c r="CE57"/>
  <c r="CF57"/>
  <c r="CE145"/>
  <c r="CF145"/>
  <c r="CE70"/>
  <c r="CF70"/>
  <c r="CE93"/>
  <c r="CF93"/>
  <c r="CE33"/>
  <c r="CF33"/>
  <c r="CE16"/>
  <c r="CF16"/>
  <c r="CE85"/>
  <c r="CF85"/>
  <c r="CE100"/>
  <c r="CF100"/>
  <c r="CE79"/>
  <c r="CF79"/>
  <c r="CF75"/>
  <c r="CE75"/>
  <c r="CE116"/>
  <c r="CF116"/>
  <c r="CE126"/>
  <c r="CF126"/>
  <c r="CE87"/>
  <c r="CF87"/>
  <c r="CF147"/>
  <c r="CE147"/>
  <c r="CE92" i="85"/>
  <c r="CF92"/>
  <c r="CE68"/>
  <c r="CF68"/>
  <c r="CE36"/>
  <c r="CF36"/>
  <c r="CE44"/>
  <c r="CF44"/>
  <c r="CE102"/>
  <c r="CF102"/>
  <c r="CE12"/>
  <c r="CF12"/>
  <c r="CE30"/>
  <c r="CF30"/>
  <c r="CE145"/>
  <c r="CF145"/>
  <c r="CE62"/>
  <c r="CF62"/>
  <c r="CE5"/>
  <c r="CF5"/>
  <c r="AB18" i="88"/>
  <c r="BI18"/>
  <c r="CD18" s="1"/>
  <c r="BM111"/>
  <c r="CD111" s="1"/>
  <c r="AB111"/>
  <c r="BW4"/>
  <c r="X154"/>
  <c r="X155"/>
  <c r="Y151"/>
  <c r="X149"/>
  <c r="X150"/>
  <c r="BT4"/>
  <c r="Q154"/>
  <c r="Q156" s="1"/>
  <c r="Q155"/>
  <c r="R151"/>
  <c r="Q149"/>
  <c r="Q150"/>
  <c r="BI4"/>
  <c r="I154"/>
  <c r="I150"/>
  <c r="I155"/>
  <c r="J151"/>
  <c r="I149"/>
  <c r="BG82"/>
  <c r="CD82" s="1"/>
  <c r="AB82"/>
  <c r="AB23"/>
  <c r="BK23"/>
  <c r="CD23" s="1"/>
  <c r="BJ93"/>
  <c r="CC93" s="1"/>
  <c r="AB93"/>
  <c r="BE119"/>
  <c r="CD119" s="1"/>
  <c r="AB119"/>
  <c r="BI143"/>
  <c r="CD143" s="1"/>
  <c r="AB143"/>
  <c r="BC146"/>
  <c r="AB146"/>
  <c r="AB21"/>
  <c r="BG21"/>
  <c r="CC21" s="1"/>
  <c r="BK134"/>
  <c r="CD134" s="1"/>
  <c r="AB134"/>
  <c r="AB53"/>
  <c r="BK53"/>
  <c r="CC53" s="1"/>
  <c r="BJ100"/>
  <c r="CD100" s="1"/>
  <c r="AB100"/>
  <c r="BF95"/>
  <c r="CD95" s="1"/>
  <c r="AB95"/>
  <c r="BJ97"/>
  <c r="CD97" s="1"/>
  <c r="AB97"/>
  <c r="BC75"/>
  <c r="AB75"/>
  <c r="BC123"/>
  <c r="AB123"/>
  <c r="BE120"/>
  <c r="CD120" s="1"/>
  <c r="AB120"/>
  <c r="BJ103"/>
  <c r="CD103" s="1"/>
  <c r="AB103"/>
  <c r="AB45"/>
  <c r="BK45"/>
  <c r="CC45" s="1"/>
  <c r="CE118" i="85"/>
  <c r="CF118"/>
  <c r="CE18"/>
  <c r="CF18"/>
  <c r="CE142"/>
  <c r="CF142"/>
  <c r="CE25"/>
  <c r="CF25"/>
  <c r="CE46"/>
  <c r="CF46"/>
  <c r="CF80"/>
  <c r="CE80"/>
  <c r="CE85"/>
  <c r="CF85"/>
  <c r="AB46" i="88"/>
  <c r="BK46"/>
  <c r="CD46" s="1"/>
  <c r="W151"/>
  <c r="V150"/>
  <c r="BU4"/>
  <c r="V154"/>
  <c r="V156" s="1"/>
  <c r="V155"/>
  <c r="V149"/>
  <c r="BJ4"/>
  <c r="H154"/>
  <c r="H156" s="1"/>
  <c r="I151"/>
  <c r="H149"/>
  <c r="H150"/>
  <c r="H155"/>
  <c r="BX4"/>
  <c r="V151"/>
  <c r="U150"/>
  <c r="U154"/>
  <c r="U156" s="1"/>
  <c r="U149"/>
  <c r="U155"/>
  <c r="BK56"/>
  <c r="CD56" s="1"/>
  <c r="AB56"/>
  <c r="BJ16"/>
  <c r="CD16" s="1"/>
  <c r="AB16"/>
  <c r="BJ71"/>
  <c r="CD71" s="1"/>
  <c r="AB71"/>
  <c r="AB51"/>
  <c r="BC51"/>
  <c r="BD5"/>
  <c r="CC5" s="1"/>
  <c r="AB5"/>
  <c r="BN79"/>
  <c r="CD79" s="1"/>
  <c r="AB79"/>
  <c r="BF39"/>
  <c r="CD39" s="1"/>
  <c r="AB39"/>
  <c r="BE36"/>
  <c r="CD36" s="1"/>
  <c r="AB36"/>
  <c r="BL135"/>
  <c r="CD135" s="1"/>
  <c r="AB135"/>
  <c r="BN73"/>
  <c r="CD73" s="1"/>
  <c r="AB73"/>
  <c r="AB57"/>
  <c r="BD57"/>
  <c r="CD57" s="1"/>
  <c r="CE137" i="85"/>
  <c r="CF137"/>
  <c r="CF120"/>
  <c r="CE120"/>
  <c r="CF56"/>
  <c r="CE56"/>
  <c r="CE126"/>
  <c r="CF126"/>
  <c r="CF64"/>
  <c r="CE64"/>
  <c r="CE52"/>
  <c r="CF52"/>
  <c r="CE33"/>
  <c r="CF33"/>
  <c r="CF128"/>
  <c r="CE128"/>
  <c r="CF24"/>
  <c r="CE24"/>
  <c r="CE57"/>
  <c r="CF57"/>
  <c r="CF104"/>
  <c r="CE104"/>
  <c r="CE89"/>
  <c r="CF89"/>
  <c r="CF8"/>
  <c r="CE8"/>
  <c r="CE114"/>
  <c r="CF114"/>
  <c r="CF144"/>
  <c r="CE144"/>
  <c r="CE113"/>
  <c r="CF113"/>
  <c r="CE10"/>
  <c r="CF10"/>
  <c r="CE116"/>
  <c r="CF116"/>
  <c r="BE145" i="88"/>
  <c r="CD145" s="1"/>
  <c r="AB145"/>
  <c r="BL37"/>
  <c r="CC37" s="1"/>
  <c r="AB37"/>
  <c r="BI60"/>
  <c r="CD60" s="1"/>
  <c r="AB60"/>
  <c r="BC4"/>
  <c r="D151"/>
  <c r="C149"/>
  <c r="C150"/>
  <c r="C154"/>
  <c r="C155"/>
  <c r="BS4"/>
  <c r="T154"/>
  <c r="T150"/>
  <c r="T155"/>
  <c r="U151"/>
  <c r="T149"/>
  <c r="BF4"/>
  <c r="E151"/>
  <c r="D149"/>
  <c r="D150"/>
  <c r="D154"/>
  <c r="D155"/>
  <c r="BN76"/>
  <c r="CD76" s="1"/>
  <c r="AB76"/>
  <c r="BI88"/>
  <c r="CD88" s="1"/>
  <c r="AB88"/>
  <c r="BM140"/>
  <c r="CD140" s="1"/>
  <c r="AB140"/>
  <c r="BN80"/>
  <c r="CD80" s="1"/>
  <c r="AB80"/>
  <c r="BL107"/>
  <c r="CD107" s="1"/>
  <c r="AB107"/>
  <c r="BC122"/>
  <c r="AB122"/>
  <c r="BN102"/>
  <c r="CD102" s="1"/>
  <c r="AB102"/>
  <c r="BC99"/>
  <c r="AB99"/>
  <c r="BJ101"/>
  <c r="CC101" s="1"/>
  <c r="AB101"/>
  <c r="AB12"/>
  <c r="BF12"/>
  <c r="CD12" s="1"/>
  <c r="AB25"/>
  <c r="BG25"/>
  <c r="CD25" s="1"/>
  <c r="AB35"/>
  <c r="BE35"/>
  <c r="CD35" s="1"/>
  <c r="BG138"/>
  <c r="CD138" s="1"/>
  <c r="AB138"/>
  <c r="CE100" i="85"/>
  <c r="CF100"/>
  <c r="CF88"/>
  <c r="CE88"/>
  <c r="CE74"/>
  <c r="CF74"/>
  <c r="CE138"/>
  <c r="CF138"/>
  <c r="CF40"/>
  <c r="CE40"/>
  <c r="CF32"/>
  <c r="CE32"/>
  <c r="CE82"/>
  <c r="CF82"/>
  <c r="CE20"/>
  <c r="CF20"/>
  <c r="CE21"/>
  <c r="CF21"/>
  <c r="CE38"/>
  <c r="CF38"/>
  <c r="CE42"/>
  <c r="CF42"/>
  <c r="BG81" i="88"/>
  <c r="CD81" s="1"/>
  <c r="AB81"/>
  <c r="Y149"/>
  <c r="BY4"/>
  <c r="Y150"/>
  <c r="Y154"/>
  <c r="Y156" s="1"/>
  <c r="Y155"/>
  <c r="BO4"/>
  <c r="N155"/>
  <c r="O151"/>
  <c r="N149"/>
  <c r="N150"/>
  <c r="N154"/>
  <c r="N156" s="1"/>
  <c r="BE4"/>
  <c r="E154"/>
  <c r="E155"/>
  <c r="F151"/>
  <c r="E149"/>
  <c r="E150"/>
  <c r="BM112"/>
  <c r="CD112" s="1"/>
  <c r="AB112"/>
  <c r="BF128"/>
  <c r="CD128" s="1"/>
  <c r="AB128"/>
  <c r="AB50"/>
  <c r="BC50"/>
  <c r="BM13"/>
  <c r="CC13" s="1"/>
  <c r="AB13"/>
  <c r="AB33"/>
  <c r="BH33"/>
  <c r="CD33" s="1"/>
  <c r="AB27"/>
  <c r="BC27"/>
  <c r="BG110"/>
  <c r="CD110" s="1"/>
  <c r="AB110"/>
  <c r="BH6"/>
  <c r="CD6" s="1"/>
  <c r="AB6"/>
  <c r="BF125"/>
  <c r="CC125" s="1"/>
  <c r="AB125"/>
  <c r="AB44"/>
  <c r="BJ44"/>
  <c r="CD44" s="1"/>
  <c r="BI87"/>
  <c r="CD87" s="1"/>
  <c r="AB87"/>
  <c r="BK106"/>
  <c r="CD106" s="1"/>
  <c r="AB106"/>
  <c r="BD7"/>
  <c r="CD7" s="1"/>
  <c r="AB7"/>
  <c r="BK24"/>
  <c r="CD24" s="1"/>
  <c r="AB24"/>
  <c r="BJ72"/>
  <c r="CD72" s="1"/>
  <c r="AB72"/>
  <c r="AB42"/>
  <c r="BM42"/>
  <c r="CD42" s="1"/>
  <c r="CE22" i="85"/>
  <c r="CF22"/>
  <c r="CE58"/>
  <c r="CF58"/>
  <c r="CE17"/>
  <c r="CF17"/>
  <c r="CE84"/>
  <c r="CF84"/>
  <c r="CE108"/>
  <c r="CF108"/>
  <c r="CE65"/>
  <c r="CF65"/>
  <c r="CE60"/>
  <c r="CF60"/>
  <c r="CE34"/>
  <c r="CF34"/>
  <c r="CE6"/>
  <c r="CF6"/>
  <c r="CE78"/>
  <c r="CF78"/>
  <c r="CE26"/>
  <c r="CF26"/>
  <c r="CF48"/>
  <c r="CE48"/>
  <c r="BL38" i="88"/>
  <c r="CD38" s="1"/>
  <c r="AB38"/>
  <c r="BG137"/>
  <c r="CD137" s="1"/>
  <c r="AB137"/>
  <c r="BK78"/>
  <c r="CD78" s="1"/>
  <c r="AB78"/>
  <c r="BP4"/>
  <c r="P151"/>
  <c r="O149"/>
  <c r="O150"/>
  <c r="O154"/>
  <c r="O156" s="1"/>
  <c r="O155"/>
  <c r="BK4"/>
  <c r="K150"/>
  <c r="K154"/>
  <c r="K156" s="1"/>
  <c r="K155"/>
  <c r="L151"/>
  <c r="K149"/>
  <c r="BN4"/>
  <c r="M151"/>
  <c r="L149"/>
  <c r="L150"/>
  <c r="L154"/>
  <c r="L156" s="1"/>
  <c r="L155"/>
  <c r="BN130"/>
  <c r="CD130" s="1"/>
  <c r="AB130"/>
  <c r="AB49"/>
  <c r="BK49"/>
  <c r="CD49" s="1"/>
  <c r="BL66"/>
  <c r="CD66" s="1"/>
  <c r="AB66"/>
  <c r="BJ104"/>
  <c r="CD104" s="1"/>
  <c r="AB104"/>
  <c r="BI144"/>
  <c r="CD144" s="1"/>
  <c r="AB144"/>
  <c r="AB26"/>
  <c r="BC26"/>
  <c r="BM84"/>
  <c r="CD84" s="1"/>
  <c r="AB84"/>
  <c r="AB59"/>
  <c r="BI59"/>
  <c r="CD59" s="1"/>
  <c r="BH90"/>
  <c r="CD90" s="1"/>
  <c r="AB90"/>
  <c r="BN69"/>
  <c r="CC69" s="1"/>
  <c r="AB69"/>
  <c r="BL136"/>
  <c r="CD136" s="1"/>
  <c r="AB136"/>
  <c r="BE142"/>
  <c r="CD142" s="1"/>
  <c r="AB142"/>
  <c r="BD30"/>
  <c r="CD30" s="1"/>
  <c r="AB30"/>
  <c r="BM139"/>
  <c r="CD139" s="1"/>
  <c r="AB139"/>
  <c r="BL65"/>
  <c r="CD65" s="1"/>
  <c r="AB65"/>
  <c r="BE141"/>
  <c r="CC141" s="1"/>
  <c r="AB141"/>
  <c r="BI115"/>
  <c r="CD115" s="1"/>
  <c r="AB115"/>
  <c r="BK105"/>
  <c r="CD105" s="1"/>
  <c r="AB105"/>
  <c r="AB11"/>
  <c r="BF11"/>
  <c r="CD11" s="1"/>
  <c r="BH131"/>
  <c r="CD131" s="1"/>
  <c r="AB131"/>
  <c r="CE37" i="85"/>
  <c r="CF37"/>
  <c r="CE122"/>
  <c r="CF122"/>
  <c r="CE110"/>
  <c r="CF110"/>
  <c r="CE50"/>
  <c r="CF50"/>
  <c r="CE117"/>
  <c r="CF117"/>
  <c r="CE9"/>
  <c r="CF9"/>
  <c r="CE109"/>
  <c r="CF109"/>
  <c r="CE45"/>
  <c r="CF45"/>
  <c r="CE141"/>
  <c r="CF141"/>
  <c r="CE13"/>
  <c r="CF13"/>
  <c r="CF112"/>
  <c r="CE112"/>
  <c r="CE69"/>
  <c r="CF69"/>
  <c r="CE133"/>
  <c r="CF133"/>
  <c r="CE14"/>
  <c r="CF14"/>
  <c r="CE23"/>
  <c r="CF23"/>
  <c r="CE7"/>
  <c r="CF7"/>
  <c r="CE130"/>
  <c r="CF130"/>
  <c r="CF96"/>
  <c r="CE96"/>
  <c r="CE61"/>
  <c r="CF61"/>
  <c r="CE106"/>
  <c r="CF106"/>
  <c r="CE105"/>
  <c r="CF105"/>
  <c r="CE81"/>
  <c r="CF81"/>
  <c r="CE86"/>
  <c r="CF86"/>
  <c r="CE132"/>
  <c r="CF132"/>
  <c r="BF124" i="88"/>
  <c r="CD124" s="1"/>
  <c r="AB124"/>
  <c r="BG4"/>
  <c r="G154"/>
  <c r="G156" s="1"/>
  <c r="G149"/>
  <c r="G150"/>
  <c r="G155"/>
  <c r="H151"/>
  <c r="W150"/>
  <c r="W154"/>
  <c r="W155"/>
  <c r="BZ4"/>
  <c r="X151"/>
  <c r="W149"/>
  <c r="BM4"/>
  <c r="M154"/>
  <c r="M156" s="1"/>
  <c r="N151"/>
  <c r="M149"/>
  <c r="M150"/>
  <c r="M155"/>
  <c r="AB19"/>
  <c r="BN19"/>
  <c r="CD19" s="1"/>
  <c r="BG32"/>
  <c r="CD32" s="1"/>
  <c r="AB32"/>
  <c r="BF96"/>
  <c r="CD96" s="1"/>
  <c r="AB96"/>
  <c r="BD113"/>
  <c r="CD113" s="1"/>
  <c r="AB113"/>
  <c r="BF67"/>
  <c r="CD67" s="1"/>
  <c r="AB67"/>
  <c r="BH34"/>
  <c r="CD34" s="1"/>
  <c r="AB34"/>
  <c r="AB52"/>
  <c r="BK52"/>
  <c r="CD52" s="1"/>
  <c r="BF118"/>
  <c r="CD118" s="1"/>
  <c r="AB118"/>
  <c r="BH89"/>
  <c r="CD89" s="1"/>
  <c r="AB89"/>
  <c r="BJ94"/>
  <c r="CD94" s="1"/>
  <c r="AB94"/>
  <c r="BD58"/>
  <c r="CD58" s="1"/>
  <c r="AB58"/>
  <c r="BN47"/>
  <c r="CD47" s="1"/>
  <c r="AB47"/>
  <c r="BE63"/>
  <c r="CD63" s="1"/>
  <c r="AB63"/>
  <c r="AB55"/>
  <c r="BK55"/>
  <c r="CD55" s="1"/>
  <c r="BN129"/>
  <c r="CD129" s="1"/>
  <c r="AB129"/>
  <c r="AB29"/>
  <c r="BG29"/>
  <c r="CC29" s="1"/>
  <c r="BM14"/>
  <c r="CD14" s="1"/>
  <c r="AB14"/>
  <c r="CC35" i="85"/>
  <c r="CE49"/>
  <c r="CF49"/>
  <c r="CE76"/>
  <c r="CF76"/>
  <c r="CE134"/>
  <c r="CF134"/>
  <c r="CE101"/>
  <c r="CF101"/>
  <c r="CE121"/>
  <c r="CF121"/>
  <c r="CE29"/>
  <c r="CF29"/>
  <c r="CE98"/>
  <c r="CF98"/>
  <c r="CE77"/>
  <c r="CF77"/>
  <c r="CE97"/>
  <c r="CF97"/>
  <c r="CE140"/>
  <c r="CF140"/>
  <c r="CE125"/>
  <c r="CF125"/>
  <c r="CE90"/>
  <c r="CF90"/>
  <c r="CE73"/>
  <c r="CF73"/>
  <c r="CE53"/>
  <c r="CF53"/>
  <c r="BL10" i="88"/>
  <c r="CD10" s="1"/>
  <c r="AB10"/>
  <c r="BQ4"/>
  <c r="R155"/>
  <c r="S151"/>
  <c r="R149"/>
  <c r="R150"/>
  <c r="R154"/>
  <c r="R156" s="1"/>
  <c r="BD4"/>
  <c r="AA150"/>
  <c r="AA151"/>
  <c r="AB4"/>
  <c r="B155"/>
  <c r="C151"/>
  <c r="B149"/>
  <c r="B150"/>
  <c r="B154"/>
  <c r="B156" s="1"/>
  <c r="BV4"/>
  <c r="S149"/>
  <c r="S150"/>
  <c r="S154"/>
  <c r="S155"/>
  <c r="T151"/>
  <c r="BC74"/>
  <c r="AB74"/>
  <c r="AB9"/>
  <c r="BL9"/>
  <c r="CD9" s="1"/>
  <c r="BD8"/>
  <c r="CD8" s="1"/>
  <c r="AB8"/>
  <c r="BE91"/>
  <c r="CD91" s="1"/>
  <c r="AB91"/>
  <c r="AB31"/>
  <c r="BG31"/>
  <c r="CD31" s="1"/>
  <c r="BD114"/>
  <c r="CD114" s="1"/>
  <c r="AB114"/>
  <c r="BE92"/>
  <c r="CD92" s="1"/>
  <c r="AB92"/>
  <c r="AB22"/>
  <c r="BG22"/>
  <c r="CD22" s="1"/>
  <c r="BK133"/>
  <c r="CC133" s="1"/>
  <c r="AB133"/>
  <c r="BC98"/>
  <c r="AB98"/>
  <c r="BJ126"/>
  <c r="CD126" s="1"/>
  <c r="AB126"/>
  <c r="BH132"/>
  <c r="CD132" s="1"/>
  <c r="AB132"/>
  <c r="AB17"/>
  <c r="BI17"/>
  <c r="CD17" s="1"/>
  <c r="BF40"/>
  <c r="CD40" s="1"/>
  <c r="AB40"/>
  <c r="BL108"/>
  <c r="CD108" s="1"/>
  <c r="AB108"/>
  <c r="BF127"/>
  <c r="CD127" s="1"/>
  <c r="AB127"/>
  <c r="AB28"/>
  <c r="BG28"/>
  <c r="CD28" s="1"/>
  <c r="BD86"/>
  <c r="CD86" s="1"/>
  <c r="AB86"/>
  <c r="CE94" i="85"/>
  <c r="CF94"/>
  <c r="CE70"/>
  <c r="CF70"/>
  <c r="CE146"/>
  <c r="CF146"/>
  <c r="CF136"/>
  <c r="CE136"/>
  <c r="CE28"/>
  <c r="CF28"/>
  <c r="CE129"/>
  <c r="CF129"/>
  <c r="CE124"/>
  <c r="CF124"/>
  <c r="CE41"/>
  <c r="CF41"/>
  <c r="CF72"/>
  <c r="CE72"/>
  <c r="CF16"/>
  <c r="CE16"/>
  <c r="CE66"/>
  <c r="CF66"/>
  <c r="CE54"/>
  <c r="CF54"/>
  <c r="CE93"/>
  <c r="CF93"/>
  <c r="BH4" i="88"/>
  <c r="F155"/>
  <c r="G151"/>
  <c r="F149"/>
  <c r="F150"/>
  <c r="F154"/>
  <c r="BR4"/>
  <c r="Q151"/>
  <c r="P149"/>
  <c r="P150"/>
  <c r="P154"/>
  <c r="P156" s="1"/>
  <c r="P155"/>
  <c r="BL4"/>
  <c r="K151"/>
  <c r="J150"/>
  <c r="J154"/>
  <c r="J149"/>
  <c r="J155"/>
  <c r="BN70"/>
  <c r="CD70" s="1"/>
  <c r="AB70"/>
  <c r="BF117"/>
  <c r="CC117" s="1"/>
  <c r="AB117"/>
  <c r="BN77"/>
  <c r="CC77" s="1"/>
  <c r="AB77"/>
  <c r="BF121"/>
  <c r="CD121" s="1"/>
  <c r="AB121"/>
  <c r="BF68"/>
  <c r="CD68" s="1"/>
  <c r="AB68"/>
  <c r="AB43"/>
  <c r="BJ43"/>
  <c r="CD43" s="1"/>
  <c r="BD85"/>
  <c r="CC85" s="1"/>
  <c r="AB85"/>
  <c r="BH61"/>
  <c r="CC61" s="1"/>
  <c r="AB61"/>
  <c r="BI116"/>
  <c r="CD116" s="1"/>
  <c r="AB116"/>
  <c r="AB54"/>
  <c r="BG54"/>
  <c r="CD54" s="1"/>
  <c r="AB20"/>
  <c r="BN20"/>
  <c r="CD20" s="1"/>
  <c r="BM83"/>
  <c r="CD83" s="1"/>
  <c r="AB83"/>
  <c r="BC147"/>
  <c r="AB147"/>
  <c r="BE64"/>
  <c r="CD64" s="1"/>
  <c r="AB64"/>
  <c r="BG109"/>
  <c r="CC109" s="1"/>
  <c r="AB109"/>
  <c r="BH62"/>
  <c r="CD62" s="1"/>
  <c r="AB62"/>
  <c r="AB41"/>
  <c r="BM41"/>
  <c r="CD41" s="1"/>
  <c r="BJ15"/>
  <c r="CD15" s="1"/>
  <c r="AB15"/>
  <c r="BN48"/>
  <c r="CC48" s="1"/>
  <c r="AB48"/>
  <c r="BM84" i="85"/>
  <c r="CD84" s="1"/>
  <c r="AB84"/>
  <c r="BE141"/>
  <c r="CC141" s="1"/>
  <c r="AB141"/>
  <c r="BD114"/>
  <c r="CD114" s="1"/>
  <c r="AB114"/>
  <c r="AB40"/>
  <c r="BF40"/>
  <c r="CD40" s="1"/>
  <c r="BL108"/>
  <c r="CD108" s="1"/>
  <c r="AB108"/>
  <c r="AB20"/>
  <c r="BN20"/>
  <c r="CD20" s="1"/>
  <c r="BN130"/>
  <c r="CC130" s="1"/>
  <c r="AB130"/>
  <c r="BJ72"/>
  <c r="CD72" s="1"/>
  <c r="AB72"/>
  <c r="BP4"/>
  <c r="O154"/>
  <c r="O150"/>
  <c r="O149"/>
  <c r="O155"/>
  <c r="P151"/>
  <c r="BL4"/>
  <c r="J154"/>
  <c r="J156" s="1"/>
  <c r="J155"/>
  <c r="K151"/>
  <c r="J149"/>
  <c r="J150"/>
  <c r="BQ4"/>
  <c r="S151"/>
  <c r="R149"/>
  <c r="R150"/>
  <c r="R154"/>
  <c r="R155"/>
  <c r="BL37"/>
  <c r="CD37" s="1"/>
  <c r="AB37"/>
  <c r="BE92"/>
  <c r="CD92" s="1"/>
  <c r="AB92"/>
  <c r="BF118"/>
  <c r="CD118" s="1"/>
  <c r="AB118"/>
  <c r="BF68"/>
  <c r="CD68" s="1"/>
  <c r="AB68"/>
  <c r="BG22"/>
  <c r="CD22" s="1"/>
  <c r="AB22"/>
  <c r="BC74"/>
  <c r="AB74"/>
  <c r="BJ126"/>
  <c r="CD126" s="1"/>
  <c r="AB126"/>
  <c r="BF128"/>
  <c r="CD128" s="1"/>
  <c r="AB128"/>
  <c r="AB57"/>
  <c r="BD57"/>
  <c r="CD57" s="1"/>
  <c r="BN129"/>
  <c r="CD129" s="1"/>
  <c r="AB129"/>
  <c r="BI60"/>
  <c r="CD60" s="1"/>
  <c r="AB60"/>
  <c r="BH34"/>
  <c r="CC34" s="1"/>
  <c r="AB34"/>
  <c r="BD85"/>
  <c r="CD85" s="1"/>
  <c r="AB85"/>
  <c r="BJ4"/>
  <c r="H150"/>
  <c r="H154"/>
  <c r="H155"/>
  <c r="I151"/>
  <c r="H149"/>
  <c r="Y155"/>
  <c r="Y149"/>
  <c r="BY4"/>
  <c r="Y150"/>
  <c r="Y154"/>
  <c r="Y156" s="1"/>
  <c r="BN4"/>
  <c r="L150"/>
  <c r="L154"/>
  <c r="L156" s="1"/>
  <c r="L155"/>
  <c r="M151"/>
  <c r="L149"/>
  <c r="BN70"/>
  <c r="CD70" s="1"/>
  <c r="AB70"/>
  <c r="BE142"/>
  <c r="CD142" s="1"/>
  <c r="AB142"/>
  <c r="BM14"/>
  <c r="CD14" s="1"/>
  <c r="AB14"/>
  <c r="BH90"/>
  <c r="CC90" s="1"/>
  <c r="AB90"/>
  <c r="BF124"/>
  <c r="CD124" s="1"/>
  <c r="AB124"/>
  <c r="BL10"/>
  <c r="CD10" s="1"/>
  <c r="AB10"/>
  <c r="BK78"/>
  <c r="CC78" s="1"/>
  <c r="AB78"/>
  <c r="BV4"/>
  <c r="S154"/>
  <c r="S155"/>
  <c r="T151"/>
  <c r="S149"/>
  <c r="S150"/>
  <c r="BD4"/>
  <c r="AA150"/>
  <c r="AA151"/>
  <c r="AB4"/>
  <c r="C151"/>
  <c r="B149"/>
  <c r="B150"/>
  <c r="B154"/>
  <c r="B155"/>
  <c r="BS4"/>
  <c r="T155"/>
  <c r="U151"/>
  <c r="T149"/>
  <c r="T150"/>
  <c r="T154"/>
  <c r="BL38"/>
  <c r="CD38" s="1"/>
  <c r="AB38"/>
  <c r="BH62"/>
  <c r="CD62" s="1"/>
  <c r="AB62"/>
  <c r="BI88"/>
  <c r="CC88" s="1"/>
  <c r="AB88"/>
  <c r="BC122"/>
  <c r="AB122"/>
  <c r="BG110"/>
  <c r="CD110" s="1"/>
  <c r="AB110"/>
  <c r="BN76"/>
  <c r="CD76" s="1"/>
  <c r="AB76"/>
  <c r="BC146"/>
  <c r="AB146"/>
  <c r="BK52"/>
  <c r="CC52" s="1"/>
  <c r="AB52"/>
  <c r="BK24"/>
  <c r="CD24" s="1"/>
  <c r="AB24"/>
  <c r="BJ104"/>
  <c r="CC104" s="1"/>
  <c r="AB104"/>
  <c r="BG32"/>
  <c r="CD32" s="1"/>
  <c r="AB32"/>
  <c r="BG21"/>
  <c r="CD21" s="1"/>
  <c r="AB21"/>
  <c r="AB48"/>
  <c r="BN48"/>
  <c r="CD48" s="1"/>
  <c r="BK4"/>
  <c r="K150"/>
  <c r="L151"/>
  <c r="K149"/>
  <c r="K154"/>
  <c r="K156" s="1"/>
  <c r="K155"/>
  <c r="BU4"/>
  <c r="V149"/>
  <c r="V150"/>
  <c r="V154"/>
  <c r="V155"/>
  <c r="W151"/>
  <c r="BC4"/>
  <c r="D151"/>
  <c r="C149"/>
  <c r="C150"/>
  <c r="C154"/>
  <c r="C156" s="1"/>
  <c r="C155"/>
  <c r="BE145"/>
  <c r="CD145" s="1"/>
  <c r="AB145"/>
  <c r="BJ100"/>
  <c r="CD100" s="1"/>
  <c r="AB100"/>
  <c r="BD58"/>
  <c r="CC58" s="1"/>
  <c r="AB58"/>
  <c r="BK134"/>
  <c r="CD134" s="1"/>
  <c r="AB134"/>
  <c r="BN102"/>
  <c r="CD102" s="1"/>
  <c r="AB102"/>
  <c r="AB18"/>
  <c r="BI18"/>
  <c r="CC18" s="1"/>
  <c r="BC98"/>
  <c r="AB98"/>
  <c r="BH89"/>
  <c r="CD89" s="1"/>
  <c r="AB89"/>
  <c r="BG138"/>
  <c r="CC138" s="1"/>
  <c r="AB138"/>
  <c r="BG28"/>
  <c r="CD28" s="1"/>
  <c r="AB28"/>
  <c r="BL65"/>
  <c r="CD65" s="1"/>
  <c r="AB65"/>
  <c r="BG25"/>
  <c r="CD25" s="1"/>
  <c r="AB25"/>
  <c r="BK46"/>
  <c r="CD46" s="1"/>
  <c r="AB46"/>
  <c r="BK105"/>
  <c r="CD105" s="1"/>
  <c r="AB105"/>
  <c r="BG81"/>
  <c r="CD81" s="1"/>
  <c r="AB81"/>
  <c r="AB16"/>
  <c r="BJ16"/>
  <c r="CD16" s="1"/>
  <c r="X151"/>
  <c r="W155"/>
  <c r="BZ4"/>
  <c r="W149"/>
  <c r="W150"/>
  <c r="W154"/>
  <c r="BO4"/>
  <c r="O151"/>
  <c r="N150"/>
  <c r="N154"/>
  <c r="N156" s="1"/>
  <c r="N155"/>
  <c r="N149"/>
  <c r="BE4"/>
  <c r="E154"/>
  <c r="E155"/>
  <c r="F151"/>
  <c r="E149"/>
  <c r="E150"/>
  <c r="BL66"/>
  <c r="CC66" s="1"/>
  <c r="AB66"/>
  <c r="BG54"/>
  <c r="CD54" s="1"/>
  <c r="AB54"/>
  <c r="BJ101"/>
  <c r="CD101" s="1"/>
  <c r="AB101"/>
  <c r="BF117"/>
  <c r="CD117" s="1"/>
  <c r="AB117"/>
  <c r="AB44"/>
  <c r="BJ44"/>
  <c r="CD44" s="1"/>
  <c r="BG109"/>
  <c r="CC109" s="1"/>
  <c r="AB109"/>
  <c r="BG29"/>
  <c r="CD29" s="1"/>
  <c r="AB29"/>
  <c r="BK45"/>
  <c r="CD45" s="1"/>
  <c r="AB45"/>
  <c r="BM13"/>
  <c r="CD13" s="1"/>
  <c r="AB13"/>
  <c r="BN77"/>
  <c r="CD77" s="1"/>
  <c r="AB77"/>
  <c r="BN69"/>
  <c r="CD69" s="1"/>
  <c r="AB69"/>
  <c r="BM140"/>
  <c r="CD140" s="1"/>
  <c r="AB140"/>
  <c r="BF125"/>
  <c r="CD125" s="1"/>
  <c r="AB125"/>
  <c r="BK133"/>
  <c r="CD133" s="1"/>
  <c r="AB133"/>
  <c r="BK53"/>
  <c r="CD53" s="1"/>
  <c r="AB53"/>
  <c r="BF96"/>
  <c r="CD96" s="1"/>
  <c r="AB96"/>
  <c r="BH61"/>
  <c r="CD61" s="1"/>
  <c r="AB61"/>
  <c r="BK106"/>
  <c r="CC106" s="1"/>
  <c r="AB106"/>
  <c r="BM4"/>
  <c r="M150"/>
  <c r="M154"/>
  <c r="M155"/>
  <c r="N151"/>
  <c r="M149"/>
  <c r="BH4"/>
  <c r="G151"/>
  <c r="F149"/>
  <c r="F150"/>
  <c r="F154"/>
  <c r="F155"/>
  <c r="BX4"/>
  <c r="V151"/>
  <c r="U149"/>
  <c r="U150"/>
  <c r="U154"/>
  <c r="U155"/>
  <c r="BI116"/>
  <c r="CD116" s="1"/>
  <c r="AB116"/>
  <c r="BK49"/>
  <c r="CD49" s="1"/>
  <c r="AB49"/>
  <c r="BC50"/>
  <c r="AB50"/>
  <c r="BF121"/>
  <c r="CD121" s="1"/>
  <c r="AB121"/>
  <c r="BG137"/>
  <c r="CD137" s="1"/>
  <c r="AB137"/>
  <c r="AB9"/>
  <c r="BL9"/>
  <c r="CD9" s="1"/>
  <c r="AB17"/>
  <c r="BI17"/>
  <c r="CD17" s="1"/>
  <c r="BE120"/>
  <c r="CD120" s="1"/>
  <c r="AB120"/>
  <c r="BK56"/>
  <c r="CD56" s="1"/>
  <c r="AB56"/>
  <c r="AB33"/>
  <c r="BH33"/>
  <c r="CD33" s="1"/>
  <c r="BJ97"/>
  <c r="CD97" s="1"/>
  <c r="AB97"/>
  <c r="BM112"/>
  <c r="CD112" s="1"/>
  <c r="AB112"/>
  <c r="BL136"/>
  <c r="CD136" s="1"/>
  <c r="AB136"/>
  <c r="BI144"/>
  <c r="CD144" s="1"/>
  <c r="AB144"/>
  <c r="BG82"/>
  <c r="CC82" s="1"/>
  <c r="AB82"/>
  <c r="BN73"/>
  <c r="CD73" s="1"/>
  <c r="AB73"/>
  <c r="AB41"/>
  <c r="BM41"/>
  <c r="CD41" s="1"/>
  <c r="BK23"/>
  <c r="CD23" s="1"/>
  <c r="AB23"/>
  <c r="BD113"/>
  <c r="CD113" s="1"/>
  <c r="AB113"/>
  <c r="BD7"/>
  <c r="CD7" s="1"/>
  <c r="AB7"/>
  <c r="BF4"/>
  <c r="D150"/>
  <c r="D154"/>
  <c r="D155"/>
  <c r="E151"/>
  <c r="D149"/>
  <c r="BW4"/>
  <c r="X154"/>
  <c r="X156" s="1"/>
  <c r="X155"/>
  <c r="Y151"/>
  <c r="X150"/>
  <c r="X149"/>
  <c r="BG4"/>
  <c r="H151"/>
  <c r="G149"/>
  <c r="G150"/>
  <c r="G154"/>
  <c r="G156" s="1"/>
  <c r="G155"/>
  <c r="AB42"/>
  <c r="BM42"/>
  <c r="CC42" s="1"/>
  <c r="BJ94"/>
  <c r="CD94" s="1"/>
  <c r="AB94"/>
  <c r="BE36"/>
  <c r="CD36" s="1"/>
  <c r="AB36"/>
  <c r="AB64"/>
  <c r="BE64"/>
  <c r="CD64" s="1"/>
  <c r="AB12"/>
  <c r="BF12"/>
  <c r="CC12" s="1"/>
  <c r="AB8"/>
  <c r="BD8"/>
  <c r="CD8" s="1"/>
  <c r="BN80"/>
  <c r="CD80" s="1"/>
  <c r="AB80"/>
  <c r="BH6"/>
  <c r="CD6" s="1"/>
  <c r="AB6"/>
  <c r="BD30"/>
  <c r="CD30" s="1"/>
  <c r="AB30"/>
  <c r="BC26"/>
  <c r="AB26"/>
  <c r="BD86"/>
  <c r="CC86" s="1"/>
  <c r="AB86"/>
  <c r="BH132"/>
  <c r="CD132" s="1"/>
  <c r="AB132"/>
  <c r="BR4"/>
  <c r="P155"/>
  <c r="Q151"/>
  <c r="P149"/>
  <c r="P150"/>
  <c r="P154"/>
  <c r="P156" s="1"/>
  <c r="BT4"/>
  <c r="R151"/>
  <c r="Q149"/>
  <c r="Q150"/>
  <c r="Q154"/>
  <c r="Q155"/>
  <c r="BI4"/>
  <c r="I154"/>
  <c r="I156" s="1"/>
  <c r="I155"/>
  <c r="I149"/>
  <c r="I150"/>
  <c r="J151"/>
  <c r="BJ93"/>
  <c r="CD93" s="1"/>
  <c r="AB93"/>
  <c r="BD5"/>
  <c r="CD5" s="1"/>
  <c r="AB5"/>
  <c r="CC18" i="88" l="1"/>
  <c r="CD45"/>
  <c r="CC82"/>
  <c r="CC20" i="85"/>
  <c r="CC136" i="88"/>
  <c r="CC56"/>
  <c r="BS149"/>
  <c r="BS150"/>
  <c r="BS154"/>
  <c r="BS155"/>
  <c r="CC123"/>
  <c r="CD123"/>
  <c r="CC146"/>
  <c r="CD146"/>
  <c r="BI150"/>
  <c r="BI154"/>
  <c r="BI155"/>
  <c r="BI149"/>
  <c r="CC62"/>
  <c r="CC127"/>
  <c r="CC91"/>
  <c r="CC108"/>
  <c r="CC106"/>
  <c r="CC114"/>
  <c r="CC49"/>
  <c r="CC105"/>
  <c r="CC126"/>
  <c r="CC95"/>
  <c r="CC22"/>
  <c r="CC31"/>
  <c r="CC145"/>
  <c r="CC112"/>
  <c r="CC118"/>
  <c r="CD117"/>
  <c r="CC64"/>
  <c r="CC90"/>
  <c r="CC73"/>
  <c r="CC120"/>
  <c r="CC142"/>
  <c r="CC140"/>
  <c r="CC96"/>
  <c r="CC36"/>
  <c r="CD133"/>
  <c r="CD21"/>
  <c r="BH149"/>
  <c r="BH150"/>
  <c r="BH154"/>
  <c r="BH155"/>
  <c r="CC74"/>
  <c r="CD74"/>
  <c r="BG155"/>
  <c r="BG149"/>
  <c r="BG150"/>
  <c r="BS151" s="1"/>
  <c r="BG154"/>
  <c r="BG156" s="1"/>
  <c r="BN149"/>
  <c r="BN150"/>
  <c r="BN154"/>
  <c r="BN156" s="1"/>
  <c r="BN155"/>
  <c r="BE149"/>
  <c r="BE150"/>
  <c r="BE154"/>
  <c r="BE155"/>
  <c r="CC51"/>
  <c r="CD51"/>
  <c r="BD154"/>
  <c r="BD156" s="1"/>
  <c r="BD155"/>
  <c r="BD149"/>
  <c r="BD150"/>
  <c r="BZ149"/>
  <c r="BZ150"/>
  <c r="BZ154"/>
  <c r="BZ155"/>
  <c r="CC26"/>
  <c r="CD26"/>
  <c r="CC27"/>
  <c r="CD27"/>
  <c r="CC99"/>
  <c r="CD99"/>
  <c r="BC149"/>
  <c r="BC150"/>
  <c r="BO151" s="1"/>
  <c r="CC4"/>
  <c r="BC154"/>
  <c r="CD4"/>
  <c r="BC155"/>
  <c r="BU150"/>
  <c r="BU154"/>
  <c r="BU155"/>
  <c r="BU149"/>
  <c r="BT149"/>
  <c r="BT150"/>
  <c r="BT154"/>
  <c r="BT155"/>
  <c r="CC16" i="85"/>
  <c r="CC11" i="88"/>
  <c r="CC41"/>
  <c r="CC65"/>
  <c r="CC6"/>
  <c r="CC70"/>
  <c r="CC42"/>
  <c r="CC129"/>
  <c r="CC110"/>
  <c r="CD77"/>
  <c r="CC23"/>
  <c r="CC107"/>
  <c r="CC121"/>
  <c r="CC124"/>
  <c r="CC10"/>
  <c r="CC7"/>
  <c r="CC66"/>
  <c r="CC67"/>
  <c r="CC89"/>
  <c r="CD13"/>
  <c r="CD93"/>
  <c r="CC78"/>
  <c r="CD141"/>
  <c r="CC83"/>
  <c r="CD61"/>
  <c r="CC144"/>
  <c r="CC24"/>
  <c r="CC63"/>
  <c r="CD48"/>
  <c r="CC30"/>
  <c r="CD85"/>
  <c r="CC143"/>
  <c r="CC147"/>
  <c r="CD147"/>
  <c r="CC98"/>
  <c r="CD98"/>
  <c r="BV154"/>
  <c r="BV155"/>
  <c r="BV149"/>
  <c r="BV150"/>
  <c r="BK149"/>
  <c r="BK150"/>
  <c r="BW151" s="1"/>
  <c r="BK154"/>
  <c r="BK155"/>
  <c r="BO155"/>
  <c r="CE4"/>
  <c r="CE149" s="1"/>
  <c r="C16" i="89" s="1"/>
  <c r="BO149" i="88"/>
  <c r="CF4"/>
  <c r="CF149" s="1"/>
  <c r="C17" i="89" s="1"/>
  <c r="BO150" i="88"/>
  <c r="BO154"/>
  <c r="BQ149"/>
  <c r="BQ150"/>
  <c r="BQ154"/>
  <c r="BQ156" s="1"/>
  <c r="BQ155"/>
  <c r="CC50"/>
  <c r="CD50"/>
  <c r="BX149"/>
  <c r="BX150"/>
  <c r="BX154"/>
  <c r="BX155"/>
  <c r="BW155"/>
  <c r="BW149"/>
  <c r="BW150"/>
  <c r="BW154"/>
  <c r="CC135"/>
  <c r="CC12"/>
  <c r="CC104"/>
  <c r="CC9"/>
  <c r="CC14"/>
  <c r="CC25"/>
  <c r="CC55"/>
  <c r="CD125"/>
  <c r="CC8"/>
  <c r="CC131"/>
  <c r="CC39"/>
  <c r="CC59"/>
  <c r="CC88"/>
  <c r="CD53"/>
  <c r="CD37"/>
  <c r="CC15"/>
  <c r="CC58"/>
  <c r="CC84"/>
  <c r="CC119"/>
  <c r="CC111"/>
  <c r="CC79"/>
  <c r="CC33"/>
  <c r="CC86"/>
  <c r="CC40"/>
  <c r="CC43"/>
  <c r="CC113"/>
  <c r="CC28"/>
  <c r="CC47"/>
  <c r="CC97"/>
  <c r="BL154"/>
  <c r="BL156" s="1"/>
  <c r="BL155"/>
  <c r="BL149"/>
  <c r="BL150"/>
  <c r="BM149"/>
  <c r="BM150"/>
  <c r="BM154"/>
  <c r="BM155"/>
  <c r="BP149"/>
  <c r="BP150"/>
  <c r="BP154"/>
  <c r="BP156" s="1"/>
  <c r="BP155"/>
  <c r="CC122"/>
  <c r="CD122"/>
  <c r="BF149"/>
  <c r="BF150"/>
  <c r="BR151" s="1"/>
  <c r="BF154"/>
  <c r="BF156" s="1"/>
  <c r="BF155"/>
  <c r="BJ149"/>
  <c r="BJ150"/>
  <c r="BV151" s="1"/>
  <c r="BJ154"/>
  <c r="BJ155"/>
  <c r="CC75"/>
  <c r="CD75"/>
  <c r="CC115"/>
  <c r="CD109"/>
  <c r="CC139"/>
  <c r="CD69"/>
  <c r="CC76"/>
  <c r="CC19"/>
  <c r="CC46"/>
  <c r="CC72"/>
  <c r="CC17"/>
  <c r="CC132"/>
  <c r="CD5"/>
  <c r="CC52"/>
  <c r="CC100"/>
  <c r="CC60"/>
  <c r="CC137"/>
  <c r="CD101"/>
  <c r="CC20"/>
  <c r="CC128"/>
  <c r="CC35"/>
  <c r="CC54"/>
  <c r="CC92"/>
  <c r="CC130"/>
  <c r="CC57"/>
  <c r="CC44"/>
  <c r="CC80"/>
  <c r="CC16"/>
  <c r="CC134"/>
  <c r="CC38"/>
  <c r="CC103"/>
  <c r="CD29"/>
  <c r="CC102"/>
  <c r="CC116"/>
  <c r="CC71"/>
  <c r="CC68"/>
  <c r="CC34"/>
  <c r="CC81"/>
  <c r="CC138"/>
  <c r="CC87"/>
  <c r="CC94"/>
  <c r="CC32"/>
  <c r="BR149"/>
  <c r="BR150"/>
  <c r="BR154"/>
  <c r="BR156" s="1"/>
  <c r="BR155"/>
  <c r="BY149"/>
  <c r="BY150"/>
  <c r="BY154"/>
  <c r="BY155"/>
  <c r="BN150" i="85"/>
  <c r="BN154"/>
  <c r="BN155"/>
  <c r="BN149"/>
  <c r="J156" i="88"/>
  <c r="CD86" i="85"/>
  <c r="CD78"/>
  <c r="CC114"/>
  <c r="CD104"/>
  <c r="CD109"/>
  <c r="CC132"/>
  <c r="CC73"/>
  <c r="CC25"/>
  <c r="CC36"/>
  <c r="CC10"/>
  <c r="CD12"/>
  <c r="CD52"/>
  <c r="CD88"/>
  <c r="CD141"/>
  <c r="CC72"/>
  <c r="CC65"/>
  <c r="CC142"/>
  <c r="CC110"/>
  <c r="CC125"/>
  <c r="CC121"/>
  <c r="CC48"/>
  <c r="CC129"/>
  <c r="CD18"/>
  <c r="CD26"/>
  <c r="CC26"/>
  <c r="BG149"/>
  <c r="BG150"/>
  <c r="BG154"/>
  <c r="BG155"/>
  <c r="CD50"/>
  <c r="CC50"/>
  <c r="BH149"/>
  <c r="BH150"/>
  <c r="BH154"/>
  <c r="BH155"/>
  <c r="BE149"/>
  <c r="BE150"/>
  <c r="BE154"/>
  <c r="BE156" s="1"/>
  <c r="BE155"/>
  <c r="CD98"/>
  <c r="CC98"/>
  <c r="BU154"/>
  <c r="BU155"/>
  <c r="BU149"/>
  <c r="BU150"/>
  <c r="BP149"/>
  <c r="BP150"/>
  <c r="BP154"/>
  <c r="BP155"/>
  <c r="CC30"/>
  <c r="CC136"/>
  <c r="CC13"/>
  <c r="CD58"/>
  <c r="CC38"/>
  <c r="CC14"/>
  <c r="CD34"/>
  <c r="CC77"/>
  <c r="BD155"/>
  <c r="BD149"/>
  <c r="BD150"/>
  <c r="BP151" s="1"/>
  <c r="BD154"/>
  <c r="CC54"/>
  <c r="CD82"/>
  <c r="CC44"/>
  <c r="CC118"/>
  <c r="E156" i="88"/>
  <c r="CC7" i="85"/>
  <c r="CC144"/>
  <c r="CC49"/>
  <c r="C156" i="88"/>
  <c r="CC21" i="85"/>
  <c r="CC32"/>
  <c r="CC137"/>
  <c r="CC102"/>
  <c r="CC92"/>
  <c r="CC46"/>
  <c r="CC61"/>
  <c r="CC23"/>
  <c r="CC24"/>
  <c r="CC134"/>
  <c r="CC37"/>
  <c r="CC84"/>
  <c r="CC100"/>
  <c r="CC53"/>
  <c r="CC69"/>
  <c r="CC29"/>
  <c r="CC101"/>
  <c r="I156" i="88"/>
  <c r="BW149" i="85"/>
  <c r="BW150"/>
  <c r="BW154"/>
  <c r="BW156" s="1"/>
  <c r="BW155"/>
  <c r="BM149"/>
  <c r="BM150"/>
  <c r="BM154"/>
  <c r="BM156" s="1"/>
  <c r="BM155"/>
  <c r="CE4"/>
  <c r="CE149" s="1"/>
  <c r="B16" i="89" s="1"/>
  <c r="BO149" i="85"/>
  <c r="CF4"/>
  <c r="CF149" s="1"/>
  <c r="B17" i="89" s="1"/>
  <c r="BO150" i="85"/>
  <c r="BO154"/>
  <c r="BO155"/>
  <c r="BK149"/>
  <c r="BK150"/>
  <c r="BK154"/>
  <c r="BK155"/>
  <c r="BS149"/>
  <c r="BS150"/>
  <c r="BS154"/>
  <c r="BS155"/>
  <c r="BV155"/>
  <c r="BV149"/>
  <c r="BV150"/>
  <c r="BV154"/>
  <c r="BV156" s="1"/>
  <c r="CC62"/>
  <c r="S156" i="88"/>
  <c r="CC93" i="85"/>
  <c r="CC105"/>
  <c r="CC60"/>
  <c r="CC64"/>
  <c r="W156" i="88"/>
  <c r="CC85" i="85"/>
  <c r="CC124"/>
  <c r="CC9"/>
  <c r="CC128"/>
  <c r="CC116"/>
  <c r="CC41"/>
  <c r="CD138"/>
  <c r="CC120"/>
  <c r="CC145"/>
  <c r="CD106"/>
  <c r="CC57"/>
  <c r="CC94"/>
  <c r="BI154"/>
  <c r="BI155"/>
  <c r="BI149"/>
  <c r="BI150"/>
  <c r="BU151" s="1"/>
  <c r="BT150"/>
  <c r="BT154"/>
  <c r="BT156" s="1"/>
  <c r="BT155"/>
  <c r="BT149"/>
  <c r="BF150"/>
  <c r="BF154"/>
  <c r="BF156" s="1"/>
  <c r="BF155"/>
  <c r="BF149"/>
  <c r="CD146"/>
  <c r="CC146"/>
  <c r="BY149"/>
  <c r="BY150"/>
  <c r="BY154"/>
  <c r="BY155"/>
  <c r="BJ149"/>
  <c r="BJ150"/>
  <c r="BV151" s="1"/>
  <c r="BJ154"/>
  <c r="BJ155"/>
  <c r="CD74"/>
  <c r="CC74"/>
  <c r="BQ149"/>
  <c r="BQ150"/>
  <c r="BQ154"/>
  <c r="BQ155"/>
  <c r="CC6"/>
  <c r="CC113"/>
  <c r="CC133"/>
  <c r="CC140"/>
  <c r="CC112"/>
  <c r="CC96"/>
  <c r="CC45"/>
  <c r="CC117"/>
  <c r="T156" i="88"/>
  <c r="F156"/>
  <c r="CC5" i="85"/>
  <c r="CC81"/>
  <c r="CD90"/>
  <c r="CC97"/>
  <c r="CC22"/>
  <c r="CD66"/>
  <c r="CD130"/>
  <c r="CC28"/>
  <c r="CC56"/>
  <c r="CC70"/>
  <c r="D156" i="88"/>
  <c r="AB149"/>
  <c r="CD42" i="85"/>
  <c r="CC80"/>
  <c r="CC40"/>
  <c r="CC89"/>
  <c r="CC17"/>
  <c r="CC108"/>
  <c r="CC126"/>
  <c r="CC68"/>
  <c r="CC8"/>
  <c r="CC33"/>
  <c r="CC76"/>
  <c r="BR149"/>
  <c r="BR150"/>
  <c r="BR154"/>
  <c r="BR155"/>
  <c r="BX149"/>
  <c r="BX150"/>
  <c r="BX154"/>
  <c r="BX155"/>
  <c r="BZ149"/>
  <c r="BZ150"/>
  <c r="BZ154"/>
  <c r="BZ155"/>
  <c r="BC149"/>
  <c r="BC150"/>
  <c r="BO151" s="1"/>
  <c r="CC4"/>
  <c r="BC154"/>
  <c r="BC156" s="1"/>
  <c r="CD4"/>
  <c r="BC155"/>
  <c r="CD122"/>
  <c r="CC122"/>
  <c r="BL155"/>
  <c r="BL149"/>
  <c r="BL150"/>
  <c r="BX151" s="1"/>
  <c r="BL154"/>
  <c r="X156" i="88"/>
  <c r="Q156" i="85"/>
  <c r="B156"/>
  <c r="R156"/>
  <c r="E156"/>
  <c r="W156"/>
  <c r="O156"/>
  <c r="U156"/>
  <c r="V156"/>
  <c r="F156"/>
  <c r="M156"/>
  <c r="S156"/>
  <c r="D156"/>
  <c r="AB149"/>
  <c r="H156"/>
  <c r="T156"/>
  <c r="BR157" i="88" l="1"/>
  <c r="BC156"/>
  <c r="BO157" s="1"/>
  <c r="BO157" i="85"/>
  <c r="BS156"/>
  <c r="BO156"/>
  <c r="BK156" i="88"/>
  <c r="BY151"/>
  <c r="BX156"/>
  <c r="BZ156"/>
  <c r="BZ157" s="1"/>
  <c r="BH156"/>
  <c r="BU151"/>
  <c r="BJ156" i="85"/>
  <c r="BV157" s="1"/>
  <c r="BY156" i="88"/>
  <c r="BM156"/>
  <c r="BY157" s="1"/>
  <c r="BZ151"/>
  <c r="BI156"/>
  <c r="BU157" s="1"/>
  <c r="BV156"/>
  <c r="CC149"/>
  <c r="C14" i="89" s="1"/>
  <c r="BP157" i="88"/>
  <c r="BS156"/>
  <c r="BX157"/>
  <c r="BD156" i="85"/>
  <c r="BN156"/>
  <c r="BT156" i="88"/>
  <c r="CD149"/>
  <c r="C15" i="89" s="1"/>
  <c r="BW156" i="88"/>
  <c r="BW157" s="1"/>
  <c r="BP151"/>
  <c r="BQ151"/>
  <c r="BX151"/>
  <c r="BE156"/>
  <c r="BQ157" s="1"/>
  <c r="BQ156" i="85"/>
  <c r="BP156"/>
  <c r="BJ156" i="88"/>
  <c r="BV157" s="1"/>
  <c r="BO156"/>
  <c r="BU156"/>
  <c r="BS157"/>
  <c r="BT151"/>
  <c r="BL156" i="85"/>
  <c r="CD149"/>
  <c r="B15" i="89" s="1"/>
  <c r="BG156" i="85"/>
  <c r="BS157" s="1"/>
  <c r="BZ151"/>
  <c r="BZ156"/>
  <c r="BZ157" s="1"/>
  <c r="BR156"/>
  <c r="BR157" s="1"/>
  <c r="BQ151"/>
  <c r="BY156"/>
  <c r="BY157" s="1"/>
  <c r="BR151"/>
  <c r="BI156"/>
  <c r="BY151"/>
  <c r="BQ157"/>
  <c r="AB151" i="88"/>
  <c r="AB152" s="1"/>
  <c r="C7" i="89" s="1"/>
  <c r="C8" s="1"/>
  <c r="BW151" i="85"/>
  <c r="CC149"/>
  <c r="B14" i="89" s="1"/>
  <c r="B18" s="1"/>
  <c r="BX156" i="85"/>
  <c r="BK156"/>
  <c r="BW157" s="1"/>
  <c r="BT151"/>
  <c r="BU156"/>
  <c r="BH156"/>
  <c r="BT157" s="1"/>
  <c r="BS151"/>
  <c r="AB151"/>
  <c r="AB152" s="1"/>
  <c r="B7" i="89" s="1"/>
  <c r="B8" s="1"/>
  <c r="C18" l="1"/>
  <c r="C19" s="1"/>
  <c r="B11"/>
  <c r="B9"/>
  <c r="BP157" i="85"/>
  <c r="BT157" i="88"/>
  <c r="C9" i="89"/>
  <c r="C11"/>
  <c r="BX157" i="85"/>
  <c r="BU157"/>
  <c r="B19" i="89" l="1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<sst xmlns="http://schemas.openxmlformats.org/spreadsheetml/2006/main" count="3803" uniqueCount="91">
  <si>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</si>
  <si>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</si>
  <si>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</si>
  <si>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</si>
  <si>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</si>
  <si>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</si>
  <si>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</si>
  <si>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</si>
  <si>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</si>
  <si>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</si>
  <si>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</si>
  <si>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</si>
  <si>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</si>
  <si>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</si>
  <si>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</si>
  <si>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</si>
  <si>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</si>
  <si>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</si>
  <si>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</si>
  <si>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</si>
  <si>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</si>
  <si>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</si>
  <si>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</si>
  <si>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</si>
  <si>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</si>
  <si>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</si>
  <si>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</si>
  <si>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</si>
  <si>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</si>
  <si>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</si>
  <si>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</si>
  <si>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</si>
  <si>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</si>
  <si>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</si>
  <si>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</si>
  <si>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</si>
  <si>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</si>
  <si>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</si>
  <si>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</si>
  <si>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</si>
  <si>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</si>
  <si>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</si>
  <si>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</si>
  <si>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</si>
  <si>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</si>
  <si>
    <t>O</t>
  </si>
  <si>
    <t>E</t>
  </si>
  <si>
    <t>T</t>
  </si>
  <si>
    <t>1H</t>
  </si>
  <si>
    <t>MEAN</t>
  </si>
  <si>
    <t>WP AVERAGE</t>
  </si>
  <si>
    <t>INTERVAL</t>
  </si>
  <si>
    <t>WP ACTUAL</t>
  </si>
  <si>
    <t>ACTUAL</t>
  </si>
  <si>
    <t>LEAD</t>
  </si>
  <si>
    <t>1-2</t>
  </si>
  <si>
    <t>2-3</t>
  </si>
  <si>
    <t>3-4</t>
  </si>
  <si>
    <t>4-5</t>
  </si>
  <si>
    <t>5-6</t>
  </si>
  <si>
    <t>6-7</t>
  </si>
  <si>
    <t>7-8</t>
  </si>
  <si>
    <t>8-9</t>
  </si>
  <si>
    <t>9-O</t>
  </si>
  <si>
    <t>O-E</t>
  </si>
  <si>
    <t>E-T</t>
  </si>
  <si>
    <t>T-1</t>
  </si>
  <si>
    <t>SD</t>
  </si>
  <si>
    <t>CORREL</t>
  </si>
  <si>
    <t>ERRORS</t>
  </si>
  <si>
    <t>FAST</t>
  </si>
  <si>
    <t>SLOW</t>
  </si>
  <si>
    <t>COMB.</t>
  </si>
  <si>
    <t>OVERALL</t>
  </si>
  <si>
    <t>QHL</t>
  </si>
  <si>
    <t>QH</t>
  </si>
  <si>
    <t>SH</t>
  </si>
  <si>
    <t>QB</t>
  </si>
  <si>
    <t>SB</t>
  </si>
  <si>
    <t>AVERAGE INTERVAL (ms)</t>
  </si>
  <si>
    <t>AVERAGE H/S LEAD INTERVAL (ms)</t>
  </si>
  <si>
    <t>PEAL SPEED (5040)</t>
  </si>
  <si>
    <t>OVERALL SD</t>
  </si>
  <si>
    <t>RATING (SD as % of Interval)</t>
  </si>
  <si>
    <t>PERCENTAGE for Presentation</t>
  </si>
  <si>
    <t>PLACING</t>
  </si>
  <si>
    <t>QUICK HANDSTROKES</t>
  </si>
  <si>
    <t>SLOW HANDSTROKES</t>
  </si>
  <si>
    <t>QUICK BACKSTROKES</t>
  </si>
  <si>
    <t>SLOW BACKSTROKES</t>
  </si>
  <si>
    <t>TOTAL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</si>
</sst>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%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1" fontId="0" fillId="2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4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8"/>
  <dimension ref="A1:Z320"/>
  <sheetViews>
    <sheetView workbookViewId="0"/>
  </sheetViews>
  <sheetFormatPr defaultRowHeight="12.75"/>
  <cols>
    <col min="15" max="26" width="2.85546875" customWidth="1"/>
  </cols>
  <sheetData>
    <row r="1" spans="1:26">
      <c r="A1">
        <v>0</v>
      </c>
      <c r="B1">
        <v>250</v>
      </c>
      <c r="C1">
        <v>500</v>
      </c>
      <c r="D1">
        <v>660</v>
      </c>
      <c r="E1">
        <v>890</v>
      </c>
      <c r="F1">
        <v>1210</v>
      </c>
      <c r="G1">
        <v>1400</v>
      </c>
      <c r="H1">
        <v>1580</v>
      </c>
      <c r="I1">
        <v>1750</v>
      </c>
      <c r="J1">
        <v>1980</v>
      </c>
      <c r="K1">
        <v>2180</v>
      </c>
      <c r="L1">
        <v>2480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 t="s">
        <v>45</v>
      </c>
      <c r="Y1" t="s">
        <v>46</v>
      </c>
      <c r="Z1" t="s">
        <v>47</v>
      </c>
    </row>
    <row r="2" spans="1:26">
      <c r="A2">
        <v>2680</v>
      </c>
      <c r="B2">
        <v>2910</v>
      </c>
      <c r="C2">
        <v>3060</v>
      </c>
      <c r="D2">
        <v>3260</v>
      </c>
      <c r="E2">
        <v>3420</v>
      </c>
      <c r="F2">
        <v>3680</v>
      </c>
      <c r="G2">
        <v>3840</v>
      </c>
      <c r="H2">
        <v>4040</v>
      </c>
      <c r="I2">
        <v>4200</v>
      </c>
      <c r="J2">
        <v>4370</v>
      </c>
      <c r="K2">
        <v>4600</v>
      </c>
      <c r="L2">
        <v>4800</v>
      </c>
      <c r="O2">
        <v>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  <c r="V2">
        <v>8</v>
      </c>
      <c r="W2">
        <v>9</v>
      </c>
      <c r="X2" t="s">
        <v>45</v>
      </c>
      <c r="Y2" t="s">
        <v>46</v>
      </c>
      <c r="Z2" t="s">
        <v>47</v>
      </c>
    </row>
    <row r="3" spans="1:26">
      <c r="A3">
        <v>5250</v>
      </c>
      <c r="B3">
        <v>5470</v>
      </c>
      <c r="C3">
        <v>5670</v>
      </c>
      <c r="D3">
        <v>5840</v>
      </c>
      <c r="E3">
        <v>6040</v>
      </c>
      <c r="F3">
        <v>6220</v>
      </c>
      <c r="G3">
        <v>6400</v>
      </c>
      <c r="H3">
        <v>6550</v>
      </c>
      <c r="I3">
        <v>6780</v>
      </c>
      <c r="J3">
        <v>6950</v>
      </c>
      <c r="K3">
        <v>7140</v>
      </c>
      <c r="L3">
        <v>7360</v>
      </c>
      <c r="O3">
        <v>1</v>
      </c>
      <c r="P3">
        <v>2</v>
      </c>
      <c r="Q3">
        <v>3</v>
      </c>
      <c r="R3">
        <v>4</v>
      </c>
      <c r="S3">
        <v>5</v>
      </c>
      <c r="T3">
        <v>6</v>
      </c>
      <c r="U3">
        <v>7</v>
      </c>
      <c r="V3">
        <v>8</v>
      </c>
      <c r="W3">
        <v>9</v>
      </c>
      <c r="X3" t="s">
        <v>45</v>
      </c>
      <c r="Y3" t="s">
        <v>46</v>
      </c>
      <c r="Z3" t="s">
        <v>47</v>
      </c>
    </row>
    <row r="4" spans="1:26">
      <c r="A4">
        <v>7600</v>
      </c>
      <c r="B4">
        <v>7820</v>
      </c>
      <c r="C4">
        <v>7960</v>
      </c>
      <c r="D4">
        <v>8140</v>
      </c>
      <c r="E4">
        <v>8350</v>
      </c>
      <c r="F4">
        <v>8540</v>
      </c>
      <c r="G4">
        <v>8720</v>
      </c>
      <c r="H4">
        <v>8900</v>
      </c>
      <c r="I4">
        <v>9070</v>
      </c>
      <c r="J4">
        <v>9220</v>
      </c>
      <c r="K4">
        <v>9450</v>
      </c>
      <c r="L4">
        <v>9680</v>
      </c>
      <c r="O4">
        <v>1</v>
      </c>
      <c r="P4">
        <v>2</v>
      </c>
      <c r="Q4">
        <v>3</v>
      </c>
      <c r="R4">
        <v>4</v>
      </c>
      <c r="S4">
        <v>5</v>
      </c>
      <c r="T4">
        <v>6</v>
      </c>
      <c r="U4">
        <v>7</v>
      </c>
      <c r="V4">
        <v>8</v>
      </c>
      <c r="W4">
        <v>9</v>
      </c>
      <c r="X4" t="s">
        <v>45</v>
      </c>
      <c r="Y4" t="s">
        <v>46</v>
      </c>
      <c r="Z4" t="s">
        <v>47</v>
      </c>
    </row>
    <row r="5" spans="1:26">
      <c r="A5">
        <v>10130</v>
      </c>
      <c r="B5">
        <v>10300</v>
      </c>
      <c r="C5">
        <v>10480</v>
      </c>
      <c r="D5">
        <v>10650</v>
      </c>
      <c r="E5">
        <v>10850</v>
      </c>
      <c r="F5">
        <v>11010</v>
      </c>
      <c r="G5">
        <v>11210</v>
      </c>
      <c r="H5">
        <v>11380</v>
      </c>
      <c r="I5">
        <v>11560</v>
      </c>
      <c r="J5">
        <v>11770</v>
      </c>
      <c r="K5">
        <v>11930</v>
      </c>
      <c r="L5">
        <v>12150</v>
      </c>
      <c r="O5">
        <v>1</v>
      </c>
      <c r="P5">
        <v>2</v>
      </c>
      <c r="Q5">
        <v>3</v>
      </c>
      <c r="R5">
        <v>4</v>
      </c>
      <c r="S5">
        <v>5</v>
      </c>
      <c r="T5">
        <v>6</v>
      </c>
      <c r="U5">
        <v>7</v>
      </c>
      <c r="V5">
        <v>8</v>
      </c>
      <c r="W5">
        <v>9</v>
      </c>
      <c r="X5" t="s">
        <v>45</v>
      </c>
      <c r="Y5" t="s">
        <v>46</v>
      </c>
      <c r="Z5" t="s">
        <v>47</v>
      </c>
    </row>
    <row r="6" spans="1:26">
      <c r="A6">
        <v>12370</v>
      </c>
      <c r="B6">
        <v>12560</v>
      </c>
      <c r="C6">
        <v>12760</v>
      </c>
      <c r="D6">
        <v>12930</v>
      </c>
      <c r="E6">
        <v>13120</v>
      </c>
      <c r="F6">
        <v>13310</v>
      </c>
      <c r="G6">
        <v>13470</v>
      </c>
      <c r="H6">
        <v>13660</v>
      </c>
      <c r="I6">
        <v>13830</v>
      </c>
      <c r="J6">
        <v>14020</v>
      </c>
      <c r="K6">
        <v>14240</v>
      </c>
      <c r="L6">
        <v>14460</v>
      </c>
      <c r="O6">
        <v>1</v>
      </c>
      <c r="P6">
        <v>2</v>
      </c>
      <c r="Q6">
        <v>3</v>
      </c>
      <c r="R6">
        <v>4</v>
      </c>
      <c r="S6">
        <v>5</v>
      </c>
      <c r="T6">
        <v>6</v>
      </c>
      <c r="U6">
        <v>7</v>
      </c>
      <c r="V6">
        <v>8</v>
      </c>
      <c r="W6">
        <v>9</v>
      </c>
      <c r="X6" t="s">
        <v>45</v>
      </c>
      <c r="Y6" t="s">
        <v>46</v>
      </c>
      <c r="Z6" t="s">
        <v>47</v>
      </c>
    </row>
    <row r="7" spans="1:26">
      <c r="A7">
        <v>14850</v>
      </c>
      <c r="B7">
        <v>15050</v>
      </c>
      <c r="C7">
        <v>15210</v>
      </c>
      <c r="D7">
        <v>15400</v>
      </c>
      <c r="E7">
        <v>15590</v>
      </c>
      <c r="F7">
        <v>15780</v>
      </c>
      <c r="G7">
        <v>15980</v>
      </c>
      <c r="H7">
        <v>16110</v>
      </c>
      <c r="I7">
        <v>16310</v>
      </c>
      <c r="J7">
        <v>16510</v>
      </c>
      <c r="K7">
        <v>16710</v>
      </c>
      <c r="L7">
        <v>16880</v>
      </c>
      <c r="O7">
        <v>1</v>
      </c>
      <c r="P7">
        <v>2</v>
      </c>
      <c r="Q7">
        <v>3</v>
      </c>
      <c r="R7">
        <v>4</v>
      </c>
      <c r="S7">
        <v>5</v>
      </c>
      <c r="T7">
        <v>6</v>
      </c>
      <c r="U7">
        <v>7</v>
      </c>
      <c r="V7">
        <v>8</v>
      </c>
      <c r="W7">
        <v>9</v>
      </c>
      <c r="X7" t="s">
        <v>45</v>
      </c>
      <c r="Y7" t="s">
        <v>46</v>
      </c>
      <c r="Z7" t="s">
        <v>47</v>
      </c>
    </row>
    <row r="8" spans="1:26">
      <c r="A8">
        <v>17120</v>
      </c>
      <c r="B8">
        <v>17300</v>
      </c>
      <c r="C8">
        <v>17490</v>
      </c>
      <c r="D8">
        <v>17680</v>
      </c>
      <c r="E8">
        <v>17850</v>
      </c>
      <c r="F8">
        <v>18030</v>
      </c>
      <c r="G8">
        <v>18190</v>
      </c>
      <c r="H8">
        <v>18380</v>
      </c>
      <c r="I8">
        <v>18560</v>
      </c>
      <c r="J8">
        <v>18750</v>
      </c>
      <c r="K8">
        <v>18980</v>
      </c>
      <c r="L8">
        <v>19200</v>
      </c>
      <c r="O8">
        <v>1</v>
      </c>
      <c r="P8">
        <v>2</v>
      </c>
      <c r="Q8">
        <v>3</v>
      </c>
      <c r="R8">
        <v>4</v>
      </c>
      <c r="S8">
        <v>5</v>
      </c>
      <c r="T8">
        <v>6</v>
      </c>
      <c r="U8">
        <v>7</v>
      </c>
      <c r="V8">
        <v>8</v>
      </c>
      <c r="W8">
        <v>9</v>
      </c>
      <c r="X8" t="s">
        <v>45</v>
      </c>
      <c r="Y8" t="s">
        <v>46</v>
      </c>
      <c r="Z8" t="s">
        <v>47</v>
      </c>
    </row>
    <row r="9" spans="1:26">
      <c r="A9">
        <v>19580</v>
      </c>
      <c r="B9">
        <v>19770</v>
      </c>
      <c r="C9">
        <v>19920</v>
      </c>
      <c r="D9">
        <v>20140</v>
      </c>
      <c r="E9">
        <v>20310</v>
      </c>
      <c r="F9">
        <v>20510</v>
      </c>
      <c r="G9">
        <v>20670</v>
      </c>
      <c r="H9">
        <v>20820</v>
      </c>
      <c r="I9">
        <v>21030</v>
      </c>
      <c r="J9">
        <v>21230</v>
      </c>
      <c r="K9">
        <v>21440</v>
      </c>
      <c r="L9">
        <v>21620</v>
      </c>
      <c r="O9">
        <v>1</v>
      </c>
      <c r="P9">
        <v>2</v>
      </c>
      <c r="Q9">
        <v>3</v>
      </c>
      <c r="R9">
        <v>4</v>
      </c>
      <c r="S9">
        <v>5</v>
      </c>
      <c r="T9">
        <v>6</v>
      </c>
      <c r="U9">
        <v>7</v>
      </c>
      <c r="V9">
        <v>8</v>
      </c>
      <c r="W9">
        <v>9</v>
      </c>
      <c r="X9" t="s">
        <v>45</v>
      </c>
      <c r="Y9" t="s">
        <v>46</v>
      </c>
      <c r="Z9" t="s">
        <v>47</v>
      </c>
    </row>
    <row r="10" spans="1:26">
      <c r="A10">
        <v>21860</v>
      </c>
      <c r="B10">
        <v>22030</v>
      </c>
      <c r="C10">
        <v>22210</v>
      </c>
      <c r="D10">
        <v>22400</v>
      </c>
      <c r="E10">
        <v>22550</v>
      </c>
      <c r="F10">
        <v>22730</v>
      </c>
      <c r="G10">
        <v>22910</v>
      </c>
      <c r="H10">
        <v>23110</v>
      </c>
      <c r="I10">
        <v>23280</v>
      </c>
      <c r="J10">
        <v>23480</v>
      </c>
      <c r="K10">
        <v>23730</v>
      </c>
      <c r="L10">
        <v>23890</v>
      </c>
      <c r="O10">
        <v>1</v>
      </c>
      <c r="P10">
        <v>2</v>
      </c>
      <c r="Q10">
        <v>3</v>
      </c>
      <c r="R10">
        <v>4</v>
      </c>
      <c r="S10">
        <v>5</v>
      </c>
      <c r="T10">
        <v>6</v>
      </c>
      <c r="U10">
        <v>7</v>
      </c>
      <c r="V10">
        <v>8</v>
      </c>
      <c r="W10">
        <v>9</v>
      </c>
      <c r="X10" t="s">
        <v>45</v>
      </c>
      <c r="Y10" t="s">
        <v>46</v>
      </c>
      <c r="Z10" t="s">
        <v>47</v>
      </c>
    </row>
    <row r="11" spans="1:26">
      <c r="A11">
        <v>24310</v>
      </c>
      <c r="B11">
        <v>24480</v>
      </c>
      <c r="C11">
        <v>24650</v>
      </c>
      <c r="D11">
        <v>24880</v>
      </c>
      <c r="E11">
        <v>25030</v>
      </c>
      <c r="F11">
        <v>25240</v>
      </c>
      <c r="G11">
        <v>25380</v>
      </c>
      <c r="H11">
        <v>25510</v>
      </c>
      <c r="I11">
        <v>25750</v>
      </c>
      <c r="J11">
        <v>25950</v>
      </c>
      <c r="K11">
        <v>26130</v>
      </c>
      <c r="L11">
        <v>26320</v>
      </c>
      <c r="O11">
        <v>1</v>
      </c>
      <c r="P11">
        <v>2</v>
      </c>
      <c r="Q11">
        <v>3</v>
      </c>
      <c r="R11">
        <v>4</v>
      </c>
      <c r="S11">
        <v>5</v>
      </c>
      <c r="T11">
        <v>6</v>
      </c>
      <c r="U11">
        <v>7</v>
      </c>
      <c r="V11">
        <v>8</v>
      </c>
      <c r="W11">
        <v>9</v>
      </c>
      <c r="X11" t="s">
        <v>45</v>
      </c>
      <c r="Y11" t="s">
        <v>46</v>
      </c>
      <c r="Z11" t="s">
        <v>47</v>
      </c>
    </row>
    <row r="12" spans="1:26">
      <c r="A12">
        <v>26570</v>
      </c>
      <c r="B12">
        <v>26740</v>
      </c>
      <c r="C12">
        <v>26930</v>
      </c>
      <c r="D12">
        <v>27110</v>
      </c>
      <c r="E12">
        <v>27280</v>
      </c>
      <c r="F12">
        <v>27480</v>
      </c>
      <c r="G12">
        <v>27650</v>
      </c>
      <c r="H12">
        <v>27820</v>
      </c>
      <c r="I12">
        <v>28000</v>
      </c>
      <c r="J12">
        <v>28170</v>
      </c>
      <c r="K12">
        <v>28400</v>
      </c>
      <c r="L12">
        <v>28620</v>
      </c>
      <c r="O12">
        <v>1</v>
      </c>
      <c r="P12">
        <v>2</v>
      </c>
      <c r="Q12">
        <v>3</v>
      </c>
      <c r="R12">
        <v>4</v>
      </c>
      <c r="S12">
        <v>5</v>
      </c>
      <c r="T12">
        <v>6</v>
      </c>
      <c r="U12">
        <v>7</v>
      </c>
      <c r="V12">
        <v>8</v>
      </c>
      <c r="W12">
        <v>9</v>
      </c>
      <c r="X12" t="s">
        <v>45</v>
      </c>
      <c r="Y12" t="s">
        <v>46</v>
      </c>
      <c r="Z12" t="s">
        <v>47</v>
      </c>
    </row>
    <row r="13" spans="1:26">
      <c r="A13">
        <v>29030</v>
      </c>
      <c r="B13">
        <v>29200</v>
      </c>
      <c r="C13">
        <v>29350</v>
      </c>
      <c r="D13">
        <v>29550</v>
      </c>
      <c r="E13">
        <v>29730</v>
      </c>
      <c r="F13">
        <v>29940</v>
      </c>
      <c r="G13">
        <v>30110</v>
      </c>
      <c r="H13">
        <v>30270</v>
      </c>
      <c r="I13">
        <v>30450</v>
      </c>
      <c r="J13">
        <v>30650</v>
      </c>
      <c r="K13">
        <v>30860</v>
      </c>
      <c r="L13">
        <v>31050</v>
      </c>
      <c r="O13">
        <v>1</v>
      </c>
      <c r="P13">
        <v>2</v>
      </c>
      <c r="Q13">
        <v>3</v>
      </c>
      <c r="R13">
        <v>4</v>
      </c>
      <c r="S13">
        <v>5</v>
      </c>
      <c r="T13">
        <v>6</v>
      </c>
      <c r="U13">
        <v>7</v>
      </c>
      <c r="V13">
        <v>8</v>
      </c>
      <c r="W13">
        <v>9</v>
      </c>
      <c r="X13" t="s">
        <v>45</v>
      </c>
      <c r="Y13" t="s">
        <v>46</v>
      </c>
      <c r="Z13" t="s">
        <v>47</v>
      </c>
    </row>
    <row r="14" spans="1:26">
      <c r="A14">
        <v>31290</v>
      </c>
      <c r="B14">
        <v>31440</v>
      </c>
      <c r="C14">
        <v>31640</v>
      </c>
      <c r="D14">
        <v>31840</v>
      </c>
      <c r="E14">
        <v>31990</v>
      </c>
      <c r="F14">
        <v>32190</v>
      </c>
      <c r="G14">
        <v>32330</v>
      </c>
      <c r="H14">
        <v>32540</v>
      </c>
      <c r="I14">
        <v>32710</v>
      </c>
      <c r="J14">
        <v>32920</v>
      </c>
      <c r="K14">
        <v>33090</v>
      </c>
      <c r="L14">
        <v>33340</v>
      </c>
      <c r="O14">
        <v>1</v>
      </c>
      <c r="P14">
        <v>2</v>
      </c>
      <c r="Q14">
        <v>3</v>
      </c>
      <c r="R14">
        <v>4</v>
      </c>
      <c r="S14">
        <v>5</v>
      </c>
      <c r="T14">
        <v>6</v>
      </c>
      <c r="U14">
        <v>7</v>
      </c>
      <c r="V14">
        <v>8</v>
      </c>
      <c r="W14">
        <v>9</v>
      </c>
      <c r="X14" t="s">
        <v>45</v>
      </c>
      <c r="Y14" t="s">
        <v>46</v>
      </c>
      <c r="Z14" t="s">
        <v>47</v>
      </c>
    </row>
    <row r="15" spans="1:26">
      <c r="A15">
        <v>33740</v>
      </c>
      <c r="B15">
        <v>33920</v>
      </c>
      <c r="C15">
        <v>34100</v>
      </c>
      <c r="D15">
        <v>34300</v>
      </c>
      <c r="E15">
        <v>34460</v>
      </c>
      <c r="F15">
        <v>34650</v>
      </c>
      <c r="G15">
        <v>34820</v>
      </c>
      <c r="H15">
        <v>34980</v>
      </c>
      <c r="I15">
        <v>35190</v>
      </c>
      <c r="J15">
        <v>35410</v>
      </c>
      <c r="K15">
        <v>35550</v>
      </c>
      <c r="L15">
        <v>35770</v>
      </c>
      <c r="O15">
        <v>1</v>
      </c>
      <c r="P15">
        <v>2</v>
      </c>
      <c r="Q15">
        <v>3</v>
      </c>
      <c r="R15">
        <v>4</v>
      </c>
      <c r="S15">
        <v>5</v>
      </c>
      <c r="T15">
        <v>6</v>
      </c>
      <c r="U15">
        <v>7</v>
      </c>
      <c r="V15">
        <v>8</v>
      </c>
      <c r="W15">
        <v>9</v>
      </c>
      <c r="X15" t="s">
        <v>45</v>
      </c>
      <c r="Y15" t="s">
        <v>46</v>
      </c>
      <c r="Z15" t="s">
        <v>47</v>
      </c>
    </row>
    <row r="16" spans="1:26">
      <c r="A16">
        <v>35990</v>
      </c>
      <c r="B16">
        <v>36150</v>
      </c>
      <c r="C16">
        <v>36350</v>
      </c>
      <c r="D16">
        <v>36530</v>
      </c>
      <c r="E16">
        <v>36690</v>
      </c>
      <c r="F16">
        <v>36880</v>
      </c>
      <c r="G16">
        <v>37050</v>
      </c>
      <c r="H16">
        <v>37220</v>
      </c>
      <c r="I16">
        <v>37420</v>
      </c>
      <c r="J16">
        <v>37610</v>
      </c>
      <c r="K16">
        <v>37820</v>
      </c>
      <c r="L16">
        <v>38060</v>
      </c>
      <c r="O16">
        <v>1</v>
      </c>
      <c r="P16">
        <v>2</v>
      </c>
      <c r="Q16">
        <v>3</v>
      </c>
      <c r="R16">
        <v>4</v>
      </c>
      <c r="S16">
        <v>5</v>
      </c>
      <c r="T16">
        <v>6</v>
      </c>
      <c r="U16">
        <v>7</v>
      </c>
      <c r="V16">
        <v>8</v>
      </c>
      <c r="W16">
        <v>9</v>
      </c>
      <c r="X16" t="s">
        <v>45</v>
      </c>
      <c r="Y16" t="s">
        <v>46</v>
      </c>
      <c r="Z16" t="s">
        <v>47</v>
      </c>
    </row>
    <row r="17" spans="1:26">
      <c r="A17">
        <v>38450</v>
      </c>
      <c r="B17">
        <v>38610</v>
      </c>
      <c r="C17">
        <v>38770</v>
      </c>
      <c r="D17">
        <v>39000</v>
      </c>
      <c r="E17">
        <v>39160</v>
      </c>
      <c r="F17">
        <v>39350</v>
      </c>
      <c r="G17">
        <v>39530</v>
      </c>
      <c r="H17">
        <v>39690</v>
      </c>
      <c r="I17">
        <v>39890</v>
      </c>
      <c r="J17">
        <v>40080</v>
      </c>
      <c r="K17">
        <v>40290</v>
      </c>
      <c r="L17">
        <v>40480</v>
      </c>
      <c r="O17">
        <v>1</v>
      </c>
      <c r="P17">
        <v>2</v>
      </c>
      <c r="Q17">
        <v>3</v>
      </c>
      <c r="R17">
        <v>4</v>
      </c>
      <c r="S17">
        <v>5</v>
      </c>
      <c r="T17">
        <v>6</v>
      </c>
      <c r="U17">
        <v>7</v>
      </c>
      <c r="V17">
        <v>8</v>
      </c>
      <c r="W17">
        <v>9</v>
      </c>
      <c r="X17" t="s">
        <v>45</v>
      </c>
      <c r="Y17" t="s">
        <v>46</v>
      </c>
      <c r="Z17" t="s">
        <v>47</v>
      </c>
    </row>
    <row r="18" spans="1:26">
      <c r="A18">
        <v>40680</v>
      </c>
      <c r="B18">
        <v>40860</v>
      </c>
      <c r="C18">
        <v>41070</v>
      </c>
      <c r="D18">
        <v>41270</v>
      </c>
      <c r="E18">
        <v>41410</v>
      </c>
      <c r="F18">
        <v>41590</v>
      </c>
      <c r="G18">
        <v>41770</v>
      </c>
      <c r="H18">
        <v>41980</v>
      </c>
      <c r="I18">
        <v>42150</v>
      </c>
      <c r="J18">
        <v>42350</v>
      </c>
      <c r="K18">
        <v>42540</v>
      </c>
      <c r="L18">
        <v>42770</v>
      </c>
      <c r="O18">
        <v>1</v>
      </c>
      <c r="P18">
        <v>2</v>
      </c>
      <c r="Q18">
        <v>3</v>
      </c>
      <c r="R18">
        <v>4</v>
      </c>
      <c r="S18">
        <v>5</v>
      </c>
      <c r="T18">
        <v>6</v>
      </c>
      <c r="U18">
        <v>7</v>
      </c>
      <c r="V18">
        <v>8</v>
      </c>
      <c r="W18">
        <v>9</v>
      </c>
      <c r="X18" t="s">
        <v>45</v>
      </c>
      <c r="Y18" t="s">
        <v>46</v>
      </c>
      <c r="Z18" t="s">
        <v>47</v>
      </c>
    </row>
    <row r="19" spans="1:26">
      <c r="A19">
        <v>43160</v>
      </c>
      <c r="B19">
        <v>43340</v>
      </c>
      <c r="C19">
        <v>43510</v>
      </c>
      <c r="D19">
        <v>43720</v>
      </c>
      <c r="E19">
        <v>43900</v>
      </c>
      <c r="F19">
        <v>44100</v>
      </c>
      <c r="G19">
        <v>44230</v>
      </c>
      <c r="H19">
        <v>44410</v>
      </c>
      <c r="I19">
        <v>44580</v>
      </c>
      <c r="J19">
        <v>44830</v>
      </c>
      <c r="K19">
        <v>45010</v>
      </c>
      <c r="L19">
        <v>45190</v>
      </c>
      <c r="O19">
        <v>1</v>
      </c>
      <c r="P19">
        <v>2</v>
      </c>
      <c r="Q19">
        <v>3</v>
      </c>
      <c r="R19">
        <v>4</v>
      </c>
      <c r="S19">
        <v>5</v>
      </c>
      <c r="T19">
        <v>6</v>
      </c>
      <c r="U19">
        <v>7</v>
      </c>
      <c r="V19">
        <v>8</v>
      </c>
      <c r="W19">
        <v>9</v>
      </c>
      <c r="X19" t="s">
        <v>45</v>
      </c>
      <c r="Y19" t="s">
        <v>46</v>
      </c>
      <c r="Z19" t="s">
        <v>47</v>
      </c>
    </row>
    <row r="20" spans="1:26">
      <c r="A20">
        <v>45440</v>
      </c>
      <c r="B20">
        <v>45600</v>
      </c>
      <c r="C20">
        <v>45790</v>
      </c>
      <c r="D20">
        <v>45960</v>
      </c>
      <c r="E20">
        <v>46120</v>
      </c>
      <c r="F20">
        <v>46340</v>
      </c>
      <c r="G20">
        <v>46510</v>
      </c>
      <c r="H20">
        <v>46710</v>
      </c>
      <c r="I20">
        <v>46870</v>
      </c>
      <c r="J20">
        <v>47080</v>
      </c>
      <c r="K20">
        <v>47270</v>
      </c>
      <c r="L20">
        <v>47480</v>
      </c>
      <c r="O20">
        <v>1</v>
      </c>
      <c r="P20">
        <v>2</v>
      </c>
      <c r="Q20">
        <v>3</v>
      </c>
      <c r="R20">
        <v>4</v>
      </c>
      <c r="S20">
        <v>5</v>
      </c>
      <c r="T20">
        <v>6</v>
      </c>
      <c r="U20">
        <v>7</v>
      </c>
      <c r="V20">
        <v>8</v>
      </c>
      <c r="W20">
        <v>9</v>
      </c>
      <c r="X20" t="s">
        <v>45</v>
      </c>
      <c r="Y20" t="s">
        <v>46</v>
      </c>
      <c r="Z20" t="s">
        <v>47</v>
      </c>
    </row>
    <row r="21" spans="1:26">
      <c r="A21">
        <v>47930</v>
      </c>
      <c r="B21">
        <v>48110</v>
      </c>
      <c r="C21">
        <v>48260</v>
      </c>
      <c r="D21">
        <v>48490</v>
      </c>
      <c r="E21">
        <v>48630</v>
      </c>
      <c r="F21">
        <v>48800</v>
      </c>
      <c r="G21">
        <v>48930</v>
      </c>
      <c r="H21">
        <v>49140</v>
      </c>
      <c r="I21">
        <v>49320</v>
      </c>
      <c r="J21">
        <v>49550</v>
      </c>
      <c r="K21">
        <v>49730</v>
      </c>
      <c r="L21">
        <v>49940</v>
      </c>
      <c r="O21">
        <v>1</v>
      </c>
      <c r="P21">
        <v>2</v>
      </c>
      <c r="Q21">
        <v>3</v>
      </c>
      <c r="R21">
        <v>4</v>
      </c>
      <c r="S21">
        <v>5</v>
      </c>
      <c r="T21">
        <v>6</v>
      </c>
      <c r="U21">
        <v>7</v>
      </c>
      <c r="V21">
        <v>8</v>
      </c>
      <c r="W21">
        <v>9</v>
      </c>
      <c r="X21" t="s">
        <v>45</v>
      </c>
      <c r="Y21" t="s">
        <v>46</v>
      </c>
      <c r="Z21" t="s">
        <v>47</v>
      </c>
    </row>
    <row r="22" spans="1:26">
      <c r="A22">
        <v>50170</v>
      </c>
      <c r="B22">
        <v>50330</v>
      </c>
      <c r="C22">
        <v>50510</v>
      </c>
      <c r="D22">
        <v>50690</v>
      </c>
      <c r="E22">
        <v>50870</v>
      </c>
      <c r="F22">
        <v>51060</v>
      </c>
      <c r="G22">
        <v>51210</v>
      </c>
      <c r="H22">
        <v>51400</v>
      </c>
      <c r="I22">
        <v>51560</v>
      </c>
      <c r="J22">
        <v>51780</v>
      </c>
      <c r="K22">
        <v>51980</v>
      </c>
      <c r="L22">
        <v>52220</v>
      </c>
      <c r="O22">
        <v>1</v>
      </c>
      <c r="P22">
        <v>2</v>
      </c>
      <c r="Q22">
        <v>3</v>
      </c>
      <c r="R22">
        <v>4</v>
      </c>
      <c r="S22">
        <v>5</v>
      </c>
      <c r="T22">
        <v>6</v>
      </c>
      <c r="U22">
        <v>7</v>
      </c>
      <c r="V22">
        <v>8</v>
      </c>
      <c r="W22">
        <v>9</v>
      </c>
      <c r="X22" t="s">
        <v>45</v>
      </c>
      <c r="Y22" t="s">
        <v>46</v>
      </c>
      <c r="Z22" t="s">
        <v>47</v>
      </c>
    </row>
    <row r="23" spans="1:26">
      <c r="A23">
        <v>52640</v>
      </c>
      <c r="B23">
        <v>52810</v>
      </c>
      <c r="C23">
        <v>52980</v>
      </c>
      <c r="D23">
        <v>53160</v>
      </c>
      <c r="E23">
        <v>53330</v>
      </c>
      <c r="F23">
        <v>53520</v>
      </c>
      <c r="G23">
        <v>53660</v>
      </c>
      <c r="H23">
        <v>53860</v>
      </c>
      <c r="I23">
        <v>54030</v>
      </c>
      <c r="J23">
        <v>54250</v>
      </c>
      <c r="K23">
        <v>54450</v>
      </c>
      <c r="L23">
        <v>54650</v>
      </c>
      <c r="O23">
        <v>1</v>
      </c>
      <c r="P23">
        <v>2</v>
      </c>
      <c r="Q23">
        <v>3</v>
      </c>
      <c r="R23">
        <v>4</v>
      </c>
      <c r="S23">
        <v>5</v>
      </c>
      <c r="T23">
        <v>6</v>
      </c>
      <c r="U23">
        <v>7</v>
      </c>
      <c r="V23">
        <v>8</v>
      </c>
      <c r="W23">
        <v>9</v>
      </c>
      <c r="X23" t="s">
        <v>45</v>
      </c>
      <c r="Y23" t="s">
        <v>46</v>
      </c>
      <c r="Z23" t="s">
        <v>47</v>
      </c>
    </row>
    <row r="24" spans="1:26">
      <c r="A24">
        <v>54880</v>
      </c>
      <c r="B24">
        <v>55040</v>
      </c>
      <c r="C24">
        <v>55240</v>
      </c>
      <c r="D24">
        <v>55400</v>
      </c>
      <c r="E24">
        <v>55580</v>
      </c>
      <c r="F24">
        <v>55810</v>
      </c>
      <c r="G24">
        <v>55950</v>
      </c>
      <c r="H24">
        <v>56130</v>
      </c>
      <c r="I24">
        <v>56330</v>
      </c>
      <c r="J24">
        <v>56530</v>
      </c>
      <c r="K24">
        <v>56690</v>
      </c>
      <c r="L24">
        <v>56900</v>
      </c>
      <c r="O24">
        <v>1</v>
      </c>
      <c r="P24">
        <v>2</v>
      </c>
      <c r="Q24">
        <v>3</v>
      </c>
      <c r="R24">
        <v>4</v>
      </c>
      <c r="S24">
        <v>5</v>
      </c>
      <c r="T24">
        <v>6</v>
      </c>
      <c r="U24">
        <v>7</v>
      </c>
      <c r="V24">
        <v>8</v>
      </c>
      <c r="W24">
        <v>9</v>
      </c>
      <c r="X24" t="s">
        <v>45</v>
      </c>
      <c r="Y24" t="s">
        <v>46</v>
      </c>
      <c r="Z24" t="s">
        <v>47</v>
      </c>
    </row>
    <row r="25" spans="1:26">
      <c r="A25">
        <v>57340</v>
      </c>
      <c r="B25">
        <v>57530</v>
      </c>
      <c r="C25">
        <v>57690</v>
      </c>
      <c r="D25">
        <v>57880</v>
      </c>
      <c r="E25">
        <v>58070</v>
      </c>
      <c r="F25">
        <v>58280</v>
      </c>
      <c r="G25">
        <v>58440</v>
      </c>
      <c r="H25">
        <v>58630</v>
      </c>
      <c r="I25">
        <v>58800</v>
      </c>
      <c r="J25">
        <v>58980</v>
      </c>
      <c r="K25">
        <v>59160</v>
      </c>
      <c r="L25">
        <v>59390</v>
      </c>
      <c r="O25">
        <v>1</v>
      </c>
      <c r="P25">
        <v>2</v>
      </c>
      <c r="Q25">
        <v>3</v>
      </c>
      <c r="R25">
        <v>4</v>
      </c>
      <c r="S25">
        <v>5</v>
      </c>
      <c r="T25">
        <v>6</v>
      </c>
      <c r="U25">
        <v>7</v>
      </c>
      <c r="V25">
        <v>8</v>
      </c>
      <c r="W25">
        <v>9</v>
      </c>
      <c r="X25" t="s">
        <v>45</v>
      </c>
      <c r="Y25" t="s">
        <v>46</v>
      </c>
      <c r="Z25" t="s">
        <v>47</v>
      </c>
    </row>
    <row r="26" spans="1:26">
      <c r="A26">
        <v>59600</v>
      </c>
      <c r="B26">
        <v>59760</v>
      </c>
      <c r="C26">
        <v>59960</v>
      </c>
      <c r="D26">
        <v>60140</v>
      </c>
      <c r="E26">
        <v>60330</v>
      </c>
      <c r="F26">
        <v>60540</v>
      </c>
      <c r="G26">
        <v>60720</v>
      </c>
      <c r="H26">
        <v>60900</v>
      </c>
      <c r="I26">
        <v>61070</v>
      </c>
      <c r="J26">
        <v>61270</v>
      </c>
      <c r="K26">
        <v>61460</v>
      </c>
      <c r="L26">
        <v>61670</v>
      </c>
      <c r="O26">
        <v>1</v>
      </c>
      <c r="P26">
        <v>2</v>
      </c>
      <c r="Q26">
        <v>3</v>
      </c>
      <c r="R26">
        <v>4</v>
      </c>
      <c r="S26">
        <v>5</v>
      </c>
      <c r="T26">
        <v>6</v>
      </c>
      <c r="U26">
        <v>7</v>
      </c>
      <c r="V26">
        <v>8</v>
      </c>
      <c r="W26">
        <v>9</v>
      </c>
      <c r="X26" t="s">
        <v>45</v>
      </c>
      <c r="Y26" t="s">
        <v>46</v>
      </c>
      <c r="Z26" t="s">
        <v>47</v>
      </c>
    </row>
    <row r="27" spans="1:26">
      <c r="A27">
        <v>62260</v>
      </c>
      <c r="B27">
        <v>62080</v>
      </c>
      <c r="C27">
        <v>62650</v>
      </c>
      <c r="D27">
        <v>62470</v>
      </c>
      <c r="E27">
        <v>63060</v>
      </c>
      <c r="F27">
        <v>62850</v>
      </c>
      <c r="G27">
        <v>63420</v>
      </c>
      <c r="H27">
        <v>63210</v>
      </c>
      <c r="I27">
        <v>63750</v>
      </c>
      <c r="J27">
        <v>63590</v>
      </c>
      <c r="K27">
        <v>64140</v>
      </c>
      <c r="L27">
        <v>63910</v>
      </c>
      <c r="O27">
        <v>2</v>
      </c>
      <c r="P27">
        <v>1</v>
      </c>
      <c r="Q27">
        <v>4</v>
      </c>
      <c r="R27">
        <v>3</v>
      </c>
      <c r="S27">
        <v>6</v>
      </c>
      <c r="T27">
        <v>5</v>
      </c>
      <c r="U27">
        <v>8</v>
      </c>
      <c r="V27">
        <v>7</v>
      </c>
      <c r="W27" t="s">
        <v>45</v>
      </c>
      <c r="X27">
        <v>9</v>
      </c>
      <c r="Y27" t="s">
        <v>47</v>
      </c>
      <c r="Z27" t="s">
        <v>46</v>
      </c>
    </row>
    <row r="28" spans="1:26">
      <c r="A28">
        <v>64310</v>
      </c>
      <c r="B28">
        <v>64480</v>
      </c>
      <c r="C28">
        <v>65150</v>
      </c>
      <c r="D28">
        <v>64730</v>
      </c>
      <c r="E28">
        <v>65480</v>
      </c>
      <c r="F28">
        <v>64930</v>
      </c>
      <c r="G28">
        <v>65830</v>
      </c>
      <c r="H28">
        <v>65320</v>
      </c>
      <c r="I28">
        <v>66200</v>
      </c>
      <c r="J28">
        <v>65620</v>
      </c>
      <c r="K28">
        <v>66430</v>
      </c>
      <c r="L28">
        <v>66000</v>
      </c>
      <c r="O28">
        <v>1</v>
      </c>
      <c r="P28">
        <v>2</v>
      </c>
      <c r="Q28">
        <v>4</v>
      </c>
      <c r="R28">
        <v>6</v>
      </c>
      <c r="S28">
        <v>3</v>
      </c>
      <c r="T28">
        <v>8</v>
      </c>
      <c r="U28">
        <v>5</v>
      </c>
      <c r="V28" t="s">
        <v>45</v>
      </c>
      <c r="W28">
        <v>7</v>
      </c>
      <c r="X28" t="s">
        <v>47</v>
      </c>
      <c r="Y28">
        <v>9</v>
      </c>
      <c r="Z28" t="s">
        <v>46</v>
      </c>
    </row>
    <row r="29" spans="1:26">
      <c r="A29">
        <v>67030</v>
      </c>
      <c r="B29">
        <v>66820</v>
      </c>
      <c r="C29">
        <v>67760</v>
      </c>
      <c r="D29">
        <v>67410</v>
      </c>
      <c r="E29">
        <v>68140</v>
      </c>
      <c r="F29">
        <v>67200</v>
      </c>
      <c r="G29">
        <v>68470</v>
      </c>
      <c r="H29">
        <v>67570</v>
      </c>
      <c r="I29">
        <v>68820</v>
      </c>
      <c r="J29">
        <v>67950</v>
      </c>
      <c r="K29">
        <v>68700</v>
      </c>
      <c r="L29">
        <v>68340</v>
      </c>
      <c r="O29">
        <v>2</v>
      </c>
      <c r="P29">
        <v>1</v>
      </c>
      <c r="Q29">
        <v>6</v>
      </c>
      <c r="R29">
        <v>4</v>
      </c>
      <c r="S29">
        <v>8</v>
      </c>
      <c r="T29">
        <v>3</v>
      </c>
      <c r="U29" t="s">
        <v>45</v>
      </c>
      <c r="V29">
        <v>5</v>
      </c>
      <c r="W29" t="s">
        <v>47</v>
      </c>
      <c r="X29">
        <v>7</v>
      </c>
      <c r="Y29" t="s">
        <v>46</v>
      </c>
      <c r="Z29">
        <v>9</v>
      </c>
    </row>
    <row r="30" spans="1:26">
      <c r="A30">
        <v>69480</v>
      </c>
      <c r="B30">
        <v>69100</v>
      </c>
      <c r="C30">
        <v>69860</v>
      </c>
      <c r="D30">
        <v>69630</v>
      </c>
      <c r="E30">
        <v>70150</v>
      </c>
      <c r="F30">
        <v>69320</v>
      </c>
      <c r="G30">
        <v>70570</v>
      </c>
      <c r="H30">
        <v>70010</v>
      </c>
      <c r="I30">
        <v>70960</v>
      </c>
      <c r="J30">
        <v>70350</v>
      </c>
      <c r="K30">
        <v>71150</v>
      </c>
      <c r="L30">
        <v>70730</v>
      </c>
      <c r="O30">
        <v>2</v>
      </c>
      <c r="P30">
        <v>6</v>
      </c>
      <c r="Q30">
        <v>1</v>
      </c>
      <c r="R30">
        <v>4</v>
      </c>
      <c r="S30">
        <v>3</v>
      </c>
      <c r="T30">
        <v>8</v>
      </c>
      <c r="U30">
        <v>5</v>
      </c>
      <c r="V30" t="s">
        <v>45</v>
      </c>
      <c r="W30">
        <v>7</v>
      </c>
      <c r="X30" t="s">
        <v>47</v>
      </c>
      <c r="Y30">
        <v>9</v>
      </c>
      <c r="Z30" t="s">
        <v>46</v>
      </c>
    </row>
    <row r="31" spans="1:26">
      <c r="A31">
        <v>72110</v>
      </c>
      <c r="B31">
        <v>71720</v>
      </c>
      <c r="C31">
        <v>72520</v>
      </c>
      <c r="D31">
        <v>71920</v>
      </c>
      <c r="E31">
        <v>72860</v>
      </c>
      <c r="F31">
        <v>71500</v>
      </c>
      <c r="G31">
        <v>73200</v>
      </c>
      <c r="H31">
        <v>72310</v>
      </c>
      <c r="I31">
        <v>73610</v>
      </c>
      <c r="J31">
        <v>72700</v>
      </c>
      <c r="K31">
        <v>73410</v>
      </c>
      <c r="L31">
        <v>73030</v>
      </c>
      <c r="O31">
        <v>6</v>
      </c>
      <c r="P31">
        <v>2</v>
      </c>
      <c r="Q31">
        <v>4</v>
      </c>
      <c r="R31">
        <v>1</v>
      </c>
      <c r="S31">
        <v>8</v>
      </c>
      <c r="T31">
        <v>3</v>
      </c>
      <c r="U31" t="s">
        <v>45</v>
      </c>
      <c r="V31">
        <v>5</v>
      </c>
      <c r="W31" t="s">
        <v>47</v>
      </c>
      <c r="X31">
        <v>7</v>
      </c>
      <c r="Y31" t="s">
        <v>46</v>
      </c>
      <c r="Z31">
        <v>9</v>
      </c>
    </row>
    <row r="32" spans="1:26">
      <c r="A32">
        <v>74220</v>
      </c>
      <c r="B32">
        <v>74030</v>
      </c>
      <c r="C32">
        <v>75000</v>
      </c>
      <c r="D32">
        <v>74380</v>
      </c>
      <c r="E32">
        <v>75330</v>
      </c>
      <c r="F32">
        <v>73830</v>
      </c>
      <c r="G32">
        <v>75680</v>
      </c>
      <c r="H32">
        <v>74570</v>
      </c>
      <c r="I32">
        <v>75890</v>
      </c>
      <c r="J32">
        <v>74740</v>
      </c>
      <c r="K32">
        <v>75550</v>
      </c>
      <c r="L32">
        <v>75140</v>
      </c>
      <c r="O32">
        <v>6</v>
      </c>
      <c r="P32">
        <v>2</v>
      </c>
      <c r="Q32">
        <v>1</v>
      </c>
      <c r="R32">
        <v>4</v>
      </c>
      <c r="S32">
        <v>8</v>
      </c>
      <c r="T32" t="s">
        <v>45</v>
      </c>
      <c r="U32">
        <v>3</v>
      </c>
      <c r="V32" t="s">
        <v>47</v>
      </c>
      <c r="W32">
        <v>5</v>
      </c>
      <c r="X32" t="s">
        <v>46</v>
      </c>
      <c r="Y32">
        <v>7</v>
      </c>
      <c r="Z32">
        <v>9</v>
      </c>
    </row>
    <row r="33" spans="1:26">
      <c r="A33">
        <v>76910</v>
      </c>
      <c r="B33">
        <v>76340</v>
      </c>
      <c r="C33">
        <v>77630</v>
      </c>
      <c r="D33">
        <v>76740</v>
      </c>
      <c r="E33">
        <v>77970</v>
      </c>
      <c r="F33">
        <v>76500</v>
      </c>
      <c r="G33">
        <v>78410</v>
      </c>
      <c r="H33">
        <v>77170</v>
      </c>
      <c r="I33">
        <v>78190</v>
      </c>
      <c r="J33">
        <v>77050</v>
      </c>
      <c r="K33">
        <v>77790</v>
      </c>
      <c r="L33">
        <v>77420</v>
      </c>
      <c r="O33">
        <v>2</v>
      </c>
      <c r="P33">
        <v>6</v>
      </c>
      <c r="Q33">
        <v>4</v>
      </c>
      <c r="R33">
        <v>1</v>
      </c>
      <c r="S33" t="s">
        <v>45</v>
      </c>
      <c r="T33">
        <v>8</v>
      </c>
      <c r="U33" t="s">
        <v>47</v>
      </c>
      <c r="V33">
        <v>3</v>
      </c>
      <c r="W33" t="s">
        <v>46</v>
      </c>
      <c r="X33">
        <v>5</v>
      </c>
      <c r="Y33">
        <v>9</v>
      </c>
      <c r="Z33">
        <v>7</v>
      </c>
    </row>
    <row r="34" spans="1:26">
      <c r="A34">
        <v>79370</v>
      </c>
      <c r="B34">
        <v>78790</v>
      </c>
      <c r="C34">
        <v>79710</v>
      </c>
      <c r="D34">
        <v>79010</v>
      </c>
      <c r="E34">
        <v>80060</v>
      </c>
      <c r="F34">
        <v>78630</v>
      </c>
      <c r="G34">
        <v>80470</v>
      </c>
      <c r="H34">
        <v>79530</v>
      </c>
      <c r="I34">
        <v>80670</v>
      </c>
      <c r="J34">
        <v>79140</v>
      </c>
      <c r="K34">
        <v>80310</v>
      </c>
      <c r="L34">
        <v>79880</v>
      </c>
      <c r="O34">
        <v>6</v>
      </c>
      <c r="P34">
        <v>2</v>
      </c>
      <c r="Q34">
        <v>4</v>
      </c>
      <c r="R34" t="s">
        <v>45</v>
      </c>
      <c r="S34">
        <v>1</v>
      </c>
      <c r="T34">
        <v>8</v>
      </c>
      <c r="U34">
        <v>3</v>
      </c>
      <c r="V34" t="s">
        <v>47</v>
      </c>
      <c r="W34">
        <v>5</v>
      </c>
      <c r="X34" t="s">
        <v>46</v>
      </c>
      <c r="Y34">
        <v>7</v>
      </c>
      <c r="Z34">
        <v>9</v>
      </c>
    </row>
    <row r="35" spans="1:26">
      <c r="A35">
        <v>82010</v>
      </c>
      <c r="B35">
        <v>81060</v>
      </c>
      <c r="C35">
        <v>82400</v>
      </c>
      <c r="D35">
        <v>81670</v>
      </c>
      <c r="E35">
        <v>82750</v>
      </c>
      <c r="F35">
        <v>81300</v>
      </c>
      <c r="G35">
        <v>83170</v>
      </c>
      <c r="H35">
        <v>81790</v>
      </c>
      <c r="I35">
        <v>82950</v>
      </c>
      <c r="J35">
        <v>81450</v>
      </c>
      <c r="K35">
        <v>82590</v>
      </c>
      <c r="L35">
        <v>82210</v>
      </c>
      <c r="O35">
        <v>2</v>
      </c>
      <c r="P35">
        <v>6</v>
      </c>
      <c r="Q35" t="s">
        <v>45</v>
      </c>
      <c r="R35">
        <v>4</v>
      </c>
      <c r="S35">
        <v>8</v>
      </c>
      <c r="T35">
        <v>1</v>
      </c>
      <c r="U35" t="s">
        <v>47</v>
      </c>
      <c r="V35">
        <v>3</v>
      </c>
      <c r="W35" t="s">
        <v>46</v>
      </c>
      <c r="X35">
        <v>5</v>
      </c>
      <c r="Y35">
        <v>9</v>
      </c>
      <c r="Z35">
        <v>7</v>
      </c>
    </row>
    <row r="36" spans="1:26">
      <c r="A36">
        <v>84130</v>
      </c>
      <c r="B36">
        <v>83400</v>
      </c>
      <c r="C36">
        <v>84860</v>
      </c>
      <c r="D36">
        <v>83920</v>
      </c>
      <c r="E36">
        <v>85250</v>
      </c>
      <c r="F36">
        <v>83740</v>
      </c>
      <c r="G36">
        <v>85450</v>
      </c>
      <c r="H36">
        <v>84290</v>
      </c>
      <c r="I36">
        <v>85090</v>
      </c>
      <c r="J36">
        <v>83600</v>
      </c>
      <c r="K36">
        <v>84700</v>
      </c>
      <c r="L36">
        <v>84480</v>
      </c>
      <c r="O36">
        <v>2</v>
      </c>
      <c r="P36" t="s">
        <v>45</v>
      </c>
      <c r="Q36">
        <v>6</v>
      </c>
      <c r="R36">
        <v>4</v>
      </c>
      <c r="S36">
        <v>1</v>
      </c>
      <c r="T36">
        <v>8</v>
      </c>
      <c r="U36" t="s">
        <v>47</v>
      </c>
      <c r="V36" t="s">
        <v>46</v>
      </c>
      <c r="W36">
        <v>3</v>
      </c>
      <c r="X36">
        <v>9</v>
      </c>
      <c r="Y36">
        <v>5</v>
      </c>
      <c r="Z36">
        <v>7</v>
      </c>
    </row>
    <row r="37" spans="1:26">
      <c r="A37">
        <v>86840</v>
      </c>
      <c r="B37">
        <v>86080</v>
      </c>
      <c r="C37">
        <v>87530</v>
      </c>
      <c r="D37">
        <v>86270</v>
      </c>
      <c r="E37">
        <v>87960</v>
      </c>
      <c r="F37">
        <v>86520</v>
      </c>
      <c r="G37">
        <v>87790</v>
      </c>
      <c r="H37">
        <v>86630</v>
      </c>
      <c r="I37">
        <v>87360</v>
      </c>
      <c r="J37">
        <v>85920</v>
      </c>
      <c r="K37">
        <v>86940</v>
      </c>
      <c r="L37">
        <v>87180</v>
      </c>
      <c r="O37" t="s">
        <v>45</v>
      </c>
      <c r="P37">
        <v>2</v>
      </c>
      <c r="Q37">
        <v>4</v>
      </c>
      <c r="R37">
        <v>6</v>
      </c>
      <c r="S37">
        <v>8</v>
      </c>
      <c r="T37">
        <v>1</v>
      </c>
      <c r="U37" t="s">
        <v>46</v>
      </c>
      <c r="V37" t="s">
        <v>47</v>
      </c>
      <c r="W37">
        <v>9</v>
      </c>
      <c r="X37">
        <v>3</v>
      </c>
      <c r="Y37">
        <v>7</v>
      </c>
      <c r="Z37">
        <v>5</v>
      </c>
    </row>
    <row r="38" spans="1:26">
      <c r="A38">
        <v>89290</v>
      </c>
      <c r="B38">
        <v>88190</v>
      </c>
      <c r="C38">
        <v>89660</v>
      </c>
      <c r="D38">
        <v>88740</v>
      </c>
      <c r="E38">
        <v>90030</v>
      </c>
      <c r="F38">
        <v>88560</v>
      </c>
      <c r="G38">
        <v>90250</v>
      </c>
      <c r="H38">
        <v>88900</v>
      </c>
      <c r="I38">
        <v>89860</v>
      </c>
      <c r="J38">
        <v>88360</v>
      </c>
      <c r="K38">
        <v>89100</v>
      </c>
      <c r="L38">
        <v>89470</v>
      </c>
      <c r="O38">
        <v>2</v>
      </c>
      <c r="P38" t="s">
        <v>45</v>
      </c>
      <c r="Q38">
        <v>6</v>
      </c>
      <c r="R38">
        <v>4</v>
      </c>
      <c r="S38">
        <v>8</v>
      </c>
      <c r="T38" t="s">
        <v>46</v>
      </c>
      <c r="U38">
        <v>1</v>
      </c>
      <c r="V38" t="s">
        <v>47</v>
      </c>
      <c r="W38">
        <v>3</v>
      </c>
      <c r="X38">
        <v>9</v>
      </c>
      <c r="Y38">
        <v>5</v>
      </c>
      <c r="Z38">
        <v>7</v>
      </c>
    </row>
    <row r="39" spans="1:26">
      <c r="A39">
        <v>91990</v>
      </c>
      <c r="B39">
        <v>90880</v>
      </c>
      <c r="C39">
        <v>92340</v>
      </c>
      <c r="D39">
        <v>91050</v>
      </c>
      <c r="E39">
        <v>92780</v>
      </c>
      <c r="F39">
        <v>91260</v>
      </c>
      <c r="G39">
        <v>92590</v>
      </c>
      <c r="H39">
        <v>91540</v>
      </c>
      <c r="I39">
        <v>92180</v>
      </c>
      <c r="J39">
        <v>90680</v>
      </c>
      <c r="K39">
        <v>91400</v>
      </c>
      <c r="L39">
        <v>91790</v>
      </c>
      <c r="O39" t="s">
        <v>45</v>
      </c>
      <c r="P39">
        <v>2</v>
      </c>
      <c r="Q39">
        <v>4</v>
      </c>
      <c r="R39">
        <v>6</v>
      </c>
      <c r="S39" t="s">
        <v>46</v>
      </c>
      <c r="T39">
        <v>8</v>
      </c>
      <c r="U39" t="s">
        <v>47</v>
      </c>
      <c r="V39">
        <v>1</v>
      </c>
      <c r="W39">
        <v>9</v>
      </c>
      <c r="X39">
        <v>3</v>
      </c>
      <c r="Y39">
        <v>7</v>
      </c>
      <c r="Z39">
        <v>5</v>
      </c>
    </row>
    <row r="40" spans="1:26">
      <c r="A40">
        <v>94090</v>
      </c>
      <c r="B40">
        <v>93350</v>
      </c>
      <c r="C40">
        <v>94850</v>
      </c>
      <c r="D40">
        <v>93120</v>
      </c>
      <c r="E40">
        <v>95080</v>
      </c>
      <c r="F40">
        <v>93690</v>
      </c>
      <c r="G40">
        <v>94700</v>
      </c>
      <c r="H40">
        <v>93850</v>
      </c>
      <c r="I40">
        <v>94450</v>
      </c>
      <c r="J40">
        <v>92940</v>
      </c>
      <c r="K40">
        <v>93510</v>
      </c>
      <c r="L40">
        <v>94270</v>
      </c>
      <c r="O40" t="s">
        <v>45</v>
      </c>
      <c r="P40">
        <v>4</v>
      </c>
      <c r="Q40">
        <v>2</v>
      </c>
      <c r="R40" t="s">
        <v>46</v>
      </c>
      <c r="S40">
        <v>6</v>
      </c>
      <c r="T40">
        <v>8</v>
      </c>
      <c r="U40">
        <v>1</v>
      </c>
      <c r="V40" t="s">
        <v>47</v>
      </c>
      <c r="W40">
        <v>9</v>
      </c>
      <c r="X40">
        <v>7</v>
      </c>
      <c r="Y40">
        <v>3</v>
      </c>
      <c r="Z40">
        <v>5</v>
      </c>
    </row>
    <row r="41" spans="1:26">
      <c r="A41">
        <v>96790</v>
      </c>
      <c r="B41">
        <v>96000</v>
      </c>
      <c r="C41">
        <v>97510</v>
      </c>
      <c r="D41">
        <v>95450</v>
      </c>
      <c r="E41">
        <v>97320</v>
      </c>
      <c r="F41">
        <v>96360</v>
      </c>
      <c r="G41">
        <v>97000</v>
      </c>
      <c r="H41">
        <v>96140</v>
      </c>
      <c r="I41">
        <v>97160</v>
      </c>
      <c r="J41">
        <v>95660</v>
      </c>
      <c r="K41">
        <v>95810</v>
      </c>
      <c r="L41">
        <v>96560</v>
      </c>
      <c r="O41">
        <v>4</v>
      </c>
      <c r="P41" t="s">
        <v>45</v>
      </c>
      <c r="Q41" t="s">
        <v>46</v>
      </c>
      <c r="R41">
        <v>2</v>
      </c>
      <c r="S41">
        <v>8</v>
      </c>
      <c r="T41">
        <v>6</v>
      </c>
      <c r="U41" t="s">
        <v>47</v>
      </c>
      <c r="V41">
        <v>1</v>
      </c>
      <c r="W41">
        <v>7</v>
      </c>
      <c r="X41">
        <v>9</v>
      </c>
      <c r="Y41">
        <v>5</v>
      </c>
      <c r="Z41">
        <v>3</v>
      </c>
    </row>
    <row r="42" spans="1:26">
      <c r="A42">
        <v>99270</v>
      </c>
      <c r="B42">
        <v>98120</v>
      </c>
      <c r="C42">
        <v>99630</v>
      </c>
      <c r="D42">
        <v>97900</v>
      </c>
      <c r="E42">
        <v>99820</v>
      </c>
      <c r="F42">
        <v>98490</v>
      </c>
      <c r="G42">
        <v>99060</v>
      </c>
      <c r="H42">
        <v>98660</v>
      </c>
      <c r="I42">
        <v>99450</v>
      </c>
      <c r="J42">
        <v>97740</v>
      </c>
      <c r="K42">
        <v>98280</v>
      </c>
      <c r="L42">
        <v>98890</v>
      </c>
      <c r="O42" t="s">
        <v>45</v>
      </c>
      <c r="P42">
        <v>4</v>
      </c>
      <c r="Q42">
        <v>2</v>
      </c>
      <c r="R42" t="s">
        <v>46</v>
      </c>
      <c r="S42">
        <v>6</v>
      </c>
      <c r="T42">
        <v>8</v>
      </c>
      <c r="U42" t="s">
        <v>47</v>
      </c>
      <c r="V42">
        <v>7</v>
      </c>
      <c r="W42">
        <v>1</v>
      </c>
      <c r="X42">
        <v>9</v>
      </c>
      <c r="Y42">
        <v>3</v>
      </c>
      <c r="Z42">
        <v>5</v>
      </c>
    </row>
    <row r="43" spans="1:26">
      <c r="A43">
        <v>101950</v>
      </c>
      <c r="B43">
        <v>100800</v>
      </c>
      <c r="C43">
        <v>102320</v>
      </c>
      <c r="D43">
        <v>100150</v>
      </c>
      <c r="E43">
        <v>102120</v>
      </c>
      <c r="F43">
        <v>101160</v>
      </c>
      <c r="G43">
        <v>101330</v>
      </c>
      <c r="H43">
        <v>100940</v>
      </c>
      <c r="I43">
        <v>101730</v>
      </c>
      <c r="J43">
        <v>100440</v>
      </c>
      <c r="K43">
        <v>100610</v>
      </c>
      <c r="L43">
        <v>101580</v>
      </c>
      <c r="O43">
        <v>4</v>
      </c>
      <c r="P43" t="s">
        <v>45</v>
      </c>
      <c r="Q43" t="s">
        <v>46</v>
      </c>
      <c r="R43">
        <v>2</v>
      </c>
      <c r="S43">
        <v>8</v>
      </c>
      <c r="T43">
        <v>6</v>
      </c>
      <c r="U43">
        <v>7</v>
      </c>
      <c r="V43" t="s">
        <v>47</v>
      </c>
      <c r="W43">
        <v>9</v>
      </c>
      <c r="X43">
        <v>1</v>
      </c>
      <c r="Y43">
        <v>5</v>
      </c>
      <c r="Z43">
        <v>3</v>
      </c>
    </row>
    <row r="44" spans="1:26">
      <c r="A44">
        <v>104040</v>
      </c>
      <c r="B44">
        <v>103280</v>
      </c>
      <c r="C44">
        <v>104420</v>
      </c>
      <c r="D44">
        <v>102510</v>
      </c>
      <c r="E44">
        <v>104600</v>
      </c>
      <c r="F44">
        <v>103680</v>
      </c>
      <c r="G44">
        <v>103470</v>
      </c>
      <c r="H44">
        <v>103100</v>
      </c>
      <c r="I44">
        <v>104220</v>
      </c>
      <c r="J44">
        <v>102880</v>
      </c>
      <c r="K44">
        <v>102660</v>
      </c>
      <c r="L44">
        <v>103840</v>
      </c>
      <c r="O44">
        <v>4</v>
      </c>
      <c r="P44" t="s">
        <v>46</v>
      </c>
      <c r="Q44" t="s">
        <v>45</v>
      </c>
      <c r="R44">
        <v>8</v>
      </c>
      <c r="S44">
        <v>2</v>
      </c>
      <c r="T44">
        <v>7</v>
      </c>
      <c r="U44">
        <v>6</v>
      </c>
      <c r="V44" t="s">
        <v>47</v>
      </c>
      <c r="W44">
        <v>1</v>
      </c>
      <c r="X44">
        <v>9</v>
      </c>
      <c r="Y44">
        <v>3</v>
      </c>
      <c r="Z44">
        <v>5</v>
      </c>
    </row>
    <row r="45" spans="1:26">
      <c r="A45">
        <v>106770</v>
      </c>
      <c r="B45">
        <v>105930</v>
      </c>
      <c r="C45">
        <v>107090</v>
      </c>
      <c r="D45">
        <v>105180</v>
      </c>
      <c r="E45">
        <v>106930</v>
      </c>
      <c r="F45">
        <v>106350</v>
      </c>
      <c r="G45">
        <v>105710</v>
      </c>
      <c r="H45">
        <v>105370</v>
      </c>
      <c r="I45">
        <v>106520</v>
      </c>
      <c r="J45">
        <v>105580</v>
      </c>
      <c r="K45">
        <v>104990</v>
      </c>
      <c r="L45">
        <v>106150</v>
      </c>
      <c r="O45" t="s">
        <v>46</v>
      </c>
      <c r="P45">
        <v>4</v>
      </c>
      <c r="Q45">
        <v>8</v>
      </c>
      <c r="R45" t="s">
        <v>45</v>
      </c>
      <c r="S45">
        <v>7</v>
      </c>
      <c r="T45">
        <v>2</v>
      </c>
      <c r="U45" t="s">
        <v>47</v>
      </c>
      <c r="V45">
        <v>6</v>
      </c>
      <c r="W45">
        <v>9</v>
      </c>
      <c r="X45">
        <v>1</v>
      </c>
      <c r="Y45">
        <v>5</v>
      </c>
      <c r="Z45">
        <v>3</v>
      </c>
    </row>
    <row r="46" spans="1:26">
      <c r="A46">
        <v>109200</v>
      </c>
      <c r="B46">
        <v>108050</v>
      </c>
      <c r="C46">
        <v>109420</v>
      </c>
      <c r="D46">
        <v>107290</v>
      </c>
      <c r="E46">
        <v>109000</v>
      </c>
      <c r="F46">
        <v>108470</v>
      </c>
      <c r="G46">
        <v>108250</v>
      </c>
      <c r="H46">
        <v>107850</v>
      </c>
      <c r="I46">
        <v>108820</v>
      </c>
      <c r="J46">
        <v>107660</v>
      </c>
      <c r="K46">
        <v>107460</v>
      </c>
      <c r="L46">
        <v>108630</v>
      </c>
      <c r="O46">
        <v>4</v>
      </c>
      <c r="P46" t="s">
        <v>46</v>
      </c>
      <c r="Q46" t="s">
        <v>45</v>
      </c>
      <c r="R46">
        <v>8</v>
      </c>
      <c r="S46">
        <v>2</v>
      </c>
      <c r="T46">
        <v>7</v>
      </c>
      <c r="U46">
        <v>6</v>
      </c>
      <c r="V46" t="s">
        <v>47</v>
      </c>
      <c r="W46">
        <v>9</v>
      </c>
      <c r="X46">
        <v>5</v>
      </c>
      <c r="Y46">
        <v>1</v>
      </c>
      <c r="Z46">
        <v>3</v>
      </c>
    </row>
    <row r="47" spans="1:26">
      <c r="A47">
        <v>111880</v>
      </c>
      <c r="B47">
        <v>110750</v>
      </c>
      <c r="C47">
        <v>111640</v>
      </c>
      <c r="D47">
        <v>109980</v>
      </c>
      <c r="E47">
        <v>111310</v>
      </c>
      <c r="F47">
        <v>111130</v>
      </c>
      <c r="G47">
        <v>110540</v>
      </c>
      <c r="H47">
        <v>110130</v>
      </c>
      <c r="I47">
        <v>111490</v>
      </c>
      <c r="J47">
        <v>110340</v>
      </c>
      <c r="K47">
        <v>109790</v>
      </c>
      <c r="L47">
        <v>110930</v>
      </c>
      <c r="O47" t="s">
        <v>46</v>
      </c>
      <c r="P47">
        <v>4</v>
      </c>
      <c r="Q47">
        <v>8</v>
      </c>
      <c r="R47" t="s">
        <v>45</v>
      </c>
      <c r="S47">
        <v>7</v>
      </c>
      <c r="T47">
        <v>2</v>
      </c>
      <c r="U47" t="s">
        <v>47</v>
      </c>
      <c r="V47">
        <v>6</v>
      </c>
      <c r="W47">
        <v>5</v>
      </c>
      <c r="X47">
        <v>9</v>
      </c>
      <c r="Y47">
        <v>3</v>
      </c>
      <c r="Z47">
        <v>1</v>
      </c>
    </row>
    <row r="48" spans="1:26">
      <c r="A48">
        <v>113990</v>
      </c>
      <c r="B48">
        <v>113230</v>
      </c>
      <c r="C48">
        <v>114180</v>
      </c>
      <c r="D48">
        <v>112430</v>
      </c>
      <c r="E48">
        <v>113390</v>
      </c>
      <c r="F48">
        <v>113630</v>
      </c>
      <c r="G48">
        <v>112680</v>
      </c>
      <c r="H48">
        <v>112250</v>
      </c>
      <c r="I48">
        <v>113810</v>
      </c>
      <c r="J48">
        <v>112860</v>
      </c>
      <c r="K48">
        <v>112060</v>
      </c>
      <c r="L48">
        <v>113040</v>
      </c>
      <c r="O48" t="s">
        <v>46</v>
      </c>
      <c r="P48">
        <v>8</v>
      </c>
      <c r="Q48">
        <v>4</v>
      </c>
      <c r="R48">
        <v>7</v>
      </c>
      <c r="S48" t="s">
        <v>45</v>
      </c>
      <c r="T48" t="s">
        <v>47</v>
      </c>
      <c r="U48">
        <v>2</v>
      </c>
      <c r="V48">
        <v>5</v>
      </c>
      <c r="W48">
        <v>6</v>
      </c>
      <c r="X48">
        <v>9</v>
      </c>
      <c r="Y48">
        <v>1</v>
      </c>
      <c r="Z48">
        <v>3</v>
      </c>
    </row>
    <row r="49" spans="1:26">
      <c r="A49">
        <v>116700</v>
      </c>
      <c r="B49">
        <v>115900</v>
      </c>
      <c r="C49">
        <v>116500</v>
      </c>
      <c r="D49">
        <v>115130</v>
      </c>
      <c r="E49">
        <v>115670</v>
      </c>
      <c r="F49">
        <v>116300</v>
      </c>
      <c r="G49">
        <v>114920</v>
      </c>
      <c r="H49">
        <v>114490</v>
      </c>
      <c r="I49">
        <v>116090</v>
      </c>
      <c r="J49">
        <v>115540</v>
      </c>
      <c r="K49">
        <v>114700</v>
      </c>
      <c r="L49">
        <v>115310</v>
      </c>
      <c r="O49">
        <v>8</v>
      </c>
      <c r="P49" t="s">
        <v>46</v>
      </c>
      <c r="Q49">
        <v>7</v>
      </c>
      <c r="R49">
        <v>4</v>
      </c>
      <c r="S49" t="s">
        <v>47</v>
      </c>
      <c r="T49" t="s">
        <v>45</v>
      </c>
      <c r="U49">
        <v>5</v>
      </c>
      <c r="V49">
        <v>2</v>
      </c>
      <c r="W49">
        <v>9</v>
      </c>
      <c r="X49">
        <v>6</v>
      </c>
      <c r="Y49">
        <v>3</v>
      </c>
      <c r="Z49">
        <v>1</v>
      </c>
    </row>
    <row r="50" spans="1:26">
      <c r="A50">
        <v>118980</v>
      </c>
      <c r="B50">
        <v>118010</v>
      </c>
      <c r="C50">
        <v>118750</v>
      </c>
      <c r="D50">
        <v>117200</v>
      </c>
      <c r="E50">
        <v>118190</v>
      </c>
      <c r="F50">
        <v>118380</v>
      </c>
      <c r="G50">
        <v>117410</v>
      </c>
      <c r="H50">
        <v>117030</v>
      </c>
      <c r="I50">
        <v>118570</v>
      </c>
      <c r="J50">
        <v>117630</v>
      </c>
      <c r="K50">
        <v>116840</v>
      </c>
      <c r="L50">
        <v>117800</v>
      </c>
      <c r="O50" t="s">
        <v>46</v>
      </c>
      <c r="P50">
        <v>8</v>
      </c>
      <c r="Q50">
        <v>4</v>
      </c>
      <c r="R50">
        <v>7</v>
      </c>
      <c r="S50" t="s">
        <v>45</v>
      </c>
      <c r="T50" t="s">
        <v>47</v>
      </c>
      <c r="U50">
        <v>2</v>
      </c>
      <c r="V50">
        <v>5</v>
      </c>
      <c r="W50">
        <v>6</v>
      </c>
      <c r="X50">
        <v>9</v>
      </c>
      <c r="Y50">
        <v>3</v>
      </c>
      <c r="Z50">
        <v>1</v>
      </c>
    </row>
    <row r="51" spans="1:26">
      <c r="A51">
        <v>121250</v>
      </c>
      <c r="B51">
        <v>120680</v>
      </c>
      <c r="C51">
        <v>121390</v>
      </c>
      <c r="D51">
        <v>119900</v>
      </c>
      <c r="E51">
        <v>120450</v>
      </c>
      <c r="F51">
        <v>121080</v>
      </c>
      <c r="G51">
        <v>119670</v>
      </c>
      <c r="H51">
        <v>119280</v>
      </c>
      <c r="I51">
        <v>120860</v>
      </c>
      <c r="J51">
        <v>120290</v>
      </c>
      <c r="K51">
        <v>119490</v>
      </c>
      <c r="L51">
        <v>120070</v>
      </c>
      <c r="O51">
        <v>8</v>
      </c>
      <c r="P51" t="s">
        <v>46</v>
      </c>
      <c r="Q51">
        <v>7</v>
      </c>
      <c r="R51">
        <v>4</v>
      </c>
      <c r="S51" t="s">
        <v>47</v>
      </c>
      <c r="T51" t="s">
        <v>45</v>
      </c>
      <c r="U51">
        <v>5</v>
      </c>
      <c r="V51">
        <v>2</v>
      </c>
      <c r="W51">
        <v>9</v>
      </c>
      <c r="X51">
        <v>6</v>
      </c>
      <c r="Y51">
        <v>1</v>
      </c>
      <c r="Z51">
        <v>3</v>
      </c>
    </row>
    <row r="52" spans="1:26">
      <c r="A52">
        <v>123750</v>
      </c>
      <c r="B52">
        <v>123140</v>
      </c>
      <c r="C52">
        <v>123530</v>
      </c>
      <c r="D52">
        <v>122360</v>
      </c>
      <c r="E52">
        <v>122550</v>
      </c>
      <c r="F52">
        <v>123370</v>
      </c>
      <c r="G52">
        <v>121800</v>
      </c>
      <c r="H52">
        <v>121590</v>
      </c>
      <c r="I52">
        <v>122940</v>
      </c>
      <c r="J52">
        <v>122780</v>
      </c>
      <c r="K52">
        <v>121990</v>
      </c>
      <c r="L52">
        <v>122200</v>
      </c>
      <c r="O52">
        <v>8</v>
      </c>
      <c r="P52">
        <v>7</v>
      </c>
      <c r="Q52" t="s">
        <v>46</v>
      </c>
      <c r="R52" t="s">
        <v>47</v>
      </c>
      <c r="S52">
        <v>4</v>
      </c>
      <c r="T52">
        <v>5</v>
      </c>
      <c r="U52" t="s">
        <v>45</v>
      </c>
      <c r="V52">
        <v>9</v>
      </c>
      <c r="W52">
        <v>2</v>
      </c>
      <c r="X52">
        <v>6</v>
      </c>
      <c r="Y52">
        <v>3</v>
      </c>
      <c r="Z52">
        <v>1</v>
      </c>
    </row>
    <row r="53" spans="1:26">
      <c r="A53">
        <v>126010</v>
      </c>
      <c r="B53">
        <v>125800</v>
      </c>
      <c r="C53">
        <v>126200</v>
      </c>
      <c r="D53">
        <v>125020</v>
      </c>
      <c r="E53">
        <v>124820</v>
      </c>
      <c r="F53">
        <v>125640</v>
      </c>
      <c r="G53">
        <v>124100</v>
      </c>
      <c r="H53">
        <v>124270</v>
      </c>
      <c r="I53">
        <v>125200</v>
      </c>
      <c r="J53">
        <v>125480</v>
      </c>
      <c r="K53">
        <v>124640</v>
      </c>
      <c r="L53">
        <v>124450</v>
      </c>
      <c r="O53">
        <v>7</v>
      </c>
      <c r="P53">
        <v>8</v>
      </c>
      <c r="Q53" t="s">
        <v>47</v>
      </c>
      <c r="R53" t="s">
        <v>46</v>
      </c>
      <c r="S53">
        <v>5</v>
      </c>
      <c r="T53">
        <v>4</v>
      </c>
      <c r="U53">
        <v>9</v>
      </c>
      <c r="V53" t="s">
        <v>45</v>
      </c>
      <c r="W53">
        <v>6</v>
      </c>
      <c r="X53">
        <v>2</v>
      </c>
      <c r="Y53">
        <v>1</v>
      </c>
      <c r="Z53">
        <v>3</v>
      </c>
    </row>
    <row r="54" spans="1:26">
      <c r="A54">
        <v>128100</v>
      </c>
      <c r="B54">
        <v>128290</v>
      </c>
      <c r="C54">
        <v>128520</v>
      </c>
      <c r="D54">
        <v>127080</v>
      </c>
      <c r="E54">
        <v>127290</v>
      </c>
      <c r="F54">
        <v>127900</v>
      </c>
      <c r="G54">
        <v>126520</v>
      </c>
      <c r="H54">
        <v>126340</v>
      </c>
      <c r="I54">
        <v>127690</v>
      </c>
      <c r="J54">
        <v>127520</v>
      </c>
      <c r="K54">
        <v>126730</v>
      </c>
      <c r="L54">
        <v>126970</v>
      </c>
      <c r="O54">
        <v>8</v>
      </c>
      <c r="P54">
        <v>7</v>
      </c>
      <c r="Q54" t="s">
        <v>46</v>
      </c>
      <c r="R54" t="s">
        <v>47</v>
      </c>
      <c r="S54">
        <v>4</v>
      </c>
      <c r="T54">
        <v>5</v>
      </c>
      <c r="U54" t="s">
        <v>45</v>
      </c>
      <c r="V54">
        <v>9</v>
      </c>
      <c r="W54">
        <v>6</v>
      </c>
      <c r="X54">
        <v>1</v>
      </c>
      <c r="Y54">
        <v>2</v>
      </c>
      <c r="Z54">
        <v>3</v>
      </c>
    </row>
    <row r="55" spans="1:26">
      <c r="A55">
        <v>130390</v>
      </c>
      <c r="B55">
        <v>130970</v>
      </c>
      <c r="C55">
        <v>130750</v>
      </c>
      <c r="D55">
        <v>129820</v>
      </c>
      <c r="E55">
        <v>129620</v>
      </c>
      <c r="F55">
        <v>130590</v>
      </c>
      <c r="G55">
        <v>128860</v>
      </c>
      <c r="H55">
        <v>129060</v>
      </c>
      <c r="I55">
        <v>130000</v>
      </c>
      <c r="J55">
        <v>130230</v>
      </c>
      <c r="K55">
        <v>129450</v>
      </c>
      <c r="L55">
        <v>129200</v>
      </c>
      <c r="O55">
        <v>7</v>
      </c>
      <c r="P55">
        <v>8</v>
      </c>
      <c r="Q55" t="s">
        <v>47</v>
      </c>
      <c r="R55" t="s">
        <v>46</v>
      </c>
      <c r="S55">
        <v>5</v>
      </c>
      <c r="T55">
        <v>4</v>
      </c>
      <c r="U55">
        <v>9</v>
      </c>
      <c r="V55" t="s">
        <v>45</v>
      </c>
      <c r="W55">
        <v>1</v>
      </c>
      <c r="X55">
        <v>6</v>
      </c>
      <c r="Y55">
        <v>3</v>
      </c>
      <c r="Z55">
        <v>2</v>
      </c>
    </row>
    <row r="56" spans="1:26">
      <c r="A56">
        <v>132910</v>
      </c>
      <c r="B56">
        <v>133100</v>
      </c>
      <c r="C56">
        <v>133290</v>
      </c>
      <c r="D56">
        <v>132270</v>
      </c>
      <c r="E56">
        <v>131710</v>
      </c>
      <c r="F56">
        <v>132720</v>
      </c>
      <c r="G56">
        <v>131140</v>
      </c>
      <c r="H56">
        <v>131560</v>
      </c>
      <c r="I56">
        <v>132100</v>
      </c>
      <c r="J56">
        <v>132470</v>
      </c>
      <c r="K56">
        <v>131930</v>
      </c>
      <c r="L56">
        <v>131320</v>
      </c>
      <c r="O56">
        <v>7</v>
      </c>
      <c r="P56" t="s">
        <v>47</v>
      </c>
      <c r="Q56">
        <v>8</v>
      </c>
      <c r="R56">
        <v>5</v>
      </c>
      <c r="S56" t="s">
        <v>46</v>
      </c>
      <c r="T56">
        <v>9</v>
      </c>
      <c r="U56">
        <v>4</v>
      </c>
      <c r="V56" t="s">
        <v>45</v>
      </c>
      <c r="W56">
        <v>6</v>
      </c>
      <c r="X56">
        <v>1</v>
      </c>
      <c r="Y56">
        <v>2</v>
      </c>
      <c r="Z56">
        <v>3</v>
      </c>
    </row>
    <row r="57" spans="1:26">
      <c r="A57">
        <v>135190</v>
      </c>
      <c r="B57">
        <v>135760</v>
      </c>
      <c r="C57">
        <v>135520</v>
      </c>
      <c r="D57">
        <v>134940</v>
      </c>
      <c r="E57">
        <v>133990</v>
      </c>
      <c r="F57">
        <v>135380</v>
      </c>
      <c r="G57">
        <v>133790</v>
      </c>
      <c r="H57">
        <v>134210</v>
      </c>
      <c r="I57">
        <v>134390</v>
      </c>
      <c r="J57">
        <v>134790</v>
      </c>
      <c r="K57">
        <v>134570</v>
      </c>
      <c r="L57">
        <v>133620</v>
      </c>
      <c r="O57" t="s">
        <v>47</v>
      </c>
      <c r="P57">
        <v>7</v>
      </c>
      <c r="Q57">
        <v>5</v>
      </c>
      <c r="R57">
        <v>8</v>
      </c>
      <c r="S57">
        <v>9</v>
      </c>
      <c r="T57" t="s">
        <v>46</v>
      </c>
      <c r="U57" t="s">
        <v>45</v>
      </c>
      <c r="V57">
        <v>4</v>
      </c>
      <c r="W57">
        <v>1</v>
      </c>
      <c r="X57">
        <v>6</v>
      </c>
      <c r="Y57">
        <v>3</v>
      </c>
      <c r="Z57">
        <v>2</v>
      </c>
    </row>
    <row r="58" spans="1:26">
      <c r="A58">
        <v>137270</v>
      </c>
      <c r="B58">
        <v>137890</v>
      </c>
      <c r="C58">
        <v>138090</v>
      </c>
      <c r="D58">
        <v>137480</v>
      </c>
      <c r="E58">
        <v>136490</v>
      </c>
      <c r="F58">
        <v>137690</v>
      </c>
      <c r="G58">
        <v>135950</v>
      </c>
      <c r="H58">
        <v>136300</v>
      </c>
      <c r="I58">
        <v>136800</v>
      </c>
      <c r="J58">
        <v>137030</v>
      </c>
      <c r="K58">
        <v>136660</v>
      </c>
      <c r="L58">
        <v>136130</v>
      </c>
      <c r="O58">
        <v>7</v>
      </c>
      <c r="P58" t="s">
        <v>47</v>
      </c>
      <c r="Q58">
        <v>8</v>
      </c>
      <c r="R58">
        <v>5</v>
      </c>
      <c r="S58" t="s">
        <v>46</v>
      </c>
      <c r="T58">
        <v>9</v>
      </c>
      <c r="U58" t="s">
        <v>45</v>
      </c>
      <c r="V58">
        <v>1</v>
      </c>
      <c r="W58">
        <v>4</v>
      </c>
      <c r="X58">
        <v>6</v>
      </c>
      <c r="Y58">
        <v>2</v>
      </c>
      <c r="Z58">
        <v>3</v>
      </c>
    </row>
    <row r="59" spans="1:26">
      <c r="A59">
        <v>139560</v>
      </c>
      <c r="B59">
        <v>140510</v>
      </c>
      <c r="C59">
        <v>140300</v>
      </c>
      <c r="D59">
        <v>140130</v>
      </c>
      <c r="E59">
        <v>138780</v>
      </c>
      <c r="F59">
        <v>139930</v>
      </c>
      <c r="G59">
        <v>138590</v>
      </c>
      <c r="H59">
        <v>138990</v>
      </c>
      <c r="I59">
        <v>139190</v>
      </c>
      <c r="J59">
        <v>139740</v>
      </c>
      <c r="K59">
        <v>139370</v>
      </c>
      <c r="L59">
        <v>138460</v>
      </c>
      <c r="O59" t="s">
        <v>47</v>
      </c>
      <c r="P59">
        <v>7</v>
      </c>
      <c r="Q59">
        <v>5</v>
      </c>
      <c r="R59">
        <v>8</v>
      </c>
      <c r="S59">
        <v>9</v>
      </c>
      <c r="T59" t="s">
        <v>46</v>
      </c>
      <c r="U59">
        <v>1</v>
      </c>
      <c r="V59" t="s">
        <v>45</v>
      </c>
      <c r="W59">
        <v>6</v>
      </c>
      <c r="X59">
        <v>4</v>
      </c>
      <c r="Y59">
        <v>3</v>
      </c>
      <c r="Z59">
        <v>2</v>
      </c>
    </row>
    <row r="60" spans="1:26">
      <c r="A60">
        <v>142070</v>
      </c>
      <c r="B60">
        <v>142870</v>
      </c>
      <c r="C60">
        <v>142450</v>
      </c>
      <c r="D60">
        <v>142660</v>
      </c>
      <c r="E60">
        <v>140920</v>
      </c>
      <c r="F60">
        <v>142270</v>
      </c>
      <c r="G60">
        <v>141110</v>
      </c>
      <c r="H60">
        <v>141500</v>
      </c>
      <c r="I60">
        <v>141310</v>
      </c>
      <c r="J60">
        <v>141820</v>
      </c>
      <c r="K60">
        <v>141650</v>
      </c>
      <c r="L60">
        <v>140750</v>
      </c>
      <c r="O60" t="s">
        <v>47</v>
      </c>
      <c r="P60">
        <v>5</v>
      </c>
      <c r="Q60">
        <v>7</v>
      </c>
      <c r="R60">
        <v>9</v>
      </c>
      <c r="S60">
        <v>8</v>
      </c>
      <c r="T60" t="s">
        <v>46</v>
      </c>
      <c r="U60" t="s">
        <v>45</v>
      </c>
      <c r="V60">
        <v>1</v>
      </c>
      <c r="W60">
        <v>6</v>
      </c>
      <c r="X60">
        <v>3</v>
      </c>
      <c r="Y60">
        <v>4</v>
      </c>
      <c r="Z60">
        <v>2</v>
      </c>
    </row>
    <row r="61" spans="1:26">
      <c r="A61">
        <v>144370</v>
      </c>
      <c r="B61">
        <v>145130</v>
      </c>
      <c r="C61">
        <v>144720</v>
      </c>
      <c r="D61">
        <v>145370</v>
      </c>
      <c r="E61">
        <v>143210</v>
      </c>
      <c r="F61">
        <v>144930</v>
      </c>
      <c r="G61">
        <v>143800</v>
      </c>
      <c r="H61">
        <v>144140</v>
      </c>
      <c r="I61">
        <v>143570</v>
      </c>
      <c r="J61">
        <v>144550</v>
      </c>
      <c r="K61">
        <v>143970</v>
      </c>
      <c r="L61">
        <v>143410</v>
      </c>
      <c r="O61">
        <v>5</v>
      </c>
      <c r="P61" t="s">
        <v>47</v>
      </c>
      <c r="Q61">
        <v>9</v>
      </c>
      <c r="R61">
        <v>7</v>
      </c>
      <c r="S61" t="s">
        <v>46</v>
      </c>
      <c r="T61">
        <v>8</v>
      </c>
      <c r="U61">
        <v>1</v>
      </c>
      <c r="V61" t="s">
        <v>45</v>
      </c>
      <c r="W61">
        <v>3</v>
      </c>
      <c r="X61">
        <v>6</v>
      </c>
      <c r="Y61">
        <v>2</v>
      </c>
      <c r="Z61">
        <v>4</v>
      </c>
    </row>
    <row r="62" spans="1:26">
      <c r="A62">
        <v>146480</v>
      </c>
      <c r="B62">
        <v>147680</v>
      </c>
      <c r="C62">
        <v>147260</v>
      </c>
      <c r="D62">
        <v>147480</v>
      </c>
      <c r="E62">
        <v>145720</v>
      </c>
      <c r="F62">
        <v>147030</v>
      </c>
      <c r="G62">
        <v>145900</v>
      </c>
      <c r="H62">
        <v>146650</v>
      </c>
      <c r="I62">
        <v>146060</v>
      </c>
      <c r="J62">
        <v>146870</v>
      </c>
      <c r="K62">
        <v>146250</v>
      </c>
      <c r="L62">
        <v>145510</v>
      </c>
      <c r="O62" t="s">
        <v>47</v>
      </c>
      <c r="P62">
        <v>5</v>
      </c>
      <c r="Q62">
        <v>7</v>
      </c>
      <c r="R62">
        <v>9</v>
      </c>
      <c r="S62" t="s">
        <v>46</v>
      </c>
      <c r="T62">
        <v>1</v>
      </c>
      <c r="U62">
        <v>8</v>
      </c>
      <c r="V62" t="s">
        <v>45</v>
      </c>
      <c r="W62">
        <v>6</v>
      </c>
      <c r="X62">
        <v>3</v>
      </c>
      <c r="Y62">
        <v>4</v>
      </c>
      <c r="Z62">
        <v>2</v>
      </c>
    </row>
    <row r="63" spans="1:26">
      <c r="A63">
        <v>148760</v>
      </c>
      <c r="B63">
        <v>149930</v>
      </c>
      <c r="C63">
        <v>149540</v>
      </c>
      <c r="D63">
        <v>150130</v>
      </c>
      <c r="E63">
        <v>148050</v>
      </c>
      <c r="F63">
        <v>149730</v>
      </c>
      <c r="G63">
        <v>148630</v>
      </c>
      <c r="H63">
        <v>149310</v>
      </c>
      <c r="I63">
        <v>148400</v>
      </c>
      <c r="J63">
        <v>149140</v>
      </c>
      <c r="K63">
        <v>148940</v>
      </c>
      <c r="L63">
        <v>148210</v>
      </c>
      <c r="O63">
        <v>5</v>
      </c>
      <c r="P63" t="s">
        <v>47</v>
      </c>
      <c r="Q63">
        <v>9</v>
      </c>
      <c r="R63">
        <v>7</v>
      </c>
      <c r="S63">
        <v>1</v>
      </c>
      <c r="T63" t="s">
        <v>46</v>
      </c>
      <c r="U63" t="s">
        <v>45</v>
      </c>
      <c r="V63">
        <v>8</v>
      </c>
      <c r="W63">
        <v>3</v>
      </c>
      <c r="X63">
        <v>6</v>
      </c>
      <c r="Y63">
        <v>2</v>
      </c>
      <c r="Z63">
        <v>4</v>
      </c>
    </row>
    <row r="64" spans="1:26">
      <c r="A64">
        <v>151290</v>
      </c>
      <c r="B64">
        <v>152050</v>
      </c>
      <c r="C64">
        <v>151690</v>
      </c>
      <c r="D64">
        <v>152440</v>
      </c>
      <c r="E64">
        <v>150300</v>
      </c>
      <c r="F64">
        <v>152220</v>
      </c>
      <c r="G64">
        <v>150900</v>
      </c>
      <c r="H64">
        <v>151840</v>
      </c>
      <c r="I64">
        <v>150500</v>
      </c>
      <c r="J64">
        <v>151440</v>
      </c>
      <c r="K64">
        <v>151100</v>
      </c>
      <c r="L64">
        <v>150690</v>
      </c>
      <c r="O64">
        <v>5</v>
      </c>
      <c r="P64">
        <v>9</v>
      </c>
      <c r="Q64" t="s">
        <v>47</v>
      </c>
      <c r="R64">
        <v>7</v>
      </c>
      <c r="S64" t="s">
        <v>46</v>
      </c>
      <c r="T64">
        <v>1</v>
      </c>
      <c r="U64" t="s">
        <v>45</v>
      </c>
      <c r="V64">
        <v>3</v>
      </c>
      <c r="W64">
        <v>8</v>
      </c>
      <c r="X64">
        <v>2</v>
      </c>
      <c r="Y64">
        <v>6</v>
      </c>
      <c r="Z64">
        <v>4</v>
      </c>
    </row>
    <row r="65" spans="1:26">
      <c r="A65">
        <v>153630</v>
      </c>
      <c r="B65">
        <v>154360</v>
      </c>
      <c r="C65">
        <v>153990</v>
      </c>
      <c r="D65">
        <v>154740</v>
      </c>
      <c r="E65">
        <v>153000</v>
      </c>
      <c r="F65">
        <v>154950</v>
      </c>
      <c r="G65">
        <v>153230</v>
      </c>
      <c r="H65">
        <v>154540</v>
      </c>
      <c r="I65">
        <v>152810</v>
      </c>
      <c r="J65">
        <v>154180</v>
      </c>
      <c r="K65">
        <v>153800</v>
      </c>
      <c r="L65">
        <v>153400</v>
      </c>
      <c r="O65">
        <v>9</v>
      </c>
      <c r="P65">
        <v>5</v>
      </c>
      <c r="Q65">
        <v>7</v>
      </c>
      <c r="R65" t="s">
        <v>47</v>
      </c>
      <c r="S65">
        <v>1</v>
      </c>
      <c r="T65" t="s">
        <v>46</v>
      </c>
      <c r="U65">
        <v>3</v>
      </c>
      <c r="V65" t="s">
        <v>45</v>
      </c>
      <c r="W65">
        <v>2</v>
      </c>
      <c r="X65">
        <v>8</v>
      </c>
      <c r="Y65">
        <v>4</v>
      </c>
      <c r="Z65">
        <v>6</v>
      </c>
    </row>
    <row r="66" spans="1:26">
      <c r="A66">
        <v>155720</v>
      </c>
      <c r="B66">
        <v>156900</v>
      </c>
      <c r="C66">
        <v>156500</v>
      </c>
      <c r="D66">
        <v>157260</v>
      </c>
      <c r="E66">
        <v>155070</v>
      </c>
      <c r="F66">
        <v>157060</v>
      </c>
      <c r="G66">
        <v>155470</v>
      </c>
      <c r="H66">
        <v>156690</v>
      </c>
      <c r="I66">
        <v>155310</v>
      </c>
      <c r="J66">
        <v>156250</v>
      </c>
      <c r="K66">
        <v>156090</v>
      </c>
      <c r="L66">
        <v>155850</v>
      </c>
      <c r="O66">
        <v>5</v>
      </c>
      <c r="P66">
        <v>9</v>
      </c>
      <c r="Q66">
        <v>7</v>
      </c>
      <c r="R66">
        <v>1</v>
      </c>
      <c r="S66" t="s">
        <v>47</v>
      </c>
      <c r="T66" t="s">
        <v>46</v>
      </c>
      <c r="U66" t="s">
        <v>45</v>
      </c>
      <c r="V66">
        <v>3</v>
      </c>
      <c r="W66">
        <v>8</v>
      </c>
      <c r="X66">
        <v>2</v>
      </c>
      <c r="Y66">
        <v>6</v>
      </c>
      <c r="Z66">
        <v>4</v>
      </c>
    </row>
    <row r="67" spans="1:26">
      <c r="A67">
        <v>158020</v>
      </c>
      <c r="B67">
        <v>159150</v>
      </c>
      <c r="C67">
        <v>158780</v>
      </c>
      <c r="D67">
        <v>159560</v>
      </c>
      <c r="E67">
        <v>157820</v>
      </c>
      <c r="F67">
        <v>159740</v>
      </c>
      <c r="G67">
        <v>158200</v>
      </c>
      <c r="H67">
        <v>159350</v>
      </c>
      <c r="I67">
        <v>157590</v>
      </c>
      <c r="J67">
        <v>158990</v>
      </c>
      <c r="K67">
        <v>158400</v>
      </c>
      <c r="L67">
        <v>158590</v>
      </c>
      <c r="O67">
        <v>9</v>
      </c>
      <c r="P67">
        <v>5</v>
      </c>
      <c r="Q67">
        <v>1</v>
      </c>
      <c r="R67">
        <v>7</v>
      </c>
      <c r="S67" t="s">
        <v>46</v>
      </c>
      <c r="T67" t="s">
        <v>47</v>
      </c>
      <c r="U67">
        <v>3</v>
      </c>
      <c r="V67" t="s">
        <v>45</v>
      </c>
      <c r="W67">
        <v>2</v>
      </c>
      <c r="X67">
        <v>8</v>
      </c>
      <c r="Y67">
        <v>4</v>
      </c>
      <c r="Z67">
        <v>6</v>
      </c>
    </row>
    <row r="68" spans="1:26">
      <c r="A68">
        <v>160530</v>
      </c>
      <c r="B68">
        <v>161270</v>
      </c>
      <c r="C68">
        <v>160860</v>
      </c>
      <c r="D68">
        <v>161660</v>
      </c>
      <c r="E68">
        <v>160110</v>
      </c>
      <c r="F68">
        <v>162060</v>
      </c>
      <c r="G68">
        <v>160340</v>
      </c>
      <c r="H68">
        <v>161880</v>
      </c>
      <c r="I68">
        <v>159900</v>
      </c>
      <c r="J68">
        <v>161450</v>
      </c>
      <c r="K68">
        <v>160690</v>
      </c>
      <c r="L68">
        <v>161060</v>
      </c>
      <c r="O68">
        <v>9</v>
      </c>
      <c r="P68">
        <v>5</v>
      </c>
      <c r="Q68">
        <v>7</v>
      </c>
      <c r="R68">
        <v>1</v>
      </c>
      <c r="S68" t="s">
        <v>46</v>
      </c>
      <c r="T68">
        <v>3</v>
      </c>
      <c r="U68" t="s">
        <v>47</v>
      </c>
      <c r="V68">
        <v>2</v>
      </c>
      <c r="W68" t="s">
        <v>45</v>
      </c>
      <c r="X68">
        <v>4</v>
      </c>
      <c r="Y68">
        <v>8</v>
      </c>
      <c r="Z68">
        <v>6</v>
      </c>
    </row>
    <row r="69" spans="1:26">
      <c r="A69">
        <v>162860</v>
      </c>
      <c r="B69">
        <v>163570</v>
      </c>
      <c r="C69">
        <v>163190</v>
      </c>
      <c r="D69">
        <v>163970</v>
      </c>
      <c r="E69">
        <v>162450</v>
      </c>
      <c r="F69">
        <v>164330</v>
      </c>
      <c r="G69">
        <v>163050</v>
      </c>
      <c r="H69">
        <v>164540</v>
      </c>
      <c r="I69">
        <v>162620</v>
      </c>
      <c r="J69">
        <v>164170</v>
      </c>
      <c r="K69">
        <v>163380</v>
      </c>
      <c r="L69">
        <v>163790</v>
      </c>
      <c r="O69">
        <v>5</v>
      </c>
      <c r="P69">
        <v>9</v>
      </c>
      <c r="Q69">
        <v>1</v>
      </c>
      <c r="R69">
        <v>7</v>
      </c>
      <c r="S69">
        <v>3</v>
      </c>
      <c r="T69" t="s">
        <v>46</v>
      </c>
      <c r="U69">
        <v>2</v>
      </c>
      <c r="V69" t="s">
        <v>47</v>
      </c>
      <c r="W69">
        <v>4</v>
      </c>
      <c r="X69" t="s">
        <v>45</v>
      </c>
      <c r="Y69">
        <v>6</v>
      </c>
      <c r="Z69">
        <v>8</v>
      </c>
    </row>
    <row r="70" spans="1:26">
      <c r="A70">
        <v>164950</v>
      </c>
      <c r="B70">
        <v>166100</v>
      </c>
      <c r="C70">
        <v>165660</v>
      </c>
      <c r="D70">
        <v>166490</v>
      </c>
      <c r="E70">
        <v>164690</v>
      </c>
      <c r="F70">
        <v>166920</v>
      </c>
      <c r="G70">
        <v>165330</v>
      </c>
      <c r="H70">
        <v>166680</v>
      </c>
      <c r="I70">
        <v>165140</v>
      </c>
      <c r="J70">
        <v>166250</v>
      </c>
      <c r="K70">
        <v>165510</v>
      </c>
      <c r="L70">
        <v>165880</v>
      </c>
      <c r="O70">
        <v>5</v>
      </c>
      <c r="P70">
        <v>1</v>
      </c>
      <c r="Q70">
        <v>9</v>
      </c>
      <c r="R70">
        <v>7</v>
      </c>
      <c r="S70" t="s">
        <v>46</v>
      </c>
      <c r="T70">
        <v>3</v>
      </c>
      <c r="U70" t="s">
        <v>47</v>
      </c>
      <c r="V70">
        <v>2</v>
      </c>
      <c r="W70" t="s">
        <v>45</v>
      </c>
      <c r="X70">
        <v>4</v>
      </c>
      <c r="Y70">
        <v>8</v>
      </c>
      <c r="Z70">
        <v>6</v>
      </c>
    </row>
    <row r="71" spans="1:26">
      <c r="A71">
        <v>167270</v>
      </c>
      <c r="B71">
        <v>168420</v>
      </c>
      <c r="C71">
        <v>168050</v>
      </c>
      <c r="D71">
        <v>168810</v>
      </c>
      <c r="E71">
        <v>167450</v>
      </c>
      <c r="F71">
        <v>169170</v>
      </c>
      <c r="G71">
        <v>167670</v>
      </c>
      <c r="H71">
        <v>169370</v>
      </c>
      <c r="I71">
        <v>167850</v>
      </c>
      <c r="J71">
        <v>168990</v>
      </c>
      <c r="K71">
        <v>168240</v>
      </c>
      <c r="L71">
        <v>168620</v>
      </c>
      <c r="O71">
        <v>1</v>
      </c>
      <c r="P71">
        <v>5</v>
      </c>
      <c r="Q71">
        <v>7</v>
      </c>
      <c r="R71">
        <v>9</v>
      </c>
      <c r="S71">
        <v>3</v>
      </c>
      <c r="T71" t="s">
        <v>46</v>
      </c>
      <c r="U71">
        <v>2</v>
      </c>
      <c r="V71" t="s">
        <v>47</v>
      </c>
      <c r="W71">
        <v>4</v>
      </c>
      <c r="X71" t="s">
        <v>45</v>
      </c>
      <c r="Y71">
        <v>6</v>
      </c>
      <c r="Z71">
        <v>8</v>
      </c>
    </row>
    <row r="72" spans="1:26">
      <c r="A72">
        <v>169750</v>
      </c>
      <c r="B72">
        <v>170550</v>
      </c>
      <c r="C72">
        <v>170180</v>
      </c>
      <c r="D72">
        <v>170910</v>
      </c>
      <c r="E72">
        <v>169550</v>
      </c>
      <c r="F72">
        <v>171320</v>
      </c>
      <c r="G72">
        <v>169940</v>
      </c>
      <c r="H72">
        <v>171700</v>
      </c>
      <c r="I72">
        <v>170370</v>
      </c>
      <c r="J72">
        <v>171450</v>
      </c>
      <c r="K72">
        <v>170700</v>
      </c>
      <c r="L72">
        <v>171090</v>
      </c>
      <c r="O72">
        <v>5</v>
      </c>
      <c r="P72">
        <v>1</v>
      </c>
      <c r="Q72">
        <v>7</v>
      </c>
      <c r="R72">
        <v>3</v>
      </c>
      <c r="S72">
        <v>9</v>
      </c>
      <c r="T72">
        <v>2</v>
      </c>
      <c r="U72" t="s">
        <v>46</v>
      </c>
      <c r="V72">
        <v>4</v>
      </c>
      <c r="W72" t="s">
        <v>47</v>
      </c>
      <c r="X72">
        <v>6</v>
      </c>
      <c r="Y72" t="s">
        <v>45</v>
      </c>
      <c r="Z72">
        <v>8</v>
      </c>
    </row>
    <row r="73" spans="1:26">
      <c r="A73">
        <v>172080</v>
      </c>
      <c r="B73">
        <v>172870</v>
      </c>
      <c r="C73">
        <v>172440</v>
      </c>
      <c r="D73">
        <v>173230</v>
      </c>
      <c r="E73">
        <v>172260</v>
      </c>
      <c r="F73">
        <v>173600</v>
      </c>
      <c r="G73">
        <v>172660</v>
      </c>
      <c r="H73">
        <v>173950</v>
      </c>
      <c r="I73">
        <v>173050</v>
      </c>
      <c r="J73">
        <v>174150</v>
      </c>
      <c r="K73">
        <v>173400</v>
      </c>
      <c r="L73">
        <v>173790</v>
      </c>
      <c r="O73">
        <v>1</v>
      </c>
      <c r="P73">
        <v>5</v>
      </c>
      <c r="Q73">
        <v>3</v>
      </c>
      <c r="R73">
        <v>7</v>
      </c>
      <c r="S73">
        <v>2</v>
      </c>
      <c r="T73">
        <v>9</v>
      </c>
      <c r="U73">
        <v>4</v>
      </c>
      <c r="V73" t="s">
        <v>46</v>
      </c>
      <c r="W73">
        <v>6</v>
      </c>
      <c r="X73" t="s">
        <v>47</v>
      </c>
      <c r="Y73">
        <v>8</v>
      </c>
      <c r="Z73" t="s">
        <v>45</v>
      </c>
    </row>
    <row r="74" spans="1:26">
      <c r="A74">
        <v>174380</v>
      </c>
      <c r="B74">
        <v>175330</v>
      </c>
      <c r="C74">
        <v>174940</v>
      </c>
      <c r="D74">
        <v>175690</v>
      </c>
      <c r="E74">
        <v>174550</v>
      </c>
      <c r="F74">
        <v>176130</v>
      </c>
      <c r="G74">
        <v>174770</v>
      </c>
      <c r="H74">
        <v>176520</v>
      </c>
      <c r="I74">
        <v>175120</v>
      </c>
      <c r="J74">
        <v>176300</v>
      </c>
      <c r="K74">
        <v>175520</v>
      </c>
      <c r="L74">
        <v>175880</v>
      </c>
      <c r="O74">
        <v>1</v>
      </c>
      <c r="P74">
        <v>5</v>
      </c>
      <c r="Q74">
        <v>7</v>
      </c>
      <c r="R74">
        <v>3</v>
      </c>
      <c r="S74">
        <v>9</v>
      </c>
      <c r="T74">
        <v>2</v>
      </c>
      <c r="U74" t="s">
        <v>46</v>
      </c>
      <c r="V74">
        <v>4</v>
      </c>
      <c r="W74" t="s">
        <v>47</v>
      </c>
      <c r="X74">
        <v>6</v>
      </c>
      <c r="Y74" t="s">
        <v>45</v>
      </c>
      <c r="Z74">
        <v>8</v>
      </c>
    </row>
    <row r="75" spans="1:26">
      <c r="A75">
        <v>177080</v>
      </c>
      <c r="B75">
        <v>177690</v>
      </c>
      <c r="C75">
        <v>177240</v>
      </c>
      <c r="D75">
        <v>178030</v>
      </c>
      <c r="E75">
        <v>176910</v>
      </c>
      <c r="F75">
        <v>178370</v>
      </c>
      <c r="G75">
        <v>177480</v>
      </c>
      <c r="H75">
        <v>178750</v>
      </c>
      <c r="I75">
        <v>177870</v>
      </c>
      <c r="J75">
        <v>178970</v>
      </c>
      <c r="K75">
        <v>178240</v>
      </c>
      <c r="L75">
        <v>178580</v>
      </c>
      <c r="O75">
        <v>5</v>
      </c>
      <c r="P75">
        <v>1</v>
      </c>
      <c r="Q75">
        <v>3</v>
      </c>
      <c r="R75">
        <v>7</v>
      </c>
      <c r="S75">
        <v>2</v>
      </c>
      <c r="T75">
        <v>9</v>
      </c>
      <c r="U75">
        <v>4</v>
      </c>
      <c r="V75" t="s">
        <v>46</v>
      </c>
      <c r="W75">
        <v>6</v>
      </c>
      <c r="X75" t="s">
        <v>47</v>
      </c>
      <c r="Y75">
        <v>8</v>
      </c>
      <c r="Z75" t="s">
        <v>45</v>
      </c>
    </row>
    <row r="76" spans="1:26">
      <c r="A76">
        <v>179170</v>
      </c>
      <c r="B76">
        <v>179760</v>
      </c>
      <c r="C76">
        <v>179580</v>
      </c>
      <c r="D76">
        <v>180140</v>
      </c>
      <c r="E76">
        <v>179360</v>
      </c>
      <c r="F76">
        <v>180550</v>
      </c>
      <c r="G76">
        <v>179920</v>
      </c>
      <c r="H76">
        <v>180890</v>
      </c>
      <c r="I76">
        <v>180340</v>
      </c>
      <c r="J76">
        <v>181260</v>
      </c>
      <c r="K76">
        <v>180720</v>
      </c>
      <c r="L76">
        <v>181060</v>
      </c>
      <c r="O76">
        <v>1</v>
      </c>
      <c r="P76">
        <v>5</v>
      </c>
      <c r="Q76">
        <v>3</v>
      </c>
      <c r="R76">
        <v>2</v>
      </c>
      <c r="S76">
        <v>7</v>
      </c>
      <c r="T76">
        <v>4</v>
      </c>
      <c r="U76">
        <v>9</v>
      </c>
      <c r="V76">
        <v>6</v>
      </c>
      <c r="W76" t="s">
        <v>46</v>
      </c>
      <c r="X76">
        <v>8</v>
      </c>
      <c r="Y76" t="s">
        <v>47</v>
      </c>
      <c r="Z76" t="s">
        <v>45</v>
      </c>
    </row>
    <row r="77" spans="1:26">
      <c r="A77">
        <v>181860</v>
      </c>
      <c r="B77">
        <v>182090</v>
      </c>
      <c r="C77">
        <v>182250</v>
      </c>
      <c r="D77">
        <v>182490</v>
      </c>
      <c r="E77">
        <v>181670</v>
      </c>
      <c r="F77">
        <v>182810</v>
      </c>
      <c r="G77">
        <v>182650</v>
      </c>
      <c r="H77">
        <v>183180</v>
      </c>
      <c r="I77">
        <v>182990</v>
      </c>
      <c r="J77">
        <v>183590</v>
      </c>
      <c r="K77">
        <v>183370</v>
      </c>
      <c r="L77">
        <v>183770</v>
      </c>
      <c r="O77">
        <v>5</v>
      </c>
      <c r="P77">
        <v>1</v>
      </c>
      <c r="Q77">
        <v>2</v>
      </c>
      <c r="R77">
        <v>3</v>
      </c>
      <c r="S77">
        <v>4</v>
      </c>
      <c r="T77">
        <v>7</v>
      </c>
      <c r="U77">
        <v>6</v>
      </c>
      <c r="V77">
        <v>9</v>
      </c>
      <c r="W77">
        <v>8</v>
      </c>
      <c r="X77" t="s">
        <v>46</v>
      </c>
      <c r="Y77" t="s">
        <v>45</v>
      </c>
      <c r="Z77" t="s">
        <v>47</v>
      </c>
    </row>
    <row r="78" spans="1:26">
      <c r="A78">
        <v>184370</v>
      </c>
      <c r="B78">
        <v>184150</v>
      </c>
      <c r="C78">
        <v>184550</v>
      </c>
      <c r="D78">
        <v>184900</v>
      </c>
      <c r="E78">
        <v>183950</v>
      </c>
      <c r="F78">
        <v>185340</v>
      </c>
      <c r="G78">
        <v>184740</v>
      </c>
      <c r="H78">
        <v>185680</v>
      </c>
      <c r="I78">
        <v>185110</v>
      </c>
      <c r="J78">
        <v>186050</v>
      </c>
      <c r="K78">
        <v>185490</v>
      </c>
      <c r="L78">
        <v>185870</v>
      </c>
      <c r="O78">
        <v>5</v>
      </c>
      <c r="P78">
        <v>2</v>
      </c>
      <c r="Q78">
        <v>1</v>
      </c>
      <c r="R78">
        <v>3</v>
      </c>
      <c r="S78">
        <v>7</v>
      </c>
      <c r="T78">
        <v>4</v>
      </c>
      <c r="U78">
        <v>9</v>
      </c>
      <c r="V78">
        <v>6</v>
      </c>
      <c r="W78" t="s">
        <v>46</v>
      </c>
      <c r="X78">
        <v>8</v>
      </c>
      <c r="Y78" t="s">
        <v>47</v>
      </c>
      <c r="Z78" t="s">
        <v>45</v>
      </c>
    </row>
    <row r="79" spans="1:26">
      <c r="A79">
        <v>187060</v>
      </c>
      <c r="B79">
        <v>186520</v>
      </c>
      <c r="C79">
        <v>186860</v>
      </c>
      <c r="D79">
        <v>187220</v>
      </c>
      <c r="E79">
        <v>186710</v>
      </c>
      <c r="F79">
        <v>187690</v>
      </c>
      <c r="G79">
        <v>187440</v>
      </c>
      <c r="H79">
        <v>187980</v>
      </c>
      <c r="I79">
        <v>187800</v>
      </c>
      <c r="J79">
        <v>188370</v>
      </c>
      <c r="K79">
        <v>188200</v>
      </c>
      <c r="L79">
        <v>188580</v>
      </c>
      <c r="O79">
        <v>2</v>
      </c>
      <c r="P79">
        <v>5</v>
      </c>
      <c r="Q79">
        <v>3</v>
      </c>
      <c r="R79">
        <v>1</v>
      </c>
      <c r="S79">
        <v>4</v>
      </c>
      <c r="T79">
        <v>7</v>
      </c>
      <c r="U79">
        <v>6</v>
      </c>
      <c r="V79">
        <v>9</v>
      </c>
      <c r="W79">
        <v>8</v>
      </c>
      <c r="X79" t="s">
        <v>46</v>
      </c>
      <c r="Y79" t="s">
        <v>45</v>
      </c>
      <c r="Z79" t="s">
        <v>47</v>
      </c>
    </row>
    <row r="80" spans="1:26">
      <c r="A80">
        <v>189170</v>
      </c>
      <c r="B80">
        <v>188790</v>
      </c>
      <c r="C80">
        <v>189330</v>
      </c>
      <c r="D80">
        <v>189560</v>
      </c>
      <c r="E80">
        <v>188960</v>
      </c>
      <c r="F80">
        <v>189760</v>
      </c>
      <c r="G80">
        <v>189920</v>
      </c>
      <c r="H80">
        <v>190110</v>
      </c>
      <c r="I80">
        <v>190310</v>
      </c>
      <c r="J80">
        <v>190500</v>
      </c>
      <c r="K80">
        <v>190660</v>
      </c>
      <c r="L80">
        <v>190900</v>
      </c>
      <c r="O80">
        <v>2</v>
      </c>
      <c r="P80">
        <v>5</v>
      </c>
      <c r="Q80">
        <v>1</v>
      </c>
      <c r="R80">
        <v>3</v>
      </c>
      <c r="S80">
        <v>4</v>
      </c>
      <c r="T80">
        <v>6</v>
      </c>
      <c r="U80">
        <v>7</v>
      </c>
      <c r="V80">
        <v>8</v>
      </c>
      <c r="W80">
        <v>9</v>
      </c>
      <c r="X80" t="s">
        <v>45</v>
      </c>
      <c r="Y80" t="s">
        <v>46</v>
      </c>
      <c r="Z80" t="s">
        <v>47</v>
      </c>
    </row>
    <row r="81" spans="1:26">
      <c r="A81">
        <v>191840</v>
      </c>
      <c r="B81">
        <v>191450</v>
      </c>
      <c r="C81">
        <v>191660</v>
      </c>
      <c r="D81">
        <v>192240</v>
      </c>
      <c r="E81">
        <v>191270</v>
      </c>
      <c r="F81">
        <v>192030</v>
      </c>
      <c r="G81">
        <v>192630</v>
      </c>
      <c r="H81">
        <v>192410</v>
      </c>
      <c r="I81">
        <v>193000</v>
      </c>
      <c r="J81">
        <v>192810</v>
      </c>
      <c r="K81">
        <v>193350</v>
      </c>
      <c r="L81">
        <v>193180</v>
      </c>
      <c r="O81">
        <v>5</v>
      </c>
      <c r="P81">
        <v>2</v>
      </c>
      <c r="Q81">
        <v>3</v>
      </c>
      <c r="R81">
        <v>1</v>
      </c>
      <c r="S81">
        <v>6</v>
      </c>
      <c r="T81">
        <v>4</v>
      </c>
      <c r="U81">
        <v>8</v>
      </c>
      <c r="V81">
        <v>7</v>
      </c>
      <c r="W81" t="s">
        <v>45</v>
      </c>
      <c r="X81">
        <v>9</v>
      </c>
      <c r="Y81" t="s">
        <v>47</v>
      </c>
      <c r="Z81" t="s">
        <v>46</v>
      </c>
    </row>
    <row r="82" spans="1:26">
      <c r="A82">
        <v>194350</v>
      </c>
      <c r="B82">
        <v>193600</v>
      </c>
      <c r="C82">
        <v>193960</v>
      </c>
      <c r="D82">
        <v>194540</v>
      </c>
      <c r="E82">
        <v>193740</v>
      </c>
      <c r="F82">
        <v>194160</v>
      </c>
      <c r="G82">
        <v>194750</v>
      </c>
      <c r="H82">
        <v>194910</v>
      </c>
      <c r="I82">
        <v>195100</v>
      </c>
      <c r="J82">
        <v>195270</v>
      </c>
      <c r="K82">
        <v>195470</v>
      </c>
      <c r="L82">
        <v>195690</v>
      </c>
      <c r="O82">
        <v>2</v>
      </c>
      <c r="P82">
        <v>5</v>
      </c>
      <c r="Q82">
        <v>3</v>
      </c>
      <c r="R82">
        <v>6</v>
      </c>
      <c r="S82">
        <v>1</v>
      </c>
      <c r="T82">
        <v>4</v>
      </c>
      <c r="U82">
        <v>7</v>
      </c>
      <c r="V82">
        <v>8</v>
      </c>
      <c r="W82">
        <v>9</v>
      </c>
      <c r="X82" t="s">
        <v>45</v>
      </c>
      <c r="Y82" t="s">
        <v>46</v>
      </c>
      <c r="Z82" t="s">
        <v>47</v>
      </c>
    </row>
    <row r="83" spans="1:26">
      <c r="A83">
        <v>197030</v>
      </c>
      <c r="B83">
        <v>196300</v>
      </c>
      <c r="C83">
        <v>196640</v>
      </c>
      <c r="D83">
        <v>196860</v>
      </c>
      <c r="E83">
        <v>196090</v>
      </c>
      <c r="F83">
        <v>196470</v>
      </c>
      <c r="G83">
        <v>197420</v>
      </c>
      <c r="H83">
        <v>197180</v>
      </c>
      <c r="I83">
        <v>197790</v>
      </c>
      <c r="J83">
        <v>197610</v>
      </c>
      <c r="K83">
        <v>198160</v>
      </c>
      <c r="L83">
        <v>197960</v>
      </c>
      <c r="O83">
        <v>5</v>
      </c>
      <c r="P83">
        <v>2</v>
      </c>
      <c r="Q83">
        <v>6</v>
      </c>
      <c r="R83">
        <v>3</v>
      </c>
      <c r="S83">
        <v>4</v>
      </c>
      <c r="T83">
        <v>1</v>
      </c>
      <c r="U83">
        <v>8</v>
      </c>
      <c r="V83">
        <v>7</v>
      </c>
      <c r="W83" t="s">
        <v>45</v>
      </c>
      <c r="X83">
        <v>9</v>
      </c>
      <c r="Y83" t="s">
        <v>47</v>
      </c>
      <c r="Z83" t="s">
        <v>46</v>
      </c>
    </row>
    <row r="84" spans="1:26">
      <c r="A84">
        <v>199150</v>
      </c>
      <c r="B84">
        <v>198770</v>
      </c>
      <c r="C84">
        <v>198960</v>
      </c>
      <c r="D84">
        <v>199360</v>
      </c>
      <c r="E84">
        <v>198340</v>
      </c>
      <c r="F84">
        <v>198580</v>
      </c>
      <c r="G84">
        <v>199880</v>
      </c>
      <c r="H84">
        <v>199520</v>
      </c>
      <c r="I84">
        <v>200280</v>
      </c>
      <c r="J84">
        <v>199700</v>
      </c>
      <c r="K84">
        <v>200470</v>
      </c>
      <c r="L84">
        <v>200080</v>
      </c>
      <c r="O84">
        <v>5</v>
      </c>
      <c r="P84">
        <v>6</v>
      </c>
      <c r="Q84">
        <v>2</v>
      </c>
      <c r="R84">
        <v>3</v>
      </c>
      <c r="S84">
        <v>1</v>
      </c>
      <c r="T84">
        <v>4</v>
      </c>
      <c r="U84">
        <v>8</v>
      </c>
      <c r="V84" t="s">
        <v>45</v>
      </c>
      <c r="W84">
        <v>7</v>
      </c>
      <c r="X84" t="s">
        <v>47</v>
      </c>
      <c r="Y84">
        <v>9</v>
      </c>
      <c r="Z84" t="s">
        <v>46</v>
      </c>
    </row>
    <row r="85" spans="1:26">
      <c r="A85">
        <v>201880</v>
      </c>
      <c r="B85">
        <v>201450</v>
      </c>
      <c r="C85">
        <v>201260</v>
      </c>
      <c r="D85">
        <v>201700</v>
      </c>
      <c r="E85">
        <v>201110</v>
      </c>
      <c r="F85">
        <v>200880</v>
      </c>
      <c r="G85">
        <v>202590</v>
      </c>
      <c r="H85">
        <v>202240</v>
      </c>
      <c r="I85">
        <v>202950</v>
      </c>
      <c r="J85">
        <v>202070</v>
      </c>
      <c r="K85">
        <v>202770</v>
      </c>
      <c r="L85">
        <v>202390</v>
      </c>
      <c r="O85">
        <v>6</v>
      </c>
      <c r="P85">
        <v>5</v>
      </c>
      <c r="Q85">
        <v>3</v>
      </c>
      <c r="R85">
        <v>2</v>
      </c>
      <c r="S85">
        <v>4</v>
      </c>
      <c r="T85">
        <v>1</v>
      </c>
      <c r="U85" t="s">
        <v>45</v>
      </c>
      <c r="V85">
        <v>8</v>
      </c>
      <c r="W85" t="s">
        <v>47</v>
      </c>
      <c r="X85">
        <v>7</v>
      </c>
      <c r="Y85" t="s">
        <v>46</v>
      </c>
      <c r="Z85">
        <v>9</v>
      </c>
    </row>
    <row r="86" spans="1:26">
      <c r="A86">
        <v>204330</v>
      </c>
      <c r="B86">
        <v>203570</v>
      </c>
      <c r="C86">
        <v>203780</v>
      </c>
      <c r="D86">
        <v>203980</v>
      </c>
      <c r="E86">
        <v>203150</v>
      </c>
      <c r="F86">
        <v>203370</v>
      </c>
      <c r="G86">
        <v>204720</v>
      </c>
      <c r="H86">
        <v>204520</v>
      </c>
      <c r="I86">
        <v>205060</v>
      </c>
      <c r="J86">
        <v>204200</v>
      </c>
      <c r="K86">
        <v>205250</v>
      </c>
      <c r="L86">
        <v>204880</v>
      </c>
      <c r="O86">
        <v>5</v>
      </c>
      <c r="P86">
        <v>6</v>
      </c>
      <c r="Q86">
        <v>2</v>
      </c>
      <c r="R86">
        <v>3</v>
      </c>
      <c r="S86">
        <v>4</v>
      </c>
      <c r="T86" t="s">
        <v>45</v>
      </c>
      <c r="U86">
        <v>1</v>
      </c>
      <c r="V86">
        <v>8</v>
      </c>
      <c r="W86">
        <v>7</v>
      </c>
      <c r="X86" t="s">
        <v>47</v>
      </c>
      <c r="Y86">
        <v>9</v>
      </c>
      <c r="Z86" t="s">
        <v>46</v>
      </c>
    </row>
    <row r="87" spans="1:26">
      <c r="A87">
        <v>207020</v>
      </c>
      <c r="B87">
        <v>206250</v>
      </c>
      <c r="C87">
        <v>206060</v>
      </c>
      <c r="D87">
        <v>206650</v>
      </c>
      <c r="E87">
        <v>205890</v>
      </c>
      <c r="F87">
        <v>205640</v>
      </c>
      <c r="G87">
        <v>207400</v>
      </c>
      <c r="H87">
        <v>206800</v>
      </c>
      <c r="I87">
        <v>207730</v>
      </c>
      <c r="J87">
        <v>206480</v>
      </c>
      <c r="K87">
        <v>207590</v>
      </c>
      <c r="L87">
        <v>207170</v>
      </c>
      <c r="O87">
        <v>6</v>
      </c>
      <c r="P87">
        <v>5</v>
      </c>
      <c r="Q87">
        <v>3</v>
      </c>
      <c r="R87">
        <v>2</v>
      </c>
      <c r="S87" t="s">
        <v>45</v>
      </c>
      <c r="T87">
        <v>4</v>
      </c>
      <c r="U87">
        <v>8</v>
      </c>
      <c r="V87">
        <v>1</v>
      </c>
      <c r="W87" t="s">
        <v>47</v>
      </c>
      <c r="X87">
        <v>7</v>
      </c>
      <c r="Y87" t="s">
        <v>46</v>
      </c>
      <c r="Z87">
        <v>9</v>
      </c>
    </row>
    <row r="88" spans="1:26">
      <c r="A88">
        <v>209150</v>
      </c>
      <c r="B88">
        <v>208770</v>
      </c>
      <c r="C88">
        <v>208220</v>
      </c>
      <c r="D88">
        <v>208930</v>
      </c>
      <c r="E88">
        <v>208370</v>
      </c>
      <c r="F88">
        <v>208010</v>
      </c>
      <c r="G88">
        <v>209910</v>
      </c>
      <c r="H88">
        <v>209310</v>
      </c>
      <c r="I88">
        <v>210080</v>
      </c>
      <c r="J88">
        <v>208570</v>
      </c>
      <c r="K88">
        <v>209730</v>
      </c>
      <c r="L88">
        <v>209490</v>
      </c>
      <c r="O88">
        <v>6</v>
      </c>
      <c r="P88">
        <v>3</v>
      </c>
      <c r="Q88">
        <v>5</v>
      </c>
      <c r="R88" t="s">
        <v>45</v>
      </c>
      <c r="S88">
        <v>2</v>
      </c>
      <c r="T88">
        <v>4</v>
      </c>
      <c r="U88">
        <v>1</v>
      </c>
      <c r="V88">
        <v>8</v>
      </c>
      <c r="W88" t="s">
        <v>47</v>
      </c>
      <c r="X88" t="s">
        <v>46</v>
      </c>
      <c r="Y88">
        <v>7</v>
      </c>
      <c r="Z88">
        <v>9</v>
      </c>
    </row>
    <row r="89" spans="1:26">
      <c r="A89">
        <v>211840</v>
      </c>
      <c r="B89">
        <v>211470</v>
      </c>
      <c r="C89">
        <v>210520</v>
      </c>
      <c r="D89">
        <v>211260</v>
      </c>
      <c r="E89">
        <v>211100</v>
      </c>
      <c r="F89">
        <v>210740</v>
      </c>
      <c r="G89">
        <v>212620</v>
      </c>
      <c r="H89">
        <v>211620</v>
      </c>
      <c r="I89">
        <v>212360</v>
      </c>
      <c r="J89">
        <v>210910</v>
      </c>
      <c r="K89">
        <v>211980</v>
      </c>
      <c r="L89">
        <v>212220</v>
      </c>
      <c r="O89">
        <v>3</v>
      </c>
      <c r="P89">
        <v>6</v>
      </c>
      <c r="Q89" t="s">
        <v>45</v>
      </c>
      <c r="R89">
        <v>5</v>
      </c>
      <c r="S89">
        <v>4</v>
      </c>
      <c r="T89">
        <v>2</v>
      </c>
      <c r="U89">
        <v>8</v>
      </c>
      <c r="V89">
        <v>1</v>
      </c>
      <c r="W89" t="s">
        <v>46</v>
      </c>
      <c r="X89" t="s">
        <v>47</v>
      </c>
      <c r="Y89">
        <v>9</v>
      </c>
      <c r="Z89">
        <v>7</v>
      </c>
    </row>
    <row r="90" spans="1:26">
      <c r="A90">
        <v>214350</v>
      </c>
      <c r="B90">
        <v>213590</v>
      </c>
      <c r="C90">
        <v>213020</v>
      </c>
      <c r="D90">
        <v>213760</v>
      </c>
      <c r="E90">
        <v>213190</v>
      </c>
      <c r="F90">
        <v>212810</v>
      </c>
      <c r="G90">
        <v>214730</v>
      </c>
      <c r="H90">
        <v>213970</v>
      </c>
      <c r="I90">
        <v>214910</v>
      </c>
      <c r="J90">
        <v>213370</v>
      </c>
      <c r="K90">
        <v>214160</v>
      </c>
      <c r="L90">
        <v>214490</v>
      </c>
      <c r="O90">
        <v>6</v>
      </c>
      <c r="P90">
        <v>3</v>
      </c>
      <c r="Q90">
        <v>5</v>
      </c>
      <c r="R90" t="s">
        <v>45</v>
      </c>
      <c r="S90">
        <v>2</v>
      </c>
      <c r="T90">
        <v>4</v>
      </c>
      <c r="U90">
        <v>8</v>
      </c>
      <c r="V90" t="s">
        <v>46</v>
      </c>
      <c r="W90">
        <v>1</v>
      </c>
      <c r="X90" t="s">
        <v>47</v>
      </c>
      <c r="Y90">
        <v>7</v>
      </c>
      <c r="Z90">
        <v>9</v>
      </c>
    </row>
    <row r="91" spans="1:26">
      <c r="A91">
        <v>217090</v>
      </c>
      <c r="B91">
        <v>216350</v>
      </c>
      <c r="C91">
        <v>215310</v>
      </c>
      <c r="D91">
        <v>216110</v>
      </c>
      <c r="E91">
        <v>215940</v>
      </c>
      <c r="F91">
        <v>215510</v>
      </c>
      <c r="G91">
        <v>217470</v>
      </c>
      <c r="H91">
        <v>216620</v>
      </c>
      <c r="I91">
        <v>217210</v>
      </c>
      <c r="J91">
        <v>215730</v>
      </c>
      <c r="K91">
        <v>216450</v>
      </c>
      <c r="L91">
        <v>216860</v>
      </c>
      <c r="O91">
        <v>3</v>
      </c>
      <c r="P91">
        <v>6</v>
      </c>
      <c r="Q91" t="s">
        <v>45</v>
      </c>
      <c r="R91">
        <v>5</v>
      </c>
      <c r="S91">
        <v>4</v>
      </c>
      <c r="T91">
        <v>2</v>
      </c>
      <c r="U91" t="s">
        <v>46</v>
      </c>
      <c r="V91">
        <v>8</v>
      </c>
      <c r="W91" t="s">
        <v>47</v>
      </c>
      <c r="X91">
        <v>1</v>
      </c>
      <c r="Y91">
        <v>9</v>
      </c>
      <c r="Z91">
        <v>7</v>
      </c>
    </row>
    <row r="92" spans="1:26">
      <c r="A92">
        <v>219190</v>
      </c>
      <c r="B92">
        <v>218790</v>
      </c>
      <c r="C92">
        <v>217620</v>
      </c>
      <c r="D92">
        <v>218210</v>
      </c>
      <c r="E92">
        <v>218410</v>
      </c>
      <c r="F92">
        <v>218020</v>
      </c>
      <c r="G92">
        <v>219600</v>
      </c>
      <c r="H92">
        <v>218970</v>
      </c>
      <c r="I92">
        <v>219770</v>
      </c>
      <c r="J92">
        <v>217840</v>
      </c>
      <c r="K92">
        <v>218610</v>
      </c>
      <c r="L92">
        <v>219360</v>
      </c>
      <c r="O92">
        <v>3</v>
      </c>
      <c r="P92" t="s">
        <v>45</v>
      </c>
      <c r="Q92">
        <v>6</v>
      </c>
      <c r="R92">
        <v>4</v>
      </c>
      <c r="S92">
        <v>5</v>
      </c>
      <c r="T92" t="s">
        <v>46</v>
      </c>
      <c r="U92">
        <v>2</v>
      </c>
      <c r="V92">
        <v>8</v>
      </c>
      <c r="W92">
        <v>1</v>
      </c>
      <c r="X92" t="s">
        <v>47</v>
      </c>
      <c r="Y92">
        <v>7</v>
      </c>
      <c r="Z92">
        <v>9</v>
      </c>
    </row>
    <row r="93" spans="1:26">
      <c r="A93">
        <v>221880</v>
      </c>
      <c r="B93">
        <v>221510</v>
      </c>
      <c r="C93">
        <v>220380</v>
      </c>
      <c r="D93">
        <v>220570</v>
      </c>
      <c r="E93">
        <v>221140</v>
      </c>
      <c r="F93">
        <v>220770</v>
      </c>
      <c r="G93">
        <v>222290</v>
      </c>
      <c r="H93">
        <v>221290</v>
      </c>
      <c r="I93">
        <v>222080</v>
      </c>
      <c r="J93">
        <v>220220</v>
      </c>
      <c r="K93">
        <v>220920</v>
      </c>
      <c r="L93">
        <v>221670</v>
      </c>
      <c r="O93" t="s">
        <v>45</v>
      </c>
      <c r="P93">
        <v>3</v>
      </c>
      <c r="Q93">
        <v>4</v>
      </c>
      <c r="R93">
        <v>6</v>
      </c>
      <c r="S93" t="s">
        <v>46</v>
      </c>
      <c r="T93">
        <v>5</v>
      </c>
      <c r="U93">
        <v>8</v>
      </c>
      <c r="V93">
        <v>2</v>
      </c>
      <c r="W93" t="s">
        <v>47</v>
      </c>
      <c r="X93">
        <v>1</v>
      </c>
      <c r="Y93">
        <v>9</v>
      </c>
      <c r="Z93">
        <v>7</v>
      </c>
    </row>
    <row r="94" spans="1:26">
      <c r="A94">
        <v>224420</v>
      </c>
      <c r="B94">
        <v>223660</v>
      </c>
      <c r="C94">
        <v>222510</v>
      </c>
      <c r="D94">
        <v>223050</v>
      </c>
      <c r="E94">
        <v>223190</v>
      </c>
      <c r="F94">
        <v>222880</v>
      </c>
      <c r="G94">
        <v>224570</v>
      </c>
      <c r="H94">
        <v>223830</v>
      </c>
      <c r="I94">
        <v>224200</v>
      </c>
      <c r="J94">
        <v>222720</v>
      </c>
      <c r="K94">
        <v>223430</v>
      </c>
      <c r="L94">
        <v>224020</v>
      </c>
      <c r="O94">
        <v>3</v>
      </c>
      <c r="P94" t="s">
        <v>45</v>
      </c>
      <c r="Q94">
        <v>6</v>
      </c>
      <c r="R94">
        <v>4</v>
      </c>
      <c r="S94">
        <v>5</v>
      </c>
      <c r="T94" t="s">
        <v>46</v>
      </c>
      <c r="U94">
        <v>2</v>
      </c>
      <c r="V94">
        <v>8</v>
      </c>
      <c r="W94" t="s">
        <v>47</v>
      </c>
      <c r="X94">
        <v>9</v>
      </c>
      <c r="Y94">
        <v>1</v>
      </c>
      <c r="Z94">
        <v>7</v>
      </c>
    </row>
    <row r="95" spans="1:26">
      <c r="A95">
        <v>227080</v>
      </c>
      <c r="B95">
        <v>226340</v>
      </c>
      <c r="C95">
        <v>225210</v>
      </c>
      <c r="D95">
        <v>225420</v>
      </c>
      <c r="E95">
        <v>225970</v>
      </c>
      <c r="F95">
        <v>225640</v>
      </c>
      <c r="G95">
        <v>226850</v>
      </c>
      <c r="H95">
        <v>226120</v>
      </c>
      <c r="I95">
        <v>226510</v>
      </c>
      <c r="J95">
        <v>225020</v>
      </c>
      <c r="K95">
        <v>225770</v>
      </c>
      <c r="L95">
        <v>226730</v>
      </c>
      <c r="O95" t="s">
        <v>45</v>
      </c>
      <c r="P95">
        <v>3</v>
      </c>
      <c r="Q95">
        <v>4</v>
      </c>
      <c r="R95">
        <v>6</v>
      </c>
      <c r="S95" t="s">
        <v>46</v>
      </c>
      <c r="T95">
        <v>5</v>
      </c>
      <c r="U95">
        <v>8</v>
      </c>
      <c r="V95">
        <v>2</v>
      </c>
      <c r="W95">
        <v>9</v>
      </c>
      <c r="X95" t="s">
        <v>47</v>
      </c>
      <c r="Y95">
        <v>7</v>
      </c>
      <c r="Z95">
        <v>1</v>
      </c>
    </row>
    <row r="96" spans="1:26">
      <c r="A96">
        <v>229260</v>
      </c>
      <c r="B96">
        <v>228840</v>
      </c>
      <c r="C96">
        <v>227710</v>
      </c>
      <c r="D96">
        <v>227490</v>
      </c>
      <c r="E96">
        <v>228450</v>
      </c>
      <c r="F96">
        <v>228090</v>
      </c>
      <c r="G96">
        <v>229440</v>
      </c>
      <c r="H96">
        <v>228300</v>
      </c>
      <c r="I96">
        <v>228630</v>
      </c>
      <c r="J96">
        <v>227250</v>
      </c>
      <c r="K96">
        <v>227900</v>
      </c>
      <c r="L96">
        <v>229020</v>
      </c>
      <c r="O96" t="s">
        <v>45</v>
      </c>
      <c r="P96">
        <v>4</v>
      </c>
      <c r="Q96">
        <v>3</v>
      </c>
      <c r="R96" t="s">
        <v>46</v>
      </c>
      <c r="S96">
        <v>6</v>
      </c>
      <c r="T96">
        <v>8</v>
      </c>
      <c r="U96">
        <v>5</v>
      </c>
      <c r="V96">
        <v>9</v>
      </c>
      <c r="W96">
        <v>2</v>
      </c>
      <c r="X96" t="s">
        <v>47</v>
      </c>
      <c r="Y96">
        <v>1</v>
      </c>
      <c r="Z96">
        <v>7</v>
      </c>
    </row>
    <row r="97" spans="1:26">
      <c r="A97">
        <v>231930</v>
      </c>
      <c r="B97">
        <v>231550</v>
      </c>
      <c r="C97">
        <v>230400</v>
      </c>
      <c r="D97">
        <v>229810</v>
      </c>
      <c r="E97">
        <v>231190</v>
      </c>
      <c r="F97">
        <v>230800</v>
      </c>
      <c r="G97">
        <v>231780</v>
      </c>
      <c r="H97">
        <v>230550</v>
      </c>
      <c r="I97">
        <v>230980</v>
      </c>
      <c r="J97">
        <v>230010</v>
      </c>
      <c r="K97">
        <v>230180</v>
      </c>
      <c r="L97">
        <v>231390</v>
      </c>
      <c r="O97">
        <v>4</v>
      </c>
      <c r="P97" t="s">
        <v>45</v>
      </c>
      <c r="Q97" t="s">
        <v>46</v>
      </c>
      <c r="R97">
        <v>3</v>
      </c>
      <c r="S97">
        <v>8</v>
      </c>
      <c r="T97">
        <v>6</v>
      </c>
      <c r="U97">
        <v>9</v>
      </c>
      <c r="V97">
        <v>5</v>
      </c>
      <c r="W97" t="s">
        <v>47</v>
      </c>
      <c r="X97">
        <v>2</v>
      </c>
      <c r="Y97">
        <v>7</v>
      </c>
      <c r="Z97">
        <v>1</v>
      </c>
    </row>
    <row r="98" spans="1:26">
      <c r="A98">
        <v>234290</v>
      </c>
      <c r="B98">
        <v>233680</v>
      </c>
      <c r="C98">
        <v>232520</v>
      </c>
      <c r="D98">
        <v>232310</v>
      </c>
      <c r="E98">
        <v>233250</v>
      </c>
      <c r="F98">
        <v>232880</v>
      </c>
      <c r="G98">
        <v>234060</v>
      </c>
      <c r="H98">
        <v>233090</v>
      </c>
      <c r="I98">
        <v>233470</v>
      </c>
      <c r="J98">
        <v>232100</v>
      </c>
      <c r="K98">
        <v>232670</v>
      </c>
      <c r="L98">
        <v>233850</v>
      </c>
      <c r="O98" t="s">
        <v>45</v>
      </c>
      <c r="P98">
        <v>4</v>
      </c>
      <c r="Q98">
        <v>3</v>
      </c>
      <c r="R98" t="s">
        <v>46</v>
      </c>
      <c r="S98">
        <v>6</v>
      </c>
      <c r="T98">
        <v>8</v>
      </c>
      <c r="U98">
        <v>5</v>
      </c>
      <c r="V98">
        <v>9</v>
      </c>
      <c r="W98">
        <v>2</v>
      </c>
      <c r="X98" t="s">
        <v>47</v>
      </c>
      <c r="Y98">
        <v>7</v>
      </c>
      <c r="Z98">
        <v>1</v>
      </c>
    </row>
    <row r="99" spans="1:26">
      <c r="A99">
        <v>236570</v>
      </c>
      <c r="B99">
        <v>236380</v>
      </c>
      <c r="C99">
        <v>235200</v>
      </c>
      <c r="D99">
        <v>234640</v>
      </c>
      <c r="E99">
        <v>236000</v>
      </c>
      <c r="F99">
        <v>235560</v>
      </c>
      <c r="G99">
        <v>236780</v>
      </c>
      <c r="H99">
        <v>235340</v>
      </c>
      <c r="I99">
        <v>235780</v>
      </c>
      <c r="J99">
        <v>234860</v>
      </c>
      <c r="K99">
        <v>235020</v>
      </c>
      <c r="L99">
        <v>236150</v>
      </c>
      <c r="O99">
        <v>4</v>
      </c>
      <c r="P99" t="s">
        <v>45</v>
      </c>
      <c r="Q99" t="s">
        <v>46</v>
      </c>
      <c r="R99">
        <v>3</v>
      </c>
      <c r="S99">
        <v>8</v>
      </c>
      <c r="T99">
        <v>6</v>
      </c>
      <c r="U99">
        <v>9</v>
      </c>
      <c r="V99">
        <v>5</v>
      </c>
      <c r="W99" t="s">
        <v>47</v>
      </c>
      <c r="X99">
        <v>2</v>
      </c>
      <c r="Y99">
        <v>1</v>
      </c>
      <c r="Z99">
        <v>7</v>
      </c>
    </row>
    <row r="100" spans="1:26">
      <c r="A100">
        <v>239140</v>
      </c>
      <c r="B100">
        <v>238680</v>
      </c>
      <c r="C100">
        <v>237710</v>
      </c>
      <c r="D100">
        <v>236930</v>
      </c>
      <c r="E100">
        <v>238460</v>
      </c>
      <c r="F100">
        <v>238110</v>
      </c>
      <c r="G100">
        <v>238900</v>
      </c>
      <c r="H100">
        <v>237520</v>
      </c>
      <c r="I100">
        <v>237910</v>
      </c>
      <c r="J100">
        <v>237300</v>
      </c>
      <c r="K100">
        <v>237130</v>
      </c>
      <c r="L100">
        <v>238290</v>
      </c>
      <c r="O100">
        <v>4</v>
      </c>
      <c r="P100" t="s">
        <v>46</v>
      </c>
      <c r="Q100" t="s">
        <v>45</v>
      </c>
      <c r="R100">
        <v>8</v>
      </c>
      <c r="S100">
        <v>3</v>
      </c>
      <c r="T100">
        <v>9</v>
      </c>
      <c r="U100">
        <v>6</v>
      </c>
      <c r="V100" t="s">
        <v>47</v>
      </c>
      <c r="W100">
        <v>5</v>
      </c>
      <c r="X100">
        <v>2</v>
      </c>
      <c r="Y100">
        <v>7</v>
      </c>
      <c r="Z100">
        <v>1</v>
      </c>
    </row>
    <row r="101" spans="1:26">
      <c r="A101">
        <v>241400</v>
      </c>
      <c r="B101">
        <v>241020</v>
      </c>
      <c r="C101">
        <v>240470</v>
      </c>
      <c r="D101">
        <v>239670</v>
      </c>
      <c r="E101">
        <v>241200</v>
      </c>
      <c r="F101">
        <v>240820</v>
      </c>
      <c r="G101">
        <v>241570</v>
      </c>
      <c r="H101">
        <v>239820</v>
      </c>
      <c r="I101">
        <v>240220</v>
      </c>
      <c r="J101">
        <v>240060</v>
      </c>
      <c r="K101">
        <v>239450</v>
      </c>
      <c r="L101">
        <v>240590</v>
      </c>
      <c r="O101" t="s">
        <v>46</v>
      </c>
      <c r="P101">
        <v>4</v>
      </c>
      <c r="Q101">
        <v>8</v>
      </c>
      <c r="R101" t="s">
        <v>45</v>
      </c>
      <c r="S101">
        <v>9</v>
      </c>
      <c r="T101">
        <v>3</v>
      </c>
      <c r="U101" t="s">
        <v>47</v>
      </c>
      <c r="V101">
        <v>6</v>
      </c>
      <c r="W101">
        <v>2</v>
      </c>
      <c r="X101">
        <v>5</v>
      </c>
      <c r="Y101">
        <v>1</v>
      </c>
      <c r="Z101">
        <v>7</v>
      </c>
    </row>
    <row r="102" spans="1:26">
      <c r="A102">
        <v>243560</v>
      </c>
      <c r="B102">
        <v>243330</v>
      </c>
      <c r="C102">
        <v>242550</v>
      </c>
      <c r="D102">
        <v>241760</v>
      </c>
      <c r="E102">
        <v>243720</v>
      </c>
      <c r="F102">
        <v>242950</v>
      </c>
      <c r="G102">
        <v>243910</v>
      </c>
      <c r="H102">
        <v>242360</v>
      </c>
      <c r="I102">
        <v>242720</v>
      </c>
      <c r="J102">
        <v>242160</v>
      </c>
      <c r="K102">
        <v>241980</v>
      </c>
      <c r="L102">
        <v>243160</v>
      </c>
      <c r="O102">
        <v>4</v>
      </c>
      <c r="P102" t="s">
        <v>46</v>
      </c>
      <c r="Q102" t="s">
        <v>45</v>
      </c>
      <c r="R102">
        <v>8</v>
      </c>
      <c r="S102">
        <v>3</v>
      </c>
      <c r="T102">
        <v>9</v>
      </c>
      <c r="U102">
        <v>6</v>
      </c>
      <c r="V102" t="s">
        <v>47</v>
      </c>
      <c r="W102">
        <v>2</v>
      </c>
      <c r="X102">
        <v>1</v>
      </c>
      <c r="Y102">
        <v>5</v>
      </c>
      <c r="Z102">
        <v>7</v>
      </c>
    </row>
    <row r="103" spans="1:26">
      <c r="A103">
        <v>245850</v>
      </c>
      <c r="B103">
        <v>246020</v>
      </c>
      <c r="C103">
        <v>245240</v>
      </c>
      <c r="D103">
        <v>244460</v>
      </c>
      <c r="E103">
        <v>246430</v>
      </c>
      <c r="F103">
        <v>245640</v>
      </c>
      <c r="G103">
        <v>246220</v>
      </c>
      <c r="H103">
        <v>244640</v>
      </c>
      <c r="I103">
        <v>245050</v>
      </c>
      <c r="J103">
        <v>244880</v>
      </c>
      <c r="K103">
        <v>244320</v>
      </c>
      <c r="L103">
        <v>245440</v>
      </c>
      <c r="O103" t="s">
        <v>46</v>
      </c>
      <c r="P103">
        <v>4</v>
      </c>
      <c r="Q103">
        <v>8</v>
      </c>
      <c r="R103" t="s">
        <v>45</v>
      </c>
      <c r="S103">
        <v>9</v>
      </c>
      <c r="T103">
        <v>3</v>
      </c>
      <c r="U103" t="s">
        <v>47</v>
      </c>
      <c r="V103">
        <v>6</v>
      </c>
      <c r="W103">
        <v>1</v>
      </c>
      <c r="X103">
        <v>2</v>
      </c>
      <c r="Y103">
        <v>7</v>
      </c>
      <c r="Z103">
        <v>5</v>
      </c>
    </row>
    <row r="104" spans="1:26">
      <c r="A104">
        <v>248390</v>
      </c>
      <c r="B104">
        <v>248160</v>
      </c>
      <c r="C104">
        <v>247740</v>
      </c>
      <c r="D104">
        <v>247000</v>
      </c>
      <c r="E104">
        <v>248520</v>
      </c>
      <c r="F104">
        <v>247990</v>
      </c>
      <c r="G104">
        <v>248740</v>
      </c>
      <c r="H104">
        <v>246790</v>
      </c>
      <c r="I104">
        <v>247150</v>
      </c>
      <c r="J104">
        <v>247380</v>
      </c>
      <c r="K104">
        <v>246620</v>
      </c>
      <c r="L104">
        <v>247590</v>
      </c>
      <c r="O104" t="s">
        <v>46</v>
      </c>
      <c r="P104">
        <v>8</v>
      </c>
      <c r="Q104">
        <v>4</v>
      </c>
      <c r="R104">
        <v>9</v>
      </c>
      <c r="S104" t="s">
        <v>45</v>
      </c>
      <c r="T104" t="s">
        <v>47</v>
      </c>
      <c r="U104">
        <v>3</v>
      </c>
      <c r="V104">
        <v>6</v>
      </c>
      <c r="W104">
        <v>2</v>
      </c>
      <c r="X104">
        <v>1</v>
      </c>
      <c r="Y104">
        <v>5</v>
      </c>
      <c r="Z104">
        <v>7</v>
      </c>
    </row>
    <row r="105" spans="1:26">
      <c r="A105">
        <v>250670</v>
      </c>
      <c r="B105">
        <v>250860</v>
      </c>
      <c r="C105">
        <v>250440</v>
      </c>
      <c r="D105">
        <v>249670</v>
      </c>
      <c r="E105">
        <v>251300</v>
      </c>
      <c r="F105">
        <v>250280</v>
      </c>
      <c r="G105">
        <v>251060</v>
      </c>
      <c r="H105">
        <v>249040</v>
      </c>
      <c r="I105">
        <v>249470</v>
      </c>
      <c r="J105">
        <v>250100</v>
      </c>
      <c r="K105">
        <v>249270</v>
      </c>
      <c r="L105">
        <v>249890</v>
      </c>
      <c r="O105">
        <v>8</v>
      </c>
      <c r="P105" t="s">
        <v>46</v>
      </c>
      <c r="Q105">
        <v>9</v>
      </c>
      <c r="R105">
        <v>4</v>
      </c>
      <c r="S105" t="s">
        <v>47</v>
      </c>
      <c r="T105" t="s">
        <v>45</v>
      </c>
      <c r="U105">
        <v>6</v>
      </c>
      <c r="V105">
        <v>3</v>
      </c>
      <c r="W105">
        <v>1</v>
      </c>
      <c r="X105">
        <v>2</v>
      </c>
      <c r="Y105">
        <v>7</v>
      </c>
      <c r="Z105">
        <v>5</v>
      </c>
    </row>
    <row r="106" spans="1:26">
      <c r="A106">
        <v>252790</v>
      </c>
      <c r="B106">
        <v>253170</v>
      </c>
      <c r="C106">
        <v>252980</v>
      </c>
      <c r="D106">
        <v>251780</v>
      </c>
      <c r="E106">
        <v>253350</v>
      </c>
      <c r="F106">
        <v>252560</v>
      </c>
      <c r="G106">
        <v>253580</v>
      </c>
      <c r="H106">
        <v>251590</v>
      </c>
      <c r="I106">
        <v>251990</v>
      </c>
      <c r="J106">
        <v>252160</v>
      </c>
      <c r="K106">
        <v>251390</v>
      </c>
      <c r="L106">
        <v>252410</v>
      </c>
      <c r="O106" t="s">
        <v>46</v>
      </c>
      <c r="P106">
        <v>8</v>
      </c>
      <c r="Q106">
        <v>4</v>
      </c>
      <c r="R106">
        <v>9</v>
      </c>
      <c r="S106" t="s">
        <v>45</v>
      </c>
      <c r="T106" t="s">
        <v>47</v>
      </c>
      <c r="U106">
        <v>6</v>
      </c>
      <c r="V106">
        <v>1</v>
      </c>
      <c r="W106">
        <v>3</v>
      </c>
      <c r="X106">
        <v>2</v>
      </c>
      <c r="Y106">
        <v>5</v>
      </c>
      <c r="Z106">
        <v>7</v>
      </c>
    </row>
    <row r="107" spans="1:26">
      <c r="A107">
        <v>255080</v>
      </c>
      <c r="B107">
        <v>255480</v>
      </c>
      <c r="C107">
        <v>255640</v>
      </c>
      <c r="D107">
        <v>254510</v>
      </c>
      <c r="E107">
        <v>256060</v>
      </c>
      <c r="F107">
        <v>255300</v>
      </c>
      <c r="G107">
        <v>255880</v>
      </c>
      <c r="H107">
        <v>253920</v>
      </c>
      <c r="I107">
        <v>254300</v>
      </c>
      <c r="J107">
        <v>254880</v>
      </c>
      <c r="K107">
        <v>254140</v>
      </c>
      <c r="L107">
        <v>254650</v>
      </c>
      <c r="O107">
        <v>8</v>
      </c>
      <c r="P107" t="s">
        <v>46</v>
      </c>
      <c r="Q107">
        <v>9</v>
      </c>
      <c r="R107">
        <v>4</v>
      </c>
      <c r="S107" t="s">
        <v>47</v>
      </c>
      <c r="T107" t="s">
        <v>45</v>
      </c>
      <c r="U107">
        <v>1</v>
      </c>
      <c r="V107">
        <v>6</v>
      </c>
      <c r="W107">
        <v>2</v>
      </c>
      <c r="X107">
        <v>3</v>
      </c>
      <c r="Y107">
        <v>7</v>
      </c>
      <c r="Z107">
        <v>5</v>
      </c>
    </row>
    <row r="108" spans="1:26">
      <c r="A108">
        <v>257610</v>
      </c>
      <c r="B108">
        <v>257790</v>
      </c>
      <c r="C108">
        <v>258180</v>
      </c>
      <c r="D108">
        <v>256960</v>
      </c>
      <c r="E108">
        <v>258370</v>
      </c>
      <c r="F108">
        <v>257420</v>
      </c>
      <c r="G108">
        <v>258010</v>
      </c>
      <c r="H108">
        <v>256260</v>
      </c>
      <c r="I108">
        <v>256450</v>
      </c>
      <c r="J108">
        <v>257180</v>
      </c>
      <c r="K108">
        <v>256610</v>
      </c>
      <c r="L108">
        <v>256850</v>
      </c>
      <c r="O108">
        <v>8</v>
      </c>
      <c r="P108">
        <v>9</v>
      </c>
      <c r="Q108" t="s">
        <v>46</v>
      </c>
      <c r="R108" t="s">
        <v>47</v>
      </c>
      <c r="S108">
        <v>4</v>
      </c>
      <c r="T108" t="s">
        <v>45</v>
      </c>
      <c r="U108">
        <v>6</v>
      </c>
      <c r="V108">
        <v>1</v>
      </c>
      <c r="W108">
        <v>2</v>
      </c>
      <c r="X108">
        <v>7</v>
      </c>
      <c r="Y108">
        <v>3</v>
      </c>
      <c r="Z108">
        <v>5</v>
      </c>
    </row>
    <row r="109" spans="1:26">
      <c r="A109">
        <v>259960</v>
      </c>
      <c r="B109">
        <v>260490</v>
      </c>
      <c r="C109">
        <v>260900</v>
      </c>
      <c r="D109">
        <v>259710</v>
      </c>
      <c r="E109">
        <v>260680</v>
      </c>
      <c r="F109">
        <v>260120</v>
      </c>
      <c r="G109">
        <v>260290</v>
      </c>
      <c r="H109">
        <v>258980</v>
      </c>
      <c r="I109">
        <v>258740</v>
      </c>
      <c r="J109">
        <v>259570</v>
      </c>
      <c r="K109">
        <v>259320</v>
      </c>
      <c r="L109">
        <v>259160</v>
      </c>
      <c r="O109">
        <v>9</v>
      </c>
      <c r="P109">
        <v>8</v>
      </c>
      <c r="Q109" t="s">
        <v>47</v>
      </c>
      <c r="R109" t="s">
        <v>46</v>
      </c>
      <c r="S109" t="s">
        <v>45</v>
      </c>
      <c r="T109">
        <v>4</v>
      </c>
      <c r="U109">
        <v>1</v>
      </c>
      <c r="V109">
        <v>6</v>
      </c>
      <c r="W109">
        <v>7</v>
      </c>
      <c r="X109">
        <v>2</v>
      </c>
      <c r="Y109">
        <v>5</v>
      </c>
      <c r="Z109">
        <v>3</v>
      </c>
    </row>
    <row r="110" spans="1:26">
      <c r="A110">
        <v>262090</v>
      </c>
      <c r="B110">
        <v>262650</v>
      </c>
      <c r="C110">
        <v>263010</v>
      </c>
      <c r="D110">
        <v>262260</v>
      </c>
      <c r="E110">
        <v>263180</v>
      </c>
      <c r="F110">
        <v>262450</v>
      </c>
      <c r="G110">
        <v>262800</v>
      </c>
      <c r="H110">
        <v>261050</v>
      </c>
      <c r="I110">
        <v>261220</v>
      </c>
      <c r="J110">
        <v>261860</v>
      </c>
      <c r="K110">
        <v>261460</v>
      </c>
      <c r="L110">
        <v>261670</v>
      </c>
      <c r="O110">
        <v>8</v>
      </c>
      <c r="P110">
        <v>9</v>
      </c>
      <c r="Q110" t="s">
        <v>46</v>
      </c>
      <c r="R110" t="s">
        <v>47</v>
      </c>
      <c r="S110" t="s">
        <v>45</v>
      </c>
      <c r="T110">
        <v>1</v>
      </c>
      <c r="U110">
        <v>4</v>
      </c>
      <c r="V110">
        <v>6</v>
      </c>
      <c r="W110">
        <v>2</v>
      </c>
      <c r="X110">
        <v>7</v>
      </c>
      <c r="Y110">
        <v>3</v>
      </c>
      <c r="Z110">
        <v>5</v>
      </c>
    </row>
    <row r="111" spans="1:26">
      <c r="A111">
        <v>264360</v>
      </c>
      <c r="B111">
        <v>265340</v>
      </c>
      <c r="C111">
        <v>265670</v>
      </c>
      <c r="D111">
        <v>264920</v>
      </c>
      <c r="E111">
        <v>265510</v>
      </c>
      <c r="F111">
        <v>264690</v>
      </c>
      <c r="G111">
        <v>265120</v>
      </c>
      <c r="H111">
        <v>263780</v>
      </c>
      <c r="I111">
        <v>263580</v>
      </c>
      <c r="J111">
        <v>264550</v>
      </c>
      <c r="K111">
        <v>264160</v>
      </c>
      <c r="L111">
        <v>263940</v>
      </c>
      <c r="O111">
        <v>9</v>
      </c>
      <c r="P111">
        <v>8</v>
      </c>
      <c r="Q111" t="s">
        <v>47</v>
      </c>
      <c r="R111" t="s">
        <v>46</v>
      </c>
      <c r="S111">
        <v>1</v>
      </c>
      <c r="T111" t="s">
        <v>45</v>
      </c>
      <c r="U111">
        <v>6</v>
      </c>
      <c r="V111">
        <v>4</v>
      </c>
      <c r="W111">
        <v>7</v>
      </c>
      <c r="X111">
        <v>2</v>
      </c>
      <c r="Y111">
        <v>5</v>
      </c>
      <c r="Z111">
        <v>3</v>
      </c>
    </row>
    <row r="112" spans="1:26">
      <c r="A112">
        <v>266890</v>
      </c>
      <c r="B112">
        <v>267830</v>
      </c>
      <c r="C112">
        <v>268040</v>
      </c>
      <c r="D112">
        <v>267420</v>
      </c>
      <c r="E112">
        <v>267610</v>
      </c>
      <c r="F112">
        <v>267060</v>
      </c>
      <c r="G112">
        <v>267270</v>
      </c>
      <c r="H112">
        <v>266300</v>
      </c>
      <c r="I112">
        <v>265880</v>
      </c>
      <c r="J112">
        <v>266630</v>
      </c>
      <c r="K112">
        <v>266470</v>
      </c>
      <c r="L112">
        <v>266110</v>
      </c>
      <c r="O112">
        <v>9</v>
      </c>
      <c r="P112" t="s">
        <v>47</v>
      </c>
      <c r="Q112">
        <v>8</v>
      </c>
      <c r="R112" t="s">
        <v>46</v>
      </c>
      <c r="S112" t="s">
        <v>45</v>
      </c>
      <c r="T112">
        <v>1</v>
      </c>
      <c r="U112">
        <v>6</v>
      </c>
      <c r="V112">
        <v>7</v>
      </c>
      <c r="W112">
        <v>4</v>
      </c>
      <c r="X112">
        <v>5</v>
      </c>
      <c r="Y112">
        <v>2</v>
      </c>
      <c r="Z112">
        <v>3</v>
      </c>
    </row>
    <row r="113" spans="1:26">
      <c r="A113">
        <v>269210</v>
      </c>
      <c r="B113">
        <v>270520</v>
      </c>
      <c r="C113">
        <v>270360</v>
      </c>
      <c r="D113">
        <v>270140</v>
      </c>
      <c r="E113">
        <v>269970</v>
      </c>
      <c r="F113">
        <v>269770</v>
      </c>
      <c r="G113">
        <v>269540</v>
      </c>
      <c r="H113">
        <v>268940</v>
      </c>
      <c r="I113">
        <v>268590</v>
      </c>
      <c r="J113">
        <v>269370</v>
      </c>
      <c r="K113">
        <v>268770</v>
      </c>
      <c r="L113">
        <v>268420</v>
      </c>
      <c r="O113" t="s">
        <v>47</v>
      </c>
      <c r="P113">
        <v>9</v>
      </c>
      <c r="Q113" t="s">
        <v>46</v>
      </c>
      <c r="R113">
        <v>8</v>
      </c>
      <c r="S113">
        <v>1</v>
      </c>
      <c r="T113" t="s">
        <v>45</v>
      </c>
      <c r="U113">
        <v>7</v>
      </c>
      <c r="V113">
        <v>6</v>
      </c>
      <c r="W113">
        <v>5</v>
      </c>
      <c r="X113">
        <v>4</v>
      </c>
      <c r="Y113">
        <v>3</v>
      </c>
      <c r="Z113">
        <v>2</v>
      </c>
    </row>
    <row r="114" spans="1:26">
      <c r="A114">
        <v>271300</v>
      </c>
      <c r="B114">
        <v>272670</v>
      </c>
      <c r="C114">
        <v>272890</v>
      </c>
      <c r="D114">
        <v>272240</v>
      </c>
      <c r="E114">
        <v>272440</v>
      </c>
      <c r="F114">
        <v>271900</v>
      </c>
      <c r="G114">
        <v>272070</v>
      </c>
      <c r="H114">
        <v>271480</v>
      </c>
      <c r="I114">
        <v>270690</v>
      </c>
      <c r="J114">
        <v>271670</v>
      </c>
      <c r="K114">
        <v>271080</v>
      </c>
      <c r="L114">
        <v>270900</v>
      </c>
      <c r="O114">
        <v>9</v>
      </c>
      <c r="P114" t="s">
        <v>47</v>
      </c>
      <c r="Q114" t="s">
        <v>46</v>
      </c>
      <c r="R114">
        <v>1</v>
      </c>
      <c r="S114">
        <v>8</v>
      </c>
      <c r="T114" t="s">
        <v>45</v>
      </c>
      <c r="U114">
        <v>6</v>
      </c>
      <c r="V114">
        <v>7</v>
      </c>
      <c r="W114">
        <v>4</v>
      </c>
      <c r="X114">
        <v>5</v>
      </c>
      <c r="Y114">
        <v>2</v>
      </c>
      <c r="Z114">
        <v>3</v>
      </c>
    </row>
    <row r="115" spans="1:26">
      <c r="A115">
        <v>273610</v>
      </c>
      <c r="B115">
        <v>275350</v>
      </c>
      <c r="C115">
        <v>275130</v>
      </c>
      <c r="D115">
        <v>274960</v>
      </c>
      <c r="E115">
        <v>274790</v>
      </c>
      <c r="F115">
        <v>274580</v>
      </c>
      <c r="G115">
        <v>274340</v>
      </c>
      <c r="H115">
        <v>274190</v>
      </c>
      <c r="I115">
        <v>273390</v>
      </c>
      <c r="J115">
        <v>273990</v>
      </c>
      <c r="K115">
        <v>273760</v>
      </c>
      <c r="L115">
        <v>273240</v>
      </c>
      <c r="O115" t="s">
        <v>47</v>
      </c>
      <c r="P115">
        <v>9</v>
      </c>
      <c r="Q115">
        <v>1</v>
      </c>
      <c r="R115" t="s">
        <v>46</v>
      </c>
      <c r="S115" t="s">
        <v>45</v>
      </c>
      <c r="T115">
        <v>8</v>
      </c>
      <c r="U115">
        <v>7</v>
      </c>
      <c r="V115">
        <v>6</v>
      </c>
      <c r="W115">
        <v>5</v>
      </c>
      <c r="X115">
        <v>4</v>
      </c>
      <c r="Y115">
        <v>3</v>
      </c>
      <c r="Z115">
        <v>2</v>
      </c>
    </row>
    <row r="116" spans="1:26">
      <c r="A116">
        <v>276110</v>
      </c>
      <c r="B116">
        <v>277670</v>
      </c>
      <c r="C116">
        <v>277270</v>
      </c>
      <c r="D116">
        <v>277480</v>
      </c>
      <c r="E116">
        <v>276860</v>
      </c>
      <c r="F116">
        <v>277080</v>
      </c>
      <c r="G116">
        <v>276520</v>
      </c>
      <c r="H116">
        <v>276650</v>
      </c>
      <c r="I116">
        <v>275730</v>
      </c>
      <c r="J116">
        <v>276250</v>
      </c>
      <c r="K116">
        <v>275900</v>
      </c>
      <c r="L116">
        <v>275590</v>
      </c>
      <c r="O116" t="s">
        <v>47</v>
      </c>
      <c r="P116">
        <v>9</v>
      </c>
      <c r="Q116" t="s">
        <v>46</v>
      </c>
      <c r="R116">
        <v>1</v>
      </c>
      <c r="S116" t="s">
        <v>45</v>
      </c>
      <c r="T116">
        <v>7</v>
      </c>
      <c r="U116">
        <v>8</v>
      </c>
      <c r="V116">
        <v>5</v>
      </c>
      <c r="W116">
        <v>6</v>
      </c>
      <c r="X116">
        <v>3</v>
      </c>
      <c r="Y116">
        <v>4</v>
      </c>
      <c r="Z116">
        <v>2</v>
      </c>
    </row>
    <row r="117" spans="1:26">
      <c r="A117">
        <v>278430</v>
      </c>
      <c r="B117">
        <v>279970</v>
      </c>
      <c r="C117">
        <v>279560</v>
      </c>
      <c r="D117">
        <v>280190</v>
      </c>
      <c r="E117">
        <v>279160</v>
      </c>
      <c r="F117">
        <v>279780</v>
      </c>
      <c r="G117">
        <v>278800</v>
      </c>
      <c r="H117">
        <v>279360</v>
      </c>
      <c r="I117">
        <v>277960</v>
      </c>
      <c r="J117">
        <v>279000</v>
      </c>
      <c r="K117">
        <v>278610</v>
      </c>
      <c r="L117">
        <v>278220</v>
      </c>
      <c r="O117">
        <v>9</v>
      </c>
      <c r="P117" t="s">
        <v>47</v>
      </c>
      <c r="Q117">
        <v>1</v>
      </c>
      <c r="R117" t="s">
        <v>46</v>
      </c>
      <c r="S117">
        <v>7</v>
      </c>
      <c r="T117" t="s">
        <v>45</v>
      </c>
      <c r="U117">
        <v>5</v>
      </c>
      <c r="V117">
        <v>8</v>
      </c>
      <c r="W117">
        <v>3</v>
      </c>
      <c r="X117">
        <v>6</v>
      </c>
      <c r="Y117">
        <v>2</v>
      </c>
      <c r="Z117">
        <v>4</v>
      </c>
    </row>
    <row r="118" spans="1:26">
      <c r="A118">
        <v>280530</v>
      </c>
      <c r="B118">
        <v>282550</v>
      </c>
      <c r="C118">
        <v>282060</v>
      </c>
      <c r="D118">
        <v>282300</v>
      </c>
      <c r="E118">
        <v>281700</v>
      </c>
      <c r="F118">
        <v>281890</v>
      </c>
      <c r="G118">
        <v>281320</v>
      </c>
      <c r="H118">
        <v>281530</v>
      </c>
      <c r="I118">
        <v>280260</v>
      </c>
      <c r="J118">
        <v>281100</v>
      </c>
      <c r="K118">
        <v>280930</v>
      </c>
      <c r="L118">
        <v>280670</v>
      </c>
      <c r="O118">
        <v>9</v>
      </c>
      <c r="P118">
        <v>1</v>
      </c>
      <c r="Q118" t="s">
        <v>47</v>
      </c>
      <c r="R118" t="s">
        <v>46</v>
      </c>
      <c r="S118" t="s">
        <v>45</v>
      </c>
      <c r="T118">
        <v>7</v>
      </c>
      <c r="U118">
        <v>8</v>
      </c>
      <c r="V118">
        <v>5</v>
      </c>
      <c r="W118">
        <v>6</v>
      </c>
      <c r="X118">
        <v>3</v>
      </c>
      <c r="Y118">
        <v>4</v>
      </c>
      <c r="Z118">
        <v>2</v>
      </c>
    </row>
    <row r="119" spans="1:26">
      <c r="A119">
        <v>282890</v>
      </c>
      <c r="B119">
        <v>284790</v>
      </c>
      <c r="C119">
        <v>284400</v>
      </c>
      <c r="D119">
        <v>284990</v>
      </c>
      <c r="E119">
        <v>284020</v>
      </c>
      <c r="F119">
        <v>284620</v>
      </c>
      <c r="G119">
        <v>283600</v>
      </c>
      <c r="H119">
        <v>284210</v>
      </c>
      <c r="I119">
        <v>283030</v>
      </c>
      <c r="J119">
        <v>283820</v>
      </c>
      <c r="K119">
        <v>283200</v>
      </c>
      <c r="L119">
        <v>283420</v>
      </c>
      <c r="O119">
        <v>1</v>
      </c>
      <c r="P119">
        <v>9</v>
      </c>
      <c r="Q119" t="s">
        <v>46</v>
      </c>
      <c r="R119" t="s">
        <v>47</v>
      </c>
      <c r="S119">
        <v>7</v>
      </c>
      <c r="T119" t="s">
        <v>45</v>
      </c>
      <c r="U119">
        <v>5</v>
      </c>
      <c r="V119">
        <v>8</v>
      </c>
      <c r="W119">
        <v>3</v>
      </c>
      <c r="X119">
        <v>6</v>
      </c>
      <c r="Y119">
        <v>2</v>
      </c>
      <c r="Z119">
        <v>4</v>
      </c>
    </row>
    <row r="120" spans="1:26">
      <c r="A120">
        <v>285400</v>
      </c>
      <c r="B120">
        <v>286910</v>
      </c>
      <c r="C120">
        <v>286530</v>
      </c>
      <c r="D120">
        <v>287320</v>
      </c>
      <c r="E120">
        <v>286110</v>
      </c>
      <c r="F120">
        <v>287120</v>
      </c>
      <c r="G120">
        <v>285800</v>
      </c>
      <c r="H120">
        <v>286700</v>
      </c>
      <c r="I120">
        <v>285170</v>
      </c>
      <c r="J120">
        <v>286290</v>
      </c>
      <c r="K120">
        <v>285560</v>
      </c>
      <c r="L120">
        <v>285930</v>
      </c>
      <c r="O120">
        <v>9</v>
      </c>
      <c r="P120">
        <v>1</v>
      </c>
      <c r="Q120" t="s">
        <v>46</v>
      </c>
      <c r="R120">
        <v>7</v>
      </c>
      <c r="S120" t="s">
        <v>47</v>
      </c>
      <c r="T120">
        <v>5</v>
      </c>
      <c r="U120" t="s">
        <v>45</v>
      </c>
      <c r="V120">
        <v>3</v>
      </c>
      <c r="W120">
        <v>8</v>
      </c>
      <c r="X120">
        <v>2</v>
      </c>
      <c r="Y120">
        <v>6</v>
      </c>
      <c r="Z120">
        <v>4</v>
      </c>
    </row>
    <row r="121" spans="1:26">
      <c r="A121">
        <v>287700</v>
      </c>
      <c r="B121">
        <v>289210</v>
      </c>
      <c r="C121">
        <v>288880</v>
      </c>
      <c r="D121">
        <v>289600</v>
      </c>
      <c r="E121">
        <v>288450</v>
      </c>
      <c r="F121">
        <v>289760</v>
      </c>
      <c r="G121">
        <v>288110</v>
      </c>
      <c r="H121">
        <v>289390</v>
      </c>
      <c r="I121">
        <v>287890</v>
      </c>
      <c r="J121">
        <v>289040</v>
      </c>
      <c r="K121">
        <v>288270</v>
      </c>
      <c r="L121">
        <v>288660</v>
      </c>
      <c r="O121">
        <v>1</v>
      </c>
      <c r="P121">
        <v>9</v>
      </c>
      <c r="Q121">
        <v>7</v>
      </c>
      <c r="R121" t="s">
        <v>46</v>
      </c>
      <c r="S121">
        <v>5</v>
      </c>
      <c r="T121" t="s">
        <v>47</v>
      </c>
      <c r="U121">
        <v>3</v>
      </c>
      <c r="V121" t="s">
        <v>45</v>
      </c>
      <c r="W121">
        <v>2</v>
      </c>
      <c r="X121">
        <v>8</v>
      </c>
      <c r="Y121">
        <v>4</v>
      </c>
      <c r="Z121">
        <v>6</v>
      </c>
    </row>
    <row r="122" spans="1:26">
      <c r="A122">
        <v>290000</v>
      </c>
      <c r="B122">
        <v>291760</v>
      </c>
      <c r="C122">
        <v>291350</v>
      </c>
      <c r="D122">
        <v>292150</v>
      </c>
      <c r="E122">
        <v>290980</v>
      </c>
      <c r="F122">
        <v>291930</v>
      </c>
      <c r="G122">
        <v>290610</v>
      </c>
      <c r="H122">
        <v>291580</v>
      </c>
      <c r="I122">
        <v>290150</v>
      </c>
      <c r="J122">
        <v>291140</v>
      </c>
      <c r="K122">
        <v>290400</v>
      </c>
      <c r="L122">
        <v>290780</v>
      </c>
      <c r="O122">
        <v>1</v>
      </c>
      <c r="P122">
        <v>9</v>
      </c>
      <c r="Q122" t="s">
        <v>46</v>
      </c>
      <c r="R122">
        <v>7</v>
      </c>
      <c r="S122" t="s">
        <v>47</v>
      </c>
      <c r="T122">
        <v>5</v>
      </c>
      <c r="U122" t="s">
        <v>45</v>
      </c>
      <c r="V122">
        <v>3</v>
      </c>
      <c r="W122">
        <v>8</v>
      </c>
      <c r="X122">
        <v>2</v>
      </c>
      <c r="Y122">
        <v>6</v>
      </c>
      <c r="Z122">
        <v>4</v>
      </c>
    </row>
    <row r="123" spans="1:26">
      <c r="A123">
        <v>292710</v>
      </c>
      <c r="B123">
        <v>294100</v>
      </c>
      <c r="C123">
        <v>293720</v>
      </c>
      <c r="D123">
        <v>294480</v>
      </c>
      <c r="E123">
        <v>293280</v>
      </c>
      <c r="F123">
        <v>294660</v>
      </c>
      <c r="G123">
        <v>292910</v>
      </c>
      <c r="H123">
        <v>294260</v>
      </c>
      <c r="I123">
        <v>292520</v>
      </c>
      <c r="J123">
        <v>293940</v>
      </c>
      <c r="K123">
        <v>293090</v>
      </c>
      <c r="L123">
        <v>293530</v>
      </c>
      <c r="O123">
        <v>9</v>
      </c>
      <c r="P123">
        <v>1</v>
      </c>
      <c r="Q123">
        <v>7</v>
      </c>
      <c r="R123" t="s">
        <v>46</v>
      </c>
      <c r="S123">
        <v>5</v>
      </c>
      <c r="T123" t="s">
        <v>47</v>
      </c>
      <c r="U123">
        <v>3</v>
      </c>
      <c r="V123" t="s">
        <v>45</v>
      </c>
      <c r="W123">
        <v>2</v>
      </c>
      <c r="X123">
        <v>8</v>
      </c>
      <c r="Y123">
        <v>4</v>
      </c>
      <c r="Z123">
        <v>6</v>
      </c>
    </row>
    <row r="124" spans="1:26">
      <c r="A124">
        <v>294830</v>
      </c>
      <c r="B124">
        <v>296230</v>
      </c>
      <c r="C124">
        <v>295800</v>
      </c>
      <c r="D124">
        <v>296600</v>
      </c>
      <c r="E124">
        <v>295400</v>
      </c>
      <c r="F124">
        <v>297000</v>
      </c>
      <c r="G124">
        <v>295210</v>
      </c>
      <c r="H124">
        <v>296810</v>
      </c>
      <c r="I124">
        <v>295000</v>
      </c>
      <c r="J124">
        <v>296390</v>
      </c>
      <c r="K124">
        <v>295600</v>
      </c>
      <c r="L124">
        <v>296040</v>
      </c>
      <c r="O124">
        <v>1</v>
      </c>
      <c r="P124">
        <v>9</v>
      </c>
      <c r="Q124">
        <v>7</v>
      </c>
      <c r="R124">
        <v>5</v>
      </c>
      <c r="S124" t="s">
        <v>46</v>
      </c>
      <c r="T124">
        <v>3</v>
      </c>
      <c r="U124" t="s">
        <v>47</v>
      </c>
      <c r="V124">
        <v>2</v>
      </c>
      <c r="W124" t="s">
        <v>45</v>
      </c>
      <c r="X124">
        <v>4</v>
      </c>
      <c r="Y124">
        <v>8</v>
      </c>
      <c r="Z124">
        <v>6</v>
      </c>
    </row>
    <row r="125" spans="1:26">
      <c r="A125">
        <v>297600</v>
      </c>
      <c r="B125">
        <v>298490</v>
      </c>
      <c r="C125">
        <v>298140</v>
      </c>
      <c r="D125">
        <v>298910</v>
      </c>
      <c r="E125">
        <v>297770</v>
      </c>
      <c r="F125">
        <v>299340</v>
      </c>
      <c r="G125">
        <v>297960</v>
      </c>
      <c r="H125">
        <v>299520</v>
      </c>
      <c r="I125">
        <v>297340</v>
      </c>
      <c r="J125">
        <v>299110</v>
      </c>
      <c r="K125">
        <v>298320</v>
      </c>
      <c r="L125">
        <v>298740</v>
      </c>
      <c r="O125">
        <v>9</v>
      </c>
      <c r="P125">
        <v>1</v>
      </c>
      <c r="Q125">
        <v>5</v>
      </c>
      <c r="R125">
        <v>7</v>
      </c>
      <c r="S125">
        <v>3</v>
      </c>
      <c r="T125" t="s">
        <v>46</v>
      </c>
      <c r="U125">
        <v>2</v>
      </c>
      <c r="V125" t="s">
        <v>47</v>
      </c>
      <c r="W125">
        <v>4</v>
      </c>
      <c r="X125" t="s">
        <v>45</v>
      </c>
      <c r="Y125">
        <v>6</v>
      </c>
      <c r="Z125">
        <v>8</v>
      </c>
    </row>
    <row r="126" spans="1:26">
      <c r="A126">
        <v>300100</v>
      </c>
      <c r="B126">
        <v>301050</v>
      </c>
      <c r="C126">
        <v>300660</v>
      </c>
      <c r="D126">
        <v>301490</v>
      </c>
      <c r="E126">
        <v>299890</v>
      </c>
      <c r="F126">
        <v>301890</v>
      </c>
      <c r="G126">
        <v>300280</v>
      </c>
      <c r="H126">
        <v>301660</v>
      </c>
      <c r="I126">
        <v>299690</v>
      </c>
      <c r="J126">
        <v>301240</v>
      </c>
      <c r="K126">
        <v>300460</v>
      </c>
      <c r="L126">
        <v>300850</v>
      </c>
      <c r="O126">
        <v>9</v>
      </c>
      <c r="P126">
        <v>5</v>
      </c>
      <c r="Q126">
        <v>1</v>
      </c>
      <c r="R126">
        <v>7</v>
      </c>
      <c r="S126" t="s">
        <v>46</v>
      </c>
      <c r="T126">
        <v>3</v>
      </c>
      <c r="U126" t="s">
        <v>47</v>
      </c>
      <c r="V126">
        <v>2</v>
      </c>
      <c r="W126" t="s">
        <v>45</v>
      </c>
      <c r="X126">
        <v>4</v>
      </c>
      <c r="Y126">
        <v>8</v>
      </c>
      <c r="Z126">
        <v>6</v>
      </c>
    </row>
    <row r="127" spans="1:26">
      <c r="A127">
        <v>302780</v>
      </c>
      <c r="B127">
        <v>303390</v>
      </c>
      <c r="C127">
        <v>302980</v>
      </c>
      <c r="D127">
        <v>303760</v>
      </c>
      <c r="E127">
        <v>302240</v>
      </c>
      <c r="F127">
        <v>304120</v>
      </c>
      <c r="G127">
        <v>302590</v>
      </c>
      <c r="H127">
        <v>304350</v>
      </c>
      <c r="I127">
        <v>302430</v>
      </c>
      <c r="J127">
        <v>303990</v>
      </c>
      <c r="K127">
        <v>303210</v>
      </c>
      <c r="L127">
        <v>303590</v>
      </c>
      <c r="O127">
        <v>5</v>
      </c>
      <c r="P127">
        <v>9</v>
      </c>
      <c r="Q127">
        <v>7</v>
      </c>
      <c r="R127">
        <v>1</v>
      </c>
      <c r="S127">
        <v>3</v>
      </c>
      <c r="T127" t="s">
        <v>46</v>
      </c>
      <c r="U127">
        <v>2</v>
      </c>
      <c r="V127" t="s">
        <v>47</v>
      </c>
      <c r="W127">
        <v>4</v>
      </c>
      <c r="X127" t="s">
        <v>45</v>
      </c>
      <c r="Y127">
        <v>6</v>
      </c>
      <c r="Z127">
        <v>8</v>
      </c>
    </row>
    <row r="128" spans="1:26">
      <c r="A128">
        <v>304960</v>
      </c>
      <c r="B128">
        <v>305530</v>
      </c>
      <c r="C128">
        <v>305320</v>
      </c>
      <c r="D128">
        <v>305880</v>
      </c>
      <c r="E128">
        <v>304530</v>
      </c>
      <c r="F128">
        <v>306300</v>
      </c>
      <c r="G128">
        <v>305130</v>
      </c>
      <c r="H128">
        <v>306700</v>
      </c>
      <c r="I128">
        <v>304730</v>
      </c>
      <c r="J128">
        <v>306440</v>
      </c>
      <c r="K128">
        <v>305720</v>
      </c>
      <c r="L128">
        <v>306090</v>
      </c>
      <c r="O128">
        <v>5</v>
      </c>
      <c r="P128">
        <v>9</v>
      </c>
      <c r="Q128">
        <v>1</v>
      </c>
      <c r="R128">
        <v>7</v>
      </c>
      <c r="S128">
        <v>3</v>
      </c>
      <c r="T128">
        <v>2</v>
      </c>
      <c r="U128" t="s">
        <v>46</v>
      </c>
      <c r="V128">
        <v>4</v>
      </c>
      <c r="W128" t="s">
        <v>47</v>
      </c>
      <c r="X128">
        <v>6</v>
      </c>
      <c r="Y128" t="s">
        <v>45</v>
      </c>
      <c r="Z128">
        <v>8</v>
      </c>
    </row>
    <row r="129" spans="1:26">
      <c r="A129">
        <v>307700</v>
      </c>
      <c r="B129">
        <v>307860</v>
      </c>
      <c r="C129">
        <v>308060</v>
      </c>
      <c r="D129">
        <v>308280</v>
      </c>
      <c r="E129">
        <v>307300</v>
      </c>
      <c r="F129">
        <v>308640</v>
      </c>
      <c r="G129">
        <v>307460</v>
      </c>
      <c r="H129">
        <v>308980</v>
      </c>
      <c r="I129">
        <v>307120</v>
      </c>
      <c r="J129">
        <v>309200</v>
      </c>
      <c r="K129">
        <v>308430</v>
      </c>
      <c r="L129">
        <v>308810</v>
      </c>
      <c r="O129">
        <v>9</v>
      </c>
      <c r="P129">
        <v>5</v>
      </c>
      <c r="Q129">
        <v>7</v>
      </c>
      <c r="R129">
        <v>1</v>
      </c>
      <c r="S129">
        <v>2</v>
      </c>
      <c r="T129">
        <v>3</v>
      </c>
      <c r="U129">
        <v>4</v>
      </c>
      <c r="V129" t="s">
        <v>46</v>
      </c>
      <c r="W129">
        <v>6</v>
      </c>
      <c r="X129" t="s">
        <v>47</v>
      </c>
      <c r="Y129">
        <v>8</v>
      </c>
      <c r="Z129" t="s">
        <v>45</v>
      </c>
    </row>
    <row r="130" spans="1:26">
      <c r="A130">
        <v>310210</v>
      </c>
      <c r="B130">
        <v>309970</v>
      </c>
      <c r="C130">
        <v>310370</v>
      </c>
      <c r="D130">
        <v>310700</v>
      </c>
      <c r="E130">
        <v>309370</v>
      </c>
      <c r="F130">
        <v>311140</v>
      </c>
      <c r="G130">
        <v>309760</v>
      </c>
      <c r="H130">
        <v>311530</v>
      </c>
      <c r="I130">
        <v>309580</v>
      </c>
      <c r="J130">
        <v>311320</v>
      </c>
      <c r="K130">
        <v>310560</v>
      </c>
      <c r="L130">
        <v>310920</v>
      </c>
      <c r="O130">
        <v>5</v>
      </c>
      <c r="P130">
        <v>9</v>
      </c>
      <c r="Q130">
        <v>7</v>
      </c>
      <c r="R130">
        <v>2</v>
      </c>
      <c r="S130">
        <v>1</v>
      </c>
      <c r="T130">
        <v>3</v>
      </c>
      <c r="U130" t="s">
        <v>46</v>
      </c>
      <c r="V130">
        <v>4</v>
      </c>
      <c r="W130" t="s">
        <v>47</v>
      </c>
      <c r="X130">
        <v>6</v>
      </c>
      <c r="Y130" t="s">
        <v>45</v>
      </c>
      <c r="Z130">
        <v>8</v>
      </c>
    </row>
    <row r="131" spans="1:26">
      <c r="A131">
        <v>312890</v>
      </c>
      <c r="B131">
        <v>312360</v>
      </c>
      <c r="C131">
        <v>312680</v>
      </c>
      <c r="D131">
        <v>313080</v>
      </c>
      <c r="E131">
        <v>312180</v>
      </c>
      <c r="F131">
        <v>313460</v>
      </c>
      <c r="G131">
        <v>312530</v>
      </c>
      <c r="H131">
        <v>313820</v>
      </c>
      <c r="I131">
        <v>311940</v>
      </c>
      <c r="J131">
        <v>314050</v>
      </c>
      <c r="K131">
        <v>313280</v>
      </c>
      <c r="L131">
        <v>313650</v>
      </c>
      <c r="O131">
        <v>9</v>
      </c>
      <c r="P131">
        <v>5</v>
      </c>
      <c r="Q131">
        <v>2</v>
      </c>
      <c r="R131">
        <v>7</v>
      </c>
      <c r="S131">
        <v>3</v>
      </c>
      <c r="T131">
        <v>1</v>
      </c>
      <c r="U131">
        <v>4</v>
      </c>
      <c r="V131" t="s">
        <v>46</v>
      </c>
      <c r="W131">
        <v>6</v>
      </c>
      <c r="X131" t="s">
        <v>47</v>
      </c>
      <c r="Y131">
        <v>8</v>
      </c>
      <c r="Z131" t="s">
        <v>45</v>
      </c>
    </row>
    <row r="132" spans="1:26">
      <c r="A132">
        <v>315030</v>
      </c>
      <c r="B132">
        <v>314460</v>
      </c>
      <c r="C132">
        <v>315190</v>
      </c>
      <c r="D132">
        <v>315410</v>
      </c>
      <c r="E132">
        <v>314620</v>
      </c>
      <c r="F132">
        <v>315610</v>
      </c>
      <c r="G132">
        <v>314850</v>
      </c>
      <c r="H132">
        <v>315970</v>
      </c>
      <c r="I132">
        <v>314240</v>
      </c>
      <c r="J132">
        <v>316360</v>
      </c>
      <c r="K132">
        <v>315780</v>
      </c>
      <c r="L132">
        <v>316180</v>
      </c>
      <c r="O132">
        <v>9</v>
      </c>
      <c r="P132">
        <v>2</v>
      </c>
      <c r="Q132">
        <v>5</v>
      </c>
      <c r="R132">
        <v>7</v>
      </c>
      <c r="S132">
        <v>1</v>
      </c>
      <c r="T132">
        <v>3</v>
      </c>
      <c r="U132">
        <v>4</v>
      </c>
      <c r="V132">
        <v>6</v>
      </c>
      <c r="W132" t="s">
        <v>46</v>
      </c>
      <c r="X132">
        <v>8</v>
      </c>
      <c r="Y132" t="s">
        <v>47</v>
      </c>
      <c r="Z132" t="s">
        <v>45</v>
      </c>
    </row>
    <row r="133" spans="1:26">
      <c r="A133">
        <v>317760</v>
      </c>
      <c r="B133">
        <v>316770</v>
      </c>
      <c r="C133">
        <v>317570</v>
      </c>
      <c r="D133">
        <v>318120</v>
      </c>
      <c r="E133">
        <v>317370</v>
      </c>
      <c r="F133">
        <v>317980</v>
      </c>
      <c r="G133">
        <v>317190</v>
      </c>
      <c r="H133">
        <v>318270</v>
      </c>
      <c r="I133">
        <v>316960</v>
      </c>
      <c r="J133">
        <v>318660</v>
      </c>
      <c r="K133">
        <v>318460</v>
      </c>
      <c r="L133">
        <v>318910</v>
      </c>
      <c r="O133">
        <v>2</v>
      </c>
      <c r="P133">
        <v>9</v>
      </c>
      <c r="Q133">
        <v>7</v>
      </c>
      <c r="R133">
        <v>5</v>
      </c>
      <c r="S133">
        <v>3</v>
      </c>
      <c r="T133">
        <v>1</v>
      </c>
      <c r="U133">
        <v>6</v>
      </c>
      <c r="V133">
        <v>4</v>
      </c>
      <c r="W133">
        <v>8</v>
      </c>
      <c r="X133" t="s">
        <v>46</v>
      </c>
      <c r="Y133" t="s">
        <v>45</v>
      </c>
      <c r="Z133" t="s">
        <v>47</v>
      </c>
    </row>
    <row r="134" spans="1:26">
      <c r="A134">
        <v>320290</v>
      </c>
      <c r="B134">
        <v>319300</v>
      </c>
      <c r="C134">
        <v>319870</v>
      </c>
      <c r="D134">
        <v>320440</v>
      </c>
      <c r="E134">
        <v>319440</v>
      </c>
      <c r="F134">
        <v>320090</v>
      </c>
      <c r="G134">
        <v>319670</v>
      </c>
      <c r="H134">
        <v>320780</v>
      </c>
      <c r="I134">
        <v>319050</v>
      </c>
      <c r="J134">
        <v>321190</v>
      </c>
      <c r="K134">
        <v>320610</v>
      </c>
      <c r="L134">
        <v>321020</v>
      </c>
      <c r="O134">
        <v>9</v>
      </c>
      <c r="P134">
        <v>2</v>
      </c>
      <c r="Q134">
        <v>5</v>
      </c>
      <c r="R134">
        <v>7</v>
      </c>
      <c r="S134">
        <v>3</v>
      </c>
      <c r="T134">
        <v>6</v>
      </c>
      <c r="U134">
        <v>1</v>
      </c>
      <c r="V134">
        <v>4</v>
      </c>
      <c r="W134" t="s">
        <v>46</v>
      </c>
      <c r="X134">
        <v>8</v>
      </c>
      <c r="Y134" t="s">
        <v>47</v>
      </c>
      <c r="Z134" t="s">
        <v>45</v>
      </c>
    </row>
    <row r="135" spans="1:26">
      <c r="A135">
        <v>322990</v>
      </c>
      <c r="B135">
        <v>321660</v>
      </c>
      <c r="C135">
        <v>322590</v>
      </c>
      <c r="D135">
        <v>322770</v>
      </c>
      <c r="E135">
        <v>322190</v>
      </c>
      <c r="F135">
        <v>322400</v>
      </c>
      <c r="G135">
        <v>321990</v>
      </c>
      <c r="H135">
        <v>323100</v>
      </c>
      <c r="I135">
        <v>321830</v>
      </c>
      <c r="J135">
        <v>323490</v>
      </c>
      <c r="K135">
        <v>323280</v>
      </c>
      <c r="L135">
        <v>323760</v>
      </c>
      <c r="O135">
        <v>2</v>
      </c>
      <c r="P135">
        <v>9</v>
      </c>
      <c r="Q135">
        <v>7</v>
      </c>
      <c r="R135">
        <v>5</v>
      </c>
      <c r="S135">
        <v>6</v>
      </c>
      <c r="T135">
        <v>3</v>
      </c>
      <c r="U135">
        <v>4</v>
      </c>
      <c r="V135">
        <v>1</v>
      </c>
      <c r="W135">
        <v>8</v>
      </c>
      <c r="X135" t="s">
        <v>46</v>
      </c>
      <c r="Y135" t="s">
        <v>45</v>
      </c>
      <c r="Z135" t="s">
        <v>47</v>
      </c>
    </row>
    <row r="136" spans="1:26">
      <c r="A136">
        <v>325120</v>
      </c>
      <c r="B136">
        <v>323960</v>
      </c>
      <c r="C136">
        <v>324880</v>
      </c>
      <c r="D136">
        <v>325270</v>
      </c>
      <c r="E136">
        <v>324720</v>
      </c>
      <c r="F136">
        <v>324540</v>
      </c>
      <c r="G136">
        <v>324150</v>
      </c>
      <c r="H136">
        <v>325430</v>
      </c>
      <c r="I136">
        <v>324340</v>
      </c>
      <c r="J136">
        <v>325620</v>
      </c>
      <c r="K136">
        <v>325810</v>
      </c>
      <c r="L136">
        <v>326060</v>
      </c>
      <c r="O136">
        <v>2</v>
      </c>
      <c r="P136">
        <v>7</v>
      </c>
      <c r="Q136">
        <v>9</v>
      </c>
      <c r="R136">
        <v>6</v>
      </c>
      <c r="S136">
        <v>5</v>
      </c>
      <c r="T136">
        <v>3</v>
      </c>
      <c r="U136">
        <v>1</v>
      </c>
      <c r="V136">
        <v>4</v>
      </c>
      <c r="W136">
        <v>8</v>
      </c>
      <c r="X136" t="s">
        <v>45</v>
      </c>
      <c r="Y136" t="s">
        <v>46</v>
      </c>
      <c r="Z136" t="s">
        <v>47</v>
      </c>
    </row>
    <row r="137" spans="1:26">
      <c r="A137">
        <v>327880</v>
      </c>
      <c r="B137">
        <v>326650</v>
      </c>
      <c r="C137">
        <v>327240</v>
      </c>
      <c r="D137">
        <v>327670</v>
      </c>
      <c r="E137">
        <v>327430</v>
      </c>
      <c r="F137">
        <v>326840</v>
      </c>
      <c r="G137">
        <v>326470</v>
      </c>
      <c r="H137">
        <v>328170</v>
      </c>
      <c r="I137">
        <v>327020</v>
      </c>
      <c r="J137">
        <v>328040</v>
      </c>
      <c r="K137">
        <v>328530</v>
      </c>
      <c r="L137">
        <v>328330</v>
      </c>
      <c r="O137">
        <v>7</v>
      </c>
      <c r="P137">
        <v>2</v>
      </c>
      <c r="Q137">
        <v>6</v>
      </c>
      <c r="R137">
        <v>9</v>
      </c>
      <c r="S137">
        <v>3</v>
      </c>
      <c r="T137">
        <v>5</v>
      </c>
      <c r="U137">
        <v>4</v>
      </c>
      <c r="V137">
        <v>1</v>
      </c>
      <c r="W137" t="s">
        <v>45</v>
      </c>
      <c r="X137">
        <v>8</v>
      </c>
      <c r="Y137" t="s">
        <v>47</v>
      </c>
      <c r="Z137" t="s">
        <v>46</v>
      </c>
    </row>
    <row r="138" spans="1:26">
      <c r="A138">
        <v>330340</v>
      </c>
      <c r="B138">
        <v>328770</v>
      </c>
      <c r="C138">
        <v>329750</v>
      </c>
      <c r="D138">
        <v>329960</v>
      </c>
      <c r="E138">
        <v>329570</v>
      </c>
      <c r="F138">
        <v>329390</v>
      </c>
      <c r="G138">
        <v>328980</v>
      </c>
      <c r="H138">
        <v>330540</v>
      </c>
      <c r="I138">
        <v>329150</v>
      </c>
      <c r="J138">
        <v>330140</v>
      </c>
      <c r="K138">
        <v>330670</v>
      </c>
      <c r="L138">
        <v>330910</v>
      </c>
      <c r="O138">
        <v>2</v>
      </c>
      <c r="P138">
        <v>7</v>
      </c>
      <c r="Q138">
        <v>9</v>
      </c>
      <c r="R138">
        <v>6</v>
      </c>
      <c r="S138">
        <v>5</v>
      </c>
      <c r="T138">
        <v>3</v>
      </c>
      <c r="U138">
        <v>4</v>
      </c>
      <c r="V138" t="s">
        <v>45</v>
      </c>
      <c r="W138">
        <v>1</v>
      </c>
      <c r="X138">
        <v>8</v>
      </c>
      <c r="Y138" t="s">
        <v>46</v>
      </c>
      <c r="Z138" t="s">
        <v>47</v>
      </c>
    </row>
    <row r="139" spans="1:26">
      <c r="A139">
        <v>333040</v>
      </c>
      <c r="B139">
        <v>331500</v>
      </c>
      <c r="C139">
        <v>332090</v>
      </c>
      <c r="D139">
        <v>332680</v>
      </c>
      <c r="E139">
        <v>332280</v>
      </c>
      <c r="F139">
        <v>331690</v>
      </c>
      <c r="G139">
        <v>331320</v>
      </c>
      <c r="H139">
        <v>332830</v>
      </c>
      <c r="I139">
        <v>331910</v>
      </c>
      <c r="J139">
        <v>332460</v>
      </c>
      <c r="K139">
        <v>333420</v>
      </c>
      <c r="L139">
        <v>333190</v>
      </c>
      <c r="O139">
        <v>7</v>
      </c>
      <c r="P139">
        <v>2</v>
      </c>
      <c r="Q139">
        <v>6</v>
      </c>
      <c r="R139">
        <v>9</v>
      </c>
      <c r="S139">
        <v>3</v>
      </c>
      <c r="T139">
        <v>5</v>
      </c>
      <c r="U139" t="s">
        <v>45</v>
      </c>
      <c r="V139">
        <v>4</v>
      </c>
      <c r="W139">
        <v>8</v>
      </c>
      <c r="X139">
        <v>1</v>
      </c>
      <c r="Y139" t="s">
        <v>47</v>
      </c>
      <c r="Z139" t="s">
        <v>46</v>
      </c>
    </row>
    <row r="140" spans="1:26">
      <c r="A140">
        <v>335190</v>
      </c>
      <c r="B140">
        <v>334030</v>
      </c>
      <c r="C140">
        <v>334220</v>
      </c>
      <c r="D140">
        <v>334990</v>
      </c>
      <c r="E140">
        <v>334800</v>
      </c>
      <c r="F140">
        <v>333810</v>
      </c>
      <c r="G140">
        <v>333590</v>
      </c>
      <c r="H140">
        <v>335350</v>
      </c>
      <c r="I140">
        <v>334390</v>
      </c>
      <c r="J140">
        <v>334610</v>
      </c>
      <c r="K140">
        <v>335540</v>
      </c>
      <c r="L140">
        <v>335760</v>
      </c>
      <c r="O140">
        <v>7</v>
      </c>
      <c r="P140">
        <v>6</v>
      </c>
      <c r="Q140">
        <v>2</v>
      </c>
      <c r="R140">
        <v>3</v>
      </c>
      <c r="S140">
        <v>9</v>
      </c>
      <c r="T140" t="s">
        <v>45</v>
      </c>
      <c r="U140">
        <v>5</v>
      </c>
      <c r="V140">
        <v>4</v>
      </c>
      <c r="W140">
        <v>1</v>
      </c>
      <c r="X140">
        <v>8</v>
      </c>
      <c r="Y140" t="s">
        <v>46</v>
      </c>
      <c r="Z140" t="s">
        <v>47</v>
      </c>
    </row>
    <row r="141" spans="1:26">
      <c r="A141">
        <v>337860</v>
      </c>
      <c r="B141">
        <v>336680</v>
      </c>
      <c r="C141">
        <v>336490</v>
      </c>
      <c r="D141">
        <v>337280</v>
      </c>
      <c r="E141">
        <v>337480</v>
      </c>
      <c r="F141">
        <v>336110</v>
      </c>
      <c r="G141">
        <v>336290</v>
      </c>
      <c r="H141">
        <v>337660</v>
      </c>
      <c r="I141">
        <v>337100</v>
      </c>
      <c r="J141">
        <v>336890</v>
      </c>
      <c r="K141">
        <v>338240</v>
      </c>
      <c r="L141">
        <v>338040</v>
      </c>
      <c r="O141">
        <v>6</v>
      </c>
      <c r="P141">
        <v>7</v>
      </c>
      <c r="Q141">
        <v>3</v>
      </c>
      <c r="R141">
        <v>2</v>
      </c>
      <c r="S141" t="s">
        <v>45</v>
      </c>
      <c r="T141">
        <v>9</v>
      </c>
      <c r="U141">
        <v>4</v>
      </c>
      <c r="V141">
        <v>5</v>
      </c>
      <c r="W141">
        <v>8</v>
      </c>
      <c r="X141">
        <v>1</v>
      </c>
      <c r="Y141" t="s">
        <v>47</v>
      </c>
      <c r="Z141" t="s">
        <v>46</v>
      </c>
    </row>
    <row r="142" spans="1:26">
      <c r="A142">
        <v>340380</v>
      </c>
      <c r="B142">
        <v>338850</v>
      </c>
      <c r="C142">
        <v>339020</v>
      </c>
      <c r="D142">
        <v>339760</v>
      </c>
      <c r="E142">
        <v>339550</v>
      </c>
      <c r="F142">
        <v>338660</v>
      </c>
      <c r="G142">
        <v>338440</v>
      </c>
      <c r="H142">
        <v>339940</v>
      </c>
      <c r="I142">
        <v>339190</v>
      </c>
      <c r="J142">
        <v>339340</v>
      </c>
      <c r="K142">
        <v>340580</v>
      </c>
      <c r="L142">
        <v>340200</v>
      </c>
      <c r="O142">
        <v>7</v>
      </c>
      <c r="P142">
        <v>6</v>
      </c>
      <c r="Q142">
        <v>2</v>
      </c>
      <c r="R142">
        <v>3</v>
      </c>
      <c r="S142">
        <v>9</v>
      </c>
      <c r="T142" t="s">
        <v>45</v>
      </c>
      <c r="U142">
        <v>5</v>
      </c>
      <c r="V142">
        <v>4</v>
      </c>
      <c r="W142">
        <v>8</v>
      </c>
      <c r="X142" t="s">
        <v>47</v>
      </c>
      <c r="Y142">
        <v>1</v>
      </c>
      <c r="Z142" t="s">
        <v>46</v>
      </c>
    </row>
    <row r="143" spans="1:26">
      <c r="A143">
        <v>343090</v>
      </c>
      <c r="B143">
        <v>341530</v>
      </c>
      <c r="C143">
        <v>341340</v>
      </c>
      <c r="D143">
        <v>342140</v>
      </c>
      <c r="E143">
        <v>342310</v>
      </c>
      <c r="F143">
        <v>340980</v>
      </c>
      <c r="G143">
        <v>341160</v>
      </c>
      <c r="H143">
        <v>342660</v>
      </c>
      <c r="I143">
        <v>341900</v>
      </c>
      <c r="J143">
        <v>341720</v>
      </c>
      <c r="K143">
        <v>342860</v>
      </c>
      <c r="L143">
        <v>342500</v>
      </c>
      <c r="O143">
        <v>6</v>
      </c>
      <c r="P143">
        <v>7</v>
      </c>
      <c r="Q143">
        <v>3</v>
      </c>
      <c r="R143">
        <v>2</v>
      </c>
      <c r="S143" t="s">
        <v>45</v>
      </c>
      <c r="T143">
        <v>9</v>
      </c>
      <c r="U143">
        <v>4</v>
      </c>
      <c r="V143">
        <v>5</v>
      </c>
      <c r="W143" t="s">
        <v>47</v>
      </c>
      <c r="X143">
        <v>8</v>
      </c>
      <c r="Y143" t="s">
        <v>46</v>
      </c>
      <c r="Z143">
        <v>1</v>
      </c>
    </row>
    <row r="144" spans="1:26">
      <c r="A144">
        <v>345200</v>
      </c>
      <c r="B144">
        <v>344070</v>
      </c>
      <c r="C144">
        <v>343500</v>
      </c>
      <c r="D144">
        <v>344260</v>
      </c>
      <c r="E144">
        <v>344820</v>
      </c>
      <c r="F144">
        <v>343300</v>
      </c>
      <c r="G144">
        <v>343680</v>
      </c>
      <c r="H144">
        <v>345020</v>
      </c>
      <c r="I144">
        <v>344410</v>
      </c>
      <c r="J144">
        <v>343880</v>
      </c>
      <c r="K144">
        <v>345400</v>
      </c>
      <c r="L144">
        <v>344630</v>
      </c>
      <c r="O144">
        <v>6</v>
      </c>
      <c r="P144">
        <v>3</v>
      </c>
      <c r="Q144">
        <v>7</v>
      </c>
      <c r="R144" t="s">
        <v>45</v>
      </c>
      <c r="S144">
        <v>2</v>
      </c>
      <c r="T144">
        <v>4</v>
      </c>
      <c r="U144">
        <v>9</v>
      </c>
      <c r="V144" t="s">
        <v>47</v>
      </c>
      <c r="W144">
        <v>5</v>
      </c>
      <c r="X144">
        <v>8</v>
      </c>
      <c r="Y144">
        <v>1</v>
      </c>
      <c r="Z144" t="s">
        <v>46</v>
      </c>
    </row>
    <row r="145" spans="1:26">
      <c r="A145">
        <v>347920</v>
      </c>
      <c r="B145">
        <v>346800</v>
      </c>
      <c r="C145">
        <v>345780</v>
      </c>
      <c r="D145">
        <v>346590</v>
      </c>
      <c r="E145">
        <v>347500</v>
      </c>
      <c r="F145">
        <v>345990</v>
      </c>
      <c r="G145">
        <v>346390</v>
      </c>
      <c r="H145">
        <v>347310</v>
      </c>
      <c r="I145">
        <v>347130</v>
      </c>
      <c r="J145">
        <v>346200</v>
      </c>
      <c r="K145">
        <v>347700</v>
      </c>
      <c r="L145">
        <v>346980</v>
      </c>
      <c r="O145">
        <v>3</v>
      </c>
      <c r="P145">
        <v>6</v>
      </c>
      <c r="Q145" t="s">
        <v>45</v>
      </c>
      <c r="R145">
        <v>7</v>
      </c>
      <c r="S145">
        <v>4</v>
      </c>
      <c r="T145">
        <v>2</v>
      </c>
      <c r="U145" t="s">
        <v>47</v>
      </c>
      <c r="V145">
        <v>9</v>
      </c>
      <c r="W145">
        <v>8</v>
      </c>
      <c r="X145">
        <v>5</v>
      </c>
      <c r="Y145" t="s">
        <v>46</v>
      </c>
      <c r="Z145">
        <v>1</v>
      </c>
    </row>
    <row r="146" spans="1:26">
      <c r="A146">
        <v>350270</v>
      </c>
      <c r="B146">
        <v>348900</v>
      </c>
      <c r="C146">
        <v>348290</v>
      </c>
      <c r="D146">
        <v>349110</v>
      </c>
      <c r="E146">
        <v>349620</v>
      </c>
      <c r="F146">
        <v>348090</v>
      </c>
      <c r="G146">
        <v>348510</v>
      </c>
      <c r="H146">
        <v>349850</v>
      </c>
      <c r="I146">
        <v>349280</v>
      </c>
      <c r="J146">
        <v>348710</v>
      </c>
      <c r="K146">
        <v>350060</v>
      </c>
      <c r="L146">
        <v>349480</v>
      </c>
      <c r="O146">
        <v>6</v>
      </c>
      <c r="P146">
        <v>3</v>
      </c>
      <c r="Q146">
        <v>7</v>
      </c>
      <c r="R146" t="s">
        <v>45</v>
      </c>
      <c r="S146">
        <v>2</v>
      </c>
      <c r="T146">
        <v>4</v>
      </c>
      <c r="U146">
        <v>9</v>
      </c>
      <c r="V146" t="s">
        <v>47</v>
      </c>
      <c r="W146">
        <v>5</v>
      </c>
      <c r="X146">
        <v>8</v>
      </c>
      <c r="Y146" t="s">
        <v>46</v>
      </c>
      <c r="Z146">
        <v>1</v>
      </c>
    </row>
    <row r="147" spans="1:26">
      <c r="A147">
        <v>352580</v>
      </c>
      <c r="B147">
        <v>351660</v>
      </c>
      <c r="C147">
        <v>350590</v>
      </c>
      <c r="D147">
        <v>351440</v>
      </c>
      <c r="E147">
        <v>352400</v>
      </c>
      <c r="F147">
        <v>350800</v>
      </c>
      <c r="G147">
        <v>351220</v>
      </c>
      <c r="H147">
        <v>352190</v>
      </c>
      <c r="I147">
        <v>351970</v>
      </c>
      <c r="J147">
        <v>351020</v>
      </c>
      <c r="K147">
        <v>352740</v>
      </c>
      <c r="L147">
        <v>351800</v>
      </c>
      <c r="O147">
        <v>3</v>
      </c>
      <c r="P147">
        <v>6</v>
      </c>
      <c r="Q147" t="s">
        <v>45</v>
      </c>
      <c r="R147">
        <v>7</v>
      </c>
      <c r="S147">
        <v>4</v>
      </c>
      <c r="T147">
        <v>2</v>
      </c>
      <c r="U147" t="s">
        <v>47</v>
      </c>
      <c r="V147">
        <v>9</v>
      </c>
      <c r="W147">
        <v>8</v>
      </c>
      <c r="X147">
        <v>5</v>
      </c>
      <c r="Y147">
        <v>1</v>
      </c>
      <c r="Z147" t="s">
        <v>46</v>
      </c>
    </row>
    <row r="148" spans="1:26">
      <c r="A148">
        <v>355150</v>
      </c>
      <c r="B148">
        <v>354110</v>
      </c>
      <c r="C148">
        <v>352930</v>
      </c>
      <c r="D148">
        <v>353540</v>
      </c>
      <c r="E148">
        <v>354690</v>
      </c>
      <c r="F148">
        <v>353350</v>
      </c>
      <c r="G148">
        <v>353780</v>
      </c>
      <c r="H148">
        <v>354300</v>
      </c>
      <c r="I148">
        <v>354480</v>
      </c>
      <c r="J148">
        <v>353170</v>
      </c>
      <c r="K148">
        <v>354900</v>
      </c>
      <c r="L148">
        <v>353950</v>
      </c>
      <c r="O148">
        <v>3</v>
      </c>
      <c r="P148" t="s">
        <v>45</v>
      </c>
      <c r="Q148">
        <v>6</v>
      </c>
      <c r="R148">
        <v>4</v>
      </c>
      <c r="S148">
        <v>7</v>
      </c>
      <c r="T148" t="s">
        <v>47</v>
      </c>
      <c r="U148">
        <v>2</v>
      </c>
      <c r="V148">
        <v>8</v>
      </c>
      <c r="W148">
        <v>9</v>
      </c>
      <c r="X148">
        <v>5</v>
      </c>
      <c r="Y148" t="s">
        <v>46</v>
      </c>
      <c r="Z148">
        <v>1</v>
      </c>
    </row>
    <row r="149" spans="1:26">
      <c r="A149">
        <v>357460</v>
      </c>
      <c r="B149">
        <v>356840</v>
      </c>
      <c r="C149">
        <v>355690</v>
      </c>
      <c r="D149">
        <v>355900</v>
      </c>
      <c r="E149">
        <v>357040</v>
      </c>
      <c r="F149">
        <v>356110</v>
      </c>
      <c r="G149">
        <v>356460</v>
      </c>
      <c r="H149">
        <v>356640</v>
      </c>
      <c r="I149">
        <v>357240</v>
      </c>
      <c r="J149">
        <v>355520</v>
      </c>
      <c r="K149">
        <v>357620</v>
      </c>
      <c r="L149">
        <v>356290</v>
      </c>
      <c r="O149" t="s">
        <v>45</v>
      </c>
      <c r="P149">
        <v>3</v>
      </c>
      <c r="Q149">
        <v>4</v>
      </c>
      <c r="R149">
        <v>6</v>
      </c>
      <c r="S149" t="s">
        <v>47</v>
      </c>
      <c r="T149">
        <v>7</v>
      </c>
      <c r="U149">
        <v>8</v>
      </c>
      <c r="V149">
        <v>2</v>
      </c>
      <c r="W149">
        <v>5</v>
      </c>
      <c r="X149">
        <v>9</v>
      </c>
      <c r="Y149">
        <v>1</v>
      </c>
      <c r="Z149" t="s">
        <v>46</v>
      </c>
    </row>
    <row r="150" spans="1:26">
      <c r="A150">
        <v>359590</v>
      </c>
      <c r="B150">
        <v>359000</v>
      </c>
      <c r="C150">
        <v>357840</v>
      </c>
      <c r="D150">
        <v>358390</v>
      </c>
      <c r="E150">
        <v>359360</v>
      </c>
      <c r="F150">
        <v>358180</v>
      </c>
      <c r="G150">
        <v>358590</v>
      </c>
      <c r="H150">
        <v>359210</v>
      </c>
      <c r="I150">
        <v>359790</v>
      </c>
      <c r="J150">
        <v>358050</v>
      </c>
      <c r="K150">
        <v>359950</v>
      </c>
      <c r="L150">
        <v>358810</v>
      </c>
      <c r="O150">
        <v>3</v>
      </c>
      <c r="P150" t="s">
        <v>45</v>
      </c>
      <c r="Q150">
        <v>6</v>
      </c>
      <c r="R150">
        <v>4</v>
      </c>
      <c r="S150">
        <v>7</v>
      </c>
      <c r="T150" t="s">
        <v>47</v>
      </c>
      <c r="U150">
        <v>2</v>
      </c>
      <c r="V150">
        <v>8</v>
      </c>
      <c r="W150">
        <v>5</v>
      </c>
      <c r="X150">
        <v>1</v>
      </c>
      <c r="Y150">
        <v>9</v>
      </c>
      <c r="Z150" t="s">
        <v>46</v>
      </c>
    </row>
    <row r="151" spans="1:26">
      <c r="A151">
        <v>361940</v>
      </c>
      <c r="B151">
        <v>361730</v>
      </c>
      <c r="C151">
        <v>360590</v>
      </c>
      <c r="D151">
        <v>360810</v>
      </c>
      <c r="E151">
        <v>362110</v>
      </c>
      <c r="F151">
        <v>361020</v>
      </c>
      <c r="G151">
        <v>361300</v>
      </c>
      <c r="H151">
        <v>361530</v>
      </c>
      <c r="I151">
        <v>362470</v>
      </c>
      <c r="J151">
        <v>360390</v>
      </c>
      <c r="K151">
        <v>362230</v>
      </c>
      <c r="L151">
        <v>361170</v>
      </c>
      <c r="O151" t="s">
        <v>45</v>
      </c>
      <c r="P151">
        <v>3</v>
      </c>
      <c r="Q151">
        <v>4</v>
      </c>
      <c r="R151">
        <v>6</v>
      </c>
      <c r="S151" t="s">
        <v>47</v>
      </c>
      <c r="T151">
        <v>7</v>
      </c>
      <c r="U151">
        <v>8</v>
      </c>
      <c r="V151">
        <v>2</v>
      </c>
      <c r="W151">
        <v>1</v>
      </c>
      <c r="X151">
        <v>5</v>
      </c>
      <c r="Y151" t="s">
        <v>46</v>
      </c>
      <c r="Z151">
        <v>9</v>
      </c>
    </row>
    <row r="152" spans="1:26">
      <c r="A152">
        <v>364460</v>
      </c>
      <c r="B152">
        <v>364060</v>
      </c>
      <c r="C152">
        <v>363120</v>
      </c>
      <c r="D152">
        <v>362900</v>
      </c>
      <c r="E152">
        <v>364250</v>
      </c>
      <c r="F152">
        <v>363470</v>
      </c>
      <c r="G152">
        <v>363840</v>
      </c>
      <c r="H152">
        <v>363670</v>
      </c>
      <c r="I152">
        <v>364610</v>
      </c>
      <c r="J152">
        <v>362670</v>
      </c>
      <c r="K152">
        <v>364820</v>
      </c>
      <c r="L152">
        <v>363280</v>
      </c>
      <c r="O152" t="s">
        <v>45</v>
      </c>
      <c r="P152">
        <v>4</v>
      </c>
      <c r="Q152">
        <v>3</v>
      </c>
      <c r="R152" t="s">
        <v>47</v>
      </c>
      <c r="S152">
        <v>6</v>
      </c>
      <c r="T152">
        <v>8</v>
      </c>
      <c r="U152">
        <v>7</v>
      </c>
      <c r="V152">
        <v>2</v>
      </c>
      <c r="W152">
        <v>5</v>
      </c>
      <c r="X152">
        <v>1</v>
      </c>
      <c r="Y152">
        <v>9</v>
      </c>
      <c r="Z152" t="s">
        <v>46</v>
      </c>
    </row>
    <row r="153" spans="1:26">
      <c r="A153">
        <v>366790</v>
      </c>
      <c r="B153">
        <v>366410</v>
      </c>
      <c r="C153">
        <v>365860</v>
      </c>
      <c r="D153">
        <v>365200</v>
      </c>
      <c r="E153">
        <v>366970</v>
      </c>
      <c r="F153">
        <v>366240</v>
      </c>
      <c r="G153">
        <v>366600</v>
      </c>
      <c r="H153">
        <v>365990</v>
      </c>
      <c r="I153">
        <v>367330</v>
      </c>
      <c r="J153">
        <v>365410</v>
      </c>
      <c r="K153">
        <v>367130</v>
      </c>
      <c r="L153">
        <v>365640</v>
      </c>
      <c r="O153">
        <v>4</v>
      </c>
      <c r="P153" t="s">
        <v>45</v>
      </c>
      <c r="Q153" t="s">
        <v>47</v>
      </c>
      <c r="R153">
        <v>3</v>
      </c>
      <c r="S153">
        <v>8</v>
      </c>
      <c r="T153">
        <v>6</v>
      </c>
      <c r="U153">
        <v>2</v>
      </c>
      <c r="V153">
        <v>7</v>
      </c>
      <c r="W153">
        <v>1</v>
      </c>
      <c r="X153">
        <v>5</v>
      </c>
      <c r="Y153" t="s">
        <v>46</v>
      </c>
      <c r="Z153">
        <v>9</v>
      </c>
    </row>
    <row r="154" spans="1:26">
      <c r="A154">
        <v>368970</v>
      </c>
      <c r="B154">
        <v>368740</v>
      </c>
      <c r="C154">
        <v>367960</v>
      </c>
      <c r="D154">
        <v>367780</v>
      </c>
      <c r="E154">
        <v>369310</v>
      </c>
      <c r="F154">
        <v>368340</v>
      </c>
      <c r="G154">
        <v>369170</v>
      </c>
      <c r="H154">
        <v>368550</v>
      </c>
      <c r="I154">
        <v>369470</v>
      </c>
      <c r="J154">
        <v>367570</v>
      </c>
      <c r="K154">
        <v>369710</v>
      </c>
      <c r="L154">
        <v>368150</v>
      </c>
      <c r="O154" t="s">
        <v>45</v>
      </c>
      <c r="P154">
        <v>4</v>
      </c>
      <c r="Q154">
        <v>3</v>
      </c>
      <c r="R154" t="s">
        <v>47</v>
      </c>
      <c r="S154">
        <v>6</v>
      </c>
      <c r="T154">
        <v>8</v>
      </c>
      <c r="U154">
        <v>2</v>
      </c>
      <c r="V154">
        <v>1</v>
      </c>
      <c r="W154">
        <v>7</v>
      </c>
      <c r="X154">
        <v>5</v>
      </c>
      <c r="Y154">
        <v>9</v>
      </c>
      <c r="Z154" t="s">
        <v>46</v>
      </c>
    </row>
    <row r="155" spans="1:26">
      <c r="A155">
        <v>371280</v>
      </c>
      <c r="B155">
        <v>371460</v>
      </c>
      <c r="C155">
        <v>370700</v>
      </c>
      <c r="D155">
        <v>370050</v>
      </c>
      <c r="E155">
        <v>371650</v>
      </c>
      <c r="F155">
        <v>371110</v>
      </c>
      <c r="G155">
        <v>371880</v>
      </c>
      <c r="H155">
        <v>370880</v>
      </c>
      <c r="I155">
        <v>372260</v>
      </c>
      <c r="J155">
        <v>370300</v>
      </c>
      <c r="K155">
        <v>372020</v>
      </c>
      <c r="L155">
        <v>370510</v>
      </c>
      <c r="O155">
        <v>4</v>
      </c>
      <c r="P155" t="s">
        <v>45</v>
      </c>
      <c r="Q155" t="s">
        <v>47</v>
      </c>
      <c r="R155">
        <v>3</v>
      </c>
      <c r="S155">
        <v>8</v>
      </c>
      <c r="T155">
        <v>6</v>
      </c>
      <c r="U155">
        <v>1</v>
      </c>
      <c r="V155">
        <v>2</v>
      </c>
      <c r="W155">
        <v>5</v>
      </c>
      <c r="X155">
        <v>7</v>
      </c>
      <c r="Y155" t="s">
        <v>46</v>
      </c>
      <c r="Z155">
        <v>9</v>
      </c>
    </row>
    <row r="156" spans="1:26">
      <c r="A156">
        <v>373850</v>
      </c>
      <c r="B156">
        <v>373640</v>
      </c>
      <c r="C156">
        <v>373210</v>
      </c>
      <c r="D156">
        <v>372440</v>
      </c>
      <c r="E156">
        <v>374000</v>
      </c>
      <c r="F156">
        <v>373490</v>
      </c>
      <c r="G156">
        <v>374360</v>
      </c>
      <c r="H156">
        <v>373040</v>
      </c>
      <c r="I156">
        <v>374570</v>
      </c>
      <c r="J156">
        <v>372840</v>
      </c>
      <c r="K156">
        <v>374210</v>
      </c>
      <c r="L156">
        <v>372610</v>
      </c>
      <c r="O156">
        <v>4</v>
      </c>
      <c r="P156" t="s">
        <v>47</v>
      </c>
      <c r="Q156" t="s">
        <v>45</v>
      </c>
      <c r="R156">
        <v>8</v>
      </c>
      <c r="S156">
        <v>3</v>
      </c>
      <c r="T156">
        <v>6</v>
      </c>
      <c r="U156">
        <v>2</v>
      </c>
      <c r="V156">
        <v>1</v>
      </c>
      <c r="W156">
        <v>5</v>
      </c>
      <c r="X156" t="s">
        <v>46</v>
      </c>
      <c r="Y156">
        <v>7</v>
      </c>
      <c r="Z156">
        <v>9</v>
      </c>
    </row>
    <row r="157" spans="1:26">
      <c r="A157">
        <v>376190</v>
      </c>
      <c r="B157">
        <v>376390</v>
      </c>
      <c r="C157">
        <v>376000</v>
      </c>
      <c r="D157">
        <v>375200</v>
      </c>
      <c r="E157">
        <v>376740</v>
      </c>
      <c r="F157">
        <v>375810</v>
      </c>
      <c r="G157">
        <v>377080</v>
      </c>
      <c r="H157">
        <v>375360</v>
      </c>
      <c r="I157">
        <v>376920</v>
      </c>
      <c r="J157">
        <v>375610</v>
      </c>
      <c r="K157">
        <v>376540</v>
      </c>
      <c r="L157">
        <v>375030</v>
      </c>
      <c r="O157" t="s">
        <v>47</v>
      </c>
      <c r="P157">
        <v>4</v>
      </c>
      <c r="Q157">
        <v>8</v>
      </c>
      <c r="R157" t="s">
        <v>45</v>
      </c>
      <c r="S157">
        <v>6</v>
      </c>
      <c r="T157">
        <v>3</v>
      </c>
      <c r="U157">
        <v>1</v>
      </c>
      <c r="V157">
        <v>2</v>
      </c>
      <c r="W157" t="s">
        <v>46</v>
      </c>
      <c r="X157">
        <v>5</v>
      </c>
      <c r="Y157">
        <v>9</v>
      </c>
      <c r="Z157">
        <v>7</v>
      </c>
    </row>
    <row r="158" spans="1:26">
      <c r="A158">
        <v>378330</v>
      </c>
      <c r="B158">
        <v>378710</v>
      </c>
      <c r="C158">
        <v>378510</v>
      </c>
      <c r="D158">
        <v>377310</v>
      </c>
      <c r="E158">
        <v>378900</v>
      </c>
      <c r="F158">
        <v>378130</v>
      </c>
      <c r="G158">
        <v>379250</v>
      </c>
      <c r="H158">
        <v>377930</v>
      </c>
      <c r="I158">
        <v>379470</v>
      </c>
      <c r="J158">
        <v>377740</v>
      </c>
      <c r="K158">
        <v>379110</v>
      </c>
      <c r="L158">
        <v>377530</v>
      </c>
      <c r="O158">
        <v>4</v>
      </c>
      <c r="P158" t="s">
        <v>47</v>
      </c>
      <c r="Q158" t="s">
        <v>45</v>
      </c>
      <c r="R158">
        <v>8</v>
      </c>
      <c r="S158">
        <v>6</v>
      </c>
      <c r="T158">
        <v>1</v>
      </c>
      <c r="U158">
        <v>3</v>
      </c>
      <c r="V158">
        <v>2</v>
      </c>
      <c r="W158">
        <v>5</v>
      </c>
      <c r="X158" t="s">
        <v>46</v>
      </c>
      <c r="Y158">
        <v>7</v>
      </c>
      <c r="Z158">
        <v>9</v>
      </c>
    </row>
    <row r="159" spans="1:26">
      <c r="A159">
        <v>380660</v>
      </c>
      <c r="B159">
        <v>381060</v>
      </c>
      <c r="C159">
        <v>381230</v>
      </c>
      <c r="D159">
        <v>380030</v>
      </c>
      <c r="E159">
        <v>381590</v>
      </c>
      <c r="F159">
        <v>380880</v>
      </c>
      <c r="G159">
        <v>381990</v>
      </c>
      <c r="H159">
        <v>380210</v>
      </c>
      <c r="I159">
        <v>381800</v>
      </c>
      <c r="J159">
        <v>380470</v>
      </c>
      <c r="K159">
        <v>381440</v>
      </c>
      <c r="L159">
        <v>379880</v>
      </c>
      <c r="O159" t="s">
        <v>47</v>
      </c>
      <c r="P159">
        <v>4</v>
      </c>
      <c r="Q159">
        <v>8</v>
      </c>
      <c r="R159" t="s">
        <v>45</v>
      </c>
      <c r="S159">
        <v>1</v>
      </c>
      <c r="T159">
        <v>6</v>
      </c>
      <c r="U159">
        <v>2</v>
      </c>
      <c r="V159">
        <v>3</v>
      </c>
      <c r="W159" t="s">
        <v>46</v>
      </c>
      <c r="X159">
        <v>5</v>
      </c>
      <c r="Y159">
        <v>9</v>
      </c>
      <c r="Z159">
        <v>7</v>
      </c>
    </row>
    <row r="160" spans="1:26">
      <c r="A160">
        <v>383170</v>
      </c>
      <c r="B160">
        <v>383340</v>
      </c>
      <c r="C160">
        <v>383750</v>
      </c>
      <c r="D160">
        <v>382560</v>
      </c>
      <c r="E160">
        <v>384130</v>
      </c>
      <c r="F160">
        <v>382990</v>
      </c>
      <c r="G160">
        <v>384390</v>
      </c>
      <c r="H160">
        <v>382380</v>
      </c>
      <c r="I160">
        <v>383940</v>
      </c>
      <c r="J160">
        <v>382780</v>
      </c>
      <c r="K160">
        <v>383570</v>
      </c>
      <c r="L160">
        <v>382200</v>
      </c>
      <c r="O160" t="s">
        <v>47</v>
      </c>
      <c r="P160">
        <v>8</v>
      </c>
      <c r="Q160">
        <v>4</v>
      </c>
      <c r="R160" t="s">
        <v>45</v>
      </c>
      <c r="S160">
        <v>6</v>
      </c>
      <c r="T160">
        <v>1</v>
      </c>
      <c r="U160">
        <v>2</v>
      </c>
      <c r="V160" t="s">
        <v>46</v>
      </c>
      <c r="W160">
        <v>3</v>
      </c>
      <c r="X160">
        <v>9</v>
      </c>
      <c r="Y160">
        <v>5</v>
      </c>
      <c r="Z160">
        <v>7</v>
      </c>
    </row>
    <row r="161" spans="1:26">
      <c r="A161">
        <v>385550</v>
      </c>
      <c r="B161">
        <v>386080</v>
      </c>
      <c r="C161">
        <v>386490</v>
      </c>
      <c r="D161">
        <v>385300</v>
      </c>
      <c r="E161">
        <v>386900</v>
      </c>
      <c r="F161">
        <v>385720</v>
      </c>
      <c r="G161">
        <v>386760</v>
      </c>
      <c r="H161">
        <v>384700</v>
      </c>
      <c r="I161">
        <v>386270</v>
      </c>
      <c r="J161">
        <v>385130</v>
      </c>
      <c r="K161">
        <v>385880</v>
      </c>
      <c r="L161">
        <v>384910</v>
      </c>
      <c r="O161">
        <v>8</v>
      </c>
      <c r="P161" t="s">
        <v>47</v>
      </c>
      <c r="Q161" t="s">
        <v>45</v>
      </c>
      <c r="R161">
        <v>4</v>
      </c>
      <c r="S161">
        <v>1</v>
      </c>
      <c r="T161">
        <v>6</v>
      </c>
      <c r="U161" t="s">
        <v>46</v>
      </c>
      <c r="V161">
        <v>2</v>
      </c>
      <c r="W161">
        <v>9</v>
      </c>
      <c r="X161">
        <v>3</v>
      </c>
      <c r="Y161">
        <v>7</v>
      </c>
      <c r="Z161">
        <v>5</v>
      </c>
    </row>
    <row r="162" spans="1:26">
      <c r="A162">
        <v>387690</v>
      </c>
      <c r="B162">
        <v>388260</v>
      </c>
      <c r="C162">
        <v>388590</v>
      </c>
      <c r="D162">
        <v>387900</v>
      </c>
      <c r="E162">
        <v>388980</v>
      </c>
      <c r="F162">
        <v>388110</v>
      </c>
      <c r="G162">
        <v>389250</v>
      </c>
      <c r="H162">
        <v>387310</v>
      </c>
      <c r="I162">
        <v>388800</v>
      </c>
      <c r="J162">
        <v>387450</v>
      </c>
      <c r="K162">
        <v>388440</v>
      </c>
      <c r="L162">
        <v>387070</v>
      </c>
      <c r="O162" t="s">
        <v>47</v>
      </c>
      <c r="P162">
        <v>8</v>
      </c>
      <c r="Q162" t="s">
        <v>45</v>
      </c>
      <c r="R162">
        <v>1</v>
      </c>
      <c r="S162">
        <v>4</v>
      </c>
      <c r="T162">
        <v>6</v>
      </c>
      <c r="U162">
        <v>2</v>
      </c>
      <c r="V162" t="s">
        <v>46</v>
      </c>
      <c r="W162">
        <v>3</v>
      </c>
      <c r="X162">
        <v>9</v>
      </c>
      <c r="Y162">
        <v>5</v>
      </c>
      <c r="Z162">
        <v>7</v>
      </c>
    </row>
    <row r="163" spans="1:26">
      <c r="A163">
        <v>390010</v>
      </c>
      <c r="B163">
        <v>390980</v>
      </c>
      <c r="C163">
        <v>391360</v>
      </c>
      <c r="D163">
        <v>390660</v>
      </c>
      <c r="E163">
        <v>391790</v>
      </c>
      <c r="F163">
        <v>390390</v>
      </c>
      <c r="G163">
        <v>391570</v>
      </c>
      <c r="H163">
        <v>389610</v>
      </c>
      <c r="I163">
        <v>391180</v>
      </c>
      <c r="J163">
        <v>390210</v>
      </c>
      <c r="K163">
        <v>390780</v>
      </c>
      <c r="L163">
        <v>389810</v>
      </c>
      <c r="O163">
        <v>8</v>
      </c>
      <c r="P163" t="s">
        <v>47</v>
      </c>
      <c r="Q163">
        <v>1</v>
      </c>
      <c r="R163" t="s">
        <v>45</v>
      </c>
      <c r="S163">
        <v>6</v>
      </c>
      <c r="T163">
        <v>4</v>
      </c>
      <c r="U163" t="s">
        <v>46</v>
      </c>
      <c r="V163">
        <v>2</v>
      </c>
      <c r="W163">
        <v>9</v>
      </c>
      <c r="X163">
        <v>3</v>
      </c>
      <c r="Y163">
        <v>7</v>
      </c>
      <c r="Z163">
        <v>5</v>
      </c>
    </row>
    <row r="164" spans="1:26">
      <c r="A164">
        <v>392580</v>
      </c>
      <c r="B164">
        <v>393520</v>
      </c>
      <c r="C164">
        <v>393880</v>
      </c>
      <c r="D164">
        <v>393090</v>
      </c>
      <c r="E164">
        <v>394090</v>
      </c>
      <c r="F164">
        <v>392720</v>
      </c>
      <c r="G164">
        <v>393720</v>
      </c>
      <c r="H164">
        <v>391940</v>
      </c>
      <c r="I164">
        <v>393300</v>
      </c>
      <c r="J164">
        <v>392330</v>
      </c>
      <c r="K164">
        <v>392950</v>
      </c>
      <c r="L164">
        <v>392160</v>
      </c>
      <c r="O164">
        <v>8</v>
      </c>
      <c r="P164" t="s">
        <v>47</v>
      </c>
      <c r="Q164" t="s">
        <v>45</v>
      </c>
      <c r="R164">
        <v>1</v>
      </c>
      <c r="S164">
        <v>6</v>
      </c>
      <c r="T164" t="s">
        <v>46</v>
      </c>
      <c r="U164">
        <v>4</v>
      </c>
      <c r="V164">
        <v>9</v>
      </c>
      <c r="W164">
        <v>2</v>
      </c>
      <c r="X164">
        <v>7</v>
      </c>
      <c r="Y164">
        <v>3</v>
      </c>
      <c r="Z164">
        <v>5</v>
      </c>
    </row>
    <row r="165" spans="1:26">
      <c r="A165">
        <v>394890</v>
      </c>
      <c r="B165">
        <v>396260</v>
      </c>
      <c r="C165">
        <v>396620</v>
      </c>
      <c r="D165">
        <v>395850</v>
      </c>
      <c r="E165">
        <v>396440</v>
      </c>
      <c r="F165">
        <v>395420</v>
      </c>
      <c r="G165">
        <v>396070</v>
      </c>
      <c r="H165">
        <v>394670</v>
      </c>
      <c r="I165">
        <v>395610</v>
      </c>
      <c r="J165">
        <v>395050</v>
      </c>
      <c r="K165">
        <v>395270</v>
      </c>
      <c r="L165">
        <v>394520</v>
      </c>
      <c r="O165" t="s">
        <v>47</v>
      </c>
      <c r="P165">
        <v>8</v>
      </c>
      <c r="Q165">
        <v>1</v>
      </c>
      <c r="R165" t="s">
        <v>45</v>
      </c>
      <c r="S165" t="s">
        <v>46</v>
      </c>
      <c r="T165">
        <v>6</v>
      </c>
      <c r="U165">
        <v>9</v>
      </c>
      <c r="V165">
        <v>4</v>
      </c>
      <c r="W165">
        <v>7</v>
      </c>
      <c r="X165">
        <v>2</v>
      </c>
      <c r="Y165">
        <v>5</v>
      </c>
      <c r="Z165">
        <v>3</v>
      </c>
    </row>
    <row r="166" spans="1:26">
      <c r="A166">
        <v>397070</v>
      </c>
      <c r="B166">
        <v>398360</v>
      </c>
      <c r="C166">
        <v>398760</v>
      </c>
      <c r="D166">
        <v>397940</v>
      </c>
      <c r="E166">
        <v>398940</v>
      </c>
      <c r="F166">
        <v>397610</v>
      </c>
      <c r="G166">
        <v>398570</v>
      </c>
      <c r="H166">
        <v>397210</v>
      </c>
      <c r="I166">
        <v>398150</v>
      </c>
      <c r="J166">
        <v>397380</v>
      </c>
      <c r="K166">
        <v>397790</v>
      </c>
      <c r="L166">
        <v>396840</v>
      </c>
      <c r="O166" t="s">
        <v>47</v>
      </c>
      <c r="P166">
        <v>1</v>
      </c>
      <c r="Q166">
        <v>8</v>
      </c>
      <c r="R166" t="s">
        <v>45</v>
      </c>
      <c r="S166">
        <v>6</v>
      </c>
      <c r="T166" t="s">
        <v>46</v>
      </c>
      <c r="U166">
        <v>4</v>
      </c>
      <c r="V166">
        <v>9</v>
      </c>
      <c r="W166">
        <v>2</v>
      </c>
      <c r="X166">
        <v>7</v>
      </c>
      <c r="Y166">
        <v>3</v>
      </c>
      <c r="Z166">
        <v>5</v>
      </c>
    </row>
    <row r="167" spans="1:26">
      <c r="A167">
        <v>399370</v>
      </c>
      <c r="B167">
        <v>401090</v>
      </c>
      <c r="C167">
        <v>401450</v>
      </c>
      <c r="D167">
        <v>400630</v>
      </c>
      <c r="E167">
        <v>401250</v>
      </c>
      <c r="F167">
        <v>400330</v>
      </c>
      <c r="G167">
        <v>400900</v>
      </c>
      <c r="H167">
        <v>399930</v>
      </c>
      <c r="I167">
        <v>400490</v>
      </c>
      <c r="J167">
        <v>399760</v>
      </c>
      <c r="K167">
        <v>400110</v>
      </c>
      <c r="L167">
        <v>399590</v>
      </c>
      <c r="O167">
        <v>1</v>
      </c>
      <c r="P167" t="s">
        <v>47</v>
      </c>
      <c r="Q167" t="s">
        <v>45</v>
      </c>
      <c r="R167">
        <v>8</v>
      </c>
      <c r="S167" t="s">
        <v>46</v>
      </c>
      <c r="T167">
        <v>6</v>
      </c>
      <c r="U167">
        <v>9</v>
      </c>
      <c r="V167">
        <v>4</v>
      </c>
      <c r="W167">
        <v>7</v>
      </c>
      <c r="X167">
        <v>2</v>
      </c>
      <c r="Y167">
        <v>5</v>
      </c>
      <c r="Z167">
        <v>3</v>
      </c>
    </row>
    <row r="168" spans="1:26">
      <c r="A168">
        <v>401890</v>
      </c>
      <c r="B168">
        <v>403610</v>
      </c>
      <c r="C168">
        <v>403810</v>
      </c>
      <c r="D168">
        <v>403230</v>
      </c>
      <c r="E168">
        <v>403380</v>
      </c>
      <c r="F168">
        <v>402820</v>
      </c>
      <c r="G168">
        <v>403050</v>
      </c>
      <c r="H168">
        <v>402450</v>
      </c>
      <c r="I168">
        <v>402640</v>
      </c>
      <c r="J168">
        <v>402050</v>
      </c>
      <c r="K168">
        <v>402280</v>
      </c>
      <c r="L168">
        <v>401680</v>
      </c>
      <c r="O168" t="s">
        <v>47</v>
      </c>
      <c r="P168">
        <v>1</v>
      </c>
      <c r="Q168" t="s">
        <v>45</v>
      </c>
      <c r="R168" t="s">
        <v>46</v>
      </c>
      <c r="S168">
        <v>8</v>
      </c>
      <c r="T168">
        <v>9</v>
      </c>
      <c r="U168">
        <v>6</v>
      </c>
      <c r="V168">
        <v>7</v>
      </c>
      <c r="W168">
        <v>4</v>
      </c>
      <c r="X168">
        <v>5</v>
      </c>
      <c r="Y168">
        <v>2</v>
      </c>
      <c r="Z168">
        <v>3</v>
      </c>
    </row>
    <row r="169" spans="1:26">
      <c r="A169">
        <v>404200</v>
      </c>
      <c r="B169">
        <v>406300</v>
      </c>
      <c r="C169">
        <v>406120</v>
      </c>
      <c r="D169">
        <v>405950</v>
      </c>
      <c r="E169">
        <v>405760</v>
      </c>
      <c r="F169">
        <v>405590</v>
      </c>
      <c r="G169">
        <v>405330</v>
      </c>
      <c r="H169">
        <v>405130</v>
      </c>
      <c r="I169">
        <v>404930</v>
      </c>
      <c r="J169">
        <v>404780</v>
      </c>
      <c r="K169">
        <v>404550</v>
      </c>
      <c r="L169">
        <v>404390</v>
      </c>
      <c r="O169">
        <v>1</v>
      </c>
      <c r="P169" t="s">
        <v>47</v>
      </c>
      <c r="Q169" t="s">
        <v>46</v>
      </c>
      <c r="R169" t="s">
        <v>45</v>
      </c>
      <c r="S169">
        <v>9</v>
      </c>
      <c r="T169">
        <v>8</v>
      </c>
      <c r="U169">
        <v>7</v>
      </c>
      <c r="V169">
        <v>6</v>
      </c>
      <c r="W169">
        <v>5</v>
      </c>
      <c r="X169">
        <v>4</v>
      </c>
      <c r="Y169">
        <v>3</v>
      </c>
      <c r="Z169">
        <v>2</v>
      </c>
    </row>
    <row r="170" spans="1:26">
      <c r="A170">
        <v>406540</v>
      </c>
      <c r="B170">
        <v>408450</v>
      </c>
      <c r="C170">
        <v>408650</v>
      </c>
      <c r="D170">
        <v>408050</v>
      </c>
      <c r="E170">
        <v>408220</v>
      </c>
      <c r="F170">
        <v>407700</v>
      </c>
      <c r="G170">
        <v>407900</v>
      </c>
      <c r="H170">
        <v>407240</v>
      </c>
      <c r="I170">
        <v>407440</v>
      </c>
      <c r="J170">
        <v>406850</v>
      </c>
      <c r="K170">
        <v>407090</v>
      </c>
      <c r="L170">
        <v>406700</v>
      </c>
      <c r="O170">
        <v>1</v>
      </c>
      <c r="P170" t="s">
        <v>47</v>
      </c>
      <c r="Q170" t="s">
        <v>45</v>
      </c>
      <c r="R170" t="s">
        <v>46</v>
      </c>
      <c r="S170">
        <v>8</v>
      </c>
      <c r="T170">
        <v>9</v>
      </c>
      <c r="U170">
        <v>6</v>
      </c>
      <c r="V170">
        <v>7</v>
      </c>
      <c r="W170">
        <v>4</v>
      </c>
      <c r="X170">
        <v>5</v>
      </c>
      <c r="Y170">
        <v>2</v>
      </c>
      <c r="Z170">
        <v>3</v>
      </c>
    </row>
    <row r="171" spans="1:26">
      <c r="A171">
        <v>409240</v>
      </c>
      <c r="B171">
        <v>411130</v>
      </c>
      <c r="C171">
        <v>410940</v>
      </c>
      <c r="D171">
        <v>410770</v>
      </c>
      <c r="E171">
        <v>410580</v>
      </c>
      <c r="F171">
        <v>410410</v>
      </c>
      <c r="G171">
        <v>410160</v>
      </c>
      <c r="H171">
        <v>409980</v>
      </c>
      <c r="I171">
        <v>409780</v>
      </c>
      <c r="J171">
        <v>409610</v>
      </c>
      <c r="K171">
        <v>409400</v>
      </c>
      <c r="L171">
        <v>409030</v>
      </c>
      <c r="O171" t="s">
        <v>47</v>
      </c>
      <c r="P171">
        <v>1</v>
      </c>
      <c r="Q171" t="s">
        <v>46</v>
      </c>
      <c r="R171" t="s">
        <v>45</v>
      </c>
      <c r="S171">
        <v>9</v>
      </c>
      <c r="T171">
        <v>8</v>
      </c>
      <c r="U171">
        <v>7</v>
      </c>
      <c r="V171">
        <v>6</v>
      </c>
      <c r="W171">
        <v>5</v>
      </c>
      <c r="X171">
        <v>4</v>
      </c>
      <c r="Y171">
        <v>3</v>
      </c>
      <c r="Z171">
        <v>2</v>
      </c>
    </row>
    <row r="172" spans="1:26">
      <c r="A172">
        <v>411350</v>
      </c>
      <c r="B172">
        <v>413510</v>
      </c>
      <c r="C172">
        <v>413080</v>
      </c>
      <c r="D172">
        <v>413290</v>
      </c>
      <c r="E172">
        <v>412670</v>
      </c>
      <c r="F172">
        <v>412870</v>
      </c>
      <c r="G172">
        <v>412340</v>
      </c>
      <c r="H172">
        <v>412510</v>
      </c>
      <c r="I172">
        <v>411910</v>
      </c>
      <c r="J172">
        <v>412090</v>
      </c>
      <c r="K172">
        <v>411740</v>
      </c>
      <c r="L172">
        <v>411510</v>
      </c>
      <c r="O172">
        <v>1</v>
      </c>
      <c r="P172" t="s">
        <v>47</v>
      </c>
      <c r="Q172" t="s">
        <v>46</v>
      </c>
      <c r="R172">
        <v>9</v>
      </c>
      <c r="S172" t="s">
        <v>45</v>
      </c>
      <c r="T172">
        <v>7</v>
      </c>
      <c r="U172">
        <v>8</v>
      </c>
      <c r="V172">
        <v>5</v>
      </c>
      <c r="W172">
        <v>6</v>
      </c>
      <c r="X172">
        <v>3</v>
      </c>
      <c r="Y172">
        <v>4</v>
      </c>
      <c r="Z172">
        <v>2</v>
      </c>
    </row>
    <row r="173" spans="1:26">
      <c r="A173">
        <v>414090</v>
      </c>
      <c r="B173">
        <v>415790</v>
      </c>
      <c r="C173">
        <v>415360</v>
      </c>
      <c r="D173">
        <v>416020</v>
      </c>
      <c r="E173">
        <v>415010</v>
      </c>
      <c r="F173">
        <v>415590</v>
      </c>
      <c r="G173">
        <v>414600</v>
      </c>
      <c r="H173">
        <v>415180</v>
      </c>
      <c r="I173">
        <v>414220</v>
      </c>
      <c r="J173">
        <v>414800</v>
      </c>
      <c r="K173">
        <v>414400</v>
      </c>
      <c r="L173">
        <v>413860</v>
      </c>
      <c r="O173" t="s">
        <v>47</v>
      </c>
      <c r="P173">
        <v>1</v>
      </c>
      <c r="Q173">
        <v>9</v>
      </c>
      <c r="R173" t="s">
        <v>46</v>
      </c>
      <c r="S173">
        <v>7</v>
      </c>
      <c r="T173" t="s">
        <v>45</v>
      </c>
      <c r="U173">
        <v>5</v>
      </c>
      <c r="V173">
        <v>8</v>
      </c>
      <c r="W173">
        <v>3</v>
      </c>
      <c r="X173">
        <v>6</v>
      </c>
      <c r="Y173">
        <v>2</v>
      </c>
      <c r="Z173">
        <v>4</v>
      </c>
    </row>
    <row r="174" spans="1:26">
      <c r="A174">
        <v>416590</v>
      </c>
      <c r="B174">
        <v>418370</v>
      </c>
      <c r="C174">
        <v>417880</v>
      </c>
      <c r="D174">
        <v>418130</v>
      </c>
      <c r="E174">
        <v>417510</v>
      </c>
      <c r="F174">
        <v>417710</v>
      </c>
      <c r="G174">
        <v>417150</v>
      </c>
      <c r="H174">
        <v>417370</v>
      </c>
      <c r="I174">
        <v>416370</v>
      </c>
      <c r="J174">
        <v>416940</v>
      </c>
      <c r="K174">
        <v>416750</v>
      </c>
      <c r="L174">
        <v>416200</v>
      </c>
      <c r="O174" t="s">
        <v>47</v>
      </c>
      <c r="P174">
        <v>9</v>
      </c>
      <c r="Q174">
        <v>1</v>
      </c>
      <c r="R174" t="s">
        <v>46</v>
      </c>
      <c r="S174" t="s">
        <v>45</v>
      </c>
      <c r="T174">
        <v>7</v>
      </c>
      <c r="U174">
        <v>8</v>
      </c>
      <c r="V174">
        <v>5</v>
      </c>
      <c r="W174">
        <v>6</v>
      </c>
      <c r="X174">
        <v>3</v>
      </c>
      <c r="Y174">
        <v>4</v>
      </c>
      <c r="Z174">
        <v>2</v>
      </c>
    </row>
    <row r="175" spans="1:26">
      <c r="A175">
        <v>419250</v>
      </c>
      <c r="B175">
        <v>420650</v>
      </c>
      <c r="C175">
        <v>420250</v>
      </c>
      <c r="D175">
        <v>420820</v>
      </c>
      <c r="E175">
        <v>419870</v>
      </c>
      <c r="F175">
        <v>420480</v>
      </c>
      <c r="G175">
        <v>419450</v>
      </c>
      <c r="H175">
        <v>420050</v>
      </c>
      <c r="I175">
        <v>418710</v>
      </c>
      <c r="J175">
        <v>419660</v>
      </c>
      <c r="K175">
        <v>419060</v>
      </c>
      <c r="L175">
        <v>418870</v>
      </c>
      <c r="O175">
        <v>9</v>
      </c>
      <c r="P175" t="s">
        <v>47</v>
      </c>
      <c r="Q175" t="s">
        <v>46</v>
      </c>
      <c r="R175">
        <v>1</v>
      </c>
      <c r="S175">
        <v>7</v>
      </c>
      <c r="T175" t="s">
        <v>45</v>
      </c>
      <c r="U175">
        <v>5</v>
      </c>
      <c r="V175">
        <v>8</v>
      </c>
      <c r="W175">
        <v>3</v>
      </c>
      <c r="X175">
        <v>6</v>
      </c>
      <c r="Y175">
        <v>2</v>
      </c>
      <c r="Z175">
        <v>4</v>
      </c>
    </row>
    <row r="176" spans="1:26">
      <c r="A176">
        <v>421390</v>
      </c>
      <c r="B176">
        <v>422760</v>
      </c>
      <c r="C176">
        <v>422370</v>
      </c>
      <c r="D176">
        <v>423140</v>
      </c>
      <c r="E176">
        <v>421970</v>
      </c>
      <c r="F176">
        <v>422940</v>
      </c>
      <c r="G176">
        <v>421770</v>
      </c>
      <c r="H176">
        <v>422590</v>
      </c>
      <c r="I176">
        <v>420950</v>
      </c>
      <c r="J176">
        <v>422170</v>
      </c>
      <c r="K176">
        <v>421590</v>
      </c>
      <c r="L176">
        <v>421180</v>
      </c>
      <c r="O176">
        <v>9</v>
      </c>
      <c r="P176" t="s">
        <v>47</v>
      </c>
      <c r="Q176">
        <v>1</v>
      </c>
      <c r="R176" t="s">
        <v>46</v>
      </c>
      <c r="S176">
        <v>7</v>
      </c>
      <c r="T176">
        <v>5</v>
      </c>
      <c r="U176" t="s">
        <v>45</v>
      </c>
      <c r="V176">
        <v>3</v>
      </c>
      <c r="W176">
        <v>8</v>
      </c>
      <c r="X176">
        <v>2</v>
      </c>
      <c r="Y176">
        <v>6</v>
      </c>
      <c r="Z176">
        <v>4</v>
      </c>
    </row>
    <row r="177" spans="1:26">
      <c r="A177">
        <v>424110</v>
      </c>
      <c r="B177">
        <v>425080</v>
      </c>
      <c r="C177">
        <v>424660</v>
      </c>
      <c r="D177">
        <v>425430</v>
      </c>
      <c r="E177">
        <v>424300</v>
      </c>
      <c r="F177">
        <v>425620</v>
      </c>
      <c r="G177">
        <v>424470</v>
      </c>
      <c r="H177">
        <v>425290</v>
      </c>
      <c r="I177">
        <v>423700</v>
      </c>
      <c r="J177">
        <v>424920</v>
      </c>
      <c r="K177">
        <v>423870</v>
      </c>
      <c r="L177">
        <v>423530</v>
      </c>
      <c r="O177" t="s">
        <v>47</v>
      </c>
      <c r="P177">
        <v>9</v>
      </c>
      <c r="Q177" t="s">
        <v>46</v>
      </c>
      <c r="R177">
        <v>1</v>
      </c>
      <c r="S177">
        <v>5</v>
      </c>
      <c r="T177">
        <v>7</v>
      </c>
      <c r="U177">
        <v>3</v>
      </c>
      <c r="V177" t="s">
        <v>45</v>
      </c>
      <c r="W177">
        <v>2</v>
      </c>
      <c r="X177">
        <v>8</v>
      </c>
      <c r="Y177">
        <v>4</v>
      </c>
      <c r="Z177">
        <v>6</v>
      </c>
    </row>
    <row r="178" spans="1:26">
      <c r="A178">
        <v>426640</v>
      </c>
      <c r="B178">
        <v>427600</v>
      </c>
      <c r="C178">
        <v>427160</v>
      </c>
      <c r="D178">
        <v>427990</v>
      </c>
      <c r="E178">
        <v>426400</v>
      </c>
      <c r="F178">
        <v>427790</v>
      </c>
      <c r="G178">
        <v>426800</v>
      </c>
      <c r="H178">
        <v>427400</v>
      </c>
      <c r="I178">
        <v>425850</v>
      </c>
      <c r="J178">
        <v>427000</v>
      </c>
      <c r="K178">
        <v>426200</v>
      </c>
      <c r="L178">
        <v>426000</v>
      </c>
      <c r="O178">
        <v>9</v>
      </c>
      <c r="P178" t="s">
        <v>47</v>
      </c>
      <c r="Q178" t="s">
        <v>46</v>
      </c>
      <c r="R178">
        <v>5</v>
      </c>
      <c r="S178">
        <v>1</v>
      </c>
      <c r="T178">
        <v>7</v>
      </c>
      <c r="U178" t="s">
        <v>45</v>
      </c>
      <c r="V178">
        <v>3</v>
      </c>
      <c r="W178">
        <v>8</v>
      </c>
      <c r="X178">
        <v>2</v>
      </c>
      <c r="Y178">
        <v>6</v>
      </c>
      <c r="Z178">
        <v>4</v>
      </c>
    </row>
    <row r="179" spans="1:26">
      <c r="A179">
        <v>429360</v>
      </c>
      <c r="B179">
        <v>429890</v>
      </c>
      <c r="C179">
        <v>429530</v>
      </c>
      <c r="D179">
        <v>430290</v>
      </c>
      <c r="E179">
        <v>428750</v>
      </c>
      <c r="F179">
        <v>430450</v>
      </c>
      <c r="G179">
        <v>429100</v>
      </c>
      <c r="H179">
        <v>430110</v>
      </c>
      <c r="I179">
        <v>428560</v>
      </c>
      <c r="J179">
        <v>429720</v>
      </c>
      <c r="K179">
        <v>428890</v>
      </c>
      <c r="L179">
        <v>428360</v>
      </c>
      <c r="O179" t="s">
        <v>47</v>
      </c>
      <c r="P179">
        <v>9</v>
      </c>
      <c r="Q179">
        <v>5</v>
      </c>
      <c r="R179" t="s">
        <v>46</v>
      </c>
      <c r="S179">
        <v>7</v>
      </c>
      <c r="T179">
        <v>1</v>
      </c>
      <c r="U179">
        <v>3</v>
      </c>
      <c r="V179" t="s">
        <v>45</v>
      </c>
      <c r="W179">
        <v>2</v>
      </c>
      <c r="X179">
        <v>8</v>
      </c>
      <c r="Y179">
        <v>4</v>
      </c>
      <c r="Z179">
        <v>6</v>
      </c>
    </row>
    <row r="180" spans="1:26">
      <c r="A180">
        <v>431490</v>
      </c>
      <c r="B180">
        <v>432030</v>
      </c>
      <c r="C180">
        <v>431860</v>
      </c>
      <c r="D180">
        <v>432420</v>
      </c>
      <c r="E180">
        <v>430870</v>
      </c>
      <c r="F180">
        <v>432830</v>
      </c>
      <c r="G180">
        <v>431690</v>
      </c>
      <c r="H180">
        <v>432640</v>
      </c>
      <c r="I180">
        <v>431040</v>
      </c>
      <c r="J180">
        <v>432200</v>
      </c>
      <c r="K180">
        <v>431230</v>
      </c>
      <c r="L180">
        <v>430670</v>
      </c>
      <c r="O180" t="s">
        <v>47</v>
      </c>
      <c r="P180">
        <v>5</v>
      </c>
      <c r="Q180">
        <v>9</v>
      </c>
      <c r="R180" t="s">
        <v>46</v>
      </c>
      <c r="S180">
        <v>1</v>
      </c>
      <c r="T180">
        <v>7</v>
      </c>
      <c r="U180">
        <v>3</v>
      </c>
      <c r="V180">
        <v>2</v>
      </c>
      <c r="W180" t="s">
        <v>45</v>
      </c>
      <c r="X180">
        <v>4</v>
      </c>
      <c r="Y180">
        <v>8</v>
      </c>
      <c r="Z180">
        <v>6</v>
      </c>
    </row>
    <row r="181" spans="1:26">
      <c r="A181">
        <v>434210</v>
      </c>
      <c r="B181">
        <v>434390</v>
      </c>
      <c r="C181">
        <v>434560</v>
      </c>
      <c r="D181">
        <v>434810</v>
      </c>
      <c r="E181">
        <v>433240</v>
      </c>
      <c r="F181">
        <v>435150</v>
      </c>
      <c r="G181">
        <v>433970</v>
      </c>
      <c r="H181">
        <v>435330</v>
      </c>
      <c r="I181">
        <v>433750</v>
      </c>
      <c r="J181">
        <v>434990</v>
      </c>
      <c r="K181">
        <v>433590</v>
      </c>
      <c r="L181">
        <v>433410</v>
      </c>
      <c r="O181">
        <v>5</v>
      </c>
      <c r="P181" t="s">
        <v>47</v>
      </c>
      <c r="Q181" t="s">
        <v>46</v>
      </c>
      <c r="R181">
        <v>9</v>
      </c>
      <c r="S181">
        <v>7</v>
      </c>
      <c r="T181">
        <v>1</v>
      </c>
      <c r="U181">
        <v>2</v>
      </c>
      <c r="V181">
        <v>3</v>
      </c>
      <c r="W181">
        <v>4</v>
      </c>
      <c r="X181" t="s">
        <v>45</v>
      </c>
      <c r="Y181">
        <v>6</v>
      </c>
      <c r="Z181">
        <v>8</v>
      </c>
    </row>
    <row r="182" spans="1:26">
      <c r="A182">
        <v>436750</v>
      </c>
      <c r="B182">
        <v>436510</v>
      </c>
      <c r="C182">
        <v>436910</v>
      </c>
      <c r="D182">
        <v>437290</v>
      </c>
      <c r="E182">
        <v>435720</v>
      </c>
      <c r="F182">
        <v>437700</v>
      </c>
      <c r="G182">
        <v>436280</v>
      </c>
      <c r="H182">
        <v>437480</v>
      </c>
      <c r="I182">
        <v>435860</v>
      </c>
      <c r="J182">
        <v>437080</v>
      </c>
      <c r="K182">
        <v>436110</v>
      </c>
      <c r="L182">
        <v>435520</v>
      </c>
      <c r="O182" t="s">
        <v>47</v>
      </c>
      <c r="P182">
        <v>5</v>
      </c>
      <c r="Q182">
        <v>9</v>
      </c>
      <c r="R182" t="s">
        <v>46</v>
      </c>
      <c r="S182">
        <v>7</v>
      </c>
      <c r="T182">
        <v>2</v>
      </c>
      <c r="U182">
        <v>1</v>
      </c>
      <c r="V182">
        <v>3</v>
      </c>
      <c r="W182" t="s">
        <v>45</v>
      </c>
      <c r="X182">
        <v>4</v>
      </c>
      <c r="Y182">
        <v>8</v>
      </c>
      <c r="Z182">
        <v>6</v>
      </c>
    </row>
    <row r="183" spans="1:26">
      <c r="A183">
        <v>439450</v>
      </c>
      <c r="B183">
        <v>438850</v>
      </c>
      <c r="C183">
        <v>439250</v>
      </c>
      <c r="D183">
        <v>439630</v>
      </c>
      <c r="E183">
        <v>438100</v>
      </c>
      <c r="F183">
        <v>440000</v>
      </c>
      <c r="G183">
        <v>439040</v>
      </c>
      <c r="H183">
        <v>440180</v>
      </c>
      <c r="I183">
        <v>438600</v>
      </c>
      <c r="J183">
        <v>439840</v>
      </c>
      <c r="K183">
        <v>438450</v>
      </c>
      <c r="L183">
        <v>438280</v>
      </c>
      <c r="O183">
        <v>5</v>
      </c>
      <c r="P183" t="s">
        <v>47</v>
      </c>
      <c r="Q183" t="s">
        <v>46</v>
      </c>
      <c r="R183">
        <v>9</v>
      </c>
      <c r="S183">
        <v>2</v>
      </c>
      <c r="T183">
        <v>7</v>
      </c>
      <c r="U183">
        <v>3</v>
      </c>
      <c r="V183">
        <v>1</v>
      </c>
      <c r="W183">
        <v>4</v>
      </c>
      <c r="X183" t="s">
        <v>45</v>
      </c>
      <c r="Y183">
        <v>6</v>
      </c>
      <c r="Z183">
        <v>8</v>
      </c>
    </row>
    <row r="184" spans="1:26">
      <c r="A184">
        <v>441590</v>
      </c>
      <c r="B184">
        <v>441000</v>
      </c>
      <c r="C184">
        <v>441760</v>
      </c>
      <c r="D184">
        <v>441950</v>
      </c>
      <c r="E184">
        <v>440340</v>
      </c>
      <c r="F184">
        <v>442160</v>
      </c>
      <c r="G184">
        <v>441340</v>
      </c>
      <c r="H184">
        <v>442530</v>
      </c>
      <c r="I184">
        <v>441150</v>
      </c>
      <c r="J184">
        <v>442310</v>
      </c>
      <c r="K184">
        <v>440580</v>
      </c>
      <c r="L184">
        <v>440770</v>
      </c>
      <c r="O184">
        <v>5</v>
      </c>
      <c r="P184" t="s">
        <v>46</v>
      </c>
      <c r="Q184" t="s">
        <v>47</v>
      </c>
      <c r="R184">
        <v>2</v>
      </c>
      <c r="S184">
        <v>9</v>
      </c>
      <c r="T184">
        <v>7</v>
      </c>
      <c r="U184">
        <v>1</v>
      </c>
      <c r="V184">
        <v>3</v>
      </c>
      <c r="W184">
        <v>4</v>
      </c>
      <c r="X184">
        <v>6</v>
      </c>
      <c r="Y184" t="s">
        <v>45</v>
      </c>
      <c r="Z184">
        <v>8</v>
      </c>
    </row>
    <row r="185" spans="1:26">
      <c r="A185">
        <v>444310</v>
      </c>
      <c r="B185">
        <v>443310</v>
      </c>
      <c r="C185">
        <v>444070</v>
      </c>
      <c r="D185">
        <v>444680</v>
      </c>
      <c r="E185">
        <v>443090</v>
      </c>
      <c r="F185">
        <v>444460</v>
      </c>
      <c r="G185">
        <v>443670</v>
      </c>
      <c r="H185">
        <v>444840</v>
      </c>
      <c r="I185">
        <v>443870</v>
      </c>
      <c r="J185">
        <v>445080</v>
      </c>
      <c r="K185">
        <v>442880</v>
      </c>
      <c r="L185">
        <v>443550</v>
      </c>
      <c r="O185" t="s">
        <v>46</v>
      </c>
      <c r="P185">
        <v>5</v>
      </c>
      <c r="Q185">
        <v>2</v>
      </c>
      <c r="R185" t="s">
        <v>47</v>
      </c>
      <c r="S185">
        <v>7</v>
      </c>
      <c r="T185">
        <v>9</v>
      </c>
      <c r="U185">
        <v>3</v>
      </c>
      <c r="V185">
        <v>1</v>
      </c>
      <c r="W185">
        <v>6</v>
      </c>
      <c r="X185">
        <v>4</v>
      </c>
      <c r="Y185">
        <v>8</v>
      </c>
      <c r="Z185" t="s">
        <v>45</v>
      </c>
    </row>
    <row r="186" spans="1:26">
      <c r="A186">
        <v>446830</v>
      </c>
      <c r="B186">
        <v>445820</v>
      </c>
      <c r="C186">
        <v>446420</v>
      </c>
      <c r="D186">
        <v>446990</v>
      </c>
      <c r="E186">
        <v>445210</v>
      </c>
      <c r="F186">
        <v>446610</v>
      </c>
      <c r="G186">
        <v>446180</v>
      </c>
      <c r="H186">
        <v>447390</v>
      </c>
      <c r="I186">
        <v>446020</v>
      </c>
      <c r="J186">
        <v>447180</v>
      </c>
      <c r="K186">
        <v>445410</v>
      </c>
      <c r="L186">
        <v>445610</v>
      </c>
      <c r="O186">
        <v>5</v>
      </c>
      <c r="P186" t="s">
        <v>46</v>
      </c>
      <c r="Q186" t="s">
        <v>47</v>
      </c>
      <c r="R186">
        <v>2</v>
      </c>
      <c r="S186">
        <v>9</v>
      </c>
      <c r="T186">
        <v>7</v>
      </c>
      <c r="U186">
        <v>3</v>
      </c>
      <c r="V186">
        <v>6</v>
      </c>
      <c r="W186">
        <v>1</v>
      </c>
      <c r="X186">
        <v>4</v>
      </c>
      <c r="Y186" t="s">
        <v>45</v>
      </c>
      <c r="Z186">
        <v>8</v>
      </c>
    </row>
    <row r="187" spans="1:26">
      <c r="A187">
        <v>449580</v>
      </c>
      <c r="B187">
        <v>448160</v>
      </c>
      <c r="C187">
        <v>449110</v>
      </c>
      <c r="D187">
        <v>449380</v>
      </c>
      <c r="E187">
        <v>447970</v>
      </c>
      <c r="F187">
        <v>448980</v>
      </c>
      <c r="G187">
        <v>448570</v>
      </c>
      <c r="H187">
        <v>449700</v>
      </c>
      <c r="I187">
        <v>448710</v>
      </c>
      <c r="J187">
        <v>449930</v>
      </c>
      <c r="K187">
        <v>447750</v>
      </c>
      <c r="L187">
        <v>448370</v>
      </c>
      <c r="O187" t="s">
        <v>46</v>
      </c>
      <c r="P187">
        <v>5</v>
      </c>
      <c r="Q187">
        <v>2</v>
      </c>
      <c r="R187" t="s">
        <v>47</v>
      </c>
      <c r="S187">
        <v>7</v>
      </c>
      <c r="T187">
        <v>9</v>
      </c>
      <c r="U187">
        <v>6</v>
      </c>
      <c r="V187">
        <v>3</v>
      </c>
      <c r="W187">
        <v>4</v>
      </c>
      <c r="X187">
        <v>1</v>
      </c>
      <c r="Y187">
        <v>8</v>
      </c>
      <c r="Z187" t="s">
        <v>45</v>
      </c>
    </row>
    <row r="188" spans="1:26">
      <c r="A188">
        <v>451710</v>
      </c>
      <c r="B188">
        <v>450310</v>
      </c>
      <c r="C188">
        <v>451480</v>
      </c>
      <c r="D188">
        <v>451890</v>
      </c>
      <c r="E188">
        <v>450520</v>
      </c>
      <c r="F188">
        <v>451090</v>
      </c>
      <c r="G188">
        <v>450730</v>
      </c>
      <c r="H188">
        <v>452270</v>
      </c>
      <c r="I188">
        <v>451250</v>
      </c>
      <c r="J188">
        <v>452050</v>
      </c>
      <c r="K188">
        <v>450080</v>
      </c>
      <c r="L188">
        <v>450870</v>
      </c>
      <c r="O188" t="s">
        <v>46</v>
      </c>
      <c r="P188">
        <v>2</v>
      </c>
      <c r="Q188">
        <v>5</v>
      </c>
      <c r="R188">
        <v>7</v>
      </c>
      <c r="S188" t="s">
        <v>47</v>
      </c>
      <c r="T188">
        <v>6</v>
      </c>
      <c r="U188">
        <v>9</v>
      </c>
      <c r="V188">
        <v>3</v>
      </c>
      <c r="W188">
        <v>1</v>
      </c>
      <c r="X188">
        <v>4</v>
      </c>
      <c r="Y188" t="s">
        <v>45</v>
      </c>
      <c r="Z188">
        <v>8</v>
      </c>
    </row>
    <row r="189" spans="1:26">
      <c r="A189">
        <v>454490</v>
      </c>
      <c r="B189">
        <v>452660</v>
      </c>
      <c r="C189">
        <v>453810</v>
      </c>
      <c r="D189">
        <v>454270</v>
      </c>
      <c r="E189">
        <v>453270</v>
      </c>
      <c r="F189">
        <v>453520</v>
      </c>
      <c r="G189">
        <v>453090</v>
      </c>
      <c r="H189">
        <v>454620</v>
      </c>
      <c r="I189">
        <v>454000</v>
      </c>
      <c r="J189">
        <v>454830</v>
      </c>
      <c r="K189">
        <v>452850</v>
      </c>
      <c r="L189">
        <v>453650</v>
      </c>
      <c r="O189">
        <v>2</v>
      </c>
      <c r="P189" t="s">
        <v>46</v>
      </c>
      <c r="Q189">
        <v>7</v>
      </c>
      <c r="R189">
        <v>5</v>
      </c>
      <c r="S189">
        <v>6</v>
      </c>
      <c r="T189" t="s">
        <v>47</v>
      </c>
      <c r="U189">
        <v>3</v>
      </c>
      <c r="V189">
        <v>9</v>
      </c>
      <c r="W189">
        <v>4</v>
      </c>
      <c r="X189">
        <v>1</v>
      </c>
      <c r="Y189">
        <v>8</v>
      </c>
      <c r="Z189" t="s">
        <v>45</v>
      </c>
    </row>
    <row r="190" spans="1:26">
      <c r="A190">
        <v>457000</v>
      </c>
      <c r="B190">
        <v>455190</v>
      </c>
      <c r="C190">
        <v>456370</v>
      </c>
      <c r="D190">
        <v>456580</v>
      </c>
      <c r="E190">
        <v>455330</v>
      </c>
      <c r="F190">
        <v>455980</v>
      </c>
      <c r="G190">
        <v>455570</v>
      </c>
      <c r="H190">
        <v>456800</v>
      </c>
      <c r="I190">
        <v>456170</v>
      </c>
      <c r="J190">
        <v>457150</v>
      </c>
      <c r="K190">
        <v>454990</v>
      </c>
      <c r="L190">
        <v>455770</v>
      </c>
      <c r="O190" t="s">
        <v>46</v>
      </c>
      <c r="P190">
        <v>2</v>
      </c>
      <c r="Q190">
        <v>5</v>
      </c>
      <c r="R190">
        <v>7</v>
      </c>
      <c r="S190" t="s">
        <v>47</v>
      </c>
      <c r="T190">
        <v>6</v>
      </c>
      <c r="U190">
        <v>9</v>
      </c>
      <c r="V190">
        <v>3</v>
      </c>
      <c r="W190">
        <v>4</v>
      </c>
      <c r="X190">
        <v>8</v>
      </c>
      <c r="Y190">
        <v>1</v>
      </c>
      <c r="Z190" t="s">
        <v>45</v>
      </c>
    </row>
    <row r="191" spans="1:26">
      <c r="A191">
        <v>459720</v>
      </c>
      <c r="B191">
        <v>457570</v>
      </c>
      <c r="C191">
        <v>458690</v>
      </c>
      <c r="D191">
        <v>459260</v>
      </c>
      <c r="E191">
        <v>458200</v>
      </c>
      <c r="F191">
        <v>458370</v>
      </c>
      <c r="G191">
        <v>457970</v>
      </c>
      <c r="H191">
        <v>459090</v>
      </c>
      <c r="I191">
        <v>458880</v>
      </c>
      <c r="J191">
        <v>459480</v>
      </c>
      <c r="K191">
        <v>457760</v>
      </c>
      <c r="L191">
        <v>458540</v>
      </c>
      <c r="O191">
        <v>2</v>
      </c>
      <c r="P191" t="s">
        <v>46</v>
      </c>
      <c r="Q191">
        <v>7</v>
      </c>
      <c r="R191">
        <v>5</v>
      </c>
      <c r="S191">
        <v>6</v>
      </c>
      <c r="T191" t="s">
        <v>47</v>
      </c>
      <c r="U191">
        <v>3</v>
      </c>
      <c r="V191">
        <v>9</v>
      </c>
      <c r="W191">
        <v>8</v>
      </c>
      <c r="X191">
        <v>4</v>
      </c>
      <c r="Y191" t="s">
        <v>45</v>
      </c>
      <c r="Z191">
        <v>1</v>
      </c>
    </row>
    <row r="192" spans="1:26">
      <c r="A192">
        <v>461870</v>
      </c>
      <c r="B192">
        <v>459920</v>
      </c>
      <c r="C192">
        <v>460850</v>
      </c>
      <c r="D192">
        <v>461640</v>
      </c>
      <c r="E192">
        <v>460670</v>
      </c>
      <c r="F192">
        <v>460480</v>
      </c>
      <c r="G192">
        <v>460100</v>
      </c>
      <c r="H192">
        <v>461240</v>
      </c>
      <c r="I192">
        <v>461410</v>
      </c>
      <c r="J192">
        <v>462030</v>
      </c>
      <c r="K192">
        <v>460280</v>
      </c>
      <c r="L192">
        <v>461080</v>
      </c>
      <c r="O192">
        <v>2</v>
      </c>
      <c r="P192">
        <v>7</v>
      </c>
      <c r="Q192" t="s">
        <v>46</v>
      </c>
      <c r="R192">
        <v>6</v>
      </c>
      <c r="S192">
        <v>5</v>
      </c>
      <c r="T192">
        <v>3</v>
      </c>
      <c r="U192" t="s">
        <v>47</v>
      </c>
      <c r="V192">
        <v>8</v>
      </c>
      <c r="W192">
        <v>9</v>
      </c>
      <c r="X192">
        <v>4</v>
      </c>
      <c r="Y192">
        <v>1</v>
      </c>
      <c r="Z192" t="s">
        <v>45</v>
      </c>
    </row>
    <row r="193" spans="1:26">
      <c r="A193">
        <v>464580</v>
      </c>
      <c r="B193">
        <v>462630</v>
      </c>
      <c r="C193">
        <v>463210</v>
      </c>
      <c r="D193">
        <v>463960</v>
      </c>
      <c r="E193">
        <v>463410</v>
      </c>
      <c r="F193">
        <v>462830</v>
      </c>
      <c r="G193">
        <v>462430</v>
      </c>
      <c r="H193">
        <v>463550</v>
      </c>
      <c r="I193">
        <v>464170</v>
      </c>
      <c r="J193">
        <v>464410</v>
      </c>
      <c r="K193">
        <v>463020</v>
      </c>
      <c r="L193">
        <v>463800</v>
      </c>
      <c r="O193">
        <v>7</v>
      </c>
      <c r="P193">
        <v>2</v>
      </c>
      <c r="Q193">
        <v>6</v>
      </c>
      <c r="R193" t="s">
        <v>46</v>
      </c>
      <c r="S193">
        <v>3</v>
      </c>
      <c r="T193">
        <v>5</v>
      </c>
      <c r="U193">
        <v>8</v>
      </c>
      <c r="V193" t="s">
        <v>47</v>
      </c>
      <c r="W193">
        <v>4</v>
      </c>
      <c r="X193">
        <v>9</v>
      </c>
      <c r="Y193" t="s">
        <v>45</v>
      </c>
      <c r="Z193">
        <v>1</v>
      </c>
    </row>
    <row r="194" spans="1:26">
      <c r="A194">
        <v>466960</v>
      </c>
      <c r="B194">
        <v>464750</v>
      </c>
      <c r="C194">
        <v>465740</v>
      </c>
      <c r="D194">
        <v>466510</v>
      </c>
      <c r="E194">
        <v>465550</v>
      </c>
      <c r="F194">
        <v>465360</v>
      </c>
      <c r="G194">
        <v>464960</v>
      </c>
      <c r="H194">
        <v>466150</v>
      </c>
      <c r="I194">
        <v>466300</v>
      </c>
      <c r="J194">
        <v>466700</v>
      </c>
      <c r="K194">
        <v>465190</v>
      </c>
      <c r="L194">
        <v>465930</v>
      </c>
      <c r="O194">
        <v>2</v>
      </c>
      <c r="P194">
        <v>7</v>
      </c>
      <c r="Q194" t="s">
        <v>46</v>
      </c>
      <c r="R194">
        <v>6</v>
      </c>
      <c r="S194">
        <v>5</v>
      </c>
      <c r="T194">
        <v>3</v>
      </c>
      <c r="U194" t="s">
        <v>47</v>
      </c>
      <c r="V194">
        <v>8</v>
      </c>
      <c r="W194">
        <v>9</v>
      </c>
      <c r="X194">
        <v>4</v>
      </c>
      <c r="Y194" t="s">
        <v>45</v>
      </c>
      <c r="Z194">
        <v>1</v>
      </c>
    </row>
    <row r="195" spans="1:26">
      <c r="A195">
        <v>469250</v>
      </c>
      <c r="B195">
        <v>467500</v>
      </c>
      <c r="C195">
        <v>468070</v>
      </c>
      <c r="D195">
        <v>468850</v>
      </c>
      <c r="E195">
        <v>468280</v>
      </c>
      <c r="F195">
        <v>467710</v>
      </c>
      <c r="G195">
        <v>467290</v>
      </c>
      <c r="H195">
        <v>468480</v>
      </c>
      <c r="I195">
        <v>469050</v>
      </c>
      <c r="J195">
        <v>469470</v>
      </c>
      <c r="K195">
        <v>467890</v>
      </c>
      <c r="L195">
        <v>468710</v>
      </c>
      <c r="O195">
        <v>7</v>
      </c>
      <c r="P195">
        <v>2</v>
      </c>
      <c r="Q195">
        <v>6</v>
      </c>
      <c r="R195" t="s">
        <v>46</v>
      </c>
      <c r="S195">
        <v>3</v>
      </c>
      <c r="T195">
        <v>5</v>
      </c>
      <c r="U195">
        <v>8</v>
      </c>
      <c r="V195" t="s">
        <v>47</v>
      </c>
      <c r="W195">
        <v>4</v>
      </c>
      <c r="X195">
        <v>9</v>
      </c>
      <c r="Y195">
        <v>1</v>
      </c>
      <c r="Z195" t="s">
        <v>45</v>
      </c>
    </row>
    <row r="196" spans="1:26">
      <c r="A196">
        <v>471860</v>
      </c>
      <c r="B196">
        <v>470030</v>
      </c>
      <c r="C196">
        <v>470230</v>
      </c>
      <c r="D196">
        <v>470990</v>
      </c>
      <c r="E196">
        <v>470750</v>
      </c>
      <c r="F196">
        <v>469820</v>
      </c>
      <c r="G196">
        <v>469590</v>
      </c>
      <c r="H196">
        <v>470580</v>
      </c>
      <c r="I196">
        <v>471390</v>
      </c>
      <c r="J196">
        <v>471560</v>
      </c>
      <c r="K196">
        <v>470390</v>
      </c>
      <c r="L196">
        <v>471170</v>
      </c>
      <c r="O196">
        <v>7</v>
      </c>
      <c r="P196">
        <v>6</v>
      </c>
      <c r="Q196">
        <v>2</v>
      </c>
      <c r="R196">
        <v>3</v>
      </c>
      <c r="S196" t="s">
        <v>46</v>
      </c>
      <c r="T196">
        <v>8</v>
      </c>
      <c r="U196">
        <v>5</v>
      </c>
      <c r="V196">
        <v>4</v>
      </c>
      <c r="W196" t="s">
        <v>47</v>
      </c>
      <c r="X196">
        <v>9</v>
      </c>
      <c r="Y196" t="s">
        <v>45</v>
      </c>
      <c r="Z196">
        <v>1</v>
      </c>
    </row>
    <row r="197" spans="1:26">
      <c r="A197">
        <v>474100</v>
      </c>
      <c r="B197">
        <v>472720</v>
      </c>
      <c r="C197">
        <v>472540</v>
      </c>
      <c r="D197">
        <v>473240</v>
      </c>
      <c r="E197">
        <v>473440</v>
      </c>
      <c r="F197">
        <v>472150</v>
      </c>
      <c r="G197">
        <v>472330</v>
      </c>
      <c r="H197">
        <v>472870</v>
      </c>
      <c r="I197">
        <v>473670</v>
      </c>
      <c r="J197">
        <v>474270</v>
      </c>
      <c r="K197">
        <v>473080</v>
      </c>
      <c r="L197">
        <v>473910</v>
      </c>
      <c r="O197">
        <v>6</v>
      </c>
      <c r="P197">
        <v>7</v>
      </c>
      <c r="Q197">
        <v>3</v>
      </c>
      <c r="R197">
        <v>2</v>
      </c>
      <c r="S197">
        <v>8</v>
      </c>
      <c r="T197" t="s">
        <v>46</v>
      </c>
      <c r="U197">
        <v>4</v>
      </c>
      <c r="V197">
        <v>5</v>
      </c>
      <c r="W197">
        <v>9</v>
      </c>
      <c r="X197" t="s">
        <v>47</v>
      </c>
      <c r="Y197">
        <v>1</v>
      </c>
      <c r="Z197" t="s">
        <v>45</v>
      </c>
    </row>
    <row r="198" spans="1:26">
      <c r="A198">
        <v>476210</v>
      </c>
      <c r="B198">
        <v>474870</v>
      </c>
      <c r="C198">
        <v>475050</v>
      </c>
      <c r="D198">
        <v>475810</v>
      </c>
      <c r="E198">
        <v>475600</v>
      </c>
      <c r="F198">
        <v>474740</v>
      </c>
      <c r="G198">
        <v>474490</v>
      </c>
      <c r="H198">
        <v>475400</v>
      </c>
      <c r="I198">
        <v>475950</v>
      </c>
      <c r="J198">
        <v>476590</v>
      </c>
      <c r="K198">
        <v>475180</v>
      </c>
      <c r="L198">
        <v>476380</v>
      </c>
      <c r="O198">
        <v>7</v>
      </c>
      <c r="P198">
        <v>6</v>
      </c>
      <c r="Q198">
        <v>2</v>
      </c>
      <c r="R198">
        <v>3</v>
      </c>
      <c r="S198" t="s">
        <v>46</v>
      </c>
      <c r="T198">
        <v>8</v>
      </c>
      <c r="U198">
        <v>5</v>
      </c>
      <c r="V198">
        <v>4</v>
      </c>
      <c r="W198">
        <v>9</v>
      </c>
      <c r="X198">
        <v>1</v>
      </c>
      <c r="Y198" t="s">
        <v>47</v>
      </c>
      <c r="Z198" t="s">
        <v>45</v>
      </c>
    </row>
    <row r="199" spans="1:26">
      <c r="A199">
        <v>478550</v>
      </c>
      <c r="B199">
        <v>477570</v>
      </c>
      <c r="C199">
        <v>477370</v>
      </c>
      <c r="D199">
        <v>478130</v>
      </c>
      <c r="E199">
        <v>478340</v>
      </c>
      <c r="F199">
        <v>477030</v>
      </c>
      <c r="G199">
        <v>477200</v>
      </c>
      <c r="H199">
        <v>477740</v>
      </c>
      <c r="I199">
        <v>478670</v>
      </c>
      <c r="J199">
        <v>478910</v>
      </c>
      <c r="K199">
        <v>477940</v>
      </c>
      <c r="L199">
        <v>479110</v>
      </c>
      <c r="O199">
        <v>6</v>
      </c>
      <c r="P199">
        <v>7</v>
      </c>
      <c r="Q199">
        <v>3</v>
      </c>
      <c r="R199">
        <v>2</v>
      </c>
      <c r="S199">
        <v>8</v>
      </c>
      <c r="T199" t="s">
        <v>46</v>
      </c>
      <c r="U199">
        <v>4</v>
      </c>
      <c r="V199">
        <v>5</v>
      </c>
      <c r="W199">
        <v>1</v>
      </c>
      <c r="X199">
        <v>9</v>
      </c>
      <c r="Y199" t="s">
        <v>45</v>
      </c>
      <c r="Z199" t="s">
        <v>47</v>
      </c>
    </row>
    <row r="200" spans="1:26">
      <c r="A200">
        <v>481060</v>
      </c>
      <c r="B200">
        <v>480070</v>
      </c>
      <c r="C200">
        <v>479520</v>
      </c>
      <c r="D200">
        <v>480270</v>
      </c>
      <c r="E200">
        <v>480610</v>
      </c>
      <c r="F200">
        <v>479320</v>
      </c>
      <c r="G200">
        <v>479680</v>
      </c>
      <c r="H200">
        <v>479890</v>
      </c>
      <c r="I200">
        <v>480850</v>
      </c>
      <c r="J200">
        <v>481380</v>
      </c>
      <c r="K200">
        <v>480460</v>
      </c>
      <c r="L200">
        <v>481200</v>
      </c>
      <c r="O200">
        <v>6</v>
      </c>
      <c r="P200">
        <v>3</v>
      </c>
      <c r="Q200">
        <v>7</v>
      </c>
      <c r="R200">
        <v>8</v>
      </c>
      <c r="S200">
        <v>2</v>
      </c>
      <c r="T200">
        <v>4</v>
      </c>
      <c r="U200" t="s">
        <v>46</v>
      </c>
      <c r="V200">
        <v>5</v>
      </c>
      <c r="W200">
        <v>9</v>
      </c>
      <c r="X200">
        <v>1</v>
      </c>
      <c r="Y200" t="s">
        <v>47</v>
      </c>
      <c r="Z200" t="s">
        <v>45</v>
      </c>
    </row>
    <row r="201" spans="1:26">
      <c r="A201">
        <v>483380</v>
      </c>
      <c r="B201">
        <v>482780</v>
      </c>
      <c r="C201">
        <v>481830</v>
      </c>
      <c r="D201">
        <v>482580</v>
      </c>
      <c r="E201">
        <v>482950</v>
      </c>
      <c r="F201">
        <v>482030</v>
      </c>
      <c r="G201">
        <v>482390</v>
      </c>
      <c r="H201">
        <v>482190</v>
      </c>
      <c r="I201">
        <v>483520</v>
      </c>
      <c r="J201">
        <v>483730</v>
      </c>
      <c r="K201">
        <v>483200</v>
      </c>
      <c r="L201">
        <v>483950</v>
      </c>
      <c r="O201">
        <v>3</v>
      </c>
      <c r="P201">
        <v>6</v>
      </c>
      <c r="Q201">
        <v>8</v>
      </c>
      <c r="R201">
        <v>7</v>
      </c>
      <c r="S201">
        <v>4</v>
      </c>
      <c r="T201">
        <v>2</v>
      </c>
      <c r="U201">
        <v>5</v>
      </c>
      <c r="V201" t="s">
        <v>46</v>
      </c>
      <c r="W201">
        <v>1</v>
      </c>
      <c r="X201">
        <v>9</v>
      </c>
      <c r="Y201" t="s">
        <v>45</v>
      </c>
      <c r="Z201" t="s">
        <v>47</v>
      </c>
    </row>
    <row r="202" spans="1:26">
      <c r="A202">
        <v>485510</v>
      </c>
      <c r="B202">
        <v>484910</v>
      </c>
      <c r="C202">
        <v>484360</v>
      </c>
      <c r="D202">
        <v>485100</v>
      </c>
      <c r="E202">
        <v>485280</v>
      </c>
      <c r="F202">
        <v>484190</v>
      </c>
      <c r="G202">
        <v>484530</v>
      </c>
      <c r="H202">
        <v>484740</v>
      </c>
      <c r="I202">
        <v>485870</v>
      </c>
      <c r="J202">
        <v>486240</v>
      </c>
      <c r="K202">
        <v>485660</v>
      </c>
      <c r="L202">
        <v>486070</v>
      </c>
      <c r="O202">
        <v>6</v>
      </c>
      <c r="P202">
        <v>3</v>
      </c>
      <c r="Q202">
        <v>7</v>
      </c>
      <c r="R202">
        <v>8</v>
      </c>
      <c r="S202">
        <v>2</v>
      </c>
      <c r="T202">
        <v>4</v>
      </c>
      <c r="U202">
        <v>5</v>
      </c>
      <c r="V202">
        <v>1</v>
      </c>
      <c r="W202" t="s">
        <v>46</v>
      </c>
      <c r="X202">
        <v>9</v>
      </c>
      <c r="Y202" t="s">
        <v>47</v>
      </c>
      <c r="Z202" t="s">
        <v>45</v>
      </c>
    </row>
    <row r="203" spans="1:26">
      <c r="A203">
        <v>487840</v>
      </c>
      <c r="B203">
        <v>487640</v>
      </c>
      <c r="C203">
        <v>486690</v>
      </c>
      <c r="D203">
        <v>487460</v>
      </c>
      <c r="E203">
        <v>488030</v>
      </c>
      <c r="F203">
        <v>486890</v>
      </c>
      <c r="G203">
        <v>487280</v>
      </c>
      <c r="H203">
        <v>487070</v>
      </c>
      <c r="I203">
        <v>488230</v>
      </c>
      <c r="J203">
        <v>488540</v>
      </c>
      <c r="K203">
        <v>488380</v>
      </c>
      <c r="L203">
        <v>488790</v>
      </c>
      <c r="O203">
        <v>3</v>
      </c>
      <c r="P203">
        <v>6</v>
      </c>
      <c r="Q203">
        <v>8</v>
      </c>
      <c r="R203">
        <v>7</v>
      </c>
      <c r="S203">
        <v>4</v>
      </c>
      <c r="T203">
        <v>2</v>
      </c>
      <c r="U203">
        <v>1</v>
      </c>
      <c r="V203">
        <v>5</v>
      </c>
      <c r="W203">
        <v>9</v>
      </c>
      <c r="X203" t="s">
        <v>46</v>
      </c>
      <c r="Y203" t="s">
        <v>45</v>
      </c>
      <c r="Z203" t="s">
        <v>47</v>
      </c>
    </row>
    <row r="204" spans="1:26">
      <c r="A204">
        <v>490390</v>
      </c>
      <c r="B204">
        <v>489990</v>
      </c>
      <c r="C204">
        <v>488970</v>
      </c>
      <c r="D204">
        <v>489610</v>
      </c>
      <c r="E204">
        <v>490160</v>
      </c>
      <c r="F204">
        <v>489400</v>
      </c>
      <c r="G204">
        <v>489800</v>
      </c>
      <c r="H204">
        <v>489210</v>
      </c>
      <c r="I204">
        <v>490510</v>
      </c>
      <c r="J204">
        <v>490720</v>
      </c>
      <c r="K204">
        <v>490910</v>
      </c>
      <c r="L204">
        <v>491140</v>
      </c>
      <c r="O204">
        <v>3</v>
      </c>
      <c r="P204">
        <v>8</v>
      </c>
      <c r="Q204">
        <v>6</v>
      </c>
      <c r="R204">
        <v>4</v>
      </c>
      <c r="S204">
        <v>7</v>
      </c>
      <c r="T204">
        <v>2</v>
      </c>
      <c r="U204">
        <v>5</v>
      </c>
      <c r="V204">
        <v>1</v>
      </c>
      <c r="W204">
        <v>9</v>
      </c>
      <c r="X204" t="s">
        <v>45</v>
      </c>
      <c r="Y204" t="s">
        <v>46</v>
      </c>
      <c r="Z204" t="s">
        <v>47</v>
      </c>
    </row>
    <row r="205" spans="1:26">
      <c r="A205">
        <v>492730</v>
      </c>
      <c r="B205">
        <v>492310</v>
      </c>
      <c r="C205">
        <v>491710</v>
      </c>
      <c r="D205">
        <v>491920</v>
      </c>
      <c r="E205">
        <v>492900</v>
      </c>
      <c r="F205">
        <v>492110</v>
      </c>
      <c r="G205">
        <v>492550</v>
      </c>
      <c r="H205">
        <v>491530</v>
      </c>
      <c r="I205">
        <v>493230</v>
      </c>
      <c r="J205">
        <v>493090</v>
      </c>
      <c r="K205">
        <v>493600</v>
      </c>
      <c r="L205">
        <v>493430</v>
      </c>
      <c r="O205">
        <v>8</v>
      </c>
      <c r="P205">
        <v>3</v>
      </c>
      <c r="Q205">
        <v>4</v>
      </c>
      <c r="R205">
        <v>6</v>
      </c>
      <c r="S205">
        <v>2</v>
      </c>
      <c r="T205">
        <v>7</v>
      </c>
      <c r="U205">
        <v>1</v>
      </c>
      <c r="V205">
        <v>5</v>
      </c>
      <c r="W205" t="s">
        <v>45</v>
      </c>
      <c r="X205">
        <v>9</v>
      </c>
      <c r="Y205" t="s">
        <v>47</v>
      </c>
      <c r="Z205" t="s">
        <v>46</v>
      </c>
    </row>
    <row r="206" spans="1:26">
      <c r="A206">
        <v>494870</v>
      </c>
      <c r="B206">
        <v>494650</v>
      </c>
      <c r="C206">
        <v>493830</v>
      </c>
      <c r="D206">
        <v>494430</v>
      </c>
      <c r="E206">
        <v>495190</v>
      </c>
      <c r="F206">
        <v>494190</v>
      </c>
      <c r="G206">
        <v>495040</v>
      </c>
      <c r="H206">
        <v>494070</v>
      </c>
      <c r="I206">
        <v>495350</v>
      </c>
      <c r="J206">
        <v>495570</v>
      </c>
      <c r="K206">
        <v>495750</v>
      </c>
      <c r="L206">
        <v>495990</v>
      </c>
      <c r="O206">
        <v>3</v>
      </c>
      <c r="P206">
        <v>8</v>
      </c>
      <c r="Q206">
        <v>6</v>
      </c>
      <c r="R206">
        <v>4</v>
      </c>
      <c r="S206">
        <v>2</v>
      </c>
      <c r="T206">
        <v>1</v>
      </c>
      <c r="U206">
        <v>7</v>
      </c>
      <c r="V206">
        <v>5</v>
      </c>
      <c r="W206">
        <v>9</v>
      </c>
      <c r="X206" t="s">
        <v>45</v>
      </c>
      <c r="Y206" t="s">
        <v>46</v>
      </c>
      <c r="Z206" t="s">
        <v>47</v>
      </c>
    </row>
    <row r="207" spans="1:26">
      <c r="A207">
        <v>497160</v>
      </c>
      <c r="B207">
        <v>497340</v>
      </c>
      <c r="C207">
        <v>496580</v>
      </c>
      <c r="D207">
        <v>496840</v>
      </c>
      <c r="E207">
        <v>497520</v>
      </c>
      <c r="F207">
        <v>496990</v>
      </c>
      <c r="G207">
        <v>497770</v>
      </c>
      <c r="H207">
        <v>496400</v>
      </c>
      <c r="I207">
        <v>498100</v>
      </c>
      <c r="J207">
        <v>497950</v>
      </c>
      <c r="K207">
        <v>498500</v>
      </c>
      <c r="L207">
        <v>498290</v>
      </c>
      <c r="O207">
        <v>8</v>
      </c>
      <c r="P207">
        <v>3</v>
      </c>
      <c r="Q207">
        <v>4</v>
      </c>
      <c r="R207">
        <v>6</v>
      </c>
      <c r="S207">
        <v>1</v>
      </c>
      <c r="T207">
        <v>2</v>
      </c>
      <c r="U207">
        <v>5</v>
      </c>
      <c r="V207">
        <v>7</v>
      </c>
      <c r="W207" t="s">
        <v>45</v>
      </c>
      <c r="X207">
        <v>9</v>
      </c>
      <c r="Y207" t="s">
        <v>47</v>
      </c>
      <c r="Z207" t="s">
        <v>46</v>
      </c>
    </row>
    <row r="208" spans="1:26">
      <c r="A208">
        <v>499670</v>
      </c>
      <c r="B208">
        <v>499490</v>
      </c>
      <c r="C208">
        <v>499110</v>
      </c>
      <c r="D208">
        <v>498920</v>
      </c>
      <c r="E208">
        <v>499850</v>
      </c>
      <c r="F208">
        <v>499300</v>
      </c>
      <c r="G208">
        <v>500220</v>
      </c>
      <c r="H208">
        <v>498700</v>
      </c>
      <c r="I208">
        <v>500620</v>
      </c>
      <c r="J208">
        <v>500040</v>
      </c>
      <c r="K208">
        <v>500820</v>
      </c>
      <c r="L208">
        <v>500450</v>
      </c>
      <c r="O208">
        <v>8</v>
      </c>
      <c r="P208">
        <v>4</v>
      </c>
      <c r="Q208">
        <v>3</v>
      </c>
      <c r="R208">
        <v>6</v>
      </c>
      <c r="S208">
        <v>2</v>
      </c>
      <c r="T208">
        <v>1</v>
      </c>
      <c r="U208">
        <v>5</v>
      </c>
      <c r="V208" t="s">
        <v>45</v>
      </c>
      <c r="W208">
        <v>7</v>
      </c>
      <c r="X208" t="s">
        <v>47</v>
      </c>
      <c r="Y208">
        <v>9</v>
      </c>
      <c r="Z208" t="s">
        <v>46</v>
      </c>
    </row>
    <row r="209" spans="1:26">
      <c r="A209">
        <v>502010</v>
      </c>
      <c r="B209">
        <v>502190</v>
      </c>
      <c r="C209">
        <v>501810</v>
      </c>
      <c r="D209">
        <v>501210</v>
      </c>
      <c r="E209">
        <v>502640</v>
      </c>
      <c r="F209">
        <v>501630</v>
      </c>
      <c r="G209">
        <v>502940</v>
      </c>
      <c r="H209">
        <v>501400</v>
      </c>
      <c r="I209">
        <v>503320</v>
      </c>
      <c r="J209">
        <v>502430</v>
      </c>
      <c r="K209">
        <v>503130</v>
      </c>
      <c r="L209">
        <v>502760</v>
      </c>
      <c r="O209">
        <v>4</v>
      </c>
      <c r="P209">
        <v>8</v>
      </c>
      <c r="Q209">
        <v>6</v>
      </c>
      <c r="R209">
        <v>3</v>
      </c>
      <c r="S209">
        <v>1</v>
      </c>
      <c r="T209">
        <v>2</v>
      </c>
      <c r="U209" t="s">
        <v>45</v>
      </c>
      <c r="V209">
        <v>5</v>
      </c>
      <c r="W209" t="s">
        <v>47</v>
      </c>
      <c r="X209">
        <v>7</v>
      </c>
      <c r="Y209" t="s">
        <v>46</v>
      </c>
      <c r="Z209">
        <v>9</v>
      </c>
    </row>
    <row r="210" spans="1:26">
      <c r="A210">
        <v>504160</v>
      </c>
      <c r="B210">
        <v>504540</v>
      </c>
      <c r="C210">
        <v>504310</v>
      </c>
      <c r="D210">
        <v>503730</v>
      </c>
      <c r="E210">
        <v>504710</v>
      </c>
      <c r="F210">
        <v>503940</v>
      </c>
      <c r="G210">
        <v>505080</v>
      </c>
      <c r="H210">
        <v>503510</v>
      </c>
      <c r="I210">
        <v>505450</v>
      </c>
      <c r="J210">
        <v>504890</v>
      </c>
      <c r="K210">
        <v>505640</v>
      </c>
      <c r="L210">
        <v>505260</v>
      </c>
      <c r="O210">
        <v>8</v>
      </c>
      <c r="P210">
        <v>4</v>
      </c>
      <c r="Q210">
        <v>6</v>
      </c>
      <c r="R210">
        <v>1</v>
      </c>
      <c r="S210">
        <v>3</v>
      </c>
      <c r="T210">
        <v>2</v>
      </c>
      <c r="U210">
        <v>5</v>
      </c>
      <c r="V210" t="s">
        <v>45</v>
      </c>
      <c r="W210">
        <v>7</v>
      </c>
      <c r="X210" t="s">
        <v>47</v>
      </c>
      <c r="Y210">
        <v>9</v>
      </c>
      <c r="Z210" t="s">
        <v>46</v>
      </c>
    </row>
    <row r="211" spans="1:26">
      <c r="A211">
        <v>506460</v>
      </c>
      <c r="B211">
        <v>506820</v>
      </c>
      <c r="C211">
        <v>507040</v>
      </c>
      <c r="D211">
        <v>506090</v>
      </c>
      <c r="E211">
        <v>507440</v>
      </c>
      <c r="F211">
        <v>506620</v>
      </c>
      <c r="G211">
        <v>507790</v>
      </c>
      <c r="H211">
        <v>506260</v>
      </c>
      <c r="I211">
        <v>508140</v>
      </c>
      <c r="J211">
        <v>507240</v>
      </c>
      <c r="K211">
        <v>507950</v>
      </c>
      <c r="L211">
        <v>507620</v>
      </c>
      <c r="O211">
        <v>4</v>
      </c>
      <c r="P211">
        <v>8</v>
      </c>
      <c r="Q211">
        <v>1</v>
      </c>
      <c r="R211">
        <v>6</v>
      </c>
      <c r="S211">
        <v>2</v>
      </c>
      <c r="T211">
        <v>3</v>
      </c>
      <c r="U211" t="s">
        <v>45</v>
      </c>
      <c r="V211">
        <v>5</v>
      </c>
      <c r="W211" t="s">
        <v>47</v>
      </c>
      <c r="X211">
        <v>7</v>
      </c>
      <c r="Y211" t="s">
        <v>46</v>
      </c>
      <c r="Z211">
        <v>9</v>
      </c>
    </row>
    <row r="212" spans="1:26">
      <c r="A212">
        <v>508960</v>
      </c>
      <c r="B212">
        <v>509160</v>
      </c>
      <c r="C212">
        <v>509560</v>
      </c>
      <c r="D212">
        <v>508310</v>
      </c>
      <c r="E212">
        <v>509930</v>
      </c>
      <c r="F212">
        <v>508750</v>
      </c>
      <c r="G212">
        <v>510310</v>
      </c>
      <c r="H212">
        <v>508570</v>
      </c>
      <c r="I212">
        <v>510520</v>
      </c>
      <c r="J212">
        <v>509370</v>
      </c>
      <c r="K212">
        <v>510130</v>
      </c>
      <c r="L212">
        <v>509750</v>
      </c>
      <c r="O212">
        <v>4</v>
      </c>
      <c r="P212">
        <v>8</v>
      </c>
      <c r="Q212">
        <v>6</v>
      </c>
      <c r="R212">
        <v>1</v>
      </c>
      <c r="S212">
        <v>2</v>
      </c>
      <c r="T212" t="s">
        <v>45</v>
      </c>
      <c r="U212">
        <v>3</v>
      </c>
      <c r="V212" t="s">
        <v>47</v>
      </c>
      <c r="W212">
        <v>5</v>
      </c>
      <c r="X212" t="s">
        <v>46</v>
      </c>
      <c r="Y212">
        <v>7</v>
      </c>
      <c r="Z212">
        <v>9</v>
      </c>
    </row>
    <row r="213" spans="1:26">
      <c r="A213">
        <v>511320</v>
      </c>
      <c r="B213">
        <v>511890</v>
      </c>
      <c r="C213">
        <v>512310</v>
      </c>
      <c r="D213">
        <v>511120</v>
      </c>
      <c r="E213">
        <v>512640</v>
      </c>
      <c r="F213">
        <v>511470</v>
      </c>
      <c r="G213">
        <v>513060</v>
      </c>
      <c r="H213">
        <v>510920</v>
      </c>
      <c r="I213">
        <v>512850</v>
      </c>
      <c r="J213">
        <v>511650</v>
      </c>
      <c r="K213">
        <v>512450</v>
      </c>
      <c r="L213">
        <v>512080</v>
      </c>
      <c r="O213">
        <v>8</v>
      </c>
      <c r="P213">
        <v>4</v>
      </c>
      <c r="Q213">
        <v>1</v>
      </c>
      <c r="R213">
        <v>6</v>
      </c>
      <c r="S213" t="s">
        <v>45</v>
      </c>
      <c r="T213">
        <v>2</v>
      </c>
      <c r="U213" t="s">
        <v>47</v>
      </c>
      <c r="V213">
        <v>3</v>
      </c>
      <c r="W213" t="s">
        <v>46</v>
      </c>
      <c r="X213">
        <v>5</v>
      </c>
      <c r="Y213">
        <v>9</v>
      </c>
      <c r="Z213">
        <v>7</v>
      </c>
    </row>
    <row r="214" spans="1:26">
      <c r="A214">
        <v>513480</v>
      </c>
      <c r="B214">
        <v>514010</v>
      </c>
      <c r="C214">
        <v>514360</v>
      </c>
      <c r="D214">
        <v>513640</v>
      </c>
      <c r="E214">
        <v>514790</v>
      </c>
      <c r="F214">
        <v>513830</v>
      </c>
      <c r="G214">
        <v>515200</v>
      </c>
      <c r="H214">
        <v>513280</v>
      </c>
      <c r="I214">
        <v>515380</v>
      </c>
      <c r="J214">
        <v>514170</v>
      </c>
      <c r="K214">
        <v>514960</v>
      </c>
      <c r="L214">
        <v>514560</v>
      </c>
      <c r="O214">
        <v>8</v>
      </c>
      <c r="P214">
        <v>1</v>
      </c>
      <c r="Q214">
        <v>4</v>
      </c>
      <c r="R214">
        <v>6</v>
      </c>
      <c r="S214">
        <v>2</v>
      </c>
      <c r="T214" t="s">
        <v>45</v>
      </c>
      <c r="U214">
        <v>3</v>
      </c>
      <c r="V214" t="s">
        <v>47</v>
      </c>
      <c r="W214">
        <v>5</v>
      </c>
      <c r="X214" t="s">
        <v>46</v>
      </c>
      <c r="Y214">
        <v>7</v>
      </c>
      <c r="Z214">
        <v>9</v>
      </c>
    </row>
    <row r="215" spans="1:26">
      <c r="A215">
        <v>515790</v>
      </c>
      <c r="B215">
        <v>516730</v>
      </c>
      <c r="C215">
        <v>517140</v>
      </c>
      <c r="D215">
        <v>516380</v>
      </c>
      <c r="E215">
        <v>517490</v>
      </c>
      <c r="F215">
        <v>516170</v>
      </c>
      <c r="G215">
        <v>517930</v>
      </c>
      <c r="H215">
        <v>515940</v>
      </c>
      <c r="I215">
        <v>517710</v>
      </c>
      <c r="J215">
        <v>516540</v>
      </c>
      <c r="K215">
        <v>517320</v>
      </c>
      <c r="L215">
        <v>516920</v>
      </c>
      <c r="O215">
        <v>1</v>
      </c>
      <c r="P215">
        <v>8</v>
      </c>
      <c r="Q215">
        <v>6</v>
      </c>
      <c r="R215">
        <v>4</v>
      </c>
      <c r="S215" t="s">
        <v>45</v>
      </c>
      <c r="T215">
        <v>2</v>
      </c>
      <c r="U215" t="s">
        <v>47</v>
      </c>
      <c r="V215">
        <v>3</v>
      </c>
      <c r="W215" t="s">
        <v>46</v>
      </c>
      <c r="X215">
        <v>5</v>
      </c>
      <c r="Y215">
        <v>9</v>
      </c>
      <c r="Z215">
        <v>7</v>
      </c>
    </row>
    <row r="216" spans="1:26">
      <c r="A216">
        <v>518340</v>
      </c>
      <c r="B216">
        <v>519290</v>
      </c>
      <c r="C216">
        <v>519620</v>
      </c>
      <c r="D216">
        <v>518910</v>
      </c>
      <c r="E216">
        <v>520040</v>
      </c>
      <c r="F216">
        <v>518530</v>
      </c>
      <c r="G216">
        <v>520290</v>
      </c>
      <c r="H216">
        <v>518130</v>
      </c>
      <c r="I216">
        <v>519850</v>
      </c>
      <c r="J216">
        <v>518710</v>
      </c>
      <c r="K216">
        <v>519450</v>
      </c>
      <c r="L216">
        <v>519080</v>
      </c>
      <c r="O216">
        <v>8</v>
      </c>
      <c r="P216">
        <v>1</v>
      </c>
      <c r="Q216">
        <v>6</v>
      </c>
      <c r="R216" t="s">
        <v>45</v>
      </c>
      <c r="S216">
        <v>4</v>
      </c>
      <c r="T216" t="s">
        <v>47</v>
      </c>
      <c r="U216">
        <v>2</v>
      </c>
      <c r="V216" t="s">
        <v>46</v>
      </c>
      <c r="W216">
        <v>3</v>
      </c>
      <c r="X216">
        <v>9</v>
      </c>
      <c r="Y216">
        <v>5</v>
      </c>
      <c r="Z216">
        <v>7</v>
      </c>
    </row>
    <row r="217" spans="1:26">
      <c r="A217">
        <v>520690</v>
      </c>
      <c r="B217">
        <v>522000</v>
      </c>
      <c r="C217">
        <v>522360</v>
      </c>
      <c r="D217">
        <v>521640</v>
      </c>
      <c r="E217">
        <v>522760</v>
      </c>
      <c r="F217">
        <v>521220</v>
      </c>
      <c r="G217">
        <v>522610</v>
      </c>
      <c r="H217">
        <v>520840</v>
      </c>
      <c r="I217">
        <v>522190</v>
      </c>
      <c r="J217">
        <v>521040</v>
      </c>
      <c r="K217">
        <v>521790</v>
      </c>
      <c r="L217">
        <v>521430</v>
      </c>
      <c r="O217">
        <v>1</v>
      </c>
      <c r="P217">
        <v>8</v>
      </c>
      <c r="Q217" t="s">
        <v>45</v>
      </c>
      <c r="R217">
        <v>6</v>
      </c>
      <c r="S217" t="s">
        <v>47</v>
      </c>
      <c r="T217">
        <v>4</v>
      </c>
      <c r="U217" t="s">
        <v>46</v>
      </c>
      <c r="V217">
        <v>2</v>
      </c>
      <c r="W217">
        <v>9</v>
      </c>
      <c r="X217">
        <v>3</v>
      </c>
      <c r="Y217">
        <v>7</v>
      </c>
      <c r="Z217">
        <v>5</v>
      </c>
    </row>
    <row r="218" spans="1:26">
      <c r="A218">
        <v>523010</v>
      </c>
      <c r="B218">
        <v>524080</v>
      </c>
      <c r="C218">
        <v>524540</v>
      </c>
      <c r="D218">
        <v>523760</v>
      </c>
      <c r="E218">
        <v>524890</v>
      </c>
      <c r="F218">
        <v>523440</v>
      </c>
      <c r="G218">
        <v>525110</v>
      </c>
      <c r="H218">
        <v>523180</v>
      </c>
      <c r="I218">
        <v>524750</v>
      </c>
      <c r="J218">
        <v>523560</v>
      </c>
      <c r="K218">
        <v>524320</v>
      </c>
      <c r="L218">
        <v>523920</v>
      </c>
      <c r="O218">
        <v>1</v>
      </c>
      <c r="P218">
        <v>8</v>
      </c>
      <c r="Q218">
        <v>6</v>
      </c>
      <c r="R218" t="s">
        <v>45</v>
      </c>
      <c r="S218">
        <v>4</v>
      </c>
      <c r="T218" t="s">
        <v>47</v>
      </c>
      <c r="U218">
        <v>2</v>
      </c>
      <c r="V218" t="s">
        <v>46</v>
      </c>
      <c r="W218">
        <v>3</v>
      </c>
      <c r="X218">
        <v>9</v>
      </c>
      <c r="Y218">
        <v>5</v>
      </c>
      <c r="Z218">
        <v>7</v>
      </c>
    </row>
    <row r="219" spans="1:26">
      <c r="A219">
        <v>525720</v>
      </c>
      <c r="B219">
        <v>526850</v>
      </c>
      <c r="C219">
        <v>527230</v>
      </c>
      <c r="D219">
        <v>526450</v>
      </c>
      <c r="E219">
        <v>527640</v>
      </c>
      <c r="F219">
        <v>526120</v>
      </c>
      <c r="G219">
        <v>527450</v>
      </c>
      <c r="H219">
        <v>525490</v>
      </c>
      <c r="I219">
        <v>527040</v>
      </c>
      <c r="J219">
        <v>525890</v>
      </c>
      <c r="K219">
        <v>526650</v>
      </c>
      <c r="L219">
        <v>526290</v>
      </c>
      <c r="O219">
        <v>8</v>
      </c>
      <c r="P219">
        <v>1</v>
      </c>
      <c r="Q219" t="s">
        <v>45</v>
      </c>
      <c r="R219">
        <v>6</v>
      </c>
      <c r="S219" t="s">
        <v>47</v>
      </c>
      <c r="T219">
        <v>4</v>
      </c>
      <c r="U219" t="s">
        <v>46</v>
      </c>
      <c r="V219">
        <v>2</v>
      </c>
      <c r="W219">
        <v>9</v>
      </c>
      <c r="X219">
        <v>3</v>
      </c>
      <c r="Y219">
        <v>7</v>
      </c>
      <c r="Z219">
        <v>5</v>
      </c>
    </row>
    <row r="220" spans="1:26">
      <c r="A220">
        <v>527830</v>
      </c>
      <c r="B220">
        <v>529390</v>
      </c>
      <c r="C220">
        <v>529750</v>
      </c>
      <c r="D220">
        <v>528960</v>
      </c>
      <c r="E220">
        <v>529970</v>
      </c>
      <c r="F220">
        <v>528630</v>
      </c>
      <c r="G220">
        <v>529580</v>
      </c>
      <c r="H220">
        <v>528030</v>
      </c>
      <c r="I220">
        <v>529180</v>
      </c>
      <c r="J220">
        <v>528190</v>
      </c>
      <c r="K220">
        <v>528810</v>
      </c>
      <c r="L220">
        <v>528440</v>
      </c>
      <c r="O220">
        <v>1</v>
      </c>
      <c r="P220">
        <v>8</v>
      </c>
      <c r="Q220" t="s">
        <v>45</v>
      </c>
      <c r="R220" t="s">
        <v>47</v>
      </c>
      <c r="S220">
        <v>6</v>
      </c>
      <c r="T220" t="s">
        <v>46</v>
      </c>
      <c r="U220">
        <v>4</v>
      </c>
      <c r="V220">
        <v>9</v>
      </c>
      <c r="W220">
        <v>2</v>
      </c>
      <c r="X220">
        <v>7</v>
      </c>
      <c r="Y220">
        <v>3</v>
      </c>
      <c r="Z220">
        <v>5</v>
      </c>
    </row>
    <row r="221" spans="1:26">
      <c r="A221">
        <v>530540</v>
      </c>
      <c r="B221">
        <v>532080</v>
      </c>
      <c r="C221">
        <v>532460</v>
      </c>
      <c r="D221">
        <v>531670</v>
      </c>
      <c r="E221">
        <v>532280</v>
      </c>
      <c r="F221">
        <v>531290</v>
      </c>
      <c r="G221">
        <v>531910</v>
      </c>
      <c r="H221">
        <v>530350</v>
      </c>
      <c r="I221">
        <v>531480</v>
      </c>
      <c r="J221">
        <v>530960</v>
      </c>
      <c r="K221">
        <v>531140</v>
      </c>
      <c r="L221">
        <v>530740</v>
      </c>
      <c r="O221">
        <v>8</v>
      </c>
      <c r="P221">
        <v>1</v>
      </c>
      <c r="Q221" t="s">
        <v>47</v>
      </c>
      <c r="R221" t="s">
        <v>45</v>
      </c>
      <c r="S221" t="s">
        <v>46</v>
      </c>
      <c r="T221">
        <v>6</v>
      </c>
      <c r="U221">
        <v>9</v>
      </c>
      <c r="V221">
        <v>4</v>
      </c>
      <c r="W221">
        <v>7</v>
      </c>
      <c r="X221">
        <v>2</v>
      </c>
      <c r="Y221">
        <v>5</v>
      </c>
      <c r="Z221">
        <v>3</v>
      </c>
    </row>
    <row r="222" spans="1:26">
      <c r="A222">
        <v>533070</v>
      </c>
      <c r="B222">
        <v>534250</v>
      </c>
      <c r="C222">
        <v>534610</v>
      </c>
      <c r="D222">
        <v>533810</v>
      </c>
      <c r="E222">
        <v>534800</v>
      </c>
      <c r="F222">
        <v>533480</v>
      </c>
      <c r="G222">
        <v>534430</v>
      </c>
      <c r="H222">
        <v>532670</v>
      </c>
      <c r="I222">
        <v>534040</v>
      </c>
      <c r="J222">
        <v>533220</v>
      </c>
      <c r="K222">
        <v>533640</v>
      </c>
      <c r="L222">
        <v>532900</v>
      </c>
      <c r="O222">
        <v>8</v>
      </c>
      <c r="P222" t="s">
        <v>47</v>
      </c>
      <c r="Q222">
        <v>1</v>
      </c>
      <c r="R222" t="s">
        <v>45</v>
      </c>
      <c r="S222">
        <v>6</v>
      </c>
      <c r="T222" t="s">
        <v>46</v>
      </c>
      <c r="U222">
        <v>4</v>
      </c>
      <c r="V222">
        <v>9</v>
      </c>
      <c r="W222">
        <v>2</v>
      </c>
      <c r="X222">
        <v>7</v>
      </c>
      <c r="Y222">
        <v>3</v>
      </c>
      <c r="Z222">
        <v>5</v>
      </c>
    </row>
    <row r="223" spans="1:26">
      <c r="A223">
        <v>535780</v>
      </c>
      <c r="B223">
        <v>536920</v>
      </c>
      <c r="C223">
        <v>537280</v>
      </c>
      <c r="D223">
        <v>536530</v>
      </c>
      <c r="E223">
        <v>537140</v>
      </c>
      <c r="F223">
        <v>536090</v>
      </c>
      <c r="G223">
        <v>536710</v>
      </c>
      <c r="H223">
        <v>535410</v>
      </c>
      <c r="I223">
        <v>536320</v>
      </c>
      <c r="J223">
        <v>535580</v>
      </c>
      <c r="K223">
        <v>535940</v>
      </c>
      <c r="L223">
        <v>535230</v>
      </c>
      <c r="O223" t="s">
        <v>47</v>
      </c>
      <c r="P223">
        <v>8</v>
      </c>
      <c r="Q223" t="s">
        <v>45</v>
      </c>
      <c r="R223">
        <v>1</v>
      </c>
      <c r="S223" t="s">
        <v>46</v>
      </c>
      <c r="T223">
        <v>6</v>
      </c>
      <c r="U223">
        <v>9</v>
      </c>
      <c r="V223">
        <v>4</v>
      </c>
      <c r="W223">
        <v>7</v>
      </c>
      <c r="X223">
        <v>2</v>
      </c>
      <c r="Y223">
        <v>5</v>
      </c>
      <c r="Z223">
        <v>3</v>
      </c>
    </row>
    <row r="224" spans="1:26">
      <c r="A224">
        <v>537910</v>
      </c>
      <c r="B224">
        <v>539430</v>
      </c>
      <c r="C224">
        <v>539650</v>
      </c>
      <c r="D224">
        <v>539060</v>
      </c>
      <c r="E224">
        <v>539240</v>
      </c>
      <c r="F224">
        <v>538650</v>
      </c>
      <c r="G224">
        <v>538880</v>
      </c>
      <c r="H224">
        <v>537720</v>
      </c>
      <c r="I224">
        <v>538490</v>
      </c>
      <c r="J224">
        <v>538060</v>
      </c>
      <c r="K224">
        <v>538270</v>
      </c>
      <c r="L224">
        <v>537520</v>
      </c>
      <c r="O224" t="s">
        <v>47</v>
      </c>
      <c r="P224">
        <v>8</v>
      </c>
      <c r="Q224">
        <v>1</v>
      </c>
      <c r="R224" t="s">
        <v>45</v>
      </c>
      <c r="S224" t="s">
        <v>46</v>
      </c>
      <c r="T224">
        <v>9</v>
      </c>
      <c r="U224">
        <v>6</v>
      </c>
      <c r="V224">
        <v>7</v>
      </c>
      <c r="W224">
        <v>4</v>
      </c>
      <c r="X224">
        <v>5</v>
      </c>
      <c r="Y224">
        <v>2</v>
      </c>
      <c r="Z224">
        <v>3</v>
      </c>
    </row>
    <row r="225" spans="1:26">
      <c r="A225">
        <v>540640</v>
      </c>
      <c r="B225">
        <v>542160</v>
      </c>
      <c r="C225">
        <v>541960</v>
      </c>
      <c r="D225">
        <v>541800</v>
      </c>
      <c r="E225">
        <v>541540</v>
      </c>
      <c r="F225">
        <v>541350</v>
      </c>
      <c r="G225">
        <v>541140</v>
      </c>
      <c r="H225">
        <v>539980</v>
      </c>
      <c r="I225">
        <v>540770</v>
      </c>
      <c r="J225">
        <v>540390</v>
      </c>
      <c r="K225">
        <v>540960</v>
      </c>
      <c r="L225">
        <v>540240</v>
      </c>
      <c r="O225">
        <v>8</v>
      </c>
      <c r="P225" t="s">
        <v>47</v>
      </c>
      <c r="Q225" t="s">
        <v>45</v>
      </c>
      <c r="R225">
        <v>1</v>
      </c>
      <c r="S225">
        <v>9</v>
      </c>
      <c r="T225" t="s">
        <v>46</v>
      </c>
      <c r="U225">
        <v>7</v>
      </c>
      <c r="V225">
        <v>6</v>
      </c>
      <c r="W225">
        <v>5</v>
      </c>
      <c r="X225">
        <v>4</v>
      </c>
      <c r="Y225">
        <v>3</v>
      </c>
      <c r="Z225">
        <v>2</v>
      </c>
    </row>
    <row r="226" spans="1:26">
      <c r="A226">
        <v>543110</v>
      </c>
      <c r="B226">
        <v>544300</v>
      </c>
      <c r="C226">
        <v>544520</v>
      </c>
      <c r="D226">
        <v>543900</v>
      </c>
      <c r="E226">
        <v>544100</v>
      </c>
      <c r="F226">
        <v>543520</v>
      </c>
      <c r="G226">
        <v>543730</v>
      </c>
      <c r="H226">
        <v>542550</v>
      </c>
      <c r="I226">
        <v>542900</v>
      </c>
      <c r="J226">
        <v>542740</v>
      </c>
      <c r="K226">
        <v>543320</v>
      </c>
      <c r="L226">
        <v>542340</v>
      </c>
      <c r="O226" t="s">
        <v>47</v>
      </c>
      <c r="P226">
        <v>8</v>
      </c>
      <c r="Q226" t="s">
        <v>45</v>
      </c>
      <c r="R226">
        <v>9</v>
      </c>
      <c r="S226">
        <v>1</v>
      </c>
      <c r="T226" t="s">
        <v>46</v>
      </c>
      <c r="U226">
        <v>6</v>
      </c>
      <c r="V226">
        <v>7</v>
      </c>
      <c r="W226">
        <v>4</v>
      </c>
      <c r="X226">
        <v>5</v>
      </c>
      <c r="Y226">
        <v>2</v>
      </c>
      <c r="Z226">
        <v>3</v>
      </c>
    </row>
    <row r="227" spans="1:26">
      <c r="A227">
        <v>545810</v>
      </c>
      <c r="B227">
        <v>546990</v>
      </c>
      <c r="C227">
        <v>546790</v>
      </c>
      <c r="D227">
        <v>546650</v>
      </c>
      <c r="E227">
        <v>546460</v>
      </c>
      <c r="F227">
        <v>546250</v>
      </c>
      <c r="G227">
        <v>546010</v>
      </c>
      <c r="H227">
        <v>544830</v>
      </c>
      <c r="I227">
        <v>545200</v>
      </c>
      <c r="J227">
        <v>545490</v>
      </c>
      <c r="K227">
        <v>545610</v>
      </c>
      <c r="L227">
        <v>545040</v>
      </c>
      <c r="O227">
        <v>8</v>
      </c>
      <c r="P227" t="s">
        <v>47</v>
      </c>
      <c r="Q227">
        <v>9</v>
      </c>
      <c r="R227" t="s">
        <v>45</v>
      </c>
      <c r="S227" t="s">
        <v>46</v>
      </c>
      <c r="T227">
        <v>1</v>
      </c>
      <c r="U227">
        <v>7</v>
      </c>
      <c r="V227">
        <v>6</v>
      </c>
      <c r="W227">
        <v>5</v>
      </c>
      <c r="X227">
        <v>4</v>
      </c>
      <c r="Y227">
        <v>3</v>
      </c>
      <c r="Z227">
        <v>2</v>
      </c>
    </row>
    <row r="228" spans="1:26">
      <c r="A228">
        <v>547960</v>
      </c>
      <c r="B228">
        <v>549370</v>
      </c>
      <c r="C228">
        <v>548940</v>
      </c>
      <c r="D228">
        <v>549150</v>
      </c>
      <c r="E228">
        <v>548510</v>
      </c>
      <c r="F228">
        <v>548760</v>
      </c>
      <c r="G228">
        <v>548340</v>
      </c>
      <c r="H228">
        <v>547170</v>
      </c>
      <c r="I228">
        <v>547350</v>
      </c>
      <c r="J228">
        <v>547740</v>
      </c>
      <c r="K228">
        <v>548130</v>
      </c>
      <c r="L228">
        <v>547540</v>
      </c>
      <c r="O228">
        <v>8</v>
      </c>
      <c r="P228">
        <v>9</v>
      </c>
      <c r="Q228" t="s">
        <v>47</v>
      </c>
      <c r="R228" t="s">
        <v>45</v>
      </c>
      <c r="S228">
        <v>1</v>
      </c>
      <c r="T228" t="s">
        <v>46</v>
      </c>
      <c r="U228">
        <v>7</v>
      </c>
      <c r="V228">
        <v>5</v>
      </c>
      <c r="W228">
        <v>6</v>
      </c>
      <c r="X228">
        <v>3</v>
      </c>
      <c r="Y228">
        <v>4</v>
      </c>
      <c r="Z228">
        <v>2</v>
      </c>
    </row>
    <row r="229" spans="1:26">
      <c r="A229">
        <v>550670</v>
      </c>
      <c r="B229">
        <v>551650</v>
      </c>
      <c r="C229">
        <v>551210</v>
      </c>
      <c r="D229">
        <v>551870</v>
      </c>
      <c r="E229">
        <v>550870</v>
      </c>
      <c r="F229">
        <v>551440</v>
      </c>
      <c r="G229">
        <v>551060</v>
      </c>
      <c r="H229">
        <v>549900</v>
      </c>
      <c r="I229">
        <v>549700</v>
      </c>
      <c r="J229">
        <v>550040</v>
      </c>
      <c r="K229">
        <v>550420</v>
      </c>
      <c r="L229">
        <v>550290</v>
      </c>
      <c r="O229">
        <v>9</v>
      </c>
      <c r="P229">
        <v>8</v>
      </c>
      <c r="Q229" t="s">
        <v>45</v>
      </c>
      <c r="R229" t="s">
        <v>47</v>
      </c>
      <c r="S229" t="s">
        <v>46</v>
      </c>
      <c r="T229">
        <v>1</v>
      </c>
      <c r="U229">
        <v>5</v>
      </c>
      <c r="V229">
        <v>7</v>
      </c>
      <c r="W229">
        <v>3</v>
      </c>
      <c r="X229">
        <v>6</v>
      </c>
      <c r="Y229">
        <v>2</v>
      </c>
      <c r="Z229">
        <v>4</v>
      </c>
    </row>
    <row r="230" spans="1:26">
      <c r="A230">
        <v>553220</v>
      </c>
      <c r="B230">
        <v>554210</v>
      </c>
      <c r="C230">
        <v>553750</v>
      </c>
      <c r="D230">
        <v>554000</v>
      </c>
      <c r="E230">
        <v>552970</v>
      </c>
      <c r="F230">
        <v>553560</v>
      </c>
      <c r="G230">
        <v>553440</v>
      </c>
      <c r="H230">
        <v>552010</v>
      </c>
      <c r="I230">
        <v>552200</v>
      </c>
      <c r="J230">
        <v>552560</v>
      </c>
      <c r="K230">
        <v>552760</v>
      </c>
      <c r="L230">
        <v>552400</v>
      </c>
      <c r="O230">
        <v>8</v>
      </c>
      <c r="P230">
        <v>9</v>
      </c>
      <c r="Q230" t="s">
        <v>47</v>
      </c>
      <c r="R230" t="s">
        <v>45</v>
      </c>
      <c r="S230" t="s">
        <v>46</v>
      </c>
      <c r="T230">
        <v>5</v>
      </c>
      <c r="U230">
        <v>1</v>
      </c>
      <c r="V230">
        <v>7</v>
      </c>
      <c r="W230">
        <v>6</v>
      </c>
      <c r="X230">
        <v>3</v>
      </c>
      <c r="Y230">
        <v>4</v>
      </c>
      <c r="Z230">
        <v>2</v>
      </c>
    </row>
    <row r="231" spans="1:26">
      <c r="A231">
        <v>555900</v>
      </c>
      <c r="B231">
        <v>556460</v>
      </c>
      <c r="C231">
        <v>556090</v>
      </c>
      <c r="D231">
        <v>556660</v>
      </c>
      <c r="E231">
        <v>555310</v>
      </c>
      <c r="F231">
        <v>556280</v>
      </c>
      <c r="G231">
        <v>555690</v>
      </c>
      <c r="H231">
        <v>554690</v>
      </c>
      <c r="I231">
        <v>554470</v>
      </c>
      <c r="J231">
        <v>554860</v>
      </c>
      <c r="K231">
        <v>555470</v>
      </c>
      <c r="L231">
        <v>555120</v>
      </c>
      <c r="O231">
        <v>9</v>
      </c>
      <c r="P231">
        <v>8</v>
      </c>
      <c r="Q231" t="s">
        <v>45</v>
      </c>
      <c r="R231" t="s">
        <v>47</v>
      </c>
      <c r="S231">
        <v>5</v>
      </c>
      <c r="T231" t="s">
        <v>46</v>
      </c>
      <c r="U231">
        <v>7</v>
      </c>
      <c r="V231">
        <v>1</v>
      </c>
      <c r="W231">
        <v>3</v>
      </c>
      <c r="X231">
        <v>6</v>
      </c>
      <c r="Y231">
        <v>2</v>
      </c>
      <c r="Z231">
        <v>4</v>
      </c>
    </row>
    <row r="232" spans="1:26">
      <c r="A232">
        <v>558010</v>
      </c>
      <c r="B232">
        <v>558580</v>
      </c>
      <c r="C232">
        <v>558410</v>
      </c>
      <c r="D232">
        <v>559000</v>
      </c>
      <c r="E232">
        <v>557400</v>
      </c>
      <c r="F232">
        <v>558790</v>
      </c>
      <c r="G232">
        <v>558230</v>
      </c>
      <c r="H232">
        <v>557250</v>
      </c>
      <c r="I232">
        <v>556830</v>
      </c>
      <c r="J232">
        <v>557050</v>
      </c>
      <c r="K232">
        <v>557780</v>
      </c>
      <c r="L232">
        <v>557570</v>
      </c>
      <c r="O232">
        <v>9</v>
      </c>
      <c r="P232" t="s">
        <v>45</v>
      </c>
      <c r="Q232">
        <v>8</v>
      </c>
      <c r="R232">
        <v>5</v>
      </c>
      <c r="S232" t="s">
        <v>47</v>
      </c>
      <c r="T232" t="s">
        <v>46</v>
      </c>
      <c r="U232">
        <v>1</v>
      </c>
      <c r="V232">
        <v>7</v>
      </c>
      <c r="W232">
        <v>3</v>
      </c>
      <c r="X232">
        <v>2</v>
      </c>
      <c r="Y232">
        <v>6</v>
      </c>
      <c r="Z232">
        <v>4</v>
      </c>
    </row>
    <row r="233" spans="1:26">
      <c r="A233">
        <v>560720</v>
      </c>
      <c r="B233">
        <v>560910</v>
      </c>
      <c r="C233">
        <v>561070</v>
      </c>
      <c r="D233">
        <v>561310</v>
      </c>
      <c r="E233">
        <v>559750</v>
      </c>
      <c r="F233">
        <v>561500</v>
      </c>
      <c r="G233">
        <v>560470</v>
      </c>
      <c r="H233">
        <v>559970</v>
      </c>
      <c r="I233">
        <v>559570</v>
      </c>
      <c r="J233">
        <v>559380</v>
      </c>
      <c r="K233">
        <v>560110</v>
      </c>
      <c r="L233">
        <v>560330</v>
      </c>
      <c r="O233" t="s">
        <v>45</v>
      </c>
      <c r="P233">
        <v>9</v>
      </c>
      <c r="Q233">
        <v>5</v>
      </c>
      <c r="R233">
        <v>8</v>
      </c>
      <c r="S233" t="s">
        <v>46</v>
      </c>
      <c r="T233" t="s">
        <v>47</v>
      </c>
      <c r="U233">
        <v>7</v>
      </c>
      <c r="V233">
        <v>1</v>
      </c>
      <c r="W233">
        <v>2</v>
      </c>
      <c r="X233">
        <v>3</v>
      </c>
      <c r="Y233">
        <v>4</v>
      </c>
      <c r="Z233">
        <v>6</v>
      </c>
    </row>
    <row r="234" spans="1:26">
      <c r="A234">
        <v>563270</v>
      </c>
      <c r="B234">
        <v>563010</v>
      </c>
      <c r="C234">
        <v>563430</v>
      </c>
      <c r="D234">
        <v>563840</v>
      </c>
      <c r="E234">
        <v>562280</v>
      </c>
      <c r="F234">
        <v>563620</v>
      </c>
      <c r="G234">
        <v>562840</v>
      </c>
      <c r="H234">
        <v>562100</v>
      </c>
      <c r="I234">
        <v>561680</v>
      </c>
      <c r="J234">
        <v>561900</v>
      </c>
      <c r="K234">
        <v>562680</v>
      </c>
      <c r="L234">
        <v>562430</v>
      </c>
      <c r="O234">
        <v>9</v>
      </c>
      <c r="P234" t="s">
        <v>45</v>
      </c>
      <c r="Q234">
        <v>8</v>
      </c>
      <c r="R234">
        <v>5</v>
      </c>
      <c r="S234" t="s">
        <v>47</v>
      </c>
      <c r="T234" t="s">
        <v>46</v>
      </c>
      <c r="U234">
        <v>7</v>
      </c>
      <c r="V234">
        <v>2</v>
      </c>
      <c r="W234">
        <v>1</v>
      </c>
      <c r="X234">
        <v>3</v>
      </c>
      <c r="Y234">
        <v>6</v>
      </c>
      <c r="Z234">
        <v>4</v>
      </c>
    </row>
    <row r="235" spans="1:26">
      <c r="A235">
        <v>565970</v>
      </c>
      <c r="B235">
        <v>565390</v>
      </c>
      <c r="C235">
        <v>565740</v>
      </c>
      <c r="D235">
        <v>566150</v>
      </c>
      <c r="E235">
        <v>564620</v>
      </c>
      <c r="F235">
        <v>566370</v>
      </c>
      <c r="G235">
        <v>565550</v>
      </c>
      <c r="H235">
        <v>564790</v>
      </c>
      <c r="I235">
        <v>564380</v>
      </c>
      <c r="J235">
        <v>564200</v>
      </c>
      <c r="K235">
        <v>564990</v>
      </c>
      <c r="L235">
        <v>565210</v>
      </c>
      <c r="O235" t="s">
        <v>45</v>
      </c>
      <c r="P235">
        <v>9</v>
      </c>
      <c r="Q235">
        <v>5</v>
      </c>
      <c r="R235">
        <v>8</v>
      </c>
      <c r="S235" t="s">
        <v>46</v>
      </c>
      <c r="T235" t="s">
        <v>47</v>
      </c>
      <c r="U235">
        <v>2</v>
      </c>
      <c r="V235">
        <v>7</v>
      </c>
      <c r="W235">
        <v>3</v>
      </c>
      <c r="X235">
        <v>1</v>
      </c>
      <c r="Y235">
        <v>4</v>
      </c>
      <c r="Z235">
        <v>6</v>
      </c>
    </row>
    <row r="236" spans="1:26">
      <c r="A236">
        <v>568120</v>
      </c>
      <c r="B236">
        <v>567500</v>
      </c>
      <c r="C236">
        <v>568300</v>
      </c>
      <c r="D236">
        <v>568730</v>
      </c>
      <c r="E236">
        <v>566760</v>
      </c>
      <c r="F236">
        <v>568500</v>
      </c>
      <c r="G236">
        <v>567920</v>
      </c>
      <c r="H236">
        <v>567320</v>
      </c>
      <c r="I236">
        <v>566970</v>
      </c>
      <c r="J236">
        <v>566540</v>
      </c>
      <c r="K236">
        <v>567120</v>
      </c>
      <c r="L236">
        <v>567690</v>
      </c>
      <c r="O236" t="s">
        <v>45</v>
      </c>
      <c r="P236">
        <v>5</v>
      </c>
      <c r="Q236">
        <v>9</v>
      </c>
      <c r="R236" t="s">
        <v>46</v>
      </c>
      <c r="S236">
        <v>8</v>
      </c>
      <c r="T236">
        <v>2</v>
      </c>
      <c r="U236" t="s">
        <v>47</v>
      </c>
      <c r="V236">
        <v>7</v>
      </c>
      <c r="W236">
        <v>1</v>
      </c>
      <c r="X236">
        <v>3</v>
      </c>
      <c r="Y236">
        <v>6</v>
      </c>
      <c r="Z236">
        <v>4</v>
      </c>
    </row>
    <row r="237" spans="1:26">
      <c r="A237">
        <v>570820</v>
      </c>
      <c r="B237">
        <v>569850</v>
      </c>
      <c r="C237">
        <v>570620</v>
      </c>
      <c r="D237">
        <v>571020</v>
      </c>
      <c r="E237">
        <v>569090</v>
      </c>
      <c r="F237">
        <v>571220</v>
      </c>
      <c r="G237">
        <v>570200</v>
      </c>
      <c r="H237">
        <v>570030</v>
      </c>
      <c r="I237">
        <v>569640</v>
      </c>
      <c r="J237">
        <v>569300</v>
      </c>
      <c r="K237">
        <v>569430</v>
      </c>
      <c r="L237">
        <v>570420</v>
      </c>
      <c r="O237">
        <v>5</v>
      </c>
      <c r="P237" t="s">
        <v>45</v>
      </c>
      <c r="Q237" t="s">
        <v>46</v>
      </c>
      <c r="R237">
        <v>9</v>
      </c>
      <c r="S237">
        <v>2</v>
      </c>
      <c r="T237">
        <v>8</v>
      </c>
      <c r="U237">
        <v>7</v>
      </c>
      <c r="V237" t="s">
        <v>47</v>
      </c>
      <c r="W237">
        <v>3</v>
      </c>
      <c r="X237">
        <v>1</v>
      </c>
      <c r="Y237">
        <v>4</v>
      </c>
      <c r="Z237">
        <v>6</v>
      </c>
    </row>
    <row r="238" spans="1:26">
      <c r="A238">
        <v>573390</v>
      </c>
      <c r="B238">
        <v>572370</v>
      </c>
      <c r="C238">
        <v>572960</v>
      </c>
      <c r="D238">
        <v>573190</v>
      </c>
      <c r="E238">
        <v>571600</v>
      </c>
      <c r="F238">
        <v>573550</v>
      </c>
      <c r="G238">
        <v>572730</v>
      </c>
      <c r="H238">
        <v>572140</v>
      </c>
      <c r="I238">
        <v>571800</v>
      </c>
      <c r="J238">
        <v>571410</v>
      </c>
      <c r="K238">
        <v>571960</v>
      </c>
      <c r="L238">
        <v>572530</v>
      </c>
      <c r="O238" t="s">
        <v>45</v>
      </c>
      <c r="P238">
        <v>5</v>
      </c>
      <c r="Q238">
        <v>9</v>
      </c>
      <c r="R238" t="s">
        <v>46</v>
      </c>
      <c r="S238">
        <v>8</v>
      </c>
      <c r="T238">
        <v>2</v>
      </c>
      <c r="U238" t="s">
        <v>47</v>
      </c>
      <c r="V238">
        <v>7</v>
      </c>
      <c r="W238">
        <v>3</v>
      </c>
      <c r="X238">
        <v>4</v>
      </c>
      <c r="Y238">
        <v>1</v>
      </c>
      <c r="Z238">
        <v>6</v>
      </c>
    </row>
    <row r="239" spans="1:26">
      <c r="A239">
        <v>576060</v>
      </c>
      <c r="B239">
        <v>574730</v>
      </c>
      <c r="C239">
        <v>575680</v>
      </c>
      <c r="D239">
        <v>575500</v>
      </c>
      <c r="E239">
        <v>573910</v>
      </c>
      <c r="F239">
        <v>575850</v>
      </c>
      <c r="G239">
        <v>575040</v>
      </c>
      <c r="H239">
        <v>574890</v>
      </c>
      <c r="I239">
        <v>574520</v>
      </c>
      <c r="J239">
        <v>574130</v>
      </c>
      <c r="K239">
        <v>574270</v>
      </c>
      <c r="L239">
        <v>575270</v>
      </c>
      <c r="O239">
        <v>5</v>
      </c>
      <c r="P239" t="s">
        <v>45</v>
      </c>
      <c r="Q239" t="s">
        <v>46</v>
      </c>
      <c r="R239">
        <v>9</v>
      </c>
      <c r="S239">
        <v>2</v>
      </c>
      <c r="T239">
        <v>8</v>
      </c>
      <c r="U239">
        <v>7</v>
      </c>
      <c r="V239" t="s">
        <v>47</v>
      </c>
      <c r="W239">
        <v>4</v>
      </c>
      <c r="X239">
        <v>3</v>
      </c>
      <c r="Y239">
        <v>6</v>
      </c>
      <c r="Z239">
        <v>1</v>
      </c>
    </row>
    <row r="240" spans="1:26">
      <c r="A240">
        <v>578190</v>
      </c>
      <c r="B240">
        <v>576830</v>
      </c>
      <c r="C240">
        <v>577960</v>
      </c>
      <c r="D240">
        <v>577580</v>
      </c>
      <c r="E240">
        <v>576230</v>
      </c>
      <c r="F240">
        <v>578400</v>
      </c>
      <c r="G240">
        <v>577240</v>
      </c>
      <c r="H240">
        <v>577440</v>
      </c>
      <c r="I240">
        <v>577030</v>
      </c>
      <c r="J240">
        <v>576610</v>
      </c>
      <c r="K240">
        <v>576430</v>
      </c>
      <c r="L240">
        <v>577800</v>
      </c>
      <c r="O240">
        <v>5</v>
      </c>
      <c r="P240" t="s">
        <v>46</v>
      </c>
      <c r="Q240" t="s">
        <v>45</v>
      </c>
      <c r="R240">
        <v>2</v>
      </c>
      <c r="S240">
        <v>9</v>
      </c>
      <c r="T240">
        <v>7</v>
      </c>
      <c r="U240">
        <v>8</v>
      </c>
      <c r="V240">
        <v>4</v>
      </c>
      <c r="W240" t="s">
        <v>47</v>
      </c>
      <c r="X240">
        <v>3</v>
      </c>
      <c r="Y240">
        <v>1</v>
      </c>
      <c r="Z240">
        <v>6</v>
      </c>
    </row>
    <row r="241" spans="1:26">
      <c r="A241">
        <v>580890</v>
      </c>
      <c r="B241">
        <v>579190</v>
      </c>
      <c r="C241">
        <v>580280</v>
      </c>
      <c r="D241">
        <v>579920</v>
      </c>
      <c r="E241">
        <v>578960</v>
      </c>
      <c r="F241">
        <v>580710</v>
      </c>
      <c r="G241">
        <v>579550</v>
      </c>
      <c r="H241">
        <v>580110</v>
      </c>
      <c r="I241">
        <v>579720</v>
      </c>
      <c r="J241">
        <v>579380</v>
      </c>
      <c r="K241">
        <v>578750</v>
      </c>
      <c r="L241">
        <v>580500</v>
      </c>
      <c r="O241" t="s">
        <v>46</v>
      </c>
      <c r="P241">
        <v>5</v>
      </c>
      <c r="Q241">
        <v>2</v>
      </c>
      <c r="R241" t="s">
        <v>45</v>
      </c>
      <c r="S241">
        <v>7</v>
      </c>
      <c r="T241">
        <v>9</v>
      </c>
      <c r="U241">
        <v>4</v>
      </c>
      <c r="V241">
        <v>8</v>
      </c>
      <c r="W241">
        <v>3</v>
      </c>
      <c r="X241" t="s">
        <v>47</v>
      </c>
      <c r="Y241">
        <v>6</v>
      </c>
      <c r="Z241">
        <v>1</v>
      </c>
    </row>
    <row r="242" spans="1:26">
      <c r="A242">
        <v>583280</v>
      </c>
      <c r="B242">
        <v>581690</v>
      </c>
      <c r="C242">
        <v>582850</v>
      </c>
      <c r="D242">
        <v>582460</v>
      </c>
      <c r="E242">
        <v>581080</v>
      </c>
      <c r="F242">
        <v>583050</v>
      </c>
      <c r="G242">
        <v>582060</v>
      </c>
      <c r="H242">
        <v>582290</v>
      </c>
      <c r="I242">
        <v>581860</v>
      </c>
      <c r="J242">
        <v>581470</v>
      </c>
      <c r="K242">
        <v>581320</v>
      </c>
      <c r="L242">
        <v>582600</v>
      </c>
      <c r="O242">
        <v>5</v>
      </c>
      <c r="P242" t="s">
        <v>46</v>
      </c>
      <c r="Q242" t="s">
        <v>45</v>
      </c>
      <c r="R242">
        <v>2</v>
      </c>
      <c r="S242">
        <v>9</v>
      </c>
      <c r="T242">
        <v>7</v>
      </c>
      <c r="U242">
        <v>8</v>
      </c>
      <c r="V242">
        <v>4</v>
      </c>
      <c r="W242" t="s">
        <v>47</v>
      </c>
      <c r="X242">
        <v>3</v>
      </c>
      <c r="Y242">
        <v>6</v>
      </c>
      <c r="Z242">
        <v>1</v>
      </c>
    </row>
    <row r="243" spans="1:26">
      <c r="A243">
        <v>585550</v>
      </c>
      <c r="B243">
        <v>584040</v>
      </c>
      <c r="C243">
        <v>585150</v>
      </c>
      <c r="D243">
        <v>584790</v>
      </c>
      <c r="E243">
        <v>583840</v>
      </c>
      <c r="F243">
        <v>585740</v>
      </c>
      <c r="G243">
        <v>584340</v>
      </c>
      <c r="H243">
        <v>584930</v>
      </c>
      <c r="I243">
        <v>584560</v>
      </c>
      <c r="J243">
        <v>584240</v>
      </c>
      <c r="K243">
        <v>583640</v>
      </c>
      <c r="L243">
        <v>585390</v>
      </c>
      <c r="O243" t="s">
        <v>46</v>
      </c>
      <c r="P243">
        <v>5</v>
      </c>
      <c r="Q243">
        <v>2</v>
      </c>
      <c r="R243" t="s">
        <v>45</v>
      </c>
      <c r="S243">
        <v>7</v>
      </c>
      <c r="T243">
        <v>9</v>
      </c>
      <c r="U243">
        <v>4</v>
      </c>
      <c r="V243">
        <v>8</v>
      </c>
      <c r="W243">
        <v>3</v>
      </c>
      <c r="X243" t="s">
        <v>47</v>
      </c>
      <c r="Y243">
        <v>1</v>
      </c>
      <c r="Z243">
        <v>6</v>
      </c>
    </row>
    <row r="244" spans="1:26">
      <c r="A244">
        <v>588120</v>
      </c>
      <c r="B244">
        <v>586180</v>
      </c>
      <c r="C244">
        <v>587290</v>
      </c>
      <c r="D244">
        <v>586920</v>
      </c>
      <c r="E244">
        <v>586340</v>
      </c>
      <c r="F244">
        <v>587900</v>
      </c>
      <c r="G244">
        <v>586530</v>
      </c>
      <c r="H244">
        <v>587490</v>
      </c>
      <c r="I244">
        <v>587100</v>
      </c>
      <c r="J244">
        <v>586750</v>
      </c>
      <c r="K244">
        <v>585960</v>
      </c>
      <c r="L244">
        <v>587710</v>
      </c>
      <c r="O244" t="s">
        <v>46</v>
      </c>
      <c r="P244">
        <v>2</v>
      </c>
      <c r="Q244">
        <v>5</v>
      </c>
      <c r="R244">
        <v>7</v>
      </c>
      <c r="S244" t="s">
        <v>45</v>
      </c>
      <c r="T244">
        <v>4</v>
      </c>
      <c r="U244">
        <v>9</v>
      </c>
      <c r="V244">
        <v>3</v>
      </c>
      <c r="W244">
        <v>8</v>
      </c>
      <c r="X244" t="s">
        <v>47</v>
      </c>
      <c r="Y244">
        <v>6</v>
      </c>
      <c r="Z244">
        <v>1</v>
      </c>
    </row>
    <row r="245" spans="1:26">
      <c r="A245">
        <v>590440</v>
      </c>
      <c r="B245">
        <v>588480</v>
      </c>
      <c r="C245">
        <v>589650</v>
      </c>
      <c r="D245">
        <v>589310</v>
      </c>
      <c r="E245">
        <v>589070</v>
      </c>
      <c r="F245">
        <v>590620</v>
      </c>
      <c r="G245">
        <v>588860</v>
      </c>
      <c r="H245">
        <v>590240</v>
      </c>
      <c r="I245">
        <v>589840</v>
      </c>
      <c r="J245">
        <v>589490</v>
      </c>
      <c r="K245">
        <v>588680</v>
      </c>
      <c r="L245">
        <v>590030</v>
      </c>
      <c r="O245">
        <v>2</v>
      </c>
      <c r="P245" t="s">
        <v>46</v>
      </c>
      <c r="Q245">
        <v>7</v>
      </c>
      <c r="R245">
        <v>5</v>
      </c>
      <c r="S245">
        <v>4</v>
      </c>
      <c r="T245" t="s">
        <v>45</v>
      </c>
      <c r="U245">
        <v>3</v>
      </c>
      <c r="V245">
        <v>9</v>
      </c>
      <c r="W245" t="s">
        <v>47</v>
      </c>
      <c r="X245">
        <v>8</v>
      </c>
      <c r="Y245">
        <v>1</v>
      </c>
      <c r="Z245">
        <v>6</v>
      </c>
    </row>
    <row r="246" spans="1:26">
      <c r="A246">
        <v>592610</v>
      </c>
      <c r="B246">
        <v>591000</v>
      </c>
      <c r="C246">
        <v>592180</v>
      </c>
      <c r="D246">
        <v>591820</v>
      </c>
      <c r="E246">
        <v>591150</v>
      </c>
      <c r="F246">
        <v>593030</v>
      </c>
      <c r="G246">
        <v>591430</v>
      </c>
      <c r="H246">
        <v>592790</v>
      </c>
      <c r="I246">
        <v>592000</v>
      </c>
      <c r="J246">
        <v>591620</v>
      </c>
      <c r="K246">
        <v>590830</v>
      </c>
      <c r="L246">
        <v>592380</v>
      </c>
      <c r="O246" t="s">
        <v>46</v>
      </c>
      <c r="P246">
        <v>2</v>
      </c>
      <c r="Q246">
        <v>5</v>
      </c>
      <c r="R246">
        <v>7</v>
      </c>
      <c r="S246" t="s">
        <v>45</v>
      </c>
      <c r="T246">
        <v>4</v>
      </c>
      <c r="U246">
        <v>9</v>
      </c>
      <c r="V246">
        <v>3</v>
      </c>
      <c r="W246" t="s">
        <v>47</v>
      </c>
      <c r="X246">
        <v>1</v>
      </c>
      <c r="Y246">
        <v>8</v>
      </c>
      <c r="Z246">
        <v>6</v>
      </c>
    </row>
    <row r="247" spans="1:26">
      <c r="A247">
        <v>594940</v>
      </c>
      <c r="B247">
        <v>593380</v>
      </c>
      <c r="C247">
        <v>594520</v>
      </c>
      <c r="D247">
        <v>594140</v>
      </c>
      <c r="E247">
        <v>593920</v>
      </c>
      <c r="F247">
        <v>595180</v>
      </c>
      <c r="G247">
        <v>593730</v>
      </c>
      <c r="H247">
        <v>595470</v>
      </c>
      <c r="I247">
        <v>594740</v>
      </c>
      <c r="J247">
        <v>594370</v>
      </c>
      <c r="K247">
        <v>593580</v>
      </c>
      <c r="L247">
        <v>595100</v>
      </c>
      <c r="O247">
        <v>2</v>
      </c>
      <c r="P247" t="s">
        <v>46</v>
      </c>
      <c r="Q247">
        <v>7</v>
      </c>
      <c r="R247">
        <v>5</v>
      </c>
      <c r="S247">
        <v>4</v>
      </c>
      <c r="T247" t="s">
        <v>45</v>
      </c>
      <c r="U247">
        <v>3</v>
      </c>
      <c r="V247">
        <v>9</v>
      </c>
      <c r="W247">
        <v>1</v>
      </c>
      <c r="X247" t="s">
        <v>47</v>
      </c>
      <c r="Y247">
        <v>6</v>
      </c>
      <c r="Z247">
        <v>8</v>
      </c>
    </row>
    <row r="248" spans="1:26">
      <c r="A248">
        <v>597490</v>
      </c>
      <c r="B248">
        <v>595690</v>
      </c>
      <c r="C248">
        <v>596640</v>
      </c>
      <c r="D248">
        <v>596230</v>
      </c>
      <c r="E248">
        <v>596440</v>
      </c>
      <c r="F248">
        <v>597770</v>
      </c>
      <c r="G248">
        <v>595920</v>
      </c>
      <c r="H248">
        <v>597620</v>
      </c>
      <c r="I248">
        <v>597050</v>
      </c>
      <c r="J248">
        <v>596860</v>
      </c>
      <c r="K248">
        <v>596070</v>
      </c>
      <c r="L248">
        <v>597210</v>
      </c>
      <c r="O248">
        <v>2</v>
      </c>
      <c r="P248">
        <v>7</v>
      </c>
      <c r="Q248" t="s">
        <v>46</v>
      </c>
      <c r="R248">
        <v>4</v>
      </c>
      <c r="S248">
        <v>5</v>
      </c>
      <c r="T248">
        <v>3</v>
      </c>
      <c r="U248" t="s">
        <v>45</v>
      </c>
      <c r="V248">
        <v>9</v>
      </c>
      <c r="W248" t="s">
        <v>47</v>
      </c>
      <c r="X248">
        <v>1</v>
      </c>
      <c r="Y248">
        <v>8</v>
      </c>
      <c r="Z248">
        <v>6</v>
      </c>
    </row>
    <row r="249" spans="1:26">
      <c r="A249">
        <v>599740</v>
      </c>
      <c r="B249">
        <v>598410</v>
      </c>
      <c r="C249">
        <v>598960</v>
      </c>
      <c r="D249">
        <v>598580</v>
      </c>
      <c r="E249">
        <v>599180</v>
      </c>
      <c r="F249">
        <v>600180</v>
      </c>
      <c r="G249">
        <v>598230</v>
      </c>
      <c r="H249">
        <v>600360</v>
      </c>
      <c r="I249">
        <v>599400</v>
      </c>
      <c r="J249">
        <v>599610</v>
      </c>
      <c r="K249">
        <v>598770</v>
      </c>
      <c r="L249">
        <v>599910</v>
      </c>
      <c r="O249">
        <v>7</v>
      </c>
      <c r="P249">
        <v>2</v>
      </c>
      <c r="Q249">
        <v>4</v>
      </c>
      <c r="R249" t="s">
        <v>46</v>
      </c>
      <c r="S249">
        <v>3</v>
      </c>
      <c r="T249">
        <v>5</v>
      </c>
      <c r="U249">
        <v>9</v>
      </c>
      <c r="V249" t="s">
        <v>45</v>
      </c>
      <c r="W249">
        <v>1</v>
      </c>
      <c r="X249" t="s">
        <v>47</v>
      </c>
      <c r="Y249">
        <v>6</v>
      </c>
      <c r="Z249">
        <v>8</v>
      </c>
    </row>
    <row r="250" spans="1:26">
      <c r="A250">
        <v>601870</v>
      </c>
      <c r="B250">
        <v>600550</v>
      </c>
      <c r="C250">
        <v>601480</v>
      </c>
      <c r="D250">
        <v>601040</v>
      </c>
      <c r="E250">
        <v>601280</v>
      </c>
      <c r="F250">
        <v>602290</v>
      </c>
      <c r="G250">
        <v>600720</v>
      </c>
      <c r="H250">
        <v>602510</v>
      </c>
      <c r="I250">
        <v>601670</v>
      </c>
      <c r="J250">
        <v>602060</v>
      </c>
      <c r="K250">
        <v>600890</v>
      </c>
      <c r="L250">
        <v>602280</v>
      </c>
      <c r="O250">
        <v>2</v>
      </c>
      <c r="P250">
        <v>7</v>
      </c>
      <c r="Q250" t="s">
        <v>46</v>
      </c>
      <c r="R250">
        <v>4</v>
      </c>
      <c r="S250">
        <v>5</v>
      </c>
      <c r="T250">
        <v>3</v>
      </c>
      <c r="U250">
        <v>9</v>
      </c>
      <c r="V250">
        <v>1</v>
      </c>
      <c r="W250" t="s">
        <v>45</v>
      </c>
      <c r="X250" t="s">
        <v>47</v>
      </c>
      <c r="Y250">
        <v>6</v>
      </c>
      <c r="Z250">
        <v>8</v>
      </c>
    </row>
    <row r="251" spans="1:26">
      <c r="A251">
        <v>604150</v>
      </c>
      <c r="B251">
        <v>603270</v>
      </c>
      <c r="C251">
        <v>603770</v>
      </c>
      <c r="D251">
        <v>603450</v>
      </c>
      <c r="E251">
        <v>603980</v>
      </c>
      <c r="F251">
        <v>604540</v>
      </c>
      <c r="G251">
        <v>603030</v>
      </c>
      <c r="H251">
        <v>604900</v>
      </c>
      <c r="I251">
        <v>604310</v>
      </c>
      <c r="J251">
        <v>604690</v>
      </c>
      <c r="K251">
        <v>603600</v>
      </c>
      <c r="L251">
        <v>604550</v>
      </c>
      <c r="O251">
        <v>7</v>
      </c>
      <c r="P251">
        <v>2</v>
      </c>
      <c r="Q251">
        <v>4</v>
      </c>
      <c r="R251" t="s">
        <v>46</v>
      </c>
      <c r="S251">
        <v>3</v>
      </c>
      <c r="T251">
        <v>5</v>
      </c>
      <c r="U251">
        <v>1</v>
      </c>
      <c r="V251">
        <v>9</v>
      </c>
      <c r="W251">
        <v>6</v>
      </c>
      <c r="X251" t="s">
        <v>47</v>
      </c>
      <c r="Y251" t="s">
        <v>45</v>
      </c>
      <c r="Z251">
        <v>8</v>
      </c>
    </row>
    <row r="252" spans="1:26">
      <c r="A252">
        <v>606610</v>
      </c>
      <c r="B252">
        <v>605740</v>
      </c>
      <c r="C252">
        <v>605920</v>
      </c>
      <c r="D252">
        <v>605530</v>
      </c>
      <c r="E252">
        <v>606210</v>
      </c>
      <c r="F252">
        <v>607100</v>
      </c>
      <c r="G252">
        <v>605310</v>
      </c>
      <c r="H252">
        <v>607410</v>
      </c>
      <c r="I252">
        <v>606410</v>
      </c>
      <c r="J252">
        <v>606990</v>
      </c>
      <c r="K252">
        <v>606080</v>
      </c>
      <c r="L252">
        <v>606790</v>
      </c>
      <c r="O252">
        <v>7</v>
      </c>
      <c r="P252">
        <v>4</v>
      </c>
      <c r="Q252">
        <v>2</v>
      </c>
      <c r="R252">
        <v>3</v>
      </c>
      <c r="S252" t="s">
        <v>46</v>
      </c>
      <c r="T252">
        <v>5</v>
      </c>
      <c r="U252">
        <v>9</v>
      </c>
      <c r="V252">
        <v>1</v>
      </c>
      <c r="W252" t="s">
        <v>47</v>
      </c>
      <c r="X252" t="s">
        <v>45</v>
      </c>
      <c r="Y252">
        <v>6</v>
      </c>
      <c r="Z252">
        <v>8</v>
      </c>
    </row>
    <row r="253" spans="1:26">
      <c r="A253">
        <v>608950</v>
      </c>
      <c r="B253">
        <v>608340</v>
      </c>
      <c r="C253">
        <v>608170</v>
      </c>
      <c r="D253">
        <v>607720</v>
      </c>
      <c r="E253">
        <v>608560</v>
      </c>
      <c r="F253">
        <v>609330</v>
      </c>
      <c r="G253">
        <v>607920</v>
      </c>
      <c r="H253">
        <v>609710</v>
      </c>
      <c r="I253">
        <v>609080</v>
      </c>
      <c r="J253">
        <v>609830</v>
      </c>
      <c r="K253">
        <v>608760</v>
      </c>
      <c r="L253">
        <v>609520</v>
      </c>
      <c r="O253">
        <v>4</v>
      </c>
      <c r="P253">
        <v>7</v>
      </c>
      <c r="Q253">
        <v>3</v>
      </c>
      <c r="R253">
        <v>2</v>
      </c>
      <c r="S253">
        <v>5</v>
      </c>
      <c r="T253" t="s">
        <v>46</v>
      </c>
      <c r="U253">
        <v>1</v>
      </c>
      <c r="V253">
        <v>9</v>
      </c>
      <c r="W253">
        <v>6</v>
      </c>
      <c r="X253" t="s">
        <v>47</v>
      </c>
      <c r="Y253">
        <v>8</v>
      </c>
      <c r="Z253" t="s">
        <v>45</v>
      </c>
    </row>
    <row r="254" spans="1:26">
      <c r="A254">
        <v>611030</v>
      </c>
      <c r="B254">
        <v>610440</v>
      </c>
      <c r="C254">
        <v>610640</v>
      </c>
      <c r="D254">
        <v>610220</v>
      </c>
      <c r="E254">
        <v>610810</v>
      </c>
      <c r="F254">
        <v>611600</v>
      </c>
      <c r="G254">
        <v>610080</v>
      </c>
      <c r="H254">
        <v>612250</v>
      </c>
      <c r="I254">
        <v>611390</v>
      </c>
      <c r="J254">
        <v>611890</v>
      </c>
      <c r="K254">
        <v>611260</v>
      </c>
      <c r="L254">
        <v>611640</v>
      </c>
      <c r="O254">
        <v>7</v>
      </c>
      <c r="P254">
        <v>4</v>
      </c>
      <c r="Q254">
        <v>2</v>
      </c>
      <c r="R254">
        <v>3</v>
      </c>
      <c r="S254">
        <v>5</v>
      </c>
      <c r="T254">
        <v>1</v>
      </c>
      <c r="U254" t="s">
        <v>46</v>
      </c>
      <c r="V254">
        <v>9</v>
      </c>
      <c r="W254">
        <v>6</v>
      </c>
      <c r="X254" t="s">
        <v>47</v>
      </c>
      <c r="Y254" t="s">
        <v>45</v>
      </c>
      <c r="Z254">
        <v>8</v>
      </c>
    </row>
    <row r="255" spans="1:26">
      <c r="A255">
        <v>613310</v>
      </c>
      <c r="B255">
        <v>613130</v>
      </c>
      <c r="C255">
        <v>612940</v>
      </c>
      <c r="D255">
        <v>612520</v>
      </c>
      <c r="E255">
        <v>613500</v>
      </c>
      <c r="F255">
        <v>614060</v>
      </c>
      <c r="G255">
        <v>612740</v>
      </c>
      <c r="H255">
        <v>614480</v>
      </c>
      <c r="I255">
        <v>613660</v>
      </c>
      <c r="J255">
        <v>614690</v>
      </c>
      <c r="K255">
        <v>613830</v>
      </c>
      <c r="L255">
        <v>614270</v>
      </c>
      <c r="O255">
        <v>4</v>
      </c>
      <c r="P255">
        <v>7</v>
      </c>
      <c r="Q255">
        <v>3</v>
      </c>
      <c r="R255">
        <v>2</v>
      </c>
      <c r="S255">
        <v>1</v>
      </c>
      <c r="T255">
        <v>5</v>
      </c>
      <c r="U255">
        <v>9</v>
      </c>
      <c r="V255" t="s">
        <v>46</v>
      </c>
      <c r="W255">
        <v>6</v>
      </c>
      <c r="X255" t="s">
        <v>47</v>
      </c>
      <c r="Y255">
        <v>8</v>
      </c>
      <c r="Z255" t="s">
        <v>45</v>
      </c>
    </row>
    <row r="256" spans="1:26">
      <c r="A256">
        <v>615790</v>
      </c>
      <c r="B256">
        <v>615420</v>
      </c>
      <c r="C256">
        <v>615010</v>
      </c>
      <c r="D256">
        <v>614800</v>
      </c>
      <c r="E256">
        <v>615600</v>
      </c>
      <c r="F256">
        <v>616200</v>
      </c>
      <c r="G256">
        <v>615190</v>
      </c>
      <c r="H256">
        <v>616540</v>
      </c>
      <c r="I256">
        <v>615950</v>
      </c>
      <c r="J256">
        <v>617000</v>
      </c>
      <c r="K256">
        <v>616350</v>
      </c>
      <c r="L256">
        <v>616740</v>
      </c>
      <c r="O256">
        <v>4</v>
      </c>
      <c r="P256">
        <v>3</v>
      </c>
      <c r="Q256">
        <v>7</v>
      </c>
      <c r="R256">
        <v>2</v>
      </c>
      <c r="S256">
        <v>5</v>
      </c>
      <c r="T256">
        <v>1</v>
      </c>
      <c r="U256">
        <v>9</v>
      </c>
      <c r="V256">
        <v>6</v>
      </c>
      <c r="W256" t="s">
        <v>46</v>
      </c>
      <c r="X256">
        <v>8</v>
      </c>
      <c r="Y256" t="s">
        <v>47</v>
      </c>
      <c r="Z256" t="s">
        <v>45</v>
      </c>
    </row>
    <row r="257" spans="1:26">
      <c r="A257">
        <v>618120</v>
      </c>
      <c r="B257">
        <v>617760</v>
      </c>
      <c r="C257">
        <v>617350</v>
      </c>
      <c r="D257">
        <v>617550</v>
      </c>
      <c r="E257">
        <v>618290</v>
      </c>
      <c r="F257">
        <v>618490</v>
      </c>
      <c r="G257">
        <v>617930</v>
      </c>
      <c r="H257">
        <v>618800</v>
      </c>
      <c r="I257">
        <v>618650</v>
      </c>
      <c r="J257">
        <v>619240</v>
      </c>
      <c r="K257">
        <v>619030</v>
      </c>
      <c r="L257">
        <v>619420</v>
      </c>
      <c r="O257">
        <v>3</v>
      </c>
      <c r="P257">
        <v>4</v>
      </c>
      <c r="Q257">
        <v>2</v>
      </c>
      <c r="R257">
        <v>7</v>
      </c>
      <c r="S257">
        <v>1</v>
      </c>
      <c r="T257">
        <v>5</v>
      </c>
      <c r="U257">
        <v>6</v>
      </c>
      <c r="V257">
        <v>9</v>
      </c>
      <c r="W257">
        <v>8</v>
      </c>
      <c r="X257" t="s">
        <v>46</v>
      </c>
      <c r="Y257" t="s">
        <v>45</v>
      </c>
      <c r="Z257" t="s">
        <v>47</v>
      </c>
    </row>
    <row r="258" spans="1:26">
      <c r="A258">
        <v>620230</v>
      </c>
      <c r="B258">
        <v>620020</v>
      </c>
      <c r="C258">
        <v>619810</v>
      </c>
      <c r="D258">
        <v>619620</v>
      </c>
      <c r="E258">
        <v>620550</v>
      </c>
      <c r="F258">
        <v>620910</v>
      </c>
      <c r="G258">
        <v>620380</v>
      </c>
      <c r="H258">
        <v>621340</v>
      </c>
      <c r="I258">
        <v>620740</v>
      </c>
      <c r="J258">
        <v>621730</v>
      </c>
      <c r="K258">
        <v>621150</v>
      </c>
      <c r="L258">
        <v>621530</v>
      </c>
      <c r="O258">
        <v>4</v>
      </c>
      <c r="P258">
        <v>3</v>
      </c>
      <c r="Q258">
        <v>2</v>
      </c>
      <c r="R258">
        <v>1</v>
      </c>
      <c r="S258">
        <v>7</v>
      </c>
      <c r="T258">
        <v>5</v>
      </c>
      <c r="U258">
        <v>9</v>
      </c>
      <c r="V258">
        <v>6</v>
      </c>
      <c r="W258" t="s">
        <v>46</v>
      </c>
      <c r="X258">
        <v>8</v>
      </c>
      <c r="Y258" t="s">
        <v>47</v>
      </c>
      <c r="Z258" t="s">
        <v>45</v>
      </c>
    </row>
    <row r="259" spans="1:26">
      <c r="A259">
        <v>622530</v>
      </c>
      <c r="B259">
        <v>622700</v>
      </c>
      <c r="C259">
        <v>622100</v>
      </c>
      <c r="D259">
        <v>622340</v>
      </c>
      <c r="E259">
        <v>622860</v>
      </c>
      <c r="F259">
        <v>623320</v>
      </c>
      <c r="G259">
        <v>623070</v>
      </c>
      <c r="H259">
        <v>623630</v>
      </c>
      <c r="I259">
        <v>623440</v>
      </c>
      <c r="J259">
        <v>624020</v>
      </c>
      <c r="K259">
        <v>623820</v>
      </c>
      <c r="L259">
        <v>624240</v>
      </c>
      <c r="O259">
        <v>3</v>
      </c>
      <c r="P259">
        <v>4</v>
      </c>
      <c r="Q259">
        <v>1</v>
      </c>
      <c r="R259">
        <v>2</v>
      </c>
      <c r="S259">
        <v>5</v>
      </c>
      <c r="T259">
        <v>7</v>
      </c>
      <c r="U259">
        <v>6</v>
      </c>
      <c r="V259">
        <v>9</v>
      </c>
      <c r="W259">
        <v>8</v>
      </c>
      <c r="X259" t="s">
        <v>46</v>
      </c>
      <c r="Y259" t="s">
        <v>45</v>
      </c>
      <c r="Z259" t="s">
        <v>47</v>
      </c>
    </row>
    <row r="260" spans="1:26">
      <c r="A260">
        <v>625010</v>
      </c>
      <c r="B260">
        <v>624790</v>
      </c>
      <c r="C260">
        <v>624400</v>
      </c>
      <c r="D260">
        <v>624570</v>
      </c>
      <c r="E260">
        <v>625180</v>
      </c>
      <c r="F260">
        <v>625420</v>
      </c>
      <c r="G260">
        <v>625610</v>
      </c>
      <c r="H260">
        <v>625800</v>
      </c>
      <c r="I260">
        <v>625980</v>
      </c>
      <c r="J260">
        <v>626150</v>
      </c>
      <c r="K260">
        <v>626350</v>
      </c>
      <c r="L260">
        <v>626580</v>
      </c>
      <c r="O260">
        <v>3</v>
      </c>
      <c r="P260">
        <v>4</v>
      </c>
      <c r="Q260">
        <v>2</v>
      </c>
      <c r="R260">
        <v>1</v>
      </c>
      <c r="S260">
        <v>5</v>
      </c>
      <c r="T260">
        <v>6</v>
      </c>
      <c r="U260">
        <v>7</v>
      </c>
      <c r="V260">
        <v>8</v>
      </c>
      <c r="W260">
        <v>9</v>
      </c>
      <c r="X260" t="s">
        <v>45</v>
      </c>
      <c r="Y260" t="s">
        <v>46</v>
      </c>
      <c r="Z260" t="s">
        <v>47</v>
      </c>
    </row>
    <row r="261" spans="1:26">
      <c r="A261">
        <v>627340</v>
      </c>
      <c r="B261">
        <v>627500</v>
      </c>
      <c r="C261">
        <v>627140</v>
      </c>
      <c r="D261">
        <v>627010</v>
      </c>
      <c r="E261">
        <v>627880</v>
      </c>
      <c r="F261">
        <v>627710</v>
      </c>
      <c r="G261">
        <v>628280</v>
      </c>
      <c r="H261">
        <v>628060</v>
      </c>
      <c r="I261">
        <v>628650</v>
      </c>
      <c r="J261">
        <v>628470</v>
      </c>
      <c r="K261">
        <v>629040</v>
      </c>
      <c r="L261">
        <v>628860</v>
      </c>
      <c r="O261">
        <v>4</v>
      </c>
      <c r="P261">
        <v>3</v>
      </c>
      <c r="Q261">
        <v>1</v>
      </c>
      <c r="R261">
        <v>2</v>
      </c>
      <c r="S261">
        <v>6</v>
      </c>
      <c r="T261">
        <v>5</v>
      </c>
      <c r="U261">
        <v>8</v>
      </c>
      <c r="V261">
        <v>7</v>
      </c>
      <c r="W261" t="s">
        <v>45</v>
      </c>
      <c r="X261">
        <v>9</v>
      </c>
      <c r="Y261" t="s">
        <v>47</v>
      </c>
      <c r="Z261" t="s">
        <v>46</v>
      </c>
    </row>
    <row r="262" spans="1:26">
      <c r="A262">
        <v>629450</v>
      </c>
      <c r="B262">
        <v>629780</v>
      </c>
      <c r="C262">
        <v>629610</v>
      </c>
      <c r="D262">
        <v>629230</v>
      </c>
      <c r="E262">
        <v>629960</v>
      </c>
      <c r="F262">
        <v>630200</v>
      </c>
      <c r="G262">
        <v>630390</v>
      </c>
      <c r="H262">
        <v>630610</v>
      </c>
      <c r="I262">
        <v>630770</v>
      </c>
      <c r="J262">
        <v>630970</v>
      </c>
      <c r="K262">
        <v>631160</v>
      </c>
      <c r="L262">
        <v>631370</v>
      </c>
      <c r="O262">
        <v>4</v>
      </c>
      <c r="P262">
        <v>1</v>
      </c>
      <c r="Q262">
        <v>3</v>
      </c>
      <c r="R262">
        <v>2</v>
      </c>
      <c r="S262">
        <v>5</v>
      </c>
      <c r="T262">
        <v>6</v>
      </c>
      <c r="U262">
        <v>7</v>
      </c>
      <c r="V262">
        <v>8</v>
      </c>
      <c r="W262">
        <v>9</v>
      </c>
      <c r="X262" t="s">
        <v>45</v>
      </c>
      <c r="Y262" t="s">
        <v>46</v>
      </c>
      <c r="Z262" t="s">
        <v>47</v>
      </c>
    </row>
    <row r="263" spans="1:26">
      <c r="A263">
        <v>631760</v>
      </c>
      <c r="B263">
        <v>632170</v>
      </c>
      <c r="C263">
        <v>632340</v>
      </c>
      <c r="D263">
        <v>631980</v>
      </c>
      <c r="E263">
        <v>632720</v>
      </c>
      <c r="F263">
        <v>632520</v>
      </c>
      <c r="G263">
        <v>633120</v>
      </c>
      <c r="H263">
        <v>632890</v>
      </c>
      <c r="I263">
        <v>633480</v>
      </c>
      <c r="J263">
        <v>633280</v>
      </c>
      <c r="K263">
        <v>633830</v>
      </c>
      <c r="L263">
        <v>633630</v>
      </c>
      <c r="O263">
        <v>1</v>
      </c>
      <c r="P263">
        <v>4</v>
      </c>
      <c r="Q263">
        <v>2</v>
      </c>
      <c r="R263">
        <v>3</v>
      </c>
      <c r="S263">
        <v>6</v>
      </c>
      <c r="T263">
        <v>5</v>
      </c>
      <c r="U263">
        <v>8</v>
      </c>
      <c r="V263">
        <v>7</v>
      </c>
      <c r="W263" t="s">
        <v>45</v>
      </c>
      <c r="X263">
        <v>9</v>
      </c>
      <c r="Y263" t="s">
        <v>47</v>
      </c>
      <c r="Z263" t="s">
        <v>46</v>
      </c>
    </row>
    <row r="264" spans="1:26">
      <c r="A264">
        <v>634250</v>
      </c>
      <c r="B264">
        <v>634470</v>
      </c>
      <c r="C264">
        <v>634860</v>
      </c>
      <c r="D264">
        <v>634030</v>
      </c>
      <c r="E264">
        <v>635190</v>
      </c>
      <c r="F264">
        <v>634670</v>
      </c>
      <c r="G264">
        <v>635570</v>
      </c>
      <c r="H264">
        <v>635050</v>
      </c>
      <c r="I264">
        <v>635970</v>
      </c>
      <c r="J264">
        <v>635350</v>
      </c>
      <c r="K264">
        <v>636170</v>
      </c>
      <c r="L264">
        <v>635770</v>
      </c>
      <c r="O264">
        <v>4</v>
      </c>
      <c r="P264">
        <v>1</v>
      </c>
      <c r="Q264">
        <v>2</v>
      </c>
      <c r="R264">
        <v>6</v>
      </c>
      <c r="S264">
        <v>3</v>
      </c>
      <c r="T264">
        <v>8</v>
      </c>
      <c r="U264">
        <v>5</v>
      </c>
      <c r="V264" t="s">
        <v>45</v>
      </c>
      <c r="W264">
        <v>7</v>
      </c>
      <c r="X264" t="s">
        <v>47</v>
      </c>
      <c r="Y264">
        <v>9</v>
      </c>
      <c r="Z264" t="s">
        <v>46</v>
      </c>
    </row>
    <row r="265" spans="1:26">
      <c r="A265">
        <v>636560</v>
      </c>
      <c r="B265">
        <v>637170</v>
      </c>
      <c r="C265">
        <v>637520</v>
      </c>
      <c r="D265">
        <v>636740</v>
      </c>
      <c r="E265">
        <v>637920</v>
      </c>
      <c r="F265">
        <v>636970</v>
      </c>
      <c r="G265">
        <v>638270</v>
      </c>
      <c r="H265">
        <v>637340</v>
      </c>
      <c r="I265">
        <v>638640</v>
      </c>
      <c r="J265">
        <v>637750</v>
      </c>
      <c r="K265">
        <v>638450</v>
      </c>
      <c r="L265">
        <v>638110</v>
      </c>
      <c r="O265">
        <v>1</v>
      </c>
      <c r="P265">
        <v>4</v>
      </c>
      <c r="Q265">
        <v>6</v>
      </c>
      <c r="R265">
        <v>2</v>
      </c>
      <c r="S265">
        <v>8</v>
      </c>
      <c r="T265">
        <v>3</v>
      </c>
      <c r="U265" t="s">
        <v>45</v>
      </c>
      <c r="V265">
        <v>5</v>
      </c>
      <c r="W265" t="s">
        <v>47</v>
      </c>
      <c r="X265">
        <v>7</v>
      </c>
      <c r="Y265" t="s">
        <v>46</v>
      </c>
      <c r="Z265">
        <v>9</v>
      </c>
    </row>
    <row r="266" spans="1:26">
      <c r="A266">
        <v>638870</v>
      </c>
      <c r="B266">
        <v>639280</v>
      </c>
      <c r="C266">
        <v>639640</v>
      </c>
      <c r="D266">
        <v>639040</v>
      </c>
      <c r="E266">
        <v>640010</v>
      </c>
      <c r="F266">
        <v>639480</v>
      </c>
      <c r="G266">
        <v>640400</v>
      </c>
      <c r="H266">
        <v>639860</v>
      </c>
      <c r="I266">
        <v>640780</v>
      </c>
      <c r="J266">
        <v>640210</v>
      </c>
      <c r="K266">
        <v>640970</v>
      </c>
      <c r="L266">
        <v>640580</v>
      </c>
      <c r="O266">
        <v>1</v>
      </c>
      <c r="P266">
        <v>4</v>
      </c>
      <c r="Q266">
        <v>2</v>
      </c>
      <c r="R266">
        <v>6</v>
      </c>
      <c r="S266">
        <v>3</v>
      </c>
      <c r="T266">
        <v>8</v>
      </c>
      <c r="U266">
        <v>5</v>
      </c>
      <c r="V266" t="s">
        <v>45</v>
      </c>
      <c r="W266">
        <v>7</v>
      </c>
      <c r="X266" t="s">
        <v>47</v>
      </c>
      <c r="Y266">
        <v>9</v>
      </c>
      <c r="Z266" t="s">
        <v>46</v>
      </c>
    </row>
    <row r="267" spans="1:26">
      <c r="A267">
        <v>641580</v>
      </c>
      <c r="B267">
        <v>641960</v>
      </c>
      <c r="C267">
        <v>642340</v>
      </c>
      <c r="D267">
        <v>641390</v>
      </c>
      <c r="E267">
        <v>642730</v>
      </c>
      <c r="F267">
        <v>641740</v>
      </c>
      <c r="G267">
        <v>643080</v>
      </c>
      <c r="H267">
        <v>642170</v>
      </c>
      <c r="I267">
        <v>643440</v>
      </c>
      <c r="J267">
        <v>642540</v>
      </c>
      <c r="K267">
        <v>643270</v>
      </c>
      <c r="L267">
        <v>642910</v>
      </c>
      <c r="O267">
        <v>4</v>
      </c>
      <c r="P267">
        <v>1</v>
      </c>
      <c r="Q267">
        <v>6</v>
      </c>
      <c r="R267">
        <v>2</v>
      </c>
      <c r="S267">
        <v>8</v>
      </c>
      <c r="T267">
        <v>3</v>
      </c>
      <c r="U267" t="s">
        <v>45</v>
      </c>
      <c r="V267">
        <v>5</v>
      </c>
      <c r="W267" t="s">
        <v>47</v>
      </c>
      <c r="X267">
        <v>7</v>
      </c>
      <c r="Y267" t="s">
        <v>46</v>
      </c>
      <c r="Z267">
        <v>9</v>
      </c>
    </row>
    <row r="268" spans="1:26">
      <c r="A268">
        <v>643660</v>
      </c>
      <c r="B268">
        <v>644470</v>
      </c>
      <c r="C268">
        <v>644850</v>
      </c>
      <c r="D268">
        <v>643830</v>
      </c>
      <c r="E268">
        <v>645190</v>
      </c>
      <c r="F268">
        <v>644040</v>
      </c>
      <c r="G268">
        <v>645580</v>
      </c>
      <c r="H268">
        <v>644280</v>
      </c>
      <c r="I268">
        <v>645820</v>
      </c>
      <c r="J268">
        <v>644650</v>
      </c>
      <c r="K268">
        <v>645420</v>
      </c>
      <c r="L268">
        <v>645020</v>
      </c>
      <c r="O268">
        <v>1</v>
      </c>
      <c r="P268">
        <v>4</v>
      </c>
      <c r="Q268">
        <v>6</v>
      </c>
      <c r="R268">
        <v>8</v>
      </c>
      <c r="S268">
        <v>2</v>
      </c>
      <c r="T268" t="s">
        <v>45</v>
      </c>
      <c r="U268">
        <v>3</v>
      </c>
      <c r="V268" t="s">
        <v>47</v>
      </c>
      <c r="W268">
        <v>5</v>
      </c>
      <c r="X268" t="s">
        <v>46</v>
      </c>
      <c r="Y268">
        <v>7</v>
      </c>
      <c r="Z268">
        <v>9</v>
      </c>
    </row>
    <row r="269" spans="1:26">
      <c r="A269">
        <v>646410</v>
      </c>
      <c r="B269">
        <v>647170</v>
      </c>
      <c r="C269">
        <v>647590</v>
      </c>
      <c r="D269">
        <v>646210</v>
      </c>
      <c r="E269">
        <v>647900</v>
      </c>
      <c r="F269">
        <v>646750</v>
      </c>
      <c r="G269">
        <v>648330</v>
      </c>
      <c r="H269">
        <v>646550</v>
      </c>
      <c r="I269">
        <v>648100</v>
      </c>
      <c r="J269">
        <v>646950</v>
      </c>
      <c r="K269">
        <v>647730</v>
      </c>
      <c r="L269">
        <v>647350</v>
      </c>
      <c r="O269">
        <v>4</v>
      </c>
      <c r="P269">
        <v>1</v>
      </c>
      <c r="Q269">
        <v>8</v>
      </c>
      <c r="R269">
        <v>6</v>
      </c>
      <c r="S269" t="s">
        <v>45</v>
      </c>
      <c r="T269">
        <v>2</v>
      </c>
      <c r="U269" t="s">
        <v>47</v>
      </c>
      <c r="V269">
        <v>3</v>
      </c>
      <c r="W269" t="s">
        <v>46</v>
      </c>
      <c r="X269">
        <v>5</v>
      </c>
      <c r="Y269">
        <v>9</v>
      </c>
      <c r="Z269">
        <v>7</v>
      </c>
    </row>
    <row r="270" spans="1:26">
      <c r="A270">
        <v>648930</v>
      </c>
      <c r="B270">
        <v>649290</v>
      </c>
      <c r="C270">
        <v>649650</v>
      </c>
      <c r="D270">
        <v>648500</v>
      </c>
      <c r="E270">
        <v>650020</v>
      </c>
      <c r="F270">
        <v>649080</v>
      </c>
      <c r="G270">
        <v>650460</v>
      </c>
      <c r="H270">
        <v>648720</v>
      </c>
      <c r="I270">
        <v>650650</v>
      </c>
      <c r="J270">
        <v>649450</v>
      </c>
      <c r="K270">
        <v>650220</v>
      </c>
      <c r="L270">
        <v>649850</v>
      </c>
      <c r="O270">
        <v>4</v>
      </c>
      <c r="P270">
        <v>8</v>
      </c>
      <c r="Q270">
        <v>1</v>
      </c>
      <c r="R270">
        <v>6</v>
      </c>
      <c r="S270">
        <v>2</v>
      </c>
      <c r="T270" t="s">
        <v>45</v>
      </c>
      <c r="U270">
        <v>3</v>
      </c>
      <c r="V270" t="s">
        <v>47</v>
      </c>
      <c r="W270">
        <v>5</v>
      </c>
      <c r="X270" t="s">
        <v>46</v>
      </c>
      <c r="Y270">
        <v>7</v>
      </c>
      <c r="Z270">
        <v>9</v>
      </c>
    </row>
    <row r="271" spans="1:26">
      <c r="A271">
        <v>651590</v>
      </c>
      <c r="B271">
        <v>652000</v>
      </c>
      <c r="C271">
        <v>652390</v>
      </c>
      <c r="D271">
        <v>651240</v>
      </c>
      <c r="E271">
        <v>652710</v>
      </c>
      <c r="F271">
        <v>651420</v>
      </c>
      <c r="G271">
        <v>653120</v>
      </c>
      <c r="H271">
        <v>651020</v>
      </c>
      <c r="I271">
        <v>652920</v>
      </c>
      <c r="J271">
        <v>651780</v>
      </c>
      <c r="K271">
        <v>652540</v>
      </c>
      <c r="L271">
        <v>652170</v>
      </c>
      <c r="O271">
        <v>8</v>
      </c>
      <c r="P271">
        <v>4</v>
      </c>
      <c r="Q271">
        <v>6</v>
      </c>
      <c r="R271">
        <v>1</v>
      </c>
      <c r="S271" t="s">
        <v>45</v>
      </c>
      <c r="T271">
        <v>2</v>
      </c>
      <c r="U271" t="s">
        <v>47</v>
      </c>
      <c r="V271">
        <v>3</v>
      </c>
      <c r="W271" t="s">
        <v>46</v>
      </c>
      <c r="X271">
        <v>5</v>
      </c>
      <c r="Y271">
        <v>9</v>
      </c>
      <c r="Z271">
        <v>7</v>
      </c>
    </row>
    <row r="272" spans="1:26">
      <c r="A272">
        <v>653720</v>
      </c>
      <c r="B272">
        <v>654500</v>
      </c>
      <c r="C272">
        <v>654850</v>
      </c>
      <c r="D272">
        <v>653500</v>
      </c>
      <c r="E272">
        <v>655230</v>
      </c>
      <c r="F272">
        <v>653910</v>
      </c>
      <c r="G272">
        <v>655470</v>
      </c>
      <c r="H272">
        <v>653330</v>
      </c>
      <c r="I272">
        <v>655060</v>
      </c>
      <c r="J272">
        <v>654110</v>
      </c>
      <c r="K272">
        <v>654680</v>
      </c>
      <c r="L272">
        <v>654310</v>
      </c>
      <c r="O272">
        <v>8</v>
      </c>
      <c r="P272">
        <v>4</v>
      </c>
      <c r="Q272">
        <v>1</v>
      </c>
      <c r="R272">
        <v>6</v>
      </c>
      <c r="S272" t="s">
        <v>45</v>
      </c>
      <c r="T272" t="s">
        <v>47</v>
      </c>
      <c r="U272">
        <v>2</v>
      </c>
      <c r="V272" t="s">
        <v>46</v>
      </c>
      <c r="W272">
        <v>3</v>
      </c>
      <c r="X272">
        <v>9</v>
      </c>
      <c r="Y272">
        <v>5</v>
      </c>
      <c r="Z272">
        <v>7</v>
      </c>
    </row>
    <row r="273" spans="1:26">
      <c r="A273">
        <v>656410</v>
      </c>
      <c r="B273">
        <v>657180</v>
      </c>
      <c r="C273">
        <v>657560</v>
      </c>
      <c r="D273">
        <v>655850</v>
      </c>
      <c r="E273">
        <v>657980</v>
      </c>
      <c r="F273">
        <v>656250</v>
      </c>
      <c r="G273">
        <v>657800</v>
      </c>
      <c r="H273">
        <v>656010</v>
      </c>
      <c r="I273">
        <v>657380</v>
      </c>
      <c r="J273">
        <v>656830</v>
      </c>
      <c r="K273">
        <v>656970</v>
      </c>
      <c r="L273">
        <v>656620</v>
      </c>
      <c r="O273">
        <v>4</v>
      </c>
      <c r="P273">
        <v>8</v>
      </c>
      <c r="Q273">
        <v>6</v>
      </c>
      <c r="R273">
        <v>1</v>
      </c>
      <c r="S273" t="s">
        <v>47</v>
      </c>
      <c r="T273" t="s">
        <v>45</v>
      </c>
      <c r="U273" t="s">
        <v>46</v>
      </c>
      <c r="V273">
        <v>2</v>
      </c>
      <c r="W273">
        <v>9</v>
      </c>
      <c r="X273">
        <v>3</v>
      </c>
      <c r="Y273">
        <v>7</v>
      </c>
      <c r="Z273">
        <v>5</v>
      </c>
    </row>
    <row r="274" spans="1:26">
      <c r="A274">
        <v>658960</v>
      </c>
      <c r="B274">
        <v>659340</v>
      </c>
      <c r="C274">
        <v>659680</v>
      </c>
      <c r="D274">
        <v>658370</v>
      </c>
      <c r="E274">
        <v>660060</v>
      </c>
      <c r="F274">
        <v>658570</v>
      </c>
      <c r="G274">
        <v>660300</v>
      </c>
      <c r="H274">
        <v>658150</v>
      </c>
      <c r="I274">
        <v>659880</v>
      </c>
      <c r="J274">
        <v>659130</v>
      </c>
      <c r="K274">
        <v>659480</v>
      </c>
      <c r="L274">
        <v>658770</v>
      </c>
      <c r="O274">
        <v>8</v>
      </c>
      <c r="P274">
        <v>4</v>
      </c>
      <c r="Q274">
        <v>6</v>
      </c>
      <c r="R274" t="s">
        <v>47</v>
      </c>
      <c r="S274">
        <v>1</v>
      </c>
      <c r="T274" t="s">
        <v>45</v>
      </c>
      <c r="U274">
        <v>2</v>
      </c>
      <c r="V274" t="s">
        <v>46</v>
      </c>
      <c r="W274">
        <v>3</v>
      </c>
      <c r="X274">
        <v>9</v>
      </c>
      <c r="Y274">
        <v>5</v>
      </c>
      <c r="Z274">
        <v>7</v>
      </c>
    </row>
    <row r="275" spans="1:26">
      <c r="A275">
        <v>661660</v>
      </c>
      <c r="B275">
        <v>662050</v>
      </c>
      <c r="C275">
        <v>662380</v>
      </c>
      <c r="D275">
        <v>660700</v>
      </c>
      <c r="E275">
        <v>662790</v>
      </c>
      <c r="F275">
        <v>661280</v>
      </c>
      <c r="G275">
        <v>662620</v>
      </c>
      <c r="H275">
        <v>660870</v>
      </c>
      <c r="I275">
        <v>662240</v>
      </c>
      <c r="J275">
        <v>661470</v>
      </c>
      <c r="K275">
        <v>661820</v>
      </c>
      <c r="L275">
        <v>661090</v>
      </c>
      <c r="O275">
        <v>4</v>
      </c>
      <c r="P275">
        <v>8</v>
      </c>
      <c r="Q275" t="s">
        <v>47</v>
      </c>
      <c r="R275">
        <v>6</v>
      </c>
      <c r="S275" t="s">
        <v>45</v>
      </c>
      <c r="T275">
        <v>1</v>
      </c>
      <c r="U275" t="s">
        <v>46</v>
      </c>
      <c r="V275">
        <v>2</v>
      </c>
      <c r="W275">
        <v>9</v>
      </c>
      <c r="X275">
        <v>3</v>
      </c>
      <c r="Y275">
        <v>7</v>
      </c>
      <c r="Z275">
        <v>5</v>
      </c>
    </row>
    <row r="276" spans="1:26">
      <c r="A276">
        <v>663800</v>
      </c>
      <c r="B276">
        <v>664560</v>
      </c>
      <c r="C276">
        <v>664920</v>
      </c>
      <c r="D276">
        <v>662960</v>
      </c>
      <c r="E276">
        <v>665130</v>
      </c>
      <c r="F276">
        <v>663590</v>
      </c>
      <c r="G276">
        <v>664780</v>
      </c>
      <c r="H276">
        <v>663420</v>
      </c>
      <c r="I276">
        <v>664340</v>
      </c>
      <c r="J276">
        <v>663950</v>
      </c>
      <c r="K276">
        <v>664130</v>
      </c>
      <c r="L276">
        <v>663200</v>
      </c>
      <c r="O276">
        <v>4</v>
      </c>
      <c r="P276" t="s">
        <v>47</v>
      </c>
      <c r="Q276">
        <v>8</v>
      </c>
      <c r="R276">
        <v>6</v>
      </c>
      <c r="S276">
        <v>1</v>
      </c>
      <c r="T276" t="s">
        <v>45</v>
      </c>
      <c r="U276" t="s">
        <v>46</v>
      </c>
      <c r="V276">
        <v>9</v>
      </c>
      <c r="W276">
        <v>2</v>
      </c>
      <c r="X276">
        <v>7</v>
      </c>
      <c r="Y276">
        <v>3</v>
      </c>
      <c r="Z276">
        <v>5</v>
      </c>
    </row>
    <row r="277" spans="1:26">
      <c r="A277">
        <v>666520</v>
      </c>
      <c r="B277">
        <v>667230</v>
      </c>
      <c r="C277">
        <v>667590</v>
      </c>
      <c r="D277">
        <v>665700</v>
      </c>
      <c r="E277">
        <v>667430</v>
      </c>
      <c r="F277">
        <v>665910</v>
      </c>
      <c r="G277">
        <v>667000</v>
      </c>
      <c r="H277">
        <v>666150</v>
      </c>
      <c r="I277">
        <v>666640</v>
      </c>
      <c r="J277">
        <v>666360</v>
      </c>
      <c r="K277">
        <v>666840</v>
      </c>
      <c r="L277">
        <v>665550</v>
      </c>
      <c r="O277" t="s">
        <v>47</v>
      </c>
      <c r="P277">
        <v>4</v>
      </c>
      <c r="Q277">
        <v>6</v>
      </c>
      <c r="R277">
        <v>8</v>
      </c>
      <c r="S277" t="s">
        <v>45</v>
      </c>
      <c r="T277">
        <v>1</v>
      </c>
      <c r="U277">
        <v>9</v>
      </c>
      <c r="V277" t="s">
        <v>46</v>
      </c>
      <c r="W277">
        <v>7</v>
      </c>
      <c r="X277">
        <v>2</v>
      </c>
      <c r="Y277">
        <v>5</v>
      </c>
      <c r="Z277">
        <v>3</v>
      </c>
    </row>
    <row r="278" spans="1:26">
      <c r="A278">
        <v>669000</v>
      </c>
      <c r="B278">
        <v>669430</v>
      </c>
      <c r="C278">
        <v>669780</v>
      </c>
      <c r="D278">
        <v>667840</v>
      </c>
      <c r="E278">
        <v>669960</v>
      </c>
      <c r="F278">
        <v>668420</v>
      </c>
      <c r="G278">
        <v>669610</v>
      </c>
      <c r="H278">
        <v>668220</v>
      </c>
      <c r="I278">
        <v>668800</v>
      </c>
      <c r="J278">
        <v>668630</v>
      </c>
      <c r="K278">
        <v>669160</v>
      </c>
      <c r="L278">
        <v>668040</v>
      </c>
      <c r="O278">
        <v>4</v>
      </c>
      <c r="P278" t="s">
        <v>47</v>
      </c>
      <c r="Q278">
        <v>8</v>
      </c>
      <c r="R278">
        <v>6</v>
      </c>
      <c r="S278" t="s">
        <v>45</v>
      </c>
      <c r="T278">
        <v>9</v>
      </c>
      <c r="U278">
        <v>1</v>
      </c>
      <c r="V278" t="s">
        <v>46</v>
      </c>
      <c r="W278">
        <v>2</v>
      </c>
      <c r="X278">
        <v>7</v>
      </c>
      <c r="Y278">
        <v>3</v>
      </c>
      <c r="Z278">
        <v>5</v>
      </c>
    </row>
    <row r="279" spans="1:26">
      <c r="A279">
        <v>671710</v>
      </c>
      <c r="B279">
        <v>672070</v>
      </c>
      <c r="C279">
        <v>672480</v>
      </c>
      <c r="D279">
        <v>670520</v>
      </c>
      <c r="E279">
        <v>672260</v>
      </c>
      <c r="F279">
        <v>670710</v>
      </c>
      <c r="G279">
        <v>671890</v>
      </c>
      <c r="H279">
        <v>670930</v>
      </c>
      <c r="I279">
        <v>671090</v>
      </c>
      <c r="J279">
        <v>671340</v>
      </c>
      <c r="K279">
        <v>671520</v>
      </c>
      <c r="L279">
        <v>670380</v>
      </c>
      <c r="O279" t="s">
        <v>47</v>
      </c>
      <c r="P279">
        <v>4</v>
      </c>
      <c r="Q279">
        <v>6</v>
      </c>
      <c r="R279">
        <v>8</v>
      </c>
      <c r="S279">
        <v>9</v>
      </c>
      <c r="T279" t="s">
        <v>45</v>
      </c>
      <c r="U279" t="s">
        <v>46</v>
      </c>
      <c r="V279">
        <v>1</v>
      </c>
      <c r="W279">
        <v>7</v>
      </c>
      <c r="X279">
        <v>2</v>
      </c>
      <c r="Y279">
        <v>5</v>
      </c>
      <c r="Z279">
        <v>3</v>
      </c>
    </row>
    <row r="280" spans="1:26">
      <c r="A280">
        <v>673860</v>
      </c>
      <c r="B280">
        <v>674620</v>
      </c>
      <c r="C280">
        <v>674790</v>
      </c>
      <c r="D280">
        <v>673080</v>
      </c>
      <c r="E280">
        <v>674390</v>
      </c>
      <c r="F280">
        <v>672900</v>
      </c>
      <c r="G280">
        <v>674200</v>
      </c>
      <c r="H280">
        <v>673490</v>
      </c>
      <c r="I280">
        <v>673250</v>
      </c>
      <c r="J280">
        <v>673640</v>
      </c>
      <c r="K280">
        <v>673990</v>
      </c>
      <c r="L280">
        <v>672680</v>
      </c>
      <c r="O280" t="s">
        <v>47</v>
      </c>
      <c r="P280">
        <v>6</v>
      </c>
      <c r="Q280">
        <v>4</v>
      </c>
      <c r="R280">
        <v>9</v>
      </c>
      <c r="S280">
        <v>8</v>
      </c>
      <c r="T280" t="s">
        <v>45</v>
      </c>
      <c r="U280">
        <v>1</v>
      </c>
      <c r="V280" t="s">
        <v>46</v>
      </c>
      <c r="W280">
        <v>7</v>
      </c>
      <c r="X280">
        <v>5</v>
      </c>
      <c r="Y280">
        <v>2</v>
      </c>
      <c r="Z280">
        <v>3</v>
      </c>
    </row>
    <row r="281" spans="1:26">
      <c r="A281">
        <v>676570</v>
      </c>
      <c r="B281">
        <v>677300</v>
      </c>
      <c r="C281">
        <v>677090</v>
      </c>
      <c r="D281">
        <v>675710</v>
      </c>
      <c r="E281">
        <v>676750</v>
      </c>
      <c r="F281">
        <v>675210</v>
      </c>
      <c r="G281">
        <v>676940</v>
      </c>
      <c r="H281">
        <v>676150</v>
      </c>
      <c r="I281">
        <v>675560</v>
      </c>
      <c r="J281">
        <v>675900</v>
      </c>
      <c r="K281">
        <v>676350</v>
      </c>
      <c r="L281">
        <v>675400</v>
      </c>
      <c r="O281">
        <v>6</v>
      </c>
      <c r="P281" t="s">
        <v>47</v>
      </c>
      <c r="Q281">
        <v>9</v>
      </c>
      <c r="R281">
        <v>4</v>
      </c>
      <c r="S281" t="s">
        <v>45</v>
      </c>
      <c r="T281">
        <v>8</v>
      </c>
      <c r="U281" t="s">
        <v>46</v>
      </c>
      <c r="V281">
        <v>1</v>
      </c>
      <c r="W281">
        <v>5</v>
      </c>
      <c r="X281">
        <v>7</v>
      </c>
      <c r="Y281">
        <v>3</v>
      </c>
      <c r="Z281">
        <v>2</v>
      </c>
    </row>
    <row r="282" spans="1:26">
      <c r="A282">
        <v>679080</v>
      </c>
      <c r="B282">
        <v>679460</v>
      </c>
      <c r="C282">
        <v>679670</v>
      </c>
      <c r="D282">
        <v>677860</v>
      </c>
      <c r="E282">
        <v>678840</v>
      </c>
      <c r="F282">
        <v>677690</v>
      </c>
      <c r="G282">
        <v>679290</v>
      </c>
      <c r="H282">
        <v>678300</v>
      </c>
      <c r="I282">
        <v>678050</v>
      </c>
      <c r="J282">
        <v>678470</v>
      </c>
      <c r="K282">
        <v>678660</v>
      </c>
      <c r="L282">
        <v>677510</v>
      </c>
      <c r="O282" t="s">
        <v>47</v>
      </c>
      <c r="P282">
        <v>6</v>
      </c>
      <c r="Q282">
        <v>4</v>
      </c>
      <c r="R282">
        <v>9</v>
      </c>
      <c r="S282">
        <v>8</v>
      </c>
      <c r="T282" t="s">
        <v>45</v>
      </c>
      <c r="U282" t="s">
        <v>46</v>
      </c>
      <c r="V282">
        <v>5</v>
      </c>
      <c r="W282">
        <v>1</v>
      </c>
      <c r="X282">
        <v>7</v>
      </c>
      <c r="Y282">
        <v>2</v>
      </c>
      <c r="Z282">
        <v>3</v>
      </c>
    </row>
    <row r="283" spans="1:26">
      <c r="A283">
        <v>681750</v>
      </c>
      <c r="B283">
        <v>682160</v>
      </c>
      <c r="C283">
        <v>681980</v>
      </c>
      <c r="D283">
        <v>680560</v>
      </c>
      <c r="E283">
        <v>681160</v>
      </c>
      <c r="F283">
        <v>680050</v>
      </c>
      <c r="G283">
        <v>681550</v>
      </c>
      <c r="H283">
        <v>680970</v>
      </c>
      <c r="I283">
        <v>680400</v>
      </c>
      <c r="J283">
        <v>680800</v>
      </c>
      <c r="K283">
        <v>681350</v>
      </c>
      <c r="L283">
        <v>680260</v>
      </c>
      <c r="O283">
        <v>6</v>
      </c>
      <c r="P283" t="s">
        <v>47</v>
      </c>
      <c r="Q283">
        <v>9</v>
      </c>
      <c r="R283">
        <v>4</v>
      </c>
      <c r="S283" t="s">
        <v>45</v>
      </c>
      <c r="T283">
        <v>8</v>
      </c>
      <c r="U283">
        <v>5</v>
      </c>
      <c r="V283" t="s">
        <v>46</v>
      </c>
      <c r="W283">
        <v>7</v>
      </c>
      <c r="X283">
        <v>1</v>
      </c>
      <c r="Y283">
        <v>3</v>
      </c>
      <c r="Z283">
        <v>2</v>
      </c>
    </row>
    <row r="284" spans="1:26">
      <c r="A284">
        <v>683900</v>
      </c>
      <c r="B284">
        <v>684290</v>
      </c>
      <c r="C284">
        <v>684490</v>
      </c>
      <c r="D284">
        <v>683110</v>
      </c>
      <c r="E284">
        <v>683300</v>
      </c>
      <c r="F284">
        <v>682370</v>
      </c>
      <c r="G284">
        <v>684100</v>
      </c>
      <c r="H284">
        <v>683500</v>
      </c>
      <c r="I284">
        <v>682560</v>
      </c>
      <c r="J284">
        <v>682910</v>
      </c>
      <c r="K284">
        <v>683680</v>
      </c>
      <c r="L284">
        <v>682740</v>
      </c>
      <c r="O284">
        <v>6</v>
      </c>
      <c r="P284">
        <v>9</v>
      </c>
      <c r="Q284" t="s">
        <v>47</v>
      </c>
      <c r="R284" t="s">
        <v>45</v>
      </c>
      <c r="S284">
        <v>4</v>
      </c>
      <c r="T284">
        <v>5</v>
      </c>
      <c r="U284">
        <v>8</v>
      </c>
      <c r="V284" t="s">
        <v>46</v>
      </c>
      <c r="W284">
        <v>1</v>
      </c>
      <c r="X284">
        <v>7</v>
      </c>
      <c r="Y284">
        <v>2</v>
      </c>
      <c r="Z284">
        <v>3</v>
      </c>
    </row>
    <row r="285" spans="1:26">
      <c r="A285">
        <v>686600</v>
      </c>
      <c r="B285">
        <v>686970</v>
      </c>
      <c r="C285">
        <v>686790</v>
      </c>
      <c r="D285">
        <v>685800</v>
      </c>
      <c r="E285">
        <v>685630</v>
      </c>
      <c r="F285">
        <v>685060</v>
      </c>
      <c r="G285">
        <v>686370</v>
      </c>
      <c r="H285">
        <v>686190</v>
      </c>
      <c r="I285">
        <v>684860</v>
      </c>
      <c r="J285">
        <v>685230</v>
      </c>
      <c r="K285">
        <v>686020</v>
      </c>
      <c r="L285">
        <v>685490</v>
      </c>
      <c r="O285">
        <v>9</v>
      </c>
      <c r="P285">
        <v>6</v>
      </c>
      <c r="Q285" t="s">
        <v>45</v>
      </c>
      <c r="R285" t="s">
        <v>47</v>
      </c>
      <c r="S285">
        <v>5</v>
      </c>
      <c r="T285">
        <v>4</v>
      </c>
      <c r="U285" t="s">
        <v>46</v>
      </c>
      <c r="V285">
        <v>8</v>
      </c>
      <c r="W285">
        <v>7</v>
      </c>
      <c r="X285">
        <v>1</v>
      </c>
      <c r="Y285">
        <v>3</v>
      </c>
      <c r="Z285">
        <v>2</v>
      </c>
    </row>
    <row r="286" spans="1:26">
      <c r="A286">
        <v>689100</v>
      </c>
      <c r="B286">
        <v>689320</v>
      </c>
      <c r="C286">
        <v>688910</v>
      </c>
      <c r="D286">
        <v>687940</v>
      </c>
      <c r="E286">
        <v>688140</v>
      </c>
      <c r="F286">
        <v>687200</v>
      </c>
      <c r="G286">
        <v>688700</v>
      </c>
      <c r="H286">
        <v>688340</v>
      </c>
      <c r="I286">
        <v>687350</v>
      </c>
      <c r="J286">
        <v>687770</v>
      </c>
      <c r="K286">
        <v>688510</v>
      </c>
      <c r="L286">
        <v>687580</v>
      </c>
      <c r="O286">
        <v>6</v>
      </c>
      <c r="P286">
        <v>9</v>
      </c>
      <c r="Q286" t="s">
        <v>47</v>
      </c>
      <c r="R286" t="s">
        <v>45</v>
      </c>
      <c r="S286">
        <v>4</v>
      </c>
      <c r="T286">
        <v>5</v>
      </c>
      <c r="U286">
        <v>8</v>
      </c>
      <c r="V286" t="s">
        <v>46</v>
      </c>
      <c r="W286">
        <v>7</v>
      </c>
      <c r="X286">
        <v>3</v>
      </c>
      <c r="Y286">
        <v>1</v>
      </c>
      <c r="Z286">
        <v>2</v>
      </c>
    </row>
    <row r="287" spans="1:26">
      <c r="A287">
        <v>691820</v>
      </c>
      <c r="B287">
        <v>691590</v>
      </c>
      <c r="C287">
        <v>691210</v>
      </c>
      <c r="D287">
        <v>690730</v>
      </c>
      <c r="E287">
        <v>690460</v>
      </c>
      <c r="F287">
        <v>689880</v>
      </c>
      <c r="G287">
        <v>691410</v>
      </c>
      <c r="H287">
        <v>691030</v>
      </c>
      <c r="I287">
        <v>689640</v>
      </c>
      <c r="J287">
        <v>690070</v>
      </c>
      <c r="K287">
        <v>690840</v>
      </c>
      <c r="L287">
        <v>690310</v>
      </c>
      <c r="O287">
        <v>9</v>
      </c>
      <c r="P287">
        <v>6</v>
      </c>
      <c r="Q287" t="s">
        <v>45</v>
      </c>
      <c r="R287" t="s">
        <v>47</v>
      </c>
      <c r="S287">
        <v>5</v>
      </c>
      <c r="T287">
        <v>4</v>
      </c>
      <c r="U287" t="s">
        <v>46</v>
      </c>
      <c r="V287">
        <v>8</v>
      </c>
      <c r="W287">
        <v>3</v>
      </c>
      <c r="X287">
        <v>7</v>
      </c>
      <c r="Y287">
        <v>2</v>
      </c>
      <c r="Z287">
        <v>1</v>
      </c>
    </row>
    <row r="288" spans="1:26">
      <c r="A288">
        <v>693940</v>
      </c>
      <c r="B288">
        <v>694150</v>
      </c>
      <c r="C288">
        <v>693330</v>
      </c>
      <c r="D288">
        <v>693150</v>
      </c>
      <c r="E288">
        <v>692610</v>
      </c>
      <c r="F288">
        <v>692380</v>
      </c>
      <c r="G288">
        <v>693770</v>
      </c>
      <c r="H288">
        <v>693540</v>
      </c>
      <c r="I288">
        <v>691950</v>
      </c>
      <c r="J288">
        <v>692190</v>
      </c>
      <c r="K288">
        <v>692980</v>
      </c>
      <c r="L288">
        <v>692760</v>
      </c>
      <c r="O288">
        <v>9</v>
      </c>
      <c r="P288" t="s">
        <v>45</v>
      </c>
      <c r="Q288">
        <v>6</v>
      </c>
      <c r="R288">
        <v>5</v>
      </c>
      <c r="S288" t="s">
        <v>47</v>
      </c>
      <c r="T288" t="s">
        <v>46</v>
      </c>
      <c r="U288">
        <v>4</v>
      </c>
      <c r="V288">
        <v>3</v>
      </c>
      <c r="W288">
        <v>8</v>
      </c>
      <c r="X288">
        <v>7</v>
      </c>
      <c r="Y288">
        <v>1</v>
      </c>
      <c r="Z288">
        <v>2</v>
      </c>
    </row>
    <row r="289" spans="1:26">
      <c r="A289">
        <v>696670</v>
      </c>
      <c r="B289">
        <v>696480</v>
      </c>
      <c r="C289">
        <v>695680</v>
      </c>
      <c r="D289">
        <v>695910</v>
      </c>
      <c r="E289">
        <v>694940</v>
      </c>
      <c r="F289">
        <v>695150</v>
      </c>
      <c r="G289">
        <v>696090</v>
      </c>
      <c r="H289">
        <v>696250</v>
      </c>
      <c r="I289">
        <v>694700</v>
      </c>
      <c r="J289">
        <v>694520</v>
      </c>
      <c r="K289">
        <v>695240</v>
      </c>
      <c r="L289">
        <v>695480</v>
      </c>
      <c r="O289" t="s">
        <v>45</v>
      </c>
      <c r="P289">
        <v>9</v>
      </c>
      <c r="Q289">
        <v>5</v>
      </c>
      <c r="R289">
        <v>6</v>
      </c>
      <c r="S289" t="s">
        <v>46</v>
      </c>
      <c r="T289" t="s">
        <v>47</v>
      </c>
      <c r="U289">
        <v>3</v>
      </c>
      <c r="V289">
        <v>4</v>
      </c>
      <c r="W289">
        <v>7</v>
      </c>
      <c r="X289">
        <v>8</v>
      </c>
      <c r="Y289">
        <v>2</v>
      </c>
      <c r="Z289">
        <v>1</v>
      </c>
    </row>
    <row r="290" spans="1:26">
      <c r="A290">
        <v>699020</v>
      </c>
      <c r="B290">
        <v>698780</v>
      </c>
      <c r="C290">
        <v>698170</v>
      </c>
      <c r="D290">
        <v>697970</v>
      </c>
      <c r="E290">
        <v>697440</v>
      </c>
      <c r="F290">
        <v>697240</v>
      </c>
      <c r="G290">
        <v>698570</v>
      </c>
      <c r="H290">
        <v>698390</v>
      </c>
      <c r="I290">
        <v>696840</v>
      </c>
      <c r="J290">
        <v>697030</v>
      </c>
      <c r="K290">
        <v>697790</v>
      </c>
      <c r="L290">
        <v>697560</v>
      </c>
      <c r="O290">
        <v>9</v>
      </c>
      <c r="P290" t="s">
        <v>45</v>
      </c>
      <c r="Q290">
        <v>6</v>
      </c>
      <c r="R290">
        <v>5</v>
      </c>
      <c r="S290" t="s">
        <v>47</v>
      </c>
      <c r="T290" t="s">
        <v>46</v>
      </c>
      <c r="U290">
        <v>4</v>
      </c>
      <c r="V290">
        <v>3</v>
      </c>
      <c r="W290">
        <v>8</v>
      </c>
      <c r="X290">
        <v>7</v>
      </c>
      <c r="Y290">
        <v>2</v>
      </c>
      <c r="Z290">
        <v>1</v>
      </c>
    </row>
    <row r="291" spans="1:26">
      <c r="A291">
        <v>701300</v>
      </c>
      <c r="B291">
        <v>701470</v>
      </c>
      <c r="C291">
        <v>700510</v>
      </c>
      <c r="D291">
        <v>700760</v>
      </c>
      <c r="E291">
        <v>699740</v>
      </c>
      <c r="F291">
        <v>699980</v>
      </c>
      <c r="G291">
        <v>700890</v>
      </c>
      <c r="H291">
        <v>701070</v>
      </c>
      <c r="I291">
        <v>699540</v>
      </c>
      <c r="J291">
        <v>699350</v>
      </c>
      <c r="K291">
        <v>700130</v>
      </c>
      <c r="L291">
        <v>700330</v>
      </c>
      <c r="O291" t="s">
        <v>45</v>
      </c>
      <c r="P291">
        <v>9</v>
      </c>
      <c r="Q291">
        <v>5</v>
      </c>
      <c r="R291">
        <v>6</v>
      </c>
      <c r="S291" t="s">
        <v>46</v>
      </c>
      <c r="T291" t="s">
        <v>47</v>
      </c>
      <c r="U291">
        <v>3</v>
      </c>
      <c r="V291">
        <v>4</v>
      </c>
      <c r="W291">
        <v>7</v>
      </c>
      <c r="X291">
        <v>8</v>
      </c>
      <c r="Y291">
        <v>1</v>
      </c>
      <c r="Z291">
        <v>2</v>
      </c>
    </row>
    <row r="292" spans="1:26">
      <c r="A292">
        <v>703830</v>
      </c>
      <c r="B292">
        <v>703620</v>
      </c>
      <c r="C292">
        <v>702620</v>
      </c>
      <c r="D292">
        <v>703220</v>
      </c>
      <c r="E292">
        <v>701870</v>
      </c>
      <c r="F292">
        <v>702420</v>
      </c>
      <c r="G292">
        <v>703060</v>
      </c>
      <c r="H292">
        <v>703440</v>
      </c>
      <c r="I292">
        <v>702090</v>
      </c>
      <c r="J292">
        <v>701680</v>
      </c>
      <c r="K292">
        <v>702210</v>
      </c>
      <c r="L292">
        <v>702830</v>
      </c>
      <c r="O292" t="s">
        <v>45</v>
      </c>
      <c r="P292">
        <v>5</v>
      </c>
      <c r="Q292">
        <v>9</v>
      </c>
      <c r="R292" t="s">
        <v>46</v>
      </c>
      <c r="S292">
        <v>6</v>
      </c>
      <c r="T292">
        <v>3</v>
      </c>
      <c r="U292" t="s">
        <v>47</v>
      </c>
      <c r="V292">
        <v>7</v>
      </c>
      <c r="W292">
        <v>4</v>
      </c>
      <c r="X292">
        <v>8</v>
      </c>
      <c r="Y292">
        <v>2</v>
      </c>
      <c r="Z292">
        <v>1</v>
      </c>
    </row>
    <row r="293" spans="1:26">
      <c r="A293">
        <v>706110</v>
      </c>
      <c r="B293">
        <v>706310</v>
      </c>
      <c r="C293">
        <v>704960</v>
      </c>
      <c r="D293">
        <v>705920</v>
      </c>
      <c r="E293">
        <v>704220</v>
      </c>
      <c r="F293">
        <v>705170</v>
      </c>
      <c r="G293">
        <v>705330</v>
      </c>
      <c r="H293">
        <v>705750</v>
      </c>
      <c r="I293">
        <v>704730</v>
      </c>
      <c r="J293">
        <v>704400</v>
      </c>
      <c r="K293">
        <v>704560</v>
      </c>
      <c r="L293">
        <v>705560</v>
      </c>
      <c r="O293">
        <v>5</v>
      </c>
      <c r="P293" t="s">
        <v>45</v>
      </c>
      <c r="Q293" t="s">
        <v>46</v>
      </c>
      <c r="R293">
        <v>9</v>
      </c>
      <c r="S293">
        <v>3</v>
      </c>
      <c r="T293">
        <v>6</v>
      </c>
      <c r="U293">
        <v>7</v>
      </c>
      <c r="V293" t="s">
        <v>47</v>
      </c>
      <c r="W293">
        <v>8</v>
      </c>
      <c r="X293">
        <v>4</v>
      </c>
      <c r="Y293">
        <v>1</v>
      </c>
      <c r="Z293">
        <v>2</v>
      </c>
    </row>
    <row r="294" spans="1:26">
      <c r="A294">
        <v>708290</v>
      </c>
      <c r="B294">
        <v>708670</v>
      </c>
      <c r="C294">
        <v>707460</v>
      </c>
      <c r="D294">
        <v>708500</v>
      </c>
      <c r="E294">
        <v>706700</v>
      </c>
      <c r="F294">
        <v>707240</v>
      </c>
      <c r="G294">
        <v>707860</v>
      </c>
      <c r="H294">
        <v>708090</v>
      </c>
      <c r="I294">
        <v>706900</v>
      </c>
      <c r="J294">
        <v>706540</v>
      </c>
      <c r="K294">
        <v>707080</v>
      </c>
      <c r="L294">
        <v>707660</v>
      </c>
      <c r="O294" t="s">
        <v>45</v>
      </c>
      <c r="P294">
        <v>5</v>
      </c>
      <c r="Q294">
        <v>9</v>
      </c>
      <c r="R294" t="s">
        <v>46</v>
      </c>
      <c r="S294">
        <v>6</v>
      </c>
      <c r="T294">
        <v>3</v>
      </c>
      <c r="U294" t="s">
        <v>47</v>
      </c>
      <c r="V294">
        <v>7</v>
      </c>
      <c r="W294">
        <v>8</v>
      </c>
      <c r="X294">
        <v>1</v>
      </c>
      <c r="Y294">
        <v>4</v>
      </c>
      <c r="Z294">
        <v>2</v>
      </c>
    </row>
    <row r="295" spans="1:26">
      <c r="A295">
        <v>710610</v>
      </c>
      <c r="B295">
        <v>710990</v>
      </c>
      <c r="C295">
        <v>709800</v>
      </c>
      <c r="D295">
        <v>711200</v>
      </c>
      <c r="E295">
        <v>709050</v>
      </c>
      <c r="F295">
        <v>709980</v>
      </c>
      <c r="G295">
        <v>710200</v>
      </c>
      <c r="H295">
        <v>710750</v>
      </c>
      <c r="I295">
        <v>709570</v>
      </c>
      <c r="J295">
        <v>709250</v>
      </c>
      <c r="K295">
        <v>709400</v>
      </c>
      <c r="L295">
        <v>710390</v>
      </c>
      <c r="O295">
        <v>5</v>
      </c>
      <c r="P295" t="s">
        <v>45</v>
      </c>
      <c r="Q295" t="s">
        <v>46</v>
      </c>
      <c r="R295">
        <v>9</v>
      </c>
      <c r="S295">
        <v>3</v>
      </c>
      <c r="T295">
        <v>6</v>
      </c>
      <c r="U295">
        <v>7</v>
      </c>
      <c r="V295" t="s">
        <v>47</v>
      </c>
      <c r="W295">
        <v>1</v>
      </c>
      <c r="X295">
        <v>8</v>
      </c>
      <c r="Y295">
        <v>2</v>
      </c>
      <c r="Z295">
        <v>4</v>
      </c>
    </row>
    <row r="296" spans="1:26">
      <c r="A296">
        <v>713110</v>
      </c>
      <c r="B296">
        <v>713570</v>
      </c>
      <c r="C296">
        <v>711920</v>
      </c>
      <c r="D296">
        <v>713310</v>
      </c>
      <c r="E296">
        <v>711340</v>
      </c>
      <c r="F296">
        <v>712540</v>
      </c>
      <c r="G296">
        <v>712350</v>
      </c>
      <c r="H296">
        <v>712930</v>
      </c>
      <c r="I296">
        <v>712120</v>
      </c>
      <c r="J296">
        <v>711730</v>
      </c>
      <c r="K296">
        <v>711540</v>
      </c>
      <c r="L296">
        <v>712690</v>
      </c>
      <c r="O296">
        <v>5</v>
      </c>
      <c r="P296" t="s">
        <v>46</v>
      </c>
      <c r="Q296" t="s">
        <v>45</v>
      </c>
      <c r="R296">
        <v>3</v>
      </c>
      <c r="S296">
        <v>9</v>
      </c>
      <c r="T296">
        <v>7</v>
      </c>
      <c r="U296">
        <v>6</v>
      </c>
      <c r="V296" t="s">
        <v>47</v>
      </c>
      <c r="W296">
        <v>8</v>
      </c>
      <c r="X296">
        <v>1</v>
      </c>
      <c r="Y296">
        <v>4</v>
      </c>
      <c r="Z296">
        <v>2</v>
      </c>
    </row>
    <row r="297" spans="1:26">
      <c r="A297">
        <v>715420</v>
      </c>
      <c r="B297">
        <v>715820</v>
      </c>
      <c r="C297">
        <v>714250</v>
      </c>
      <c r="D297">
        <v>716050</v>
      </c>
      <c r="E297">
        <v>714080</v>
      </c>
      <c r="F297">
        <v>715210</v>
      </c>
      <c r="G297">
        <v>714640</v>
      </c>
      <c r="H297">
        <v>715620</v>
      </c>
      <c r="I297">
        <v>714840</v>
      </c>
      <c r="J297">
        <v>714460</v>
      </c>
      <c r="K297">
        <v>713900</v>
      </c>
      <c r="L297">
        <v>715060</v>
      </c>
      <c r="O297" t="s">
        <v>46</v>
      </c>
      <c r="P297">
        <v>5</v>
      </c>
      <c r="Q297">
        <v>3</v>
      </c>
      <c r="R297" t="s">
        <v>45</v>
      </c>
      <c r="S297">
        <v>7</v>
      </c>
      <c r="T297">
        <v>9</v>
      </c>
      <c r="U297" t="s">
        <v>47</v>
      </c>
      <c r="V297">
        <v>6</v>
      </c>
      <c r="W297">
        <v>1</v>
      </c>
      <c r="X297">
        <v>8</v>
      </c>
      <c r="Y297">
        <v>2</v>
      </c>
      <c r="Z297">
        <v>4</v>
      </c>
    </row>
    <row r="298" spans="1:26">
      <c r="A298">
        <v>717600</v>
      </c>
      <c r="B298">
        <v>718400</v>
      </c>
      <c r="C298">
        <v>716790</v>
      </c>
      <c r="D298">
        <v>718160</v>
      </c>
      <c r="E298">
        <v>716210</v>
      </c>
      <c r="F298">
        <v>717760</v>
      </c>
      <c r="G298">
        <v>717150</v>
      </c>
      <c r="H298">
        <v>717970</v>
      </c>
      <c r="I298">
        <v>716960</v>
      </c>
      <c r="J298">
        <v>716610</v>
      </c>
      <c r="K298">
        <v>716420</v>
      </c>
      <c r="L298">
        <v>717350</v>
      </c>
      <c r="O298">
        <v>5</v>
      </c>
      <c r="P298" t="s">
        <v>46</v>
      </c>
      <c r="Q298" t="s">
        <v>45</v>
      </c>
      <c r="R298">
        <v>3</v>
      </c>
      <c r="S298">
        <v>9</v>
      </c>
      <c r="T298">
        <v>7</v>
      </c>
      <c r="U298" t="s">
        <v>47</v>
      </c>
      <c r="V298">
        <v>1</v>
      </c>
      <c r="W298">
        <v>6</v>
      </c>
      <c r="X298">
        <v>8</v>
      </c>
      <c r="Y298">
        <v>4</v>
      </c>
      <c r="Z298">
        <v>2</v>
      </c>
    </row>
    <row r="299" spans="1:26">
      <c r="A299">
        <v>719920</v>
      </c>
      <c r="B299">
        <v>720680</v>
      </c>
      <c r="C299">
        <v>719100</v>
      </c>
      <c r="D299">
        <v>720850</v>
      </c>
      <c r="E299">
        <v>718920</v>
      </c>
      <c r="F299">
        <v>720480</v>
      </c>
      <c r="G299">
        <v>719470</v>
      </c>
      <c r="H299">
        <v>720280</v>
      </c>
      <c r="I299">
        <v>719660</v>
      </c>
      <c r="J299">
        <v>719310</v>
      </c>
      <c r="K299">
        <v>718730</v>
      </c>
      <c r="L299">
        <v>720080</v>
      </c>
      <c r="O299" t="s">
        <v>46</v>
      </c>
      <c r="P299">
        <v>5</v>
      </c>
      <c r="Q299">
        <v>3</v>
      </c>
      <c r="R299" t="s">
        <v>45</v>
      </c>
      <c r="S299">
        <v>7</v>
      </c>
      <c r="T299">
        <v>9</v>
      </c>
      <c r="U299">
        <v>1</v>
      </c>
      <c r="V299" t="s">
        <v>47</v>
      </c>
      <c r="W299">
        <v>8</v>
      </c>
      <c r="X299">
        <v>6</v>
      </c>
      <c r="Y299">
        <v>2</v>
      </c>
      <c r="Z299">
        <v>4</v>
      </c>
    </row>
    <row r="300" spans="1:26">
      <c r="A300">
        <v>722450</v>
      </c>
      <c r="B300">
        <v>722840</v>
      </c>
      <c r="C300">
        <v>721280</v>
      </c>
      <c r="D300">
        <v>723200</v>
      </c>
      <c r="E300">
        <v>721440</v>
      </c>
      <c r="F300">
        <v>723010</v>
      </c>
      <c r="G300">
        <v>721640</v>
      </c>
      <c r="H300">
        <v>722670</v>
      </c>
      <c r="I300">
        <v>722000</v>
      </c>
      <c r="J300">
        <v>721850</v>
      </c>
      <c r="K300">
        <v>721050</v>
      </c>
      <c r="L300">
        <v>722220</v>
      </c>
      <c r="O300" t="s">
        <v>46</v>
      </c>
      <c r="P300">
        <v>3</v>
      </c>
      <c r="Q300">
        <v>5</v>
      </c>
      <c r="R300">
        <v>7</v>
      </c>
      <c r="S300" t="s">
        <v>45</v>
      </c>
      <c r="T300">
        <v>9</v>
      </c>
      <c r="U300" t="s">
        <v>47</v>
      </c>
      <c r="V300">
        <v>1</v>
      </c>
      <c r="W300">
        <v>8</v>
      </c>
      <c r="X300">
        <v>2</v>
      </c>
      <c r="Y300">
        <v>6</v>
      </c>
      <c r="Z300">
        <v>4</v>
      </c>
    </row>
    <row r="301" spans="1:26">
      <c r="A301">
        <v>724730</v>
      </c>
      <c r="B301">
        <v>725130</v>
      </c>
      <c r="C301">
        <v>723570</v>
      </c>
      <c r="D301">
        <v>725460</v>
      </c>
      <c r="E301">
        <v>724190</v>
      </c>
      <c r="F301">
        <v>725670</v>
      </c>
      <c r="G301">
        <v>723990</v>
      </c>
      <c r="H301">
        <v>725320</v>
      </c>
      <c r="I301">
        <v>724320</v>
      </c>
      <c r="J301">
        <v>724590</v>
      </c>
      <c r="K301">
        <v>723760</v>
      </c>
      <c r="L301">
        <v>724930</v>
      </c>
      <c r="O301">
        <v>3</v>
      </c>
      <c r="P301" t="s">
        <v>46</v>
      </c>
      <c r="Q301">
        <v>7</v>
      </c>
      <c r="R301">
        <v>5</v>
      </c>
      <c r="S301">
        <v>9</v>
      </c>
      <c r="T301" t="s">
        <v>45</v>
      </c>
      <c r="U301">
        <v>1</v>
      </c>
      <c r="V301" t="s">
        <v>47</v>
      </c>
      <c r="W301">
        <v>2</v>
      </c>
      <c r="X301">
        <v>8</v>
      </c>
      <c r="Y301">
        <v>4</v>
      </c>
      <c r="Z301">
        <v>6</v>
      </c>
    </row>
    <row r="302" spans="1:26">
      <c r="A302">
        <v>726890</v>
      </c>
      <c r="B302">
        <v>727690</v>
      </c>
      <c r="C302">
        <v>726110</v>
      </c>
      <c r="D302">
        <v>728020</v>
      </c>
      <c r="E302">
        <v>726230</v>
      </c>
      <c r="F302">
        <v>727850</v>
      </c>
      <c r="G302">
        <v>726500</v>
      </c>
      <c r="H302">
        <v>727480</v>
      </c>
      <c r="I302">
        <v>726670</v>
      </c>
      <c r="J302">
        <v>727060</v>
      </c>
      <c r="K302">
        <v>725910</v>
      </c>
      <c r="L302">
        <v>727280</v>
      </c>
      <c r="O302" t="s">
        <v>46</v>
      </c>
      <c r="P302">
        <v>3</v>
      </c>
      <c r="Q302">
        <v>5</v>
      </c>
      <c r="R302">
        <v>7</v>
      </c>
      <c r="S302">
        <v>9</v>
      </c>
      <c r="T302">
        <v>1</v>
      </c>
      <c r="U302" t="s">
        <v>45</v>
      </c>
      <c r="V302" t="s">
        <v>47</v>
      </c>
      <c r="W302">
        <v>8</v>
      </c>
      <c r="X302">
        <v>2</v>
      </c>
      <c r="Y302">
        <v>6</v>
      </c>
      <c r="Z302">
        <v>4</v>
      </c>
    </row>
    <row r="303" spans="1:26">
      <c r="A303">
        <v>729250</v>
      </c>
      <c r="B303">
        <v>730000</v>
      </c>
      <c r="C303">
        <v>728440</v>
      </c>
      <c r="D303">
        <v>730320</v>
      </c>
      <c r="E303">
        <v>729010</v>
      </c>
      <c r="F303">
        <v>730540</v>
      </c>
      <c r="G303">
        <v>728830</v>
      </c>
      <c r="H303">
        <v>730190</v>
      </c>
      <c r="I303">
        <v>729400</v>
      </c>
      <c r="J303">
        <v>729740</v>
      </c>
      <c r="K303">
        <v>728610</v>
      </c>
      <c r="L303">
        <v>729600</v>
      </c>
      <c r="O303">
        <v>3</v>
      </c>
      <c r="P303" t="s">
        <v>46</v>
      </c>
      <c r="Q303">
        <v>7</v>
      </c>
      <c r="R303">
        <v>5</v>
      </c>
      <c r="S303">
        <v>1</v>
      </c>
      <c r="T303">
        <v>9</v>
      </c>
      <c r="U303" t="s">
        <v>47</v>
      </c>
      <c r="V303" t="s">
        <v>45</v>
      </c>
      <c r="W303">
        <v>2</v>
      </c>
      <c r="X303">
        <v>8</v>
      </c>
      <c r="Y303">
        <v>4</v>
      </c>
      <c r="Z303">
        <v>6</v>
      </c>
    </row>
    <row r="304" spans="1:26">
      <c r="A304">
        <v>731740</v>
      </c>
      <c r="B304">
        <v>732090</v>
      </c>
      <c r="C304">
        <v>730730</v>
      </c>
      <c r="D304">
        <v>732440</v>
      </c>
      <c r="E304">
        <v>731280</v>
      </c>
      <c r="F304">
        <v>732920</v>
      </c>
      <c r="G304">
        <v>730950</v>
      </c>
      <c r="H304">
        <v>732660</v>
      </c>
      <c r="I304">
        <v>731490</v>
      </c>
      <c r="J304">
        <v>732290</v>
      </c>
      <c r="K304">
        <v>731120</v>
      </c>
      <c r="L304">
        <v>731930</v>
      </c>
      <c r="O304">
        <v>3</v>
      </c>
      <c r="P304">
        <v>7</v>
      </c>
      <c r="Q304" t="s">
        <v>46</v>
      </c>
      <c r="R304">
        <v>5</v>
      </c>
      <c r="S304">
        <v>9</v>
      </c>
      <c r="T304">
        <v>1</v>
      </c>
      <c r="U304" t="s">
        <v>47</v>
      </c>
      <c r="V304">
        <v>2</v>
      </c>
      <c r="W304" t="s">
        <v>45</v>
      </c>
      <c r="X304">
        <v>4</v>
      </c>
      <c r="Y304">
        <v>8</v>
      </c>
      <c r="Z304">
        <v>6</v>
      </c>
    </row>
    <row r="305" spans="1:26">
      <c r="A305">
        <v>734070</v>
      </c>
      <c r="B305">
        <v>734420</v>
      </c>
      <c r="C305">
        <v>733440</v>
      </c>
      <c r="D305">
        <v>734760</v>
      </c>
      <c r="E305">
        <v>733650</v>
      </c>
      <c r="F305">
        <v>735210</v>
      </c>
      <c r="G305">
        <v>733250</v>
      </c>
      <c r="H305">
        <v>735370</v>
      </c>
      <c r="I305">
        <v>734190</v>
      </c>
      <c r="J305">
        <v>734990</v>
      </c>
      <c r="K305">
        <v>733840</v>
      </c>
      <c r="L305">
        <v>734630</v>
      </c>
      <c r="O305">
        <v>7</v>
      </c>
      <c r="P305">
        <v>3</v>
      </c>
      <c r="Q305">
        <v>5</v>
      </c>
      <c r="R305" t="s">
        <v>46</v>
      </c>
      <c r="S305">
        <v>1</v>
      </c>
      <c r="T305">
        <v>9</v>
      </c>
      <c r="U305">
        <v>2</v>
      </c>
      <c r="V305" t="s">
        <v>47</v>
      </c>
      <c r="W305">
        <v>4</v>
      </c>
      <c r="X305" t="s">
        <v>45</v>
      </c>
      <c r="Y305">
        <v>6</v>
      </c>
      <c r="Z305">
        <v>8</v>
      </c>
    </row>
    <row r="306" spans="1:26">
      <c r="A306">
        <v>736180</v>
      </c>
      <c r="B306">
        <v>736940</v>
      </c>
      <c r="C306">
        <v>735570</v>
      </c>
      <c r="D306">
        <v>737340</v>
      </c>
      <c r="E306">
        <v>735960</v>
      </c>
      <c r="F306">
        <v>737750</v>
      </c>
      <c r="G306">
        <v>735790</v>
      </c>
      <c r="H306">
        <v>737540</v>
      </c>
      <c r="I306">
        <v>736490</v>
      </c>
      <c r="J306">
        <v>737130</v>
      </c>
      <c r="K306">
        <v>736350</v>
      </c>
      <c r="L306">
        <v>736740</v>
      </c>
      <c r="O306">
        <v>3</v>
      </c>
      <c r="P306">
        <v>7</v>
      </c>
      <c r="Q306">
        <v>5</v>
      </c>
      <c r="R306">
        <v>1</v>
      </c>
      <c r="S306" t="s">
        <v>46</v>
      </c>
      <c r="T306">
        <v>9</v>
      </c>
      <c r="U306" t="s">
        <v>47</v>
      </c>
      <c r="V306">
        <v>2</v>
      </c>
      <c r="W306" t="s">
        <v>45</v>
      </c>
      <c r="X306">
        <v>4</v>
      </c>
      <c r="Y306">
        <v>8</v>
      </c>
      <c r="Z306">
        <v>6</v>
      </c>
    </row>
    <row r="307" spans="1:26">
      <c r="A307">
        <v>738500</v>
      </c>
      <c r="B307">
        <v>739240</v>
      </c>
      <c r="C307">
        <v>738310</v>
      </c>
      <c r="D307">
        <v>739640</v>
      </c>
      <c r="E307">
        <v>738680</v>
      </c>
      <c r="F307">
        <v>740020</v>
      </c>
      <c r="G307">
        <v>738120</v>
      </c>
      <c r="H307">
        <v>740240</v>
      </c>
      <c r="I307">
        <v>738840</v>
      </c>
      <c r="J307">
        <v>739870</v>
      </c>
      <c r="K307">
        <v>739050</v>
      </c>
      <c r="L307">
        <v>739460</v>
      </c>
      <c r="O307">
        <v>7</v>
      </c>
      <c r="P307">
        <v>3</v>
      </c>
      <c r="Q307">
        <v>1</v>
      </c>
      <c r="R307">
        <v>5</v>
      </c>
      <c r="S307">
        <v>9</v>
      </c>
      <c r="T307" t="s">
        <v>46</v>
      </c>
      <c r="U307">
        <v>2</v>
      </c>
      <c r="V307" t="s">
        <v>47</v>
      </c>
      <c r="W307">
        <v>4</v>
      </c>
      <c r="X307" t="s">
        <v>45</v>
      </c>
      <c r="Y307">
        <v>6</v>
      </c>
      <c r="Z307">
        <v>8</v>
      </c>
    </row>
    <row r="308" spans="1:26">
      <c r="A308">
        <v>741040</v>
      </c>
      <c r="B308">
        <v>741420</v>
      </c>
      <c r="C308">
        <v>740630</v>
      </c>
      <c r="D308">
        <v>741770</v>
      </c>
      <c r="E308">
        <v>740830</v>
      </c>
      <c r="F308">
        <v>742170</v>
      </c>
      <c r="G308">
        <v>740450</v>
      </c>
      <c r="H308">
        <v>742610</v>
      </c>
      <c r="I308">
        <v>741200</v>
      </c>
      <c r="J308">
        <v>742360</v>
      </c>
      <c r="K308">
        <v>741580</v>
      </c>
      <c r="L308">
        <v>741940</v>
      </c>
      <c r="O308">
        <v>7</v>
      </c>
      <c r="P308">
        <v>3</v>
      </c>
      <c r="Q308">
        <v>5</v>
      </c>
      <c r="R308">
        <v>1</v>
      </c>
      <c r="S308">
        <v>9</v>
      </c>
      <c r="T308">
        <v>2</v>
      </c>
      <c r="U308" t="s">
        <v>46</v>
      </c>
      <c r="V308">
        <v>4</v>
      </c>
      <c r="W308" t="s">
        <v>47</v>
      </c>
      <c r="X308">
        <v>6</v>
      </c>
      <c r="Y308" t="s">
        <v>45</v>
      </c>
      <c r="Z308">
        <v>8</v>
      </c>
    </row>
    <row r="309" spans="1:26">
      <c r="A309">
        <v>743380</v>
      </c>
      <c r="B309">
        <v>743740</v>
      </c>
      <c r="C309">
        <v>742960</v>
      </c>
      <c r="D309">
        <v>744120</v>
      </c>
      <c r="E309">
        <v>743560</v>
      </c>
      <c r="F309">
        <v>744470</v>
      </c>
      <c r="G309">
        <v>743200</v>
      </c>
      <c r="H309">
        <v>744860</v>
      </c>
      <c r="I309">
        <v>743910</v>
      </c>
      <c r="J309">
        <v>745090</v>
      </c>
      <c r="K309">
        <v>744310</v>
      </c>
      <c r="L309">
        <v>744660</v>
      </c>
      <c r="O309">
        <v>3</v>
      </c>
      <c r="P309">
        <v>7</v>
      </c>
      <c r="Q309">
        <v>1</v>
      </c>
      <c r="R309">
        <v>5</v>
      </c>
      <c r="S309">
        <v>2</v>
      </c>
      <c r="T309">
        <v>9</v>
      </c>
      <c r="U309">
        <v>4</v>
      </c>
      <c r="V309" t="s">
        <v>46</v>
      </c>
      <c r="W309">
        <v>6</v>
      </c>
      <c r="X309" t="s">
        <v>47</v>
      </c>
      <c r="Y309">
        <v>8</v>
      </c>
      <c r="Z309" t="s">
        <v>45</v>
      </c>
    </row>
    <row r="310" spans="1:26">
      <c r="A310">
        <v>745500</v>
      </c>
      <c r="B310">
        <v>746260</v>
      </c>
      <c r="C310">
        <v>745260</v>
      </c>
      <c r="D310">
        <v>746620</v>
      </c>
      <c r="E310">
        <v>745860</v>
      </c>
      <c r="F310">
        <v>746970</v>
      </c>
      <c r="G310">
        <v>745690</v>
      </c>
      <c r="H310">
        <v>747440</v>
      </c>
      <c r="I310">
        <v>746050</v>
      </c>
      <c r="J310">
        <v>747190</v>
      </c>
      <c r="K310">
        <v>746430</v>
      </c>
      <c r="L310">
        <v>746780</v>
      </c>
      <c r="O310">
        <v>3</v>
      </c>
      <c r="P310">
        <v>1</v>
      </c>
      <c r="Q310">
        <v>7</v>
      </c>
      <c r="R310">
        <v>5</v>
      </c>
      <c r="S310">
        <v>9</v>
      </c>
      <c r="T310">
        <v>2</v>
      </c>
      <c r="U310" t="s">
        <v>46</v>
      </c>
      <c r="V310">
        <v>4</v>
      </c>
      <c r="W310" t="s">
        <v>47</v>
      </c>
      <c r="X310">
        <v>6</v>
      </c>
      <c r="Y310" t="s">
        <v>45</v>
      </c>
      <c r="Z310">
        <v>8</v>
      </c>
    </row>
    <row r="311" spans="1:26">
      <c r="A311">
        <v>747830</v>
      </c>
      <c r="B311">
        <v>748600</v>
      </c>
      <c r="C311">
        <v>747990</v>
      </c>
      <c r="D311">
        <v>748960</v>
      </c>
      <c r="E311">
        <v>748200</v>
      </c>
      <c r="F311">
        <v>749310</v>
      </c>
      <c r="G311">
        <v>748410</v>
      </c>
      <c r="H311">
        <v>749670</v>
      </c>
      <c r="I311">
        <v>748760</v>
      </c>
      <c r="J311">
        <v>749880</v>
      </c>
      <c r="K311">
        <v>749190</v>
      </c>
      <c r="L311">
        <v>749510</v>
      </c>
      <c r="O311">
        <v>1</v>
      </c>
      <c r="P311">
        <v>3</v>
      </c>
      <c r="Q311">
        <v>5</v>
      </c>
      <c r="R311">
        <v>7</v>
      </c>
      <c r="S311">
        <v>2</v>
      </c>
      <c r="T311">
        <v>9</v>
      </c>
      <c r="U311">
        <v>4</v>
      </c>
      <c r="V311" t="s">
        <v>46</v>
      </c>
      <c r="W311">
        <v>6</v>
      </c>
      <c r="X311" t="s">
        <v>47</v>
      </c>
      <c r="Y311">
        <v>8</v>
      </c>
      <c r="Z311" t="s">
        <v>45</v>
      </c>
    </row>
    <row r="312" spans="1:26">
      <c r="A312">
        <v>750340</v>
      </c>
      <c r="B312">
        <v>750720</v>
      </c>
      <c r="C312">
        <v>750090</v>
      </c>
      <c r="D312">
        <v>751080</v>
      </c>
      <c r="E312">
        <v>750530</v>
      </c>
      <c r="F312">
        <v>751490</v>
      </c>
      <c r="G312">
        <v>750870</v>
      </c>
      <c r="H312">
        <v>751800</v>
      </c>
      <c r="I312">
        <v>751270</v>
      </c>
      <c r="J312">
        <v>752260</v>
      </c>
      <c r="K312">
        <v>751680</v>
      </c>
      <c r="L312">
        <v>752040</v>
      </c>
      <c r="O312">
        <v>3</v>
      </c>
      <c r="P312">
        <v>1</v>
      </c>
      <c r="Q312">
        <v>5</v>
      </c>
      <c r="R312">
        <v>2</v>
      </c>
      <c r="S312">
        <v>7</v>
      </c>
      <c r="T312">
        <v>4</v>
      </c>
      <c r="U312">
        <v>9</v>
      </c>
      <c r="V312">
        <v>6</v>
      </c>
      <c r="W312" t="s">
        <v>46</v>
      </c>
      <c r="X312">
        <v>8</v>
      </c>
      <c r="Y312" t="s">
        <v>47</v>
      </c>
      <c r="Z312" t="s">
        <v>45</v>
      </c>
    </row>
    <row r="313" spans="1:26">
      <c r="A313">
        <v>752700</v>
      </c>
      <c r="B313">
        <v>753070</v>
      </c>
      <c r="C313">
        <v>752850</v>
      </c>
      <c r="D313">
        <v>753430</v>
      </c>
      <c r="E313">
        <v>753260</v>
      </c>
      <c r="F313">
        <v>753830</v>
      </c>
      <c r="G313">
        <v>753600</v>
      </c>
      <c r="H313">
        <v>754120</v>
      </c>
      <c r="I313">
        <v>753980</v>
      </c>
      <c r="J313">
        <v>754540</v>
      </c>
      <c r="K313">
        <v>754310</v>
      </c>
      <c r="L313">
        <v>754750</v>
      </c>
      <c r="O313">
        <v>1</v>
      </c>
      <c r="P313">
        <v>3</v>
      </c>
      <c r="Q313">
        <v>2</v>
      </c>
      <c r="R313">
        <v>5</v>
      </c>
      <c r="S313">
        <v>4</v>
      </c>
      <c r="T313">
        <v>7</v>
      </c>
      <c r="U313">
        <v>6</v>
      </c>
      <c r="V313">
        <v>9</v>
      </c>
      <c r="W313">
        <v>8</v>
      </c>
      <c r="X313" t="s">
        <v>46</v>
      </c>
      <c r="Y313" t="s">
        <v>45</v>
      </c>
      <c r="Z313" t="s">
        <v>47</v>
      </c>
    </row>
    <row r="314" spans="1:26">
      <c r="A314">
        <v>754990</v>
      </c>
      <c r="B314">
        <v>755150</v>
      </c>
      <c r="C314">
        <v>755360</v>
      </c>
      <c r="D314">
        <v>755570</v>
      </c>
      <c r="E314">
        <v>755720</v>
      </c>
      <c r="F314">
        <v>755960</v>
      </c>
      <c r="G314">
        <v>756120</v>
      </c>
      <c r="H314">
        <v>756300</v>
      </c>
      <c r="I314">
        <v>756480</v>
      </c>
      <c r="J314">
        <v>756680</v>
      </c>
      <c r="K314">
        <v>756850</v>
      </c>
      <c r="L314">
        <v>757110</v>
      </c>
      <c r="O314">
        <v>1</v>
      </c>
      <c r="P314">
        <v>2</v>
      </c>
      <c r="Q314">
        <v>3</v>
      </c>
      <c r="R314">
        <v>4</v>
      </c>
      <c r="S314">
        <v>5</v>
      </c>
      <c r="T314">
        <v>6</v>
      </c>
      <c r="U314">
        <v>7</v>
      </c>
      <c r="V314">
        <v>8</v>
      </c>
      <c r="W314">
        <v>9</v>
      </c>
      <c r="X314" t="s">
        <v>45</v>
      </c>
      <c r="Y314" t="s">
        <v>46</v>
      </c>
      <c r="Z314" t="s">
        <v>47</v>
      </c>
    </row>
    <row r="315" spans="1:26">
      <c r="A315">
        <v>757490</v>
      </c>
      <c r="B315">
        <v>757680</v>
      </c>
      <c r="C315">
        <v>757860</v>
      </c>
      <c r="D315">
        <v>758090</v>
      </c>
      <c r="E315">
        <v>758280</v>
      </c>
      <c r="F315">
        <v>758460</v>
      </c>
      <c r="G315">
        <v>758620</v>
      </c>
      <c r="H315">
        <v>758780</v>
      </c>
      <c r="I315">
        <v>758980</v>
      </c>
      <c r="J315">
        <v>759190</v>
      </c>
      <c r="K315">
        <v>759320</v>
      </c>
      <c r="L315">
        <v>759540</v>
      </c>
      <c r="O315">
        <v>1</v>
      </c>
      <c r="P315">
        <v>2</v>
      </c>
      <c r="Q315">
        <v>3</v>
      </c>
      <c r="R315">
        <v>4</v>
      </c>
      <c r="S315">
        <v>5</v>
      </c>
      <c r="T315">
        <v>6</v>
      </c>
      <c r="U315">
        <v>7</v>
      </c>
      <c r="V315">
        <v>8</v>
      </c>
      <c r="W315">
        <v>9</v>
      </c>
      <c r="X315" t="s">
        <v>45</v>
      </c>
      <c r="Y315" t="s">
        <v>46</v>
      </c>
      <c r="Z315" t="s">
        <v>47</v>
      </c>
    </row>
    <row r="316" spans="1:26">
      <c r="A316">
        <v>759770</v>
      </c>
      <c r="B316">
        <v>759950</v>
      </c>
      <c r="C316">
        <v>760160</v>
      </c>
      <c r="D316">
        <v>760340</v>
      </c>
      <c r="E316">
        <v>760530</v>
      </c>
      <c r="F316">
        <v>760710</v>
      </c>
      <c r="G316">
        <v>760910</v>
      </c>
      <c r="H316">
        <v>761060</v>
      </c>
      <c r="I316">
        <v>761250</v>
      </c>
      <c r="J316">
        <v>761450</v>
      </c>
      <c r="K316">
        <v>761630</v>
      </c>
      <c r="L316">
        <v>761890</v>
      </c>
      <c r="O316">
        <v>1</v>
      </c>
      <c r="P316">
        <v>2</v>
      </c>
      <c r="Q316">
        <v>3</v>
      </c>
      <c r="R316">
        <v>4</v>
      </c>
      <c r="S316">
        <v>5</v>
      </c>
      <c r="T316">
        <v>6</v>
      </c>
      <c r="U316">
        <v>7</v>
      </c>
      <c r="V316">
        <v>8</v>
      </c>
      <c r="W316">
        <v>9</v>
      </c>
      <c r="X316" t="s">
        <v>45</v>
      </c>
      <c r="Y316" t="s">
        <v>46</v>
      </c>
      <c r="Z316" t="s">
        <v>47</v>
      </c>
    </row>
    <row r="317" spans="1:26">
      <c r="A317">
        <v>762270</v>
      </c>
      <c r="B317">
        <v>762450</v>
      </c>
      <c r="C317">
        <v>762630</v>
      </c>
      <c r="D317">
        <v>762850</v>
      </c>
      <c r="E317">
        <v>763040</v>
      </c>
      <c r="F317">
        <v>763210</v>
      </c>
      <c r="G317">
        <v>763370</v>
      </c>
      <c r="H317">
        <v>763530</v>
      </c>
      <c r="I317">
        <v>763750</v>
      </c>
      <c r="J317">
        <v>763960</v>
      </c>
      <c r="K317">
        <v>764100</v>
      </c>
      <c r="L317">
        <v>764300</v>
      </c>
      <c r="O317">
        <v>1</v>
      </c>
      <c r="P317">
        <v>2</v>
      </c>
      <c r="Q317">
        <v>3</v>
      </c>
      <c r="R317">
        <v>4</v>
      </c>
      <c r="S317">
        <v>5</v>
      </c>
      <c r="T317">
        <v>6</v>
      </c>
      <c r="U317">
        <v>7</v>
      </c>
      <c r="V317">
        <v>8</v>
      </c>
      <c r="W317">
        <v>9</v>
      </c>
      <c r="X317" t="s">
        <v>45</v>
      </c>
      <c r="Y317" t="s">
        <v>46</v>
      </c>
      <c r="Z317" t="s">
        <v>47</v>
      </c>
    </row>
    <row r="318" spans="1:26">
      <c r="A318">
        <v>764530</v>
      </c>
      <c r="B318">
        <v>764720</v>
      </c>
      <c r="C318">
        <v>764900</v>
      </c>
      <c r="D318">
        <v>765100</v>
      </c>
      <c r="E318">
        <v>765290</v>
      </c>
      <c r="F318">
        <v>765490</v>
      </c>
      <c r="G318">
        <v>765650</v>
      </c>
      <c r="H318">
        <v>765840</v>
      </c>
      <c r="I318">
        <v>766020</v>
      </c>
      <c r="J318">
        <v>766240</v>
      </c>
      <c r="K318">
        <v>766420</v>
      </c>
      <c r="L318">
        <v>766630</v>
      </c>
      <c r="O318">
        <v>1</v>
      </c>
      <c r="P318">
        <v>2</v>
      </c>
      <c r="Q318">
        <v>3</v>
      </c>
      <c r="R318">
        <v>4</v>
      </c>
      <c r="S318">
        <v>5</v>
      </c>
      <c r="T318">
        <v>6</v>
      </c>
      <c r="U318">
        <v>7</v>
      </c>
      <c r="V318">
        <v>8</v>
      </c>
      <c r="W318">
        <v>9</v>
      </c>
      <c r="X318" t="s">
        <v>45</v>
      </c>
      <c r="Y318" t="s">
        <v>46</v>
      </c>
      <c r="Z318" t="s">
        <v>47</v>
      </c>
    </row>
    <row r="319" spans="1:26">
      <c r="A319">
        <v>767050</v>
      </c>
      <c r="B319">
        <v>767220</v>
      </c>
      <c r="C319">
        <v>767380</v>
      </c>
      <c r="D319">
        <v>767610</v>
      </c>
      <c r="E319">
        <v>767750</v>
      </c>
      <c r="F319">
        <v>767930</v>
      </c>
      <c r="G319">
        <v>768090</v>
      </c>
      <c r="H319">
        <v>768290</v>
      </c>
      <c r="I319">
        <v>768470</v>
      </c>
      <c r="J319">
        <v>768710</v>
      </c>
      <c r="K319">
        <v>768850</v>
      </c>
      <c r="L319">
        <v>769100</v>
      </c>
      <c r="O319">
        <v>1</v>
      </c>
      <c r="P319">
        <v>2</v>
      </c>
      <c r="Q319">
        <v>3</v>
      </c>
      <c r="R319">
        <v>4</v>
      </c>
      <c r="S319">
        <v>5</v>
      </c>
      <c r="T319">
        <v>6</v>
      </c>
      <c r="U319">
        <v>7</v>
      </c>
      <c r="V319">
        <v>8</v>
      </c>
      <c r="W319">
        <v>9</v>
      </c>
      <c r="X319" t="s">
        <v>45</v>
      </c>
      <c r="Y319" t="s">
        <v>46</v>
      </c>
      <c r="Z319" t="s">
        <v>47</v>
      </c>
    </row>
    <row r="320" spans="1:26">
      <c r="A320">
        <v>769320</v>
      </c>
      <c r="B320">
        <v>769500</v>
      </c>
      <c r="C320">
        <v>769700</v>
      </c>
      <c r="D320">
        <v>769900</v>
      </c>
      <c r="E320">
        <v>770040</v>
      </c>
      <c r="F320">
        <v>770280</v>
      </c>
      <c r="G320">
        <v>770410</v>
      </c>
      <c r="H320">
        <v>770630</v>
      </c>
      <c r="I320">
        <v>770810</v>
      </c>
      <c r="J320">
        <v>771040</v>
      </c>
      <c r="K320">
        <v>771220</v>
      </c>
      <c r="L320">
        <v>771440</v>
      </c>
      <c r="O320">
        <v>1</v>
      </c>
      <c r="P320">
        <v>2</v>
      </c>
      <c r="Q320">
        <v>3</v>
      </c>
      <c r="R320">
        <v>4</v>
      </c>
      <c r="S320">
        <v>5</v>
      </c>
      <c r="T320">
        <v>6</v>
      </c>
      <c r="U320">
        <v>7</v>
      </c>
      <c r="V320">
        <v>8</v>
      </c>
      <c r="W320">
        <v>9</v>
      </c>
      <c r="X320" t="s">
        <v>45</v>
      </c>
      <c r="Y320" t="s">
        <v>46</v>
      </c>
      <c r="Z320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9"/>
  <dimension ref="A1:BF153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12.75"/>
  <cols>
    <col min="1" max="1" width="4" style="1" bestFit="1" customWidth="1"/>
    <col min="2" max="26" width="7" style="1" bestFit="1" customWidth="1"/>
    <col min="27" max="28" width="10.7109375" style="5" customWidth="1"/>
    <col min="29" max="29" width="10.7109375" style="14" customWidth="1"/>
    <col min="30" max="30" width="10.7109375" style="5" customWidth="1"/>
    <col min="31" max="31" width="3.5703125" style="1" bestFit="1" customWidth="1"/>
    <col min="32" max="32" width="3.28515625" style="5" customWidth="1"/>
    <col min="33" max="33" width="10.7109375" style="5" customWidth="1"/>
    <col min="34" max="34" width="3.28515625" style="5" customWidth="1"/>
    <col min="35" max="43" width="4" style="1" bestFit="1" customWidth="1"/>
    <col min="44" max="44" width="4.28515625" style="1" bestFit="1" customWidth="1"/>
    <col min="45" max="55" width="4" style="1" bestFit="1" customWidth="1"/>
    <col min="56" max="56" width="4.28515625" style="1" bestFit="1" customWidth="1"/>
    <col min="57" max="58" width="4" style="1" bestFit="1" customWidth="1"/>
    <col min="59" max="16384" width="9.140625" style="1"/>
  </cols>
  <sheetData>
    <row r="1" spans="1:58" s="5" customFormat="1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2">
        <v>1</v>
      </c>
      <c r="O1" s="12">
        <v>2</v>
      </c>
      <c r="P1" s="12">
        <v>3</v>
      </c>
      <c r="Q1" s="12">
        <v>4</v>
      </c>
      <c r="R1" s="12">
        <v>5</v>
      </c>
      <c r="S1" s="12">
        <v>6</v>
      </c>
      <c r="T1" s="12">
        <v>7</v>
      </c>
      <c r="U1" s="12">
        <v>8</v>
      </c>
      <c r="V1" s="12">
        <v>9</v>
      </c>
      <c r="W1" s="12">
        <v>10</v>
      </c>
      <c r="X1" s="12">
        <v>11</v>
      </c>
      <c r="Y1" s="12">
        <v>12</v>
      </c>
      <c r="Z1" s="5" t="s">
        <v>48</v>
      </c>
      <c r="AA1" s="5" t="s">
        <v>49</v>
      </c>
      <c r="AB1" s="13" t="s">
        <v>50</v>
      </c>
      <c r="AC1" s="14" t="s">
        <v>51</v>
      </c>
      <c r="AD1" s="13" t="s">
        <v>52</v>
      </c>
      <c r="AG1" s="5" t="s">
        <v>53</v>
      </c>
    </row>
    <row r="2" spans="1:58" s="5" customFormat="1"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AB2" s="13"/>
      <c r="AC2" s="14"/>
      <c r="AD2" s="13"/>
      <c r="AG2" s="5" t="s">
        <v>54</v>
      </c>
      <c r="AI2" s="15" t="s">
        <v>55</v>
      </c>
      <c r="AJ2" s="15" t="s">
        <v>56</v>
      </c>
      <c r="AK2" s="15" t="s">
        <v>57</v>
      </c>
      <c r="AL2" s="15" t="s">
        <v>58</v>
      </c>
      <c r="AM2" s="15" t="s">
        <v>59</v>
      </c>
      <c r="AN2" s="15" t="s">
        <v>60</v>
      </c>
      <c r="AO2" s="15" t="s">
        <v>61</v>
      </c>
      <c r="AP2" s="15" t="s">
        <v>62</v>
      </c>
      <c r="AQ2" s="15" t="s">
        <v>63</v>
      </c>
      <c r="AR2" s="15" t="s">
        <v>64</v>
      </c>
      <c r="AS2" s="15" t="s">
        <v>65</v>
      </c>
      <c r="AT2" s="15" t="s">
        <v>66</v>
      </c>
      <c r="AU2" s="15" t="s">
        <v>55</v>
      </c>
      <c r="AV2" s="15" t="s">
        <v>56</v>
      </c>
      <c r="AW2" s="15" t="s">
        <v>57</v>
      </c>
      <c r="AX2" s="15" t="s">
        <v>58</v>
      </c>
      <c r="AY2" s="15" t="s">
        <v>59</v>
      </c>
      <c r="AZ2" s="15" t="s">
        <v>60</v>
      </c>
      <c r="BA2" s="15" t="s">
        <v>61</v>
      </c>
      <c r="BB2" s="15" t="s">
        <v>62</v>
      </c>
      <c r="BC2" s="15" t="s">
        <v>63</v>
      </c>
      <c r="BD2" s="15" t="s">
        <v>64</v>
      </c>
      <c r="BE2" s="15" t="s">
        <v>65</v>
      </c>
      <c r="BF2" s="15" t="s">
        <v>66</v>
      </c>
    </row>
    <row r="3" spans="1:58">
      <c r="A3" s="1">
        <v>1</v>
      </c>
      <c r="B3" s="1">
        <v>57340</v>
      </c>
      <c r="C3" s="1">
        <v>57530</v>
      </c>
      <c r="D3" s="1">
        <v>57690</v>
      </c>
      <c r="E3" s="1">
        <v>57880</v>
      </c>
      <c r="F3" s="1">
        <v>58070</v>
      </c>
      <c r="G3" s="1">
        <v>58280</v>
      </c>
      <c r="H3" s="1">
        <v>58440</v>
      </c>
      <c r="I3" s="1">
        <v>58630</v>
      </c>
      <c r="J3" s="1">
        <v>58800</v>
      </c>
      <c r="K3" s="1">
        <v>58980</v>
      </c>
      <c r="L3" s="1">
        <v>59160</v>
      </c>
      <c r="M3" s="1">
        <v>59390</v>
      </c>
      <c r="N3" s="1">
        <v>59600</v>
      </c>
      <c r="O3" s="1">
        <v>59760</v>
      </c>
      <c r="P3" s="1">
        <v>59960</v>
      </c>
      <c r="Q3" s="1">
        <v>60140</v>
      </c>
      <c r="R3" s="1">
        <v>60330</v>
      </c>
      <c r="S3" s="1">
        <v>60540</v>
      </c>
      <c r="T3" s="1">
        <v>60720</v>
      </c>
      <c r="U3" s="1">
        <v>60900</v>
      </c>
      <c r="V3" s="1">
        <v>61070</v>
      </c>
      <c r="W3" s="1">
        <v>61270</v>
      </c>
      <c r="X3" s="1">
        <v>61460</v>
      </c>
      <c r="Y3" s="1">
        <v>61670</v>
      </c>
      <c r="Z3" s="1">
        <v>62080</v>
      </c>
      <c r="AA3" s="5">
        <f>AVERAGE(B3:Y3)</f>
        <v>59483.75</v>
      </c>
      <c r="AG3" s="5" t="s">
        <v>51</v>
      </c>
      <c r="AI3" s="1">
        <f>C3-B3</f>
        <v>190</v>
      </c>
      <c r="AJ3" s="1">
        <f>D3-C3</f>
        <v>160</v>
      </c>
      <c r="AK3" s="1">
        <f>E3-D3</f>
        <v>190</v>
      </c>
      <c r="AL3" s="1">
        <f>F3-E3</f>
        <v>190</v>
      </c>
      <c r="AM3" s="1">
        <f>G3-F3</f>
        <v>210</v>
      </c>
      <c r="AN3" s="1">
        <f>H3-G3</f>
        <v>160</v>
      </c>
      <c r="AO3" s="1">
        <f>I3-H3</f>
        <v>190</v>
      </c>
      <c r="AP3" s="1">
        <f>J3-I3</f>
        <v>170</v>
      </c>
      <c r="AQ3" s="1">
        <f>K3-J3</f>
        <v>180</v>
      </c>
      <c r="AR3" s="1">
        <f>L3-K3</f>
        <v>180</v>
      </c>
      <c r="AS3" s="1">
        <f>M3-L3</f>
        <v>230</v>
      </c>
      <c r="AT3" s="1">
        <f>N3-M3</f>
        <v>210</v>
      </c>
      <c r="AU3" s="1">
        <f>O3-N3</f>
        <v>160</v>
      </c>
      <c r="AV3" s="1">
        <f>P3-O3</f>
        <v>200</v>
      </c>
      <c r="AW3" s="1">
        <f>Q3-P3</f>
        <v>180</v>
      </c>
      <c r="AX3" s="1">
        <f>R3-Q3</f>
        <v>190</v>
      </c>
      <c r="AY3" s="1">
        <f>S3-R3</f>
        <v>210</v>
      </c>
      <c r="AZ3" s="1">
        <f>T3-S3</f>
        <v>180</v>
      </c>
      <c r="BA3" s="1">
        <f>U3-T3</f>
        <v>180</v>
      </c>
      <c r="BB3" s="1">
        <f>V3-U3</f>
        <v>170</v>
      </c>
      <c r="BC3" s="1">
        <f>W3-V3</f>
        <v>200</v>
      </c>
      <c r="BD3" s="1">
        <f>X3-W3</f>
        <v>190</v>
      </c>
      <c r="BE3" s="1">
        <f>Y3-X3</f>
        <v>210</v>
      </c>
      <c r="BF3" s="1">
        <f>Z3-Y3</f>
        <v>410</v>
      </c>
    </row>
    <row r="4" spans="1:58">
      <c r="A4" s="1">
        <v>2</v>
      </c>
      <c r="B4" s="1">
        <v>62080</v>
      </c>
      <c r="C4" s="1">
        <v>62260</v>
      </c>
      <c r="D4" s="1">
        <v>62470</v>
      </c>
      <c r="E4" s="1">
        <v>62650</v>
      </c>
      <c r="F4" s="1">
        <v>62850</v>
      </c>
      <c r="G4" s="1">
        <v>63060</v>
      </c>
      <c r="H4" s="1">
        <v>63210</v>
      </c>
      <c r="I4" s="1">
        <v>63420</v>
      </c>
      <c r="J4" s="1">
        <v>63590</v>
      </c>
      <c r="K4" s="1">
        <v>63750</v>
      </c>
      <c r="L4" s="1">
        <v>63910</v>
      </c>
      <c r="M4" s="1">
        <v>64140</v>
      </c>
      <c r="N4" s="1">
        <v>64310</v>
      </c>
      <c r="O4" s="1">
        <v>64480</v>
      </c>
      <c r="P4" s="1">
        <v>64730</v>
      </c>
      <c r="Q4" s="1">
        <v>64930</v>
      </c>
      <c r="R4" s="1">
        <v>65150</v>
      </c>
      <c r="S4" s="1">
        <v>65320</v>
      </c>
      <c r="T4" s="1">
        <v>65480</v>
      </c>
      <c r="U4" s="1">
        <v>65620</v>
      </c>
      <c r="V4" s="1">
        <v>65830</v>
      </c>
      <c r="W4" s="1">
        <v>66000</v>
      </c>
      <c r="X4" s="1">
        <v>66200</v>
      </c>
      <c r="Y4" s="1">
        <v>66430</v>
      </c>
      <c r="Z4" s="1">
        <v>66820</v>
      </c>
      <c r="AA4" s="5">
        <f>AVERAGE(B4:Y4)</f>
        <v>64244.583333333336</v>
      </c>
      <c r="AB4" s="5">
        <f>(AA5-AA3)/2</f>
        <v>4748.125</v>
      </c>
      <c r="AC4" s="14">
        <f>AB4/(23+AB151)</f>
        <v>190.22269236853063</v>
      </c>
      <c r="AD4" s="5">
        <f>AA4-AA3</f>
        <v>4760.8333333333358</v>
      </c>
      <c r="AG4" s="5">
        <f>Z4-Y4</f>
        <v>390</v>
      </c>
      <c r="AI4" s="1">
        <f>C4-B4</f>
        <v>180</v>
      </c>
      <c r="AJ4" s="1">
        <f>D4-C4</f>
        <v>210</v>
      </c>
      <c r="AK4" s="1">
        <f>E4-D4</f>
        <v>180</v>
      </c>
      <c r="AL4" s="1">
        <f>F4-E4</f>
        <v>200</v>
      </c>
      <c r="AM4" s="1">
        <f>G4-F4</f>
        <v>210</v>
      </c>
      <c r="AN4" s="1">
        <f>H4-G4</f>
        <v>150</v>
      </c>
      <c r="AO4" s="1">
        <f>I4-H4</f>
        <v>210</v>
      </c>
      <c r="AP4" s="1">
        <f>J4-I4</f>
        <v>170</v>
      </c>
      <c r="AQ4" s="1">
        <f>K4-J4</f>
        <v>160</v>
      </c>
      <c r="AR4" s="1">
        <f>L4-K4</f>
        <v>160</v>
      </c>
      <c r="AS4" s="1">
        <f>M4-L4</f>
        <v>230</v>
      </c>
      <c r="AT4" s="1">
        <f>N4-M4</f>
        <v>170</v>
      </c>
      <c r="AU4" s="1">
        <f>O4-N4</f>
        <v>170</v>
      </c>
      <c r="AV4" s="1">
        <f>P4-O4</f>
        <v>250</v>
      </c>
      <c r="AW4" s="1">
        <f>Q4-P4</f>
        <v>200</v>
      </c>
      <c r="AX4" s="1">
        <f>R4-Q4</f>
        <v>220</v>
      </c>
      <c r="AY4" s="1">
        <f>S4-R4</f>
        <v>170</v>
      </c>
      <c r="AZ4" s="1">
        <f>T4-S4</f>
        <v>160</v>
      </c>
      <c r="BA4" s="1">
        <f>U4-T4</f>
        <v>140</v>
      </c>
      <c r="BB4" s="1">
        <f>V4-U4</f>
        <v>210</v>
      </c>
      <c r="BC4" s="1">
        <f>W4-V4</f>
        <v>170</v>
      </c>
      <c r="BD4" s="1">
        <f>X4-W4</f>
        <v>200</v>
      </c>
      <c r="BE4" s="1">
        <f>Y4-X4</f>
        <v>230</v>
      </c>
      <c r="BF4" s="1">
        <f>Z4-Y4</f>
        <v>390</v>
      </c>
    </row>
    <row r="5" spans="1:58">
      <c r="A5" s="1">
        <v>3</v>
      </c>
      <c r="B5" s="1">
        <v>66820</v>
      </c>
      <c r="C5" s="1">
        <v>67030</v>
      </c>
      <c r="D5" s="1">
        <v>67200</v>
      </c>
      <c r="E5" s="1">
        <v>67410</v>
      </c>
      <c r="F5" s="1">
        <v>67570</v>
      </c>
      <c r="G5" s="1">
        <v>67760</v>
      </c>
      <c r="H5" s="1">
        <v>67950</v>
      </c>
      <c r="I5" s="1">
        <v>68140</v>
      </c>
      <c r="J5" s="1">
        <v>68340</v>
      </c>
      <c r="K5" s="1">
        <v>68470</v>
      </c>
      <c r="L5" s="1">
        <v>68700</v>
      </c>
      <c r="M5" s="1">
        <v>68820</v>
      </c>
      <c r="N5" s="1">
        <v>69100</v>
      </c>
      <c r="O5" s="1">
        <v>69320</v>
      </c>
      <c r="P5" s="1">
        <v>69480</v>
      </c>
      <c r="Q5" s="1">
        <v>69630</v>
      </c>
      <c r="R5" s="1">
        <v>69860</v>
      </c>
      <c r="S5" s="1">
        <v>70010</v>
      </c>
      <c r="T5" s="1">
        <v>70150</v>
      </c>
      <c r="U5" s="1">
        <v>70350</v>
      </c>
      <c r="V5" s="1">
        <v>70570</v>
      </c>
      <c r="W5" s="1">
        <v>70730</v>
      </c>
      <c r="X5" s="1">
        <v>70960</v>
      </c>
      <c r="Y5" s="1">
        <v>71150</v>
      </c>
      <c r="Z5" s="1">
        <v>71500</v>
      </c>
      <c r="AA5" s="5">
        <f>AVERAGE(B5:Y5)</f>
        <v>68980</v>
      </c>
      <c r="AB5" s="5">
        <f>(AA6-AA4)/2</f>
        <v>4737.0833333333321</v>
      </c>
      <c r="AC5" s="14">
        <f>AB5/(23+AB151)</f>
        <v>189.78033342440651</v>
      </c>
      <c r="AD5" s="5">
        <f>AA5-AA4</f>
        <v>4735.4166666666642</v>
      </c>
      <c r="AE5" s="1">
        <f>AD5-AD4</f>
        <v>-25.416666666671517</v>
      </c>
      <c r="AG5" s="5">
        <f>Z5-Y5</f>
        <v>350</v>
      </c>
      <c r="AI5" s="1">
        <f>C5-B5</f>
        <v>210</v>
      </c>
      <c r="AJ5" s="1">
        <f>D5-C5</f>
        <v>170</v>
      </c>
      <c r="AK5" s="1">
        <f>E5-D5</f>
        <v>210</v>
      </c>
      <c r="AL5" s="1">
        <f>F5-E5</f>
        <v>160</v>
      </c>
      <c r="AM5" s="1">
        <f>G5-F5</f>
        <v>190</v>
      </c>
      <c r="AN5" s="1">
        <f>H5-G5</f>
        <v>190</v>
      </c>
      <c r="AO5" s="1">
        <f>I5-H5</f>
        <v>190</v>
      </c>
      <c r="AP5" s="1">
        <f>J5-I5</f>
        <v>200</v>
      </c>
      <c r="AQ5" s="1">
        <f>K5-J5</f>
        <v>130</v>
      </c>
      <c r="AR5" s="1">
        <f>L5-K5</f>
        <v>230</v>
      </c>
      <c r="AS5" s="1">
        <f>M5-L5</f>
        <v>120</v>
      </c>
      <c r="AT5" s="1">
        <f>N5-M5</f>
        <v>280</v>
      </c>
      <c r="AU5" s="1">
        <f>O5-N5</f>
        <v>220</v>
      </c>
      <c r="AV5" s="1">
        <f>P5-O5</f>
        <v>160</v>
      </c>
      <c r="AW5" s="1">
        <f>Q5-P5</f>
        <v>150</v>
      </c>
      <c r="AX5" s="1">
        <f>R5-Q5</f>
        <v>230</v>
      </c>
      <c r="AY5" s="1">
        <f>S5-R5</f>
        <v>150</v>
      </c>
      <c r="AZ5" s="1">
        <f>T5-S5</f>
        <v>140</v>
      </c>
      <c r="BA5" s="1">
        <f>U5-T5</f>
        <v>200</v>
      </c>
      <c r="BB5" s="1">
        <f>V5-U5</f>
        <v>220</v>
      </c>
      <c r="BC5" s="1">
        <f>W5-V5</f>
        <v>160</v>
      </c>
      <c r="BD5" s="1">
        <f>X5-W5</f>
        <v>230</v>
      </c>
      <c r="BE5" s="1">
        <f>Y5-X5</f>
        <v>190</v>
      </c>
      <c r="BF5" s="1">
        <f>Z5-Y5</f>
        <v>350</v>
      </c>
    </row>
    <row r="6" spans="1:58">
      <c r="A6" s="1">
        <v>4</v>
      </c>
      <c r="B6" s="1">
        <v>71500</v>
      </c>
      <c r="C6" s="1">
        <v>71720</v>
      </c>
      <c r="D6" s="1">
        <v>71920</v>
      </c>
      <c r="E6" s="1">
        <v>72110</v>
      </c>
      <c r="F6" s="1">
        <v>72310</v>
      </c>
      <c r="G6" s="1">
        <v>72520</v>
      </c>
      <c r="H6" s="1">
        <v>72700</v>
      </c>
      <c r="I6" s="1">
        <v>72860</v>
      </c>
      <c r="J6" s="1">
        <v>73030</v>
      </c>
      <c r="K6" s="1">
        <v>73200</v>
      </c>
      <c r="L6" s="1">
        <v>73410</v>
      </c>
      <c r="M6" s="1">
        <v>73610</v>
      </c>
      <c r="N6" s="1">
        <v>73830</v>
      </c>
      <c r="O6" s="1">
        <v>74030</v>
      </c>
      <c r="P6" s="1">
        <v>74220</v>
      </c>
      <c r="Q6" s="1">
        <v>74380</v>
      </c>
      <c r="R6" s="1">
        <v>74570</v>
      </c>
      <c r="S6" s="1">
        <v>74740</v>
      </c>
      <c r="T6" s="1">
        <v>75000</v>
      </c>
      <c r="U6" s="1">
        <v>75140</v>
      </c>
      <c r="V6" s="1">
        <v>75330</v>
      </c>
      <c r="W6" s="1">
        <v>75550</v>
      </c>
      <c r="X6" s="1">
        <v>75680</v>
      </c>
      <c r="Y6" s="1">
        <v>75890</v>
      </c>
      <c r="Z6" s="1">
        <v>76340</v>
      </c>
      <c r="AA6" s="5">
        <f>AVERAGE(B6:Y6)</f>
        <v>73718.75</v>
      </c>
      <c r="AB6" s="5">
        <f>(AA7-AA5)/2</f>
        <v>4753.5416666666642</v>
      </c>
      <c r="AC6" s="14">
        <f>AB6/(23+AB151)</f>
        <v>190.43969864300649</v>
      </c>
      <c r="AD6" s="5">
        <f>AA6-AA5</f>
        <v>4738.75</v>
      </c>
      <c r="AE6" s="1">
        <f>AD6-AD5</f>
        <v>3.3333333333357587</v>
      </c>
      <c r="AG6" s="5">
        <f>Z6-Y6</f>
        <v>450</v>
      </c>
      <c r="AI6" s="1">
        <f>C6-B6</f>
        <v>220</v>
      </c>
      <c r="AJ6" s="1">
        <f>D6-C6</f>
        <v>200</v>
      </c>
      <c r="AK6" s="1">
        <f>E6-D6</f>
        <v>190</v>
      </c>
      <c r="AL6" s="1">
        <f>F6-E6</f>
        <v>200</v>
      </c>
      <c r="AM6" s="1">
        <f>G6-F6</f>
        <v>210</v>
      </c>
      <c r="AN6" s="1">
        <f>H6-G6</f>
        <v>180</v>
      </c>
      <c r="AO6" s="1">
        <f>I6-H6</f>
        <v>160</v>
      </c>
      <c r="AP6" s="1">
        <f>J6-I6</f>
        <v>170</v>
      </c>
      <c r="AQ6" s="1">
        <f>K6-J6</f>
        <v>170</v>
      </c>
      <c r="AR6" s="1">
        <f>L6-K6</f>
        <v>210</v>
      </c>
      <c r="AS6" s="1">
        <f>M6-L6</f>
        <v>200</v>
      </c>
      <c r="AT6" s="1">
        <f>N6-M6</f>
        <v>220</v>
      </c>
      <c r="AU6" s="1">
        <f>O6-N6</f>
        <v>200</v>
      </c>
      <c r="AV6" s="1">
        <f>P6-O6</f>
        <v>190</v>
      </c>
      <c r="AW6" s="1">
        <f>Q6-P6</f>
        <v>160</v>
      </c>
      <c r="AX6" s="1">
        <f>R6-Q6</f>
        <v>190</v>
      </c>
      <c r="AY6" s="1">
        <f>S6-R6</f>
        <v>170</v>
      </c>
      <c r="AZ6" s="1">
        <f>T6-S6</f>
        <v>260</v>
      </c>
      <c r="BA6" s="1">
        <f>U6-T6</f>
        <v>140</v>
      </c>
      <c r="BB6" s="1">
        <f>V6-U6</f>
        <v>190</v>
      </c>
      <c r="BC6" s="1">
        <f>W6-V6</f>
        <v>220</v>
      </c>
      <c r="BD6" s="1">
        <f>X6-W6</f>
        <v>130</v>
      </c>
      <c r="BE6" s="1">
        <f>Y6-X6</f>
        <v>210</v>
      </c>
      <c r="BF6" s="1">
        <f>Z6-Y6</f>
        <v>450</v>
      </c>
    </row>
    <row r="7" spans="1:58">
      <c r="A7" s="1">
        <v>5</v>
      </c>
      <c r="B7" s="1">
        <v>76340</v>
      </c>
      <c r="C7" s="1">
        <v>76500</v>
      </c>
      <c r="D7" s="1">
        <v>76740</v>
      </c>
      <c r="E7" s="1">
        <v>76910</v>
      </c>
      <c r="F7" s="1">
        <v>77050</v>
      </c>
      <c r="G7" s="1">
        <v>77170</v>
      </c>
      <c r="H7" s="1">
        <v>77420</v>
      </c>
      <c r="I7" s="1">
        <v>77630</v>
      </c>
      <c r="J7" s="1">
        <v>77790</v>
      </c>
      <c r="K7" s="1">
        <v>77970</v>
      </c>
      <c r="L7" s="1">
        <v>78190</v>
      </c>
      <c r="M7" s="1">
        <v>78410</v>
      </c>
      <c r="N7" s="1">
        <v>78630</v>
      </c>
      <c r="O7" s="1">
        <v>78790</v>
      </c>
      <c r="P7" s="1">
        <v>79010</v>
      </c>
      <c r="Q7" s="1">
        <v>79140</v>
      </c>
      <c r="R7" s="1">
        <v>79370</v>
      </c>
      <c r="S7" s="1">
        <v>79530</v>
      </c>
      <c r="T7" s="1">
        <v>79710</v>
      </c>
      <c r="U7" s="1">
        <v>79880</v>
      </c>
      <c r="V7" s="1">
        <v>80060</v>
      </c>
      <c r="W7" s="1">
        <v>80310</v>
      </c>
      <c r="X7" s="1">
        <v>80470</v>
      </c>
      <c r="Y7" s="1">
        <v>80670</v>
      </c>
      <c r="Z7" s="1">
        <v>81060</v>
      </c>
      <c r="AA7" s="5">
        <f>AVERAGE(B7:Y7)</f>
        <v>78487.083333333328</v>
      </c>
      <c r="AB7" s="5">
        <f>(AA8-AA6)/2</f>
        <v>4771.0416666666642</v>
      </c>
      <c r="AC7" s="14">
        <f>AB7/(23+AB151)</f>
        <v>191.14079583746732</v>
      </c>
      <c r="AD7" s="5">
        <f>AA7-AA6</f>
        <v>4768.3333333333285</v>
      </c>
      <c r="AE7" s="1">
        <f>AD7-AD6</f>
        <v>29.583333333328483</v>
      </c>
      <c r="AG7" s="5">
        <f>Z7-Y7</f>
        <v>390</v>
      </c>
      <c r="AI7" s="1">
        <f>C7-B7</f>
        <v>160</v>
      </c>
      <c r="AJ7" s="1">
        <f>D7-C7</f>
        <v>240</v>
      </c>
      <c r="AK7" s="1">
        <f>E7-D7</f>
        <v>170</v>
      </c>
      <c r="AL7" s="1">
        <f>F7-E7</f>
        <v>140</v>
      </c>
      <c r="AM7" s="1">
        <f>G7-F7</f>
        <v>120</v>
      </c>
      <c r="AN7" s="1">
        <f>H7-G7</f>
        <v>250</v>
      </c>
      <c r="AO7" s="1">
        <f>I7-H7</f>
        <v>210</v>
      </c>
      <c r="AP7" s="1">
        <f>J7-I7</f>
        <v>160</v>
      </c>
      <c r="AQ7" s="1">
        <f>K7-J7</f>
        <v>180</v>
      </c>
      <c r="AR7" s="1">
        <f>L7-K7</f>
        <v>220</v>
      </c>
      <c r="AS7" s="1">
        <f>M7-L7</f>
        <v>220</v>
      </c>
      <c r="AT7" s="1">
        <f>N7-M7</f>
        <v>220</v>
      </c>
      <c r="AU7" s="1">
        <f>O7-N7</f>
        <v>160</v>
      </c>
      <c r="AV7" s="1">
        <f>P7-O7</f>
        <v>220</v>
      </c>
      <c r="AW7" s="1">
        <f>Q7-P7</f>
        <v>130</v>
      </c>
      <c r="AX7" s="1">
        <f>R7-Q7</f>
        <v>230</v>
      </c>
      <c r="AY7" s="1">
        <f>S7-R7</f>
        <v>160</v>
      </c>
      <c r="AZ7" s="1">
        <f>T7-S7</f>
        <v>180</v>
      </c>
      <c r="BA7" s="1">
        <f>U7-T7</f>
        <v>170</v>
      </c>
      <c r="BB7" s="1">
        <f>V7-U7</f>
        <v>180</v>
      </c>
      <c r="BC7" s="1">
        <f>W7-V7</f>
        <v>250</v>
      </c>
      <c r="BD7" s="1">
        <f>X7-W7</f>
        <v>160</v>
      </c>
      <c r="BE7" s="1">
        <f>Y7-X7</f>
        <v>200</v>
      </c>
      <c r="BF7" s="1">
        <f>Z7-Y7</f>
        <v>390</v>
      </c>
    </row>
    <row r="8" spans="1:58">
      <c r="A8" s="1">
        <v>6</v>
      </c>
      <c r="B8" s="1">
        <v>81060</v>
      </c>
      <c r="C8" s="1">
        <v>81300</v>
      </c>
      <c r="D8" s="1">
        <v>81450</v>
      </c>
      <c r="E8" s="1">
        <v>81670</v>
      </c>
      <c r="F8" s="1">
        <v>81790</v>
      </c>
      <c r="G8" s="1">
        <v>82010</v>
      </c>
      <c r="H8" s="1">
        <v>82210</v>
      </c>
      <c r="I8" s="1">
        <v>82400</v>
      </c>
      <c r="J8" s="1">
        <v>82590</v>
      </c>
      <c r="K8" s="1">
        <v>82750</v>
      </c>
      <c r="L8" s="1">
        <v>82950</v>
      </c>
      <c r="M8" s="1">
        <v>83170</v>
      </c>
      <c r="N8" s="1">
        <v>83400</v>
      </c>
      <c r="O8" s="1">
        <v>83600</v>
      </c>
      <c r="P8" s="1">
        <v>83740</v>
      </c>
      <c r="Q8" s="1">
        <v>83920</v>
      </c>
      <c r="R8" s="1">
        <v>84130</v>
      </c>
      <c r="S8" s="1">
        <v>84290</v>
      </c>
      <c r="T8" s="1">
        <v>84480</v>
      </c>
      <c r="U8" s="1">
        <v>84700</v>
      </c>
      <c r="V8" s="1">
        <v>84860</v>
      </c>
      <c r="W8" s="1">
        <v>85090</v>
      </c>
      <c r="X8" s="1">
        <v>85250</v>
      </c>
      <c r="Y8" s="1">
        <v>85450</v>
      </c>
      <c r="Z8" s="1">
        <v>85920</v>
      </c>
      <c r="AA8" s="5">
        <f>AVERAGE(B8:Y8)</f>
        <v>83260.833333333328</v>
      </c>
      <c r="AB8" s="5">
        <f>(AA9-AA7)/2</f>
        <v>4786.25</v>
      </c>
      <c r="AC8" s="14">
        <f>AB8/(23+AB151)</f>
        <v>191.75008268503456</v>
      </c>
      <c r="AD8" s="5">
        <f>AA8-AA7</f>
        <v>4773.75</v>
      </c>
      <c r="AE8" s="1">
        <f>AD8-AD7</f>
        <v>5.4166666666715173</v>
      </c>
      <c r="AG8" s="5">
        <f>Z8-Y8</f>
        <v>470</v>
      </c>
      <c r="AI8" s="1">
        <f>C8-B8</f>
        <v>240</v>
      </c>
      <c r="AJ8" s="1">
        <f>D8-C8</f>
        <v>150</v>
      </c>
      <c r="AK8" s="1">
        <f>E8-D8</f>
        <v>220</v>
      </c>
      <c r="AL8" s="1">
        <f>F8-E8</f>
        <v>120</v>
      </c>
      <c r="AM8" s="1">
        <f>G8-F8</f>
        <v>220</v>
      </c>
      <c r="AN8" s="1">
        <f>H8-G8</f>
        <v>200</v>
      </c>
      <c r="AO8" s="1">
        <f>I8-H8</f>
        <v>190</v>
      </c>
      <c r="AP8" s="1">
        <f>J8-I8</f>
        <v>190</v>
      </c>
      <c r="AQ8" s="1">
        <f>K8-J8</f>
        <v>160</v>
      </c>
      <c r="AR8" s="1">
        <f>L8-K8</f>
        <v>200</v>
      </c>
      <c r="AS8" s="1">
        <f>M8-L8</f>
        <v>220</v>
      </c>
      <c r="AT8" s="1">
        <f>N8-M8</f>
        <v>230</v>
      </c>
      <c r="AU8" s="1">
        <f>O8-N8</f>
        <v>200</v>
      </c>
      <c r="AV8" s="1">
        <f>P8-O8</f>
        <v>140</v>
      </c>
      <c r="AW8" s="1">
        <f>Q8-P8</f>
        <v>180</v>
      </c>
      <c r="AX8" s="1">
        <f>R8-Q8</f>
        <v>210</v>
      </c>
      <c r="AY8" s="1">
        <f>S8-R8</f>
        <v>160</v>
      </c>
      <c r="AZ8" s="1">
        <f>T8-S8</f>
        <v>190</v>
      </c>
      <c r="BA8" s="1">
        <f>U8-T8</f>
        <v>220</v>
      </c>
      <c r="BB8" s="1">
        <f>V8-U8</f>
        <v>160</v>
      </c>
      <c r="BC8" s="1">
        <f>W8-V8</f>
        <v>230</v>
      </c>
      <c r="BD8" s="1">
        <f>X8-W8</f>
        <v>160</v>
      </c>
      <c r="BE8" s="1">
        <f>Y8-X8</f>
        <v>200</v>
      </c>
      <c r="BF8" s="1">
        <f>Z8-Y8</f>
        <v>470</v>
      </c>
    </row>
    <row r="9" spans="1:58">
      <c r="A9" s="1">
        <v>7</v>
      </c>
      <c r="B9" s="1">
        <v>85920</v>
      </c>
      <c r="C9" s="1">
        <v>86080</v>
      </c>
      <c r="D9" s="1">
        <v>86270</v>
      </c>
      <c r="E9" s="1">
        <v>86520</v>
      </c>
      <c r="F9" s="1">
        <v>86630</v>
      </c>
      <c r="G9" s="1">
        <v>86840</v>
      </c>
      <c r="H9" s="1">
        <v>86940</v>
      </c>
      <c r="I9" s="1">
        <v>87180</v>
      </c>
      <c r="J9" s="1">
        <v>87360</v>
      </c>
      <c r="K9" s="1">
        <v>87530</v>
      </c>
      <c r="L9" s="1">
        <v>87790</v>
      </c>
      <c r="M9" s="1">
        <v>87960</v>
      </c>
      <c r="N9" s="1">
        <v>88190</v>
      </c>
      <c r="O9" s="1">
        <v>88360</v>
      </c>
      <c r="P9" s="1">
        <v>88560</v>
      </c>
      <c r="Q9" s="1">
        <v>88740</v>
      </c>
      <c r="R9" s="1">
        <v>88900</v>
      </c>
      <c r="S9" s="1">
        <v>89100</v>
      </c>
      <c r="T9" s="1">
        <v>89290</v>
      </c>
      <c r="U9" s="1">
        <v>89470</v>
      </c>
      <c r="V9" s="1">
        <v>89660</v>
      </c>
      <c r="W9" s="1">
        <v>89860</v>
      </c>
      <c r="X9" s="1">
        <v>90030</v>
      </c>
      <c r="Y9" s="1">
        <v>90250</v>
      </c>
      <c r="Z9" s="1">
        <v>90680</v>
      </c>
      <c r="AA9" s="5">
        <f>AVERAGE(B9:Y9)</f>
        <v>88059.583333333328</v>
      </c>
      <c r="AB9" s="5">
        <f>(AA10-AA8)/2</f>
        <v>4794.1666666666715</v>
      </c>
      <c r="AC9" s="14">
        <f>AB9/(23+AB151)</f>
        <v>192.06724570157655</v>
      </c>
      <c r="AD9" s="5">
        <f>AA9-AA8</f>
        <v>4798.75</v>
      </c>
      <c r="AE9" s="1">
        <f>AD9-AD8</f>
        <v>25</v>
      </c>
      <c r="AG9" s="5">
        <f>Z9-Y9</f>
        <v>430</v>
      </c>
      <c r="AI9" s="1">
        <f>C9-B9</f>
        <v>160</v>
      </c>
      <c r="AJ9" s="1">
        <f>D9-C9</f>
        <v>190</v>
      </c>
      <c r="AK9" s="1">
        <f>E9-D9</f>
        <v>250</v>
      </c>
      <c r="AL9" s="1">
        <f>F9-E9</f>
        <v>110</v>
      </c>
      <c r="AM9" s="1">
        <f>G9-F9</f>
        <v>210</v>
      </c>
      <c r="AN9" s="1">
        <f>H9-G9</f>
        <v>100</v>
      </c>
      <c r="AO9" s="1">
        <f>I9-H9</f>
        <v>240</v>
      </c>
      <c r="AP9" s="1">
        <f>J9-I9</f>
        <v>180</v>
      </c>
      <c r="AQ9" s="1">
        <f>K9-J9</f>
        <v>170</v>
      </c>
      <c r="AR9" s="1">
        <f>L9-K9</f>
        <v>260</v>
      </c>
      <c r="AS9" s="1">
        <f>M9-L9</f>
        <v>170</v>
      </c>
      <c r="AT9" s="1">
        <f>N9-M9</f>
        <v>230</v>
      </c>
      <c r="AU9" s="1">
        <f>O9-N9</f>
        <v>170</v>
      </c>
      <c r="AV9" s="1">
        <f>P9-O9</f>
        <v>200</v>
      </c>
      <c r="AW9" s="1">
        <f>Q9-P9</f>
        <v>180</v>
      </c>
      <c r="AX9" s="1">
        <f>R9-Q9</f>
        <v>160</v>
      </c>
      <c r="AY9" s="1">
        <f>S9-R9</f>
        <v>200</v>
      </c>
      <c r="AZ9" s="1">
        <f>T9-S9</f>
        <v>190</v>
      </c>
      <c r="BA9" s="1">
        <f>U9-T9</f>
        <v>180</v>
      </c>
      <c r="BB9" s="1">
        <f>V9-U9</f>
        <v>190</v>
      </c>
      <c r="BC9" s="1">
        <f>W9-V9</f>
        <v>200</v>
      </c>
      <c r="BD9" s="1">
        <f>X9-W9</f>
        <v>170</v>
      </c>
      <c r="BE9" s="1">
        <f>Y9-X9</f>
        <v>220</v>
      </c>
      <c r="BF9" s="1">
        <f>Z9-Y9</f>
        <v>430</v>
      </c>
    </row>
    <row r="10" spans="1:58">
      <c r="A10" s="1">
        <v>8</v>
      </c>
      <c r="B10" s="1">
        <v>90680</v>
      </c>
      <c r="C10" s="1">
        <v>90880</v>
      </c>
      <c r="D10" s="1">
        <v>91050</v>
      </c>
      <c r="E10" s="1">
        <v>91260</v>
      </c>
      <c r="F10" s="1">
        <v>91400</v>
      </c>
      <c r="G10" s="1">
        <v>91540</v>
      </c>
      <c r="H10" s="1">
        <v>91790</v>
      </c>
      <c r="I10" s="1">
        <v>91990</v>
      </c>
      <c r="J10" s="1">
        <v>92180</v>
      </c>
      <c r="K10" s="1">
        <v>92340</v>
      </c>
      <c r="L10" s="1">
        <v>92590</v>
      </c>
      <c r="M10" s="1">
        <v>92780</v>
      </c>
      <c r="N10" s="1">
        <v>92940</v>
      </c>
      <c r="O10" s="1">
        <v>93120</v>
      </c>
      <c r="P10" s="1">
        <v>93350</v>
      </c>
      <c r="Q10" s="1">
        <v>93510</v>
      </c>
      <c r="R10" s="1">
        <v>93690</v>
      </c>
      <c r="S10" s="1">
        <v>93850</v>
      </c>
      <c r="T10" s="1">
        <v>94090</v>
      </c>
      <c r="U10" s="1">
        <v>94270</v>
      </c>
      <c r="V10" s="1">
        <v>94450</v>
      </c>
      <c r="W10" s="1">
        <v>94700</v>
      </c>
      <c r="X10" s="1">
        <v>94850</v>
      </c>
      <c r="Y10" s="1">
        <v>95080</v>
      </c>
      <c r="Z10" s="1">
        <v>95450</v>
      </c>
      <c r="AA10" s="5">
        <f>AVERAGE(B10:Y10)</f>
        <v>92849.166666666672</v>
      </c>
      <c r="AB10" s="5">
        <f>(AA11-AA9)/2</f>
        <v>4784.1666666666715</v>
      </c>
      <c r="AC10" s="14">
        <f>AB10/(23+AB151)</f>
        <v>191.66661873331324</v>
      </c>
      <c r="AD10" s="5">
        <f>AA10-AA9</f>
        <v>4789.583333333343</v>
      </c>
      <c r="AE10" s="1">
        <f>AD10-AD9</f>
        <v>-9.1666666666569654</v>
      </c>
      <c r="AG10" s="5">
        <f>Z10-Y10</f>
        <v>370</v>
      </c>
      <c r="AI10" s="1">
        <f>C10-B10</f>
        <v>200</v>
      </c>
      <c r="AJ10" s="1">
        <f>D10-C10</f>
        <v>170</v>
      </c>
      <c r="AK10" s="1">
        <f>E10-D10</f>
        <v>210</v>
      </c>
      <c r="AL10" s="1">
        <f>F10-E10</f>
        <v>140</v>
      </c>
      <c r="AM10" s="1">
        <f>G10-F10</f>
        <v>140</v>
      </c>
      <c r="AN10" s="1">
        <f>H10-G10</f>
        <v>250</v>
      </c>
      <c r="AO10" s="1">
        <f>I10-H10</f>
        <v>200</v>
      </c>
      <c r="AP10" s="1">
        <f>J10-I10</f>
        <v>190</v>
      </c>
      <c r="AQ10" s="1">
        <f>K10-J10</f>
        <v>160</v>
      </c>
      <c r="AR10" s="1">
        <f>L10-K10</f>
        <v>250</v>
      </c>
      <c r="AS10" s="1">
        <f>M10-L10</f>
        <v>190</v>
      </c>
      <c r="AT10" s="1">
        <f>N10-M10</f>
        <v>160</v>
      </c>
      <c r="AU10" s="1">
        <f>O10-N10</f>
        <v>180</v>
      </c>
      <c r="AV10" s="1">
        <f>P10-O10</f>
        <v>230</v>
      </c>
      <c r="AW10" s="1">
        <f>Q10-P10</f>
        <v>160</v>
      </c>
      <c r="AX10" s="1">
        <f>R10-Q10</f>
        <v>180</v>
      </c>
      <c r="AY10" s="1">
        <f>S10-R10</f>
        <v>160</v>
      </c>
      <c r="AZ10" s="1">
        <f>T10-S10</f>
        <v>240</v>
      </c>
      <c r="BA10" s="1">
        <f>U10-T10</f>
        <v>180</v>
      </c>
      <c r="BB10" s="1">
        <f>V10-U10</f>
        <v>180</v>
      </c>
      <c r="BC10" s="1">
        <f>W10-V10</f>
        <v>250</v>
      </c>
      <c r="BD10" s="1">
        <f>X10-W10</f>
        <v>150</v>
      </c>
      <c r="BE10" s="1">
        <f>Y10-X10</f>
        <v>230</v>
      </c>
      <c r="BF10" s="1">
        <f>Z10-Y10</f>
        <v>370</v>
      </c>
    </row>
    <row r="11" spans="1:58">
      <c r="A11" s="1">
        <v>9</v>
      </c>
      <c r="B11" s="1">
        <v>95450</v>
      </c>
      <c r="C11" s="1">
        <v>95660</v>
      </c>
      <c r="D11" s="1">
        <v>95810</v>
      </c>
      <c r="E11" s="1">
        <v>96000</v>
      </c>
      <c r="F11" s="1">
        <v>96140</v>
      </c>
      <c r="G11" s="1">
        <v>96360</v>
      </c>
      <c r="H11" s="1">
        <v>96560</v>
      </c>
      <c r="I11" s="1">
        <v>96790</v>
      </c>
      <c r="J11" s="1">
        <v>97000</v>
      </c>
      <c r="K11" s="1">
        <v>97160</v>
      </c>
      <c r="L11" s="1">
        <v>97320</v>
      </c>
      <c r="M11" s="1">
        <v>97510</v>
      </c>
      <c r="N11" s="1">
        <v>97740</v>
      </c>
      <c r="O11" s="1">
        <v>97900</v>
      </c>
      <c r="P11" s="1">
        <v>98120</v>
      </c>
      <c r="Q11" s="1">
        <v>98280</v>
      </c>
      <c r="R11" s="1">
        <v>98490</v>
      </c>
      <c r="S11" s="1">
        <v>98660</v>
      </c>
      <c r="T11" s="1">
        <v>98890</v>
      </c>
      <c r="U11" s="1">
        <v>99060</v>
      </c>
      <c r="V11" s="1">
        <v>99270</v>
      </c>
      <c r="W11" s="1">
        <v>99450</v>
      </c>
      <c r="X11" s="1">
        <v>99630</v>
      </c>
      <c r="Y11" s="1">
        <v>99820</v>
      </c>
      <c r="Z11" s="1">
        <v>100150</v>
      </c>
      <c r="AA11" s="5">
        <f>AVERAGE(B11:Y11)</f>
        <v>97627.916666666672</v>
      </c>
      <c r="AB11" s="5">
        <f>(AA12-AA10)/2</f>
        <v>4780.2083333333285</v>
      </c>
      <c r="AC11" s="14">
        <f>AB11/(23+AB151)</f>
        <v>191.50803722504193</v>
      </c>
      <c r="AD11" s="5">
        <f>AA11-AA10</f>
        <v>4778.75</v>
      </c>
      <c r="AE11" s="1">
        <f>AD11-AD10</f>
        <v>-10.833333333343035</v>
      </c>
      <c r="AG11" s="5">
        <f>Z11-Y11</f>
        <v>330</v>
      </c>
      <c r="AI11" s="1">
        <f>C11-B11</f>
        <v>210</v>
      </c>
      <c r="AJ11" s="1">
        <f>D11-C11</f>
        <v>150</v>
      </c>
      <c r="AK11" s="1">
        <f>E11-D11</f>
        <v>190</v>
      </c>
      <c r="AL11" s="1">
        <f>F11-E11</f>
        <v>140</v>
      </c>
      <c r="AM11" s="1">
        <f>G11-F11</f>
        <v>220</v>
      </c>
      <c r="AN11" s="1">
        <f>H11-G11</f>
        <v>200</v>
      </c>
      <c r="AO11" s="1">
        <f>I11-H11</f>
        <v>230</v>
      </c>
      <c r="AP11" s="1">
        <f>J11-I11</f>
        <v>210</v>
      </c>
      <c r="AQ11" s="1">
        <f>K11-J11</f>
        <v>160</v>
      </c>
      <c r="AR11" s="1">
        <f>L11-K11</f>
        <v>160</v>
      </c>
      <c r="AS11" s="1">
        <f>M11-L11</f>
        <v>190</v>
      </c>
      <c r="AT11" s="1">
        <f>N11-M11</f>
        <v>230</v>
      </c>
      <c r="AU11" s="1">
        <f>O11-N11</f>
        <v>160</v>
      </c>
      <c r="AV11" s="1">
        <f>P11-O11</f>
        <v>220</v>
      </c>
      <c r="AW11" s="1">
        <f>Q11-P11</f>
        <v>160</v>
      </c>
      <c r="AX11" s="1">
        <f>R11-Q11</f>
        <v>210</v>
      </c>
      <c r="AY11" s="1">
        <f>S11-R11</f>
        <v>170</v>
      </c>
      <c r="AZ11" s="1">
        <f>T11-S11</f>
        <v>230</v>
      </c>
      <c r="BA11" s="1">
        <f>U11-T11</f>
        <v>170</v>
      </c>
      <c r="BB11" s="1">
        <f>V11-U11</f>
        <v>210</v>
      </c>
      <c r="BC11" s="1">
        <f>W11-V11</f>
        <v>180</v>
      </c>
      <c r="BD11" s="1">
        <f>X11-W11</f>
        <v>180</v>
      </c>
      <c r="BE11" s="1">
        <f>Y11-X11</f>
        <v>190</v>
      </c>
      <c r="BF11" s="1">
        <f>Z11-Y11</f>
        <v>330</v>
      </c>
    </row>
    <row r="12" spans="1:58">
      <c r="A12" s="1">
        <v>10</v>
      </c>
      <c r="B12" s="1">
        <v>100150</v>
      </c>
      <c r="C12" s="1">
        <v>100440</v>
      </c>
      <c r="D12" s="1">
        <v>100610</v>
      </c>
      <c r="E12" s="1">
        <v>100800</v>
      </c>
      <c r="F12" s="1">
        <v>100940</v>
      </c>
      <c r="G12" s="1">
        <v>101160</v>
      </c>
      <c r="H12" s="1">
        <v>101330</v>
      </c>
      <c r="I12" s="1">
        <v>101580</v>
      </c>
      <c r="J12" s="1">
        <v>101730</v>
      </c>
      <c r="K12" s="1">
        <v>101950</v>
      </c>
      <c r="L12" s="1">
        <v>102120</v>
      </c>
      <c r="M12" s="1">
        <v>102320</v>
      </c>
      <c r="N12" s="1">
        <v>102510</v>
      </c>
      <c r="O12" s="1">
        <v>102660</v>
      </c>
      <c r="P12" s="1">
        <v>102880</v>
      </c>
      <c r="Q12" s="1">
        <v>103100</v>
      </c>
      <c r="R12" s="1">
        <v>103280</v>
      </c>
      <c r="S12" s="1">
        <v>103470</v>
      </c>
      <c r="T12" s="1">
        <v>103680</v>
      </c>
      <c r="U12" s="1">
        <v>103840</v>
      </c>
      <c r="V12" s="1">
        <v>104040</v>
      </c>
      <c r="W12" s="1">
        <v>104220</v>
      </c>
      <c r="X12" s="1">
        <v>104420</v>
      </c>
      <c r="Y12" s="1">
        <v>104600</v>
      </c>
      <c r="Z12" s="1">
        <v>104990</v>
      </c>
      <c r="AA12" s="5">
        <f>AVERAGE(B12:Y12)</f>
        <v>102409.58333333333</v>
      </c>
      <c r="AB12" s="5">
        <f>(AA13-AA11)/2</f>
        <v>4783.3333333333285</v>
      </c>
      <c r="AC12" s="14">
        <f>AB12/(23+AB151)</f>
        <v>191.63323315262423</v>
      </c>
      <c r="AD12" s="5">
        <f>AA12-AA11</f>
        <v>4781.666666666657</v>
      </c>
      <c r="AE12" s="1">
        <f>AD12-AD11</f>
        <v>2.9166666666569654</v>
      </c>
      <c r="AG12" s="5">
        <f>Z12-Y12</f>
        <v>390</v>
      </c>
      <c r="AI12" s="1">
        <f>C12-B12</f>
        <v>290</v>
      </c>
      <c r="AJ12" s="1">
        <f>D12-C12</f>
        <v>170</v>
      </c>
      <c r="AK12" s="1">
        <f>E12-D12</f>
        <v>190</v>
      </c>
      <c r="AL12" s="1">
        <f>F12-E12</f>
        <v>140</v>
      </c>
      <c r="AM12" s="1">
        <f>G12-F12</f>
        <v>220</v>
      </c>
      <c r="AN12" s="1">
        <f>H12-G12</f>
        <v>170</v>
      </c>
      <c r="AO12" s="1">
        <f>I12-H12</f>
        <v>250</v>
      </c>
      <c r="AP12" s="1">
        <f>J12-I12</f>
        <v>150</v>
      </c>
      <c r="AQ12" s="1">
        <f>K12-J12</f>
        <v>220</v>
      </c>
      <c r="AR12" s="1">
        <f>L12-K12</f>
        <v>170</v>
      </c>
      <c r="AS12" s="1">
        <f>M12-L12</f>
        <v>200</v>
      </c>
      <c r="AT12" s="1">
        <f>N12-M12</f>
        <v>190</v>
      </c>
      <c r="AU12" s="1">
        <f>O12-N12</f>
        <v>150</v>
      </c>
      <c r="AV12" s="1">
        <f>P12-O12</f>
        <v>220</v>
      </c>
      <c r="AW12" s="1">
        <f>Q12-P12</f>
        <v>220</v>
      </c>
      <c r="AX12" s="1">
        <f>R12-Q12</f>
        <v>180</v>
      </c>
      <c r="AY12" s="1">
        <f>S12-R12</f>
        <v>190</v>
      </c>
      <c r="AZ12" s="1">
        <f>T12-S12</f>
        <v>210</v>
      </c>
      <c r="BA12" s="1">
        <f>U12-T12</f>
        <v>160</v>
      </c>
      <c r="BB12" s="1">
        <f>V12-U12</f>
        <v>200</v>
      </c>
      <c r="BC12" s="1">
        <f>W12-V12</f>
        <v>180</v>
      </c>
      <c r="BD12" s="1">
        <f>X12-W12</f>
        <v>200</v>
      </c>
      <c r="BE12" s="1">
        <f>Y12-X12</f>
        <v>180</v>
      </c>
      <c r="BF12" s="1">
        <f>Z12-Y12</f>
        <v>390</v>
      </c>
    </row>
    <row r="13" spans="1:58">
      <c r="A13" s="1">
        <v>11</v>
      </c>
      <c r="B13" s="1">
        <v>104990</v>
      </c>
      <c r="C13" s="1">
        <v>105180</v>
      </c>
      <c r="D13" s="1">
        <v>105370</v>
      </c>
      <c r="E13" s="1">
        <v>105580</v>
      </c>
      <c r="F13" s="1">
        <v>105710</v>
      </c>
      <c r="G13" s="1">
        <v>105930</v>
      </c>
      <c r="H13" s="1">
        <v>106150</v>
      </c>
      <c r="I13" s="1">
        <v>106350</v>
      </c>
      <c r="J13" s="1">
        <v>106520</v>
      </c>
      <c r="K13" s="1">
        <v>106770</v>
      </c>
      <c r="L13" s="1">
        <v>106930</v>
      </c>
      <c r="M13" s="1">
        <v>107090</v>
      </c>
      <c r="N13" s="1">
        <v>107290</v>
      </c>
      <c r="O13" s="1">
        <v>107460</v>
      </c>
      <c r="P13" s="1">
        <v>107660</v>
      </c>
      <c r="Q13" s="1">
        <v>107850</v>
      </c>
      <c r="R13" s="1">
        <v>108050</v>
      </c>
      <c r="S13" s="1">
        <v>108250</v>
      </c>
      <c r="T13" s="1">
        <v>108470</v>
      </c>
      <c r="U13" s="1">
        <v>108630</v>
      </c>
      <c r="V13" s="1">
        <v>108820</v>
      </c>
      <c r="W13" s="1">
        <v>109000</v>
      </c>
      <c r="X13" s="1">
        <v>109200</v>
      </c>
      <c r="Y13" s="1">
        <v>109420</v>
      </c>
      <c r="Z13" s="1">
        <v>109790</v>
      </c>
      <c r="AA13" s="5">
        <f>AVERAGE(B13:Y13)</f>
        <v>107194.58333333333</v>
      </c>
      <c r="AB13" s="5">
        <f>(AA14-AA12)/2</f>
        <v>4783.9583333333358</v>
      </c>
      <c r="AC13" s="14">
        <f>AB13/(23+AB151)</f>
        <v>191.65827233814099</v>
      </c>
      <c r="AD13" s="5">
        <f>AA13-AA12</f>
        <v>4785</v>
      </c>
      <c r="AE13" s="1">
        <f>AD13-AD12</f>
        <v>3.3333333333430346</v>
      </c>
      <c r="AG13" s="5">
        <f>Z13-Y13</f>
        <v>370</v>
      </c>
      <c r="AI13" s="1">
        <f>C13-B13</f>
        <v>190</v>
      </c>
      <c r="AJ13" s="1">
        <f>D13-C13</f>
        <v>190</v>
      </c>
      <c r="AK13" s="1">
        <f>E13-D13</f>
        <v>210</v>
      </c>
      <c r="AL13" s="1">
        <f>F13-E13</f>
        <v>130</v>
      </c>
      <c r="AM13" s="1">
        <f>G13-F13</f>
        <v>220</v>
      </c>
      <c r="AN13" s="1">
        <f>H13-G13</f>
        <v>220</v>
      </c>
      <c r="AO13" s="1">
        <f>I13-H13</f>
        <v>200</v>
      </c>
      <c r="AP13" s="1">
        <f>J13-I13</f>
        <v>170</v>
      </c>
      <c r="AQ13" s="1">
        <f>K13-J13</f>
        <v>250</v>
      </c>
      <c r="AR13" s="1">
        <f>L13-K13</f>
        <v>160</v>
      </c>
      <c r="AS13" s="1">
        <f>M13-L13</f>
        <v>160</v>
      </c>
      <c r="AT13" s="1">
        <f>N13-M13</f>
        <v>200</v>
      </c>
      <c r="AU13" s="1">
        <f>O13-N13</f>
        <v>170</v>
      </c>
      <c r="AV13" s="1">
        <f>P13-O13</f>
        <v>200</v>
      </c>
      <c r="AW13" s="1">
        <f>Q13-P13</f>
        <v>190</v>
      </c>
      <c r="AX13" s="1">
        <f>R13-Q13</f>
        <v>200</v>
      </c>
      <c r="AY13" s="1">
        <f>S13-R13</f>
        <v>200</v>
      </c>
      <c r="AZ13" s="1">
        <f>T13-S13</f>
        <v>220</v>
      </c>
      <c r="BA13" s="1">
        <f>U13-T13</f>
        <v>160</v>
      </c>
      <c r="BB13" s="1">
        <f>V13-U13</f>
        <v>190</v>
      </c>
      <c r="BC13" s="1">
        <f>W13-V13</f>
        <v>180</v>
      </c>
      <c r="BD13" s="1">
        <f>X13-W13</f>
        <v>200</v>
      </c>
      <c r="BE13" s="1">
        <f>Y13-X13</f>
        <v>220</v>
      </c>
      <c r="BF13" s="1">
        <f>Z13-Y13</f>
        <v>370</v>
      </c>
    </row>
    <row r="14" spans="1:58">
      <c r="A14" s="1">
        <v>12</v>
      </c>
      <c r="B14" s="1">
        <v>109790</v>
      </c>
      <c r="C14" s="1">
        <v>109980</v>
      </c>
      <c r="D14" s="1">
        <v>110130</v>
      </c>
      <c r="E14" s="1">
        <v>110340</v>
      </c>
      <c r="F14" s="1">
        <v>110540</v>
      </c>
      <c r="G14" s="1">
        <v>110750</v>
      </c>
      <c r="H14" s="1">
        <v>110930</v>
      </c>
      <c r="I14" s="1">
        <v>111130</v>
      </c>
      <c r="J14" s="1">
        <v>111310</v>
      </c>
      <c r="K14" s="1">
        <v>111490</v>
      </c>
      <c r="L14" s="1">
        <v>111640</v>
      </c>
      <c r="M14" s="1">
        <v>111880</v>
      </c>
      <c r="N14" s="1">
        <v>112060</v>
      </c>
      <c r="O14" s="1">
        <v>112250</v>
      </c>
      <c r="P14" s="1">
        <v>112430</v>
      </c>
      <c r="Q14" s="1">
        <v>112680</v>
      </c>
      <c r="R14" s="1">
        <v>112860</v>
      </c>
      <c r="S14" s="1">
        <v>113040</v>
      </c>
      <c r="T14" s="1">
        <v>113230</v>
      </c>
      <c r="U14" s="1">
        <v>113390</v>
      </c>
      <c r="V14" s="1">
        <v>113630</v>
      </c>
      <c r="W14" s="1">
        <v>113810</v>
      </c>
      <c r="X14" s="1">
        <v>113990</v>
      </c>
      <c r="Y14" s="1">
        <v>114180</v>
      </c>
      <c r="Z14" s="1">
        <v>114490</v>
      </c>
      <c r="AA14" s="5">
        <f>AVERAGE(B14:Y14)</f>
        <v>111977.5</v>
      </c>
      <c r="AB14" s="5">
        <f>(AA15-AA13)/2</f>
        <v>4778.5416666666715</v>
      </c>
      <c r="AC14" s="14">
        <f>AB14/(23+AB151)</f>
        <v>191.44126606366513</v>
      </c>
      <c r="AD14" s="5">
        <f>AA14-AA13</f>
        <v>4782.9166666666715</v>
      </c>
      <c r="AE14" s="1">
        <f>AD14-AD13</f>
        <v>-2.0833333333284827</v>
      </c>
      <c r="AG14" s="5">
        <f>Z14-Y14</f>
        <v>310</v>
      </c>
      <c r="AI14" s="1">
        <f>C14-B14</f>
        <v>190</v>
      </c>
      <c r="AJ14" s="1">
        <f>D14-C14</f>
        <v>150</v>
      </c>
      <c r="AK14" s="1">
        <f>E14-D14</f>
        <v>210</v>
      </c>
      <c r="AL14" s="1">
        <f>F14-E14</f>
        <v>200</v>
      </c>
      <c r="AM14" s="1">
        <f>G14-F14</f>
        <v>210</v>
      </c>
      <c r="AN14" s="1">
        <f>H14-G14</f>
        <v>180</v>
      </c>
      <c r="AO14" s="1">
        <f>I14-H14</f>
        <v>200</v>
      </c>
      <c r="AP14" s="1">
        <f>J14-I14</f>
        <v>180</v>
      </c>
      <c r="AQ14" s="1">
        <f>K14-J14</f>
        <v>180</v>
      </c>
      <c r="AR14" s="1">
        <f>L14-K14</f>
        <v>150</v>
      </c>
      <c r="AS14" s="1">
        <f>M14-L14</f>
        <v>240</v>
      </c>
      <c r="AT14" s="1">
        <f>N14-M14</f>
        <v>180</v>
      </c>
      <c r="AU14" s="1">
        <f>O14-N14</f>
        <v>190</v>
      </c>
      <c r="AV14" s="1">
        <f>P14-O14</f>
        <v>180</v>
      </c>
      <c r="AW14" s="1">
        <f>Q14-P14</f>
        <v>250</v>
      </c>
      <c r="AX14" s="1">
        <f>R14-Q14</f>
        <v>180</v>
      </c>
      <c r="AY14" s="1">
        <f>S14-R14</f>
        <v>180</v>
      </c>
      <c r="AZ14" s="1">
        <f>T14-S14</f>
        <v>190</v>
      </c>
      <c r="BA14" s="1">
        <f>U14-T14</f>
        <v>160</v>
      </c>
      <c r="BB14" s="1">
        <f>V14-U14</f>
        <v>240</v>
      </c>
      <c r="BC14" s="1">
        <f>W14-V14</f>
        <v>180</v>
      </c>
      <c r="BD14" s="1">
        <f>X14-W14</f>
        <v>180</v>
      </c>
      <c r="BE14" s="1">
        <f>Y14-X14</f>
        <v>190</v>
      </c>
      <c r="BF14" s="1">
        <f>Z14-Y14</f>
        <v>310</v>
      </c>
    </row>
    <row r="15" spans="1:58">
      <c r="A15" s="1">
        <v>13</v>
      </c>
      <c r="B15" s="1">
        <v>114490</v>
      </c>
      <c r="C15" s="1">
        <v>114700</v>
      </c>
      <c r="D15" s="1">
        <v>114920</v>
      </c>
      <c r="E15" s="1">
        <v>115130</v>
      </c>
      <c r="F15" s="1">
        <v>115310</v>
      </c>
      <c r="G15" s="1">
        <v>115540</v>
      </c>
      <c r="H15" s="1">
        <v>115670</v>
      </c>
      <c r="I15" s="1">
        <v>115900</v>
      </c>
      <c r="J15" s="1">
        <v>116090</v>
      </c>
      <c r="K15" s="1">
        <v>116300</v>
      </c>
      <c r="L15" s="1">
        <v>116500</v>
      </c>
      <c r="M15" s="1">
        <v>116700</v>
      </c>
      <c r="N15" s="1">
        <v>116840</v>
      </c>
      <c r="O15" s="1">
        <v>117030</v>
      </c>
      <c r="P15" s="1">
        <v>117200</v>
      </c>
      <c r="Q15" s="1">
        <v>117410</v>
      </c>
      <c r="R15" s="1">
        <v>117630</v>
      </c>
      <c r="S15" s="1">
        <v>117800</v>
      </c>
      <c r="T15" s="1">
        <v>118010</v>
      </c>
      <c r="U15" s="1">
        <v>118190</v>
      </c>
      <c r="V15" s="1">
        <v>118380</v>
      </c>
      <c r="W15" s="1">
        <v>118570</v>
      </c>
      <c r="X15" s="1">
        <v>118750</v>
      </c>
      <c r="Y15" s="1">
        <v>118980</v>
      </c>
      <c r="Z15" s="1">
        <v>119280</v>
      </c>
      <c r="AA15" s="5">
        <f>AVERAGE(B15:Y15)</f>
        <v>116751.66666666667</v>
      </c>
      <c r="AB15" s="5">
        <f>(AA16-AA14)/2</f>
        <v>4769.7916666666642</v>
      </c>
      <c r="AC15" s="14">
        <f>AB15/(23+AB151)</f>
        <v>191.0907174664344</v>
      </c>
      <c r="AD15" s="5">
        <f>AA15-AA14</f>
        <v>4774.1666666666715</v>
      </c>
      <c r="AE15" s="1">
        <f>AD15-AD14</f>
        <v>-8.75</v>
      </c>
      <c r="AG15" s="5">
        <f>Z15-Y15</f>
        <v>300</v>
      </c>
      <c r="AI15" s="1">
        <f>C15-B15</f>
        <v>210</v>
      </c>
      <c r="AJ15" s="1">
        <f>D15-C15</f>
        <v>220</v>
      </c>
      <c r="AK15" s="1">
        <f>E15-D15</f>
        <v>210</v>
      </c>
      <c r="AL15" s="1">
        <f>F15-E15</f>
        <v>180</v>
      </c>
      <c r="AM15" s="1">
        <f>G15-F15</f>
        <v>230</v>
      </c>
      <c r="AN15" s="1">
        <f>H15-G15</f>
        <v>130</v>
      </c>
      <c r="AO15" s="1">
        <f>I15-H15</f>
        <v>230</v>
      </c>
      <c r="AP15" s="1">
        <f>J15-I15</f>
        <v>190</v>
      </c>
      <c r="AQ15" s="1">
        <f>K15-J15</f>
        <v>210</v>
      </c>
      <c r="AR15" s="1">
        <f>L15-K15</f>
        <v>200</v>
      </c>
      <c r="AS15" s="1">
        <f>M15-L15</f>
        <v>200</v>
      </c>
      <c r="AT15" s="1">
        <f>N15-M15</f>
        <v>140</v>
      </c>
      <c r="AU15" s="1">
        <f>O15-N15</f>
        <v>190</v>
      </c>
      <c r="AV15" s="1">
        <f>P15-O15</f>
        <v>170</v>
      </c>
      <c r="AW15" s="1">
        <f>Q15-P15</f>
        <v>210</v>
      </c>
      <c r="AX15" s="1">
        <f>R15-Q15</f>
        <v>220</v>
      </c>
      <c r="AY15" s="1">
        <f>S15-R15</f>
        <v>170</v>
      </c>
      <c r="AZ15" s="1">
        <f>T15-S15</f>
        <v>210</v>
      </c>
      <c r="BA15" s="1">
        <f>U15-T15</f>
        <v>180</v>
      </c>
      <c r="BB15" s="1">
        <f>V15-U15</f>
        <v>190</v>
      </c>
      <c r="BC15" s="1">
        <f>W15-V15</f>
        <v>190</v>
      </c>
      <c r="BD15" s="1">
        <f>X15-W15</f>
        <v>180</v>
      </c>
      <c r="BE15" s="1">
        <f>Y15-X15</f>
        <v>230</v>
      </c>
      <c r="BF15" s="1">
        <f>Z15-Y15</f>
        <v>300</v>
      </c>
    </row>
    <row r="16" spans="1:58">
      <c r="A16" s="1">
        <v>14</v>
      </c>
      <c r="B16" s="1">
        <v>119280</v>
      </c>
      <c r="C16" s="1">
        <v>119490</v>
      </c>
      <c r="D16" s="1">
        <v>119670</v>
      </c>
      <c r="E16" s="1">
        <v>119900</v>
      </c>
      <c r="F16" s="1">
        <v>120070</v>
      </c>
      <c r="G16" s="1">
        <v>120290</v>
      </c>
      <c r="H16" s="1">
        <v>120450</v>
      </c>
      <c r="I16" s="1">
        <v>120680</v>
      </c>
      <c r="J16" s="1">
        <v>120860</v>
      </c>
      <c r="K16" s="1">
        <v>121080</v>
      </c>
      <c r="L16" s="1">
        <v>121250</v>
      </c>
      <c r="M16" s="1">
        <v>121390</v>
      </c>
      <c r="N16" s="1">
        <v>121590</v>
      </c>
      <c r="O16" s="1">
        <v>121800</v>
      </c>
      <c r="P16" s="1">
        <v>121990</v>
      </c>
      <c r="Q16" s="1">
        <v>122200</v>
      </c>
      <c r="R16" s="1">
        <v>122360</v>
      </c>
      <c r="S16" s="1">
        <v>122550</v>
      </c>
      <c r="T16" s="1">
        <v>122780</v>
      </c>
      <c r="U16" s="1">
        <v>122940</v>
      </c>
      <c r="V16" s="1">
        <v>123140</v>
      </c>
      <c r="W16" s="1">
        <v>123370</v>
      </c>
      <c r="X16" s="1">
        <v>123530</v>
      </c>
      <c r="Y16" s="1">
        <v>123750</v>
      </c>
      <c r="Z16" s="1">
        <v>124100</v>
      </c>
      <c r="AA16" s="5">
        <f>AVERAGE(B16:Y16)</f>
        <v>121517.08333333333</v>
      </c>
      <c r="AB16" s="5">
        <f>(AA17-AA15)/2</f>
        <v>4761.25</v>
      </c>
      <c r="AC16" s="14">
        <f>AB16/(23+AB151)</f>
        <v>190.74851526437624</v>
      </c>
      <c r="AD16" s="5">
        <f>AA16-AA15</f>
        <v>4765.416666666657</v>
      </c>
      <c r="AE16" s="1">
        <f>AD16-AD15</f>
        <v>-8.7500000000145519</v>
      </c>
      <c r="AG16" s="5">
        <f>Z16-Y16</f>
        <v>350</v>
      </c>
      <c r="AI16" s="1">
        <f>C16-B16</f>
        <v>210</v>
      </c>
      <c r="AJ16" s="1">
        <f>D16-C16</f>
        <v>180</v>
      </c>
      <c r="AK16" s="1">
        <f>E16-D16</f>
        <v>230</v>
      </c>
      <c r="AL16" s="1">
        <f>F16-E16</f>
        <v>170</v>
      </c>
      <c r="AM16" s="1">
        <f>G16-F16</f>
        <v>220</v>
      </c>
      <c r="AN16" s="1">
        <f>H16-G16</f>
        <v>160</v>
      </c>
      <c r="AO16" s="1">
        <f>I16-H16</f>
        <v>230</v>
      </c>
      <c r="AP16" s="1">
        <f>J16-I16</f>
        <v>180</v>
      </c>
      <c r="AQ16" s="1">
        <f>K16-J16</f>
        <v>220</v>
      </c>
      <c r="AR16" s="1">
        <f>L16-K16</f>
        <v>170</v>
      </c>
      <c r="AS16" s="1">
        <f>M16-L16</f>
        <v>140</v>
      </c>
      <c r="AT16" s="1">
        <f>N16-M16</f>
        <v>200</v>
      </c>
      <c r="AU16" s="1">
        <f>O16-N16</f>
        <v>210</v>
      </c>
      <c r="AV16" s="1">
        <f>P16-O16</f>
        <v>190</v>
      </c>
      <c r="AW16" s="1">
        <f>Q16-P16</f>
        <v>210</v>
      </c>
      <c r="AX16" s="1">
        <f>R16-Q16</f>
        <v>160</v>
      </c>
      <c r="AY16" s="1">
        <f>S16-R16</f>
        <v>190</v>
      </c>
      <c r="AZ16" s="1">
        <f>T16-S16</f>
        <v>230</v>
      </c>
      <c r="BA16" s="1">
        <f>U16-T16</f>
        <v>160</v>
      </c>
      <c r="BB16" s="1">
        <f>V16-U16</f>
        <v>200</v>
      </c>
      <c r="BC16" s="1">
        <f>W16-V16</f>
        <v>230</v>
      </c>
      <c r="BD16" s="1">
        <f>X16-W16</f>
        <v>160</v>
      </c>
      <c r="BE16" s="1">
        <f>Y16-X16</f>
        <v>220</v>
      </c>
      <c r="BF16" s="1">
        <f>Z16-Y16</f>
        <v>350</v>
      </c>
    </row>
    <row r="17" spans="1:58">
      <c r="A17" s="1">
        <v>15</v>
      </c>
      <c r="B17" s="1">
        <v>124100</v>
      </c>
      <c r="C17" s="1">
        <v>124270</v>
      </c>
      <c r="D17" s="1">
        <v>124450</v>
      </c>
      <c r="E17" s="1">
        <v>124640</v>
      </c>
      <c r="F17" s="1">
        <v>124820</v>
      </c>
      <c r="G17" s="1">
        <v>125020</v>
      </c>
      <c r="H17" s="1">
        <v>125200</v>
      </c>
      <c r="I17" s="1">
        <v>125480</v>
      </c>
      <c r="J17" s="1">
        <v>125640</v>
      </c>
      <c r="K17" s="1">
        <v>125800</v>
      </c>
      <c r="L17" s="1">
        <v>126010</v>
      </c>
      <c r="M17" s="1">
        <v>126200</v>
      </c>
      <c r="N17" s="1">
        <v>126340</v>
      </c>
      <c r="O17" s="1">
        <v>126520</v>
      </c>
      <c r="P17" s="1">
        <v>126730</v>
      </c>
      <c r="Q17" s="1">
        <v>126970</v>
      </c>
      <c r="R17" s="1">
        <v>127080</v>
      </c>
      <c r="S17" s="1">
        <v>127290</v>
      </c>
      <c r="T17" s="1">
        <v>127520</v>
      </c>
      <c r="U17" s="1">
        <v>127690</v>
      </c>
      <c r="V17" s="1">
        <v>127900</v>
      </c>
      <c r="W17" s="1">
        <v>128100</v>
      </c>
      <c r="X17" s="1">
        <v>128290</v>
      </c>
      <c r="Y17" s="1">
        <v>128520</v>
      </c>
      <c r="Z17" s="1">
        <v>128860</v>
      </c>
      <c r="AA17" s="5">
        <f>AVERAGE(B17:Y17)</f>
        <v>126274.16666666667</v>
      </c>
      <c r="AB17" s="5">
        <f>(AA18-AA16)/2</f>
        <v>4771.875</v>
      </c>
      <c r="AC17" s="14">
        <f>AB17/(23+AB151)</f>
        <v>191.17418141815602</v>
      </c>
      <c r="AD17" s="5">
        <f>AA17-AA16</f>
        <v>4757.083333333343</v>
      </c>
      <c r="AE17" s="1">
        <f>AD17-AD16</f>
        <v>-8.3333333333139308</v>
      </c>
      <c r="AG17" s="5">
        <f>Z17-Y17</f>
        <v>340</v>
      </c>
      <c r="AI17" s="1">
        <f>C17-B17</f>
        <v>170</v>
      </c>
      <c r="AJ17" s="1">
        <f>D17-C17</f>
        <v>180</v>
      </c>
      <c r="AK17" s="1">
        <f>E17-D17</f>
        <v>190</v>
      </c>
      <c r="AL17" s="1">
        <f>F17-E17</f>
        <v>180</v>
      </c>
      <c r="AM17" s="1">
        <f>G17-F17</f>
        <v>200</v>
      </c>
      <c r="AN17" s="1">
        <f>H17-G17</f>
        <v>180</v>
      </c>
      <c r="AO17" s="1">
        <f>I17-H17</f>
        <v>280</v>
      </c>
      <c r="AP17" s="1">
        <f>J17-I17</f>
        <v>160</v>
      </c>
      <c r="AQ17" s="1">
        <f>K17-J17</f>
        <v>160</v>
      </c>
      <c r="AR17" s="1">
        <f>L17-K17</f>
        <v>210</v>
      </c>
      <c r="AS17" s="1">
        <f>M17-L17</f>
        <v>190</v>
      </c>
      <c r="AT17" s="1">
        <f>N17-M17</f>
        <v>140</v>
      </c>
      <c r="AU17" s="1">
        <f>O17-N17</f>
        <v>180</v>
      </c>
      <c r="AV17" s="1">
        <f>P17-O17</f>
        <v>210</v>
      </c>
      <c r="AW17" s="1">
        <f>Q17-P17</f>
        <v>240</v>
      </c>
      <c r="AX17" s="1">
        <f>R17-Q17</f>
        <v>110</v>
      </c>
      <c r="AY17" s="1">
        <f>S17-R17</f>
        <v>210</v>
      </c>
      <c r="AZ17" s="1">
        <f>T17-S17</f>
        <v>230</v>
      </c>
      <c r="BA17" s="1">
        <f>U17-T17</f>
        <v>170</v>
      </c>
      <c r="BB17" s="1">
        <f>V17-U17</f>
        <v>210</v>
      </c>
      <c r="BC17" s="1">
        <f>W17-V17</f>
        <v>200</v>
      </c>
      <c r="BD17" s="1">
        <f>X17-W17</f>
        <v>190</v>
      </c>
      <c r="BE17" s="1">
        <f>Y17-X17</f>
        <v>230</v>
      </c>
      <c r="BF17" s="1">
        <f>Z17-Y17</f>
        <v>340</v>
      </c>
    </row>
    <row r="18" spans="1:58">
      <c r="A18" s="1">
        <v>16</v>
      </c>
      <c r="B18" s="1">
        <v>128860</v>
      </c>
      <c r="C18" s="1">
        <v>129060</v>
      </c>
      <c r="D18" s="1">
        <v>129200</v>
      </c>
      <c r="E18" s="1">
        <v>129450</v>
      </c>
      <c r="F18" s="1">
        <v>129620</v>
      </c>
      <c r="G18" s="1">
        <v>129820</v>
      </c>
      <c r="H18" s="1">
        <v>130000</v>
      </c>
      <c r="I18" s="1">
        <v>130230</v>
      </c>
      <c r="J18" s="1">
        <v>130390</v>
      </c>
      <c r="K18" s="1">
        <v>130590</v>
      </c>
      <c r="L18" s="1">
        <v>130750</v>
      </c>
      <c r="M18" s="1">
        <v>130970</v>
      </c>
      <c r="N18" s="1">
        <v>131140</v>
      </c>
      <c r="O18" s="1">
        <v>131320</v>
      </c>
      <c r="P18" s="1">
        <v>131560</v>
      </c>
      <c r="Q18" s="1">
        <v>131710</v>
      </c>
      <c r="R18" s="1">
        <v>131930</v>
      </c>
      <c r="S18" s="1">
        <v>132100</v>
      </c>
      <c r="T18" s="1">
        <v>132270</v>
      </c>
      <c r="U18" s="1">
        <v>132470</v>
      </c>
      <c r="V18" s="1">
        <v>132720</v>
      </c>
      <c r="W18" s="1">
        <v>132910</v>
      </c>
      <c r="X18" s="1">
        <v>133100</v>
      </c>
      <c r="Y18" s="1">
        <v>133290</v>
      </c>
      <c r="Z18" s="1">
        <v>133620</v>
      </c>
      <c r="AA18" s="5">
        <f>AVERAGE(B18:Y18)</f>
        <v>131060.83333333333</v>
      </c>
      <c r="AB18" s="5">
        <f>(AA19-AA17)/2</f>
        <v>4778.1249999999927</v>
      </c>
      <c r="AC18" s="14">
        <f>AB18/(23+AB151)</f>
        <v>191.42457327332033</v>
      </c>
      <c r="AD18" s="5">
        <f>AA18-AA17</f>
        <v>4786.666666666657</v>
      </c>
      <c r="AE18" s="1">
        <f>AD18-AD17</f>
        <v>29.583333333313931</v>
      </c>
      <c r="AG18" s="5">
        <f>Z18-Y18</f>
        <v>330</v>
      </c>
      <c r="AI18" s="1">
        <f>C18-B18</f>
        <v>200</v>
      </c>
      <c r="AJ18" s="1">
        <f>D18-C18</f>
        <v>140</v>
      </c>
      <c r="AK18" s="1">
        <f>E18-D18</f>
        <v>250</v>
      </c>
      <c r="AL18" s="1">
        <f>F18-E18</f>
        <v>170</v>
      </c>
      <c r="AM18" s="1">
        <f>G18-F18</f>
        <v>200</v>
      </c>
      <c r="AN18" s="1">
        <f>H18-G18</f>
        <v>180</v>
      </c>
      <c r="AO18" s="1">
        <f>I18-H18</f>
        <v>230</v>
      </c>
      <c r="AP18" s="1">
        <f>J18-I18</f>
        <v>160</v>
      </c>
      <c r="AQ18" s="1">
        <f>K18-J18</f>
        <v>200</v>
      </c>
      <c r="AR18" s="1">
        <f>L18-K18</f>
        <v>160</v>
      </c>
      <c r="AS18" s="1">
        <f>M18-L18</f>
        <v>220</v>
      </c>
      <c r="AT18" s="1">
        <f>N18-M18</f>
        <v>170</v>
      </c>
      <c r="AU18" s="1">
        <f>O18-N18</f>
        <v>180</v>
      </c>
      <c r="AV18" s="1">
        <f>P18-O18</f>
        <v>240</v>
      </c>
      <c r="AW18" s="1">
        <f>Q18-P18</f>
        <v>150</v>
      </c>
      <c r="AX18" s="1">
        <f>R18-Q18</f>
        <v>220</v>
      </c>
      <c r="AY18" s="1">
        <f>S18-R18</f>
        <v>170</v>
      </c>
      <c r="AZ18" s="1">
        <f>T18-S18</f>
        <v>170</v>
      </c>
      <c r="BA18" s="1">
        <f>U18-T18</f>
        <v>200</v>
      </c>
      <c r="BB18" s="1">
        <f>V18-U18</f>
        <v>250</v>
      </c>
      <c r="BC18" s="1">
        <f>W18-V18</f>
        <v>190</v>
      </c>
      <c r="BD18" s="1">
        <f>X18-W18</f>
        <v>190</v>
      </c>
      <c r="BE18" s="1">
        <f>Y18-X18</f>
        <v>190</v>
      </c>
      <c r="BF18" s="1">
        <f>Z18-Y18</f>
        <v>330</v>
      </c>
    </row>
    <row r="19" spans="1:58">
      <c r="A19" s="1">
        <v>17</v>
      </c>
      <c r="B19" s="1">
        <v>133620</v>
      </c>
      <c r="C19" s="1">
        <v>133790</v>
      </c>
      <c r="D19" s="1">
        <v>133990</v>
      </c>
      <c r="E19" s="1">
        <v>134210</v>
      </c>
      <c r="F19" s="1">
        <v>134390</v>
      </c>
      <c r="G19" s="1">
        <v>134570</v>
      </c>
      <c r="H19" s="1">
        <v>134790</v>
      </c>
      <c r="I19" s="1">
        <v>134940</v>
      </c>
      <c r="J19" s="1">
        <v>135190</v>
      </c>
      <c r="K19" s="1">
        <v>135380</v>
      </c>
      <c r="L19" s="1">
        <v>135520</v>
      </c>
      <c r="M19" s="1">
        <v>135760</v>
      </c>
      <c r="N19" s="1">
        <v>135950</v>
      </c>
      <c r="O19" s="1">
        <v>136130</v>
      </c>
      <c r="P19" s="1">
        <v>136300</v>
      </c>
      <c r="Q19" s="1">
        <v>136490</v>
      </c>
      <c r="R19" s="1">
        <v>136660</v>
      </c>
      <c r="S19" s="1">
        <v>136800</v>
      </c>
      <c r="T19" s="1">
        <v>137030</v>
      </c>
      <c r="U19" s="1">
        <v>137270</v>
      </c>
      <c r="V19" s="1">
        <v>137480</v>
      </c>
      <c r="W19" s="1">
        <v>137690</v>
      </c>
      <c r="X19" s="1">
        <v>137890</v>
      </c>
      <c r="Y19" s="1">
        <v>138090</v>
      </c>
      <c r="Z19" s="1">
        <v>138460</v>
      </c>
      <c r="AA19" s="5">
        <f>AVERAGE(B19:Y19)</f>
        <v>135830.41666666666</v>
      </c>
      <c r="AB19" s="5">
        <f>(AA20-AA18)/2</f>
        <v>4780.6250000000073</v>
      </c>
      <c r="AC19" s="14">
        <f>AB19/(23+AB151)</f>
        <v>191.52473001538672</v>
      </c>
      <c r="AD19" s="5">
        <f>AA19-AA18</f>
        <v>4769.5833333333285</v>
      </c>
      <c r="AE19" s="1">
        <f>AD19-AD18</f>
        <v>-17.083333333328483</v>
      </c>
      <c r="AG19" s="5">
        <f>Z19-Y19</f>
        <v>370</v>
      </c>
      <c r="AI19" s="1">
        <f>C19-B19</f>
        <v>170</v>
      </c>
      <c r="AJ19" s="1">
        <f>D19-C19</f>
        <v>200</v>
      </c>
      <c r="AK19" s="1">
        <f>E19-D19</f>
        <v>220</v>
      </c>
      <c r="AL19" s="1">
        <f>F19-E19</f>
        <v>180</v>
      </c>
      <c r="AM19" s="1">
        <f>G19-F19</f>
        <v>180</v>
      </c>
      <c r="AN19" s="1">
        <f>H19-G19</f>
        <v>220</v>
      </c>
      <c r="AO19" s="1">
        <f>I19-H19</f>
        <v>150</v>
      </c>
      <c r="AP19" s="1">
        <f>J19-I19</f>
        <v>250</v>
      </c>
      <c r="AQ19" s="1">
        <f>K19-J19</f>
        <v>190</v>
      </c>
      <c r="AR19" s="1">
        <f>L19-K19</f>
        <v>140</v>
      </c>
      <c r="AS19" s="1">
        <f>M19-L19</f>
        <v>240</v>
      </c>
      <c r="AT19" s="1">
        <f>N19-M19</f>
        <v>190</v>
      </c>
      <c r="AU19" s="1">
        <f>O19-N19</f>
        <v>180</v>
      </c>
      <c r="AV19" s="1">
        <f>P19-O19</f>
        <v>170</v>
      </c>
      <c r="AW19" s="1">
        <f>Q19-P19</f>
        <v>190</v>
      </c>
      <c r="AX19" s="1">
        <f>R19-Q19</f>
        <v>170</v>
      </c>
      <c r="AY19" s="1">
        <f>S19-R19</f>
        <v>140</v>
      </c>
      <c r="AZ19" s="1">
        <f>T19-S19</f>
        <v>230</v>
      </c>
      <c r="BA19" s="1">
        <f>U19-T19</f>
        <v>240</v>
      </c>
      <c r="BB19" s="1">
        <f>V19-U19</f>
        <v>210</v>
      </c>
      <c r="BC19" s="1">
        <f>W19-V19</f>
        <v>210</v>
      </c>
      <c r="BD19" s="1">
        <f>X19-W19</f>
        <v>200</v>
      </c>
      <c r="BE19" s="1">
        <f>Y19-X19</f>
        <v>200</v>
      </c>
      <c r="BF19" s="1">
        <f>Z19-Y19</f>
        <v>370</v>
      </c>
    </row>
    <row r="20" spans="1:58">
      <c r="A20" s="1">
        <v>18</v>
      </c>
      <c r="B20" s="1">
        <v>138460</v>
      </c>
      <c r="C20" s="1">
        <v>138590</v>
      </c>
      <c r="D20" s="1">
        <v>138780</v>
      </c>
      <c r="E20" s="1">
        <v>138990</v>
      </c>
      <c r="F20" s="1">
        <v>139190</v>
      </c>
      <c r="G20" s="1">
        <v>139370</v>
      </c>
      <c r="H20" s="1">
        <v>139560</v>
      </c>
      <c r="I20" s="1">
        <v>139740</v>
      </c>
      <c r="J20" s="1">
        <v>139930</v>
      </c>
      <c r="K20" s="1">
        <v>140130</v>
      </c>
      <c r="L20" s="1">
        <v>140300</v>
      </c>
      <c r="M20" s="1">
        <v>140510</v>
      </c>
      <c r="N20" s="1">
        <v>140750</v>
      </c>
      <c r="O20" s="1">
        <v>140920</v>
      </c>
      <c r="P20" s="1">
        <v>141110</v>
      </c>
      <c r="Q20" s="1">
        <v>141310</v>
      </c>
      <c r="R20" s="1">
        <v>141500</v>
      </c>
      <c r="S20" s="1">
        <v>141650</v>
      </c>
      <c r="T20" s="1">
        <v>141820</v>
      </c>
      <c r="U20" s="1">
        <v>142070</v>
      </c>
      <c r="V20" s="1">
        <v>142270</v>
      </c>
      <c r="W20" s="1">
        <v>142450</v>
      </c>
      <c r="X20" s="1">
        <v>142660</v>
      </c>
      <c r="Y20" s="1">
        <v>142870</v>
      </c>
      <c r="Z20" s="1">
        <v>143210</v>
      </c>
      <c r="AA20" s="5">
        <f>AVERAGE(B20:Y20)</f>
        <v>140622.08333333334</v>
      </c>
      <c r="AB20" s="5">
        <f>(AA21-AA19)/2</f>
        <v>4794.375</v>
      </c>
      <c r="AC20" s="14">
        <f>AB20/(23+AB151)</f>
        <v>192.07559209674852</v>
      </c>
      <c r="AD20" s="5">
        <f>AA20-AA19</f>
        <v>4791.6666666666861</v>
      </c>
      <c r="AE20" s="1">
        <f>AD20-AD19</f>
        <v>22.083333333357587</v>
      </c>
      <c r="AG20" s="5">
        <f>Z20-Y20</f>
        <v>340</v>
      </c>
      <c r="AI20" s="1">
        <f>C20-B20</f>
        <v>130</v>
      </c>
      <c r="AJ20" s="1">
        <f>D20-C20</f>
        <v>190</v>
      </c>
      <c r="AK20" s="1">
        <f>E20-D20</f>
        <v>210</v>
      </c>
      <c r="AL20" s="1">
        <f>F20-E20</f>
        <v>200</v>
      </c>
      <c r="AM20" s="1">
        <f>G20-F20</f>
        <v>180</v>
      </c>
      <c r="AN20" s="1">
        <f>H20-G20</f>
        <v>190</v>
      </c>
      <c r="AO20" s="1">
        <f>I20-H20</f>
        <v>180</v>
      </c>
      <c r="AP20" s="1">
        <f>J20-I20</f>
        <v>190</v>
      </c>
      <c r="AQ20" s="1">
        <f>K20-J20</f>
        <v>200</v>
      </c>
      <c r="AR20" s="1">
        <f>L20-K20</f>
        <v>170</v>
      </c>
      <c r="AS20" s="1">
        <f>M20-L20</f>
        <v>210</v>
      </c>
      <c r="AT20" s="1">
        <f>N20-M20</f>
        <v>240</v>
      </c>
      <c r="AU20" s="1">
        <f>O20-N20</f>
        <v>170</v>
      </c>
      <c r="AV20" s="1">
        <f>P20-O20</f>
        <v>190</v>
      </c>
      <c r="AW20" s="1">
        <f>Q20-P20</f>
        <v>200</v>
      </c>
      <c r="AX20" s="1">
        <f>R20-Q20</f>
        <v>190</v>
      </c>
      <c r="AY20" s="1">
        <f>S20-R20</f>
        <v>150</v>
      </c>
      <c r="AZ20" s="1">
        <f>T20-S20</f>
        <v>170</v>
      </c>
      <c r="BA20" s="1">
        <f>U20-T20</f>
        <v>250</v>
      </c>
      <c r="BB20" s="1">
        <f>V20-U20</f>
        <v>200</v>
      </c>
      <c r="BC20" s="1">
        <f>W20-V20</f>
        <v>180</v>
      </c>
      <c r="BD20" s="1">
        <f>X20-W20</f>
        <v>210</v>
      </c>
      <c r="BE20" s="1">
        <f>Y20-X20</f>
        <v>210</v>
      </c>
      <c r="BF20" s="1">
        <f>Z20-Y20</f>
        <v>340</v>
      </c>
    </row>
    <row r="21" spans="1:58">
      <c r="A21" s="1">
        <v>19</v>
      </c>
      <c r="B21" s="1">
        <v>143210</v>
      </c>
      <c r="C21" s="1">
        <v>143410</v>
      </c>
      <c r="D21" s="1">
        <v>143570</v>
      </c>
      <c r="E21" s="1">
        <v>143800</v>
      </c>
      <c r="F21" s="1">
        <v>143970</v>
      </c>
      <c r="G21" s="1">
        <v>144140</v>
      </c>
      <c r="H21" s="1">
        <v>144370</v>
      </c>
      <c r="I21" s="1">
        <v>144550</v>
      </c>
      <c r="J21" s="1">
        <v>144720</v>
      </c>
      <c r="K21" s="1">
        <v>144930</v>
      </c>
      <c r="L21" s="1">
        <v>145130</v>
      </c>
      <c r="M21" s="1">
        <v>145370</v>
      </c>
      <c r="N21" s="1">
        <v>145510</v>
      </c>
      <c r="O21" s="1">
        <v>145720</v>
      </c>
      <c r="P21" s="1">
        <v>145900</v>
      </c>
      <c r="Q21" s="1">
        <v>146060</v>
      </c>
      <c r="R21" s="1">
        <v>146250</v>
      </c>
      <c r="S21" s="1">
        <v>146480</v>
      </c>
      <c r="T21" s="1">
        <v>146650</v>
      </c>
      <c r="U21" s="1">
        <v>146870</v>
      </c>
      <c r="V21" s="1">
        <v>147030</v>
      </c>
      <c r="W21" s="1">
        <v>147260</v>
      </c>
      <c r="X21" s="1">
        <v>147480</v>
      </c>
      <c r="Y21" s="1">
        <v>147680</v>
      </c>
      <c r="Z21" s="1">
        <v>148050</v>
      </c>
      <c r="AA21" s="5">
        <f>AVERAGE(B21:Y21)</f>
        <v>145419.16666666666</v>
      </c>
      <c r="AB21" s="5">
        <f>(AA22-AA20)/2</f>
        <v>4797.916666666657</v>
      </c>
      <c r="AC21" s="14">
        <f>AB21/(23+AB151)</f>
        <v>192.21748081467473</v>
      </c>
      <c r="AD21" s="5">
        <f>AA21-AA20</f>
        <v>4797.0833333333139</v>
      </c>
      <c r="AE21" s="1">
        <f>AD21-AD20</f>
        <v>5.4166666666278616</v>
      </c>
      <c r="AG21" s="5">
        <f>Z21-Y21</f>
        <v>370</v>
      </c>
      <c r="AI21" s="1">
        <f>C21-B21</f>
        <v>200</v>
      </c>
      <c r="AJ21" s="1">
        <f>D21-C21</f>
        <v>160</v>
      </c>
      <c r="AK21" s="1">
        <f>E21-D21</f>
        <v>230</v>
      </c>
      <c r="AL21" s="1">
        <f>F21-E21</f>
        <v>170</v>
      </c>
      <c r="AM21" s="1">
        <f>G21-F21</f>
        <v>170</v>
      </c>
      <c r="AN21" s="1">
        <f>H21-G21</f>
        <v>230</v>
      </c>
      <c r="AO21" s="1">
        <f>I21-H21</f>
        <v>180</v>
      </c>
      <c r="AP21" s="1">
        <f>J21-I21</f>
        <v>170</v>
      </c>
      <c r="AQ21" s="1">
        <f>K21-J21</f>
        <v>210</v>
      </c>
      <c r="AR21" s="1">
        <f>L21-K21</f>
        <v>200</v>
      </c>
      <c r="AS21" s="1">
        <f>M21-L21</f>
        <v>240</v>
      </c>
      <c r="AT21" s="1">
        <f>N21-M21</f>
        <v>140</v>
      </c>
      <c r="AU21" s="1">
        <f>O21-N21</f>
        <v>210</v>
      </c>
      <c r="AV21" s="1">
        <f>P21-O21</f>
        <v>180</v>
      </c>
      <c r="AW21" s="1">
        <f>Q21-P21</f>
        <v>160</v>
      </c>
      <c r="AX21" s="1">
        <f>R21-Q21</f>
        <v>190</v>
      </c>
      <c r="AY21" s="1">
        <f>S21-R21</f>
        <v>230</v>
      </c>
      <c r="AZ21" s="1">
        <f>T21-S21</f>
        <v>170</v>
      </c>
      <c r="BA21" s="1">
        <f>U21-T21</f>
        <v>220</v>
      </c>
      <c r="BB21" s="1">
        <f>V21-U21</f>
        <v>160</v>
      </c>
      <c r="BC21" s="1">
        <f>W21-V21</f>
        <v>230</v>
      </c>
      <c r="BD21" s="1">
        <f>X21-W21</f>
        <v>220</v>
      </c>
      <c r="BE21" s="1">
        <f>Y21-X21</f>
        <v>200</v>
      </c>
      <c r="BF21" s="1">
        <f>Z21-Y21</f>
        <v>370</v>
      </c>
    </row>
    <row r="22" spans="1:58">
      <c r="A22" s="1">
        <v>20</v>
      </c>
      <c r="B22" s="1">
        <v>148050</v>
      </c>
      <c r="C22" s="1">
        <v>148210</v>
      </c>
      <c r="D22" s="1">
        <v>148400</v>
      </c>
      <c r="E22" s="1">
        <v>148630</v>
      </c>
      <c r="F22" s="1">
        <v>148760</v>
      </c>
      <c r="G22" s="1">
        <v>148940</v>
      </c>
      <c r="H22" s="1">
        <v>149140</v>
      </c>
      <c r="I22" s="1">
        <v>149310</v>
      </c>
      <c r="J22" s="1">
        <v>149540</v>
      </c>
      <c r="K22" s="1">
        <v>149730</v>
      </c>
      <c r="L22" s="1">
        <v>149930</v>
      </c>
      <c r="M22" s="1">
        <v>150130</v>
      </c>
      <c r="N22" s="1">
        <v>150300</v>
      </c>
      <c r="O22" s="1">
        <v>150500</v>
      </c>
      <c r="P22" s="1">
        <v>150690</v>
      </c>
      <c r="Q22" s="1">
        <v>150900</v>
      </c>
      <c r="R22" s="1">
        <v>151100</v>
      </c>
      <c r="S22" s="1">
        <v>151290</v>
      </c>
      <c r="T22" s="1">
        <v>151440</v>
      </c>
      <c r="U22" s="1">
        <v>151690</v>
      </c>
      <c r="V22" s="1">
        <v>151840</v>
      </c>
      <c r="W22" s="1">
        <v>152050</v>
      </c>
      <c r="X22" s="1">
        <v>152220</v>
      </c>
      <c r="Y22" s="1">
        <v>152440</v>
      </c>
      <c r="Z22" s="1">
        <v>152810</v>
      </c>
      <c r="AA22" s="5">
        <f>AVERAGE(B22:Y22)</f>
        <v>150217.91666666666</v>
      </c>
      <c r="AB22" s="5">
        <f>(AA23-AA21)/2</f>
        <v>4807.083333333343</v>
      </c>
      <c r="AC22" s="14">
        <f>AB22/(23+AB151)</f>
        <v>192.58472220225022</v>
      </c>
      <c r="AD22" s="5">
        <f>AA22-AA21</f>
        <v>4798.75</v>
      </c>
      <c r="AE22" s="1">
        <f>AD22-AD21</f>
        <v>1.6666666666860692</v>
      </c>
      <c r="AG22" s="5">
        <f>Z22-Y22</f>
        <v>370</v>
      </c>
      <c r="AI22" s="1">
        <f>C22-B22</f>
        <v>160</v>
      </c>
      <c r="AJ22" s="1">
        <f>D22-C22</f>
        <v>190</v>
      </c>
      <c r="AK22" s="1">
        <f>E22-D22</f>
        <v>230</v>
      </c>
      <c r="AL22" s="1">
        <f>F22-E22</f>
        <v>130</v>
      </c>
      <c r="AM22" s="1">
        <f>G22-F22</f>
        <v>180</v>
      </c>
      <c r="AN22" s="1">
        <f>H22-G22</f>
        <v>200</v>
      </c>
      <c r="AO22" s="1">
        <f>I22-H22</f>
        <v>170</v>
      </c>
      <c r="AP22" s="1">
        <f>J22-I22</f>
        <v>230</v>
      </c>
      <c r="AQ22" s="1">
        <f>K22-J22</f>
        <v>190</v>
      </c>
      <c r="AR22" s="1">
        <f>L22-K22</f>
        <v>200</v>
      </c>
      <c r="AS22" s="1">
        <f>M22-L22</f>
        <v>200</v>
      </c>
      <c r="AT22" s="1">
        <f>N22-M22</f>
        <v>170</v>
      </c>
      <c r="AU22" s="1">
        <f>O22-N22</f>
        <v>200</v>
      </c>
      <c r="AV22" s="1">
        <f>P22-O22</f>
        <v>190</v>
      </c>
      <c r="AW22" s="1">
        <f>Q22-P22</f>
        <v>210</v>
      </c>
      <c r="AX22" s="1">
        <f>R22-Q22</f>
        <v>200</v>
      </c>
      <c r="AY22" s="1">
        <f>S22-R22</f>
        <v>190</v>
      </c>
      <c r="AZ22" s="1">
        <f>T22-S22</f>
        <v>150</v>
      </c>
      <c r="BA22" s="1">
        <f>U22-T22</f>
        <v>250</v>
      </c>
      <c r="BB22" s="1">
        <f>V22-U22</f>
        <v>150</v>
      </c>
      <c r="BC22" s="1">
        <f>W22-V22</f>
        <v>210</v>
      </c>
      <c r="BD22" s="1">
        <f>X22-W22</f>
        <v>170</v>
      </c>
      <c r="BE22" s="1">
        <f>Y22-X22</f>
        <v>220</v>
      </c>
      <c r="BF22" s="1">
        <f>Z22-Y22</f>
        <v>370</v>
      </c>
    </row>
    <row r="23" spans="1:58">
      <c r="A23" s="1">
        <v>21</v>
      </c>
      <c r="B23" s="1">
        <v>152810</v>
      </c>
      <c r="C23" s="1">
        <v>153000</v>
      </c>
      <c r="D23" s="1">
        <v>153230</v>
      </c>
      <c r="E23" s="1">
        <v>153400</v>
      </c>
      <c r="F23" s="1">
        <v>153630</v>
      </c>
      <c r="G23" s="1">
        <v>153800</v>
      </c>
      <c r="H23" s="1">
        <v>153990</v>
      </c>
      <c r="I23" s="1">
        <v>154180</v>
      </c>
      <c r="J23" s="1">
        <v>154360</v>
      </c>
      <c r="K23" s="1">
        <v>154540</v>
      </c>
      <c r="L23" s="1">
        <v>154740</v>
      </c>
      <c r="M23" s="1">
        <v>154950</v>
      </c>
      <c r="N23" s="1">
        <v>155070</v>
      </c>
      <c r="O23" s="1">
        <v>155310</v>
      </c>
      <c r="P23" s="1">
        <v>155470</v>
      </c>
      <c r="Q23" s="1">
        <v>155720</v>
      </c>
      <c r="R23" s="1">
        <v>155850</v>
      </c>
      <c r="S23" s="1">
        <v>156090</v>
      </c>
      <c r="T23" s="1">
        <v>156250</v>
      </c>
      <c r="U23" s="1">
        <v>156500</v>
      </c>
      <c r="V23" s="1">
        <v>156690</v>
      </c>
      <c r="W23" s="1">
        <v>156900</v>
      </c>
      <c r="X23" s="1">
        <v>157060</v>
      </c>
      <c r="Y23" s="1">
        <v>157260</v>
      </c>
      <c r="Z23" s="1">
        <v>157590</v>
      </c>
      <c r="AA23" s="5">
        <f>AVERAGE(B23:Y23)</f>
        <v>155033.33333333334</v>
      </c>
      <c r="AB23" s="5">
        <f>(AA24-AA22)/2</f>
        <v>4807.708333333343</v>
      </c>
      <c r="AC23" s="14">
        <f>AB23/(23+AB151)</f>
        <v>192.60976138776667</v>
      </c>
      <c r="AD23" s="5">
        <f>AA23-AA22</f>
        <v>4815.4166666666861</v>
      </c>
      <c r="AE23" s="1">
        <f>AD23-AD22</f>
        <v>16.666666666686069</v>
      </c>
      <c r="AG23" s="5">
        <f>Z23-Y23</f>
        <v>330</v>
      </c>
      <c r="AI23" s="1">
        <f>C23-B23</f>
        <v>190</v>
      </c>
      <c r="AJ23" s="1">
        <f>D23-C23</f>
        <v>230</v>
      </c>
      <c r="AK23" s="1">
        <f>E23-D23</f>
        <v>170</v>
      </c>
      <c r="AL23" s="1">
        <f>F23-E23</f>
        <v>230</v>
      </c>
      <c r="AM23" s="1">
        <f>G23-F23</f>
        <v>170</v>
      </c>
      <c r="AN23" s="1">
        <f>H23-G23</f>
        <v>190</v>
      </c>
      <c r="AO23" s="1">
        <f>I23-H23</f>
        <v>190</v>
      </c>
      <c r="AP23" s="1">
        <f>J23-I23</f>
        <v>180</v>
      </c>
      <c r="AQ23" s="1">
        <f>K23-J23</f>
        <v>180</v>
      </c>
      <c r="AR23" s="1">
        <f>L23-K23</f>
        <v>200</v>
      </c>
      <c r="AS23" s="1">
        <f>M23-L23</f>
        <v>210</v>
      </c>
      <c r="AT23" s="1">
        <f>N23-M23</f>
        <v>120</v>
      </c>
      <c r="AU23" s="1">
        <f>O23-N23</f>
        <v>240</v>
      </c>
      <c r="AV23" s="1">
        <f>P23-O23</f>
        <v>160</v>
      </c>
      <c r="AW23" s="1">
        <f>Q23-P23</f>
        <v>250</v>
      </c>
      <c r="AX23" s="1">
        <f>R23-Q23</f>
        <v>130</v>
      </c>
      <c r="AY23" s="1">
        <f>S23-R23</f>
        <v>240</v>
      </c>
      <c r="AZ23" s="1">
        <f>T23-S23</f>
        <v>160</v>
      </c>
      <c r="BA23" s="1">
        <f>U23-T23</f>
        <v>250</v>
      </c>
      <c r="BB23" s="1">
        <f>V23-U23</f>
        <v>190</v>
      </c>
      <c r="BC23" s="1">
        <f>W23-V23</f>
        <v>210</v>
      </c>
      <c r="BD23" s="1">
        <f>X23-W23</f>
        <v>160</v>
      </c>
      <c r="BE23" s="1">
        <f>Y23-X23</f>
        <v>200</v>
      </c>
      <c r="BF23" s="1">
        <f>Z23-Y23</f>
        <v>330</v>
      </c>
    </row>
    <row r="24" spans="1:58">
      <c r="A24" s="1">
        <v>22</v>
      </c>
      <c r="B24" s="1">
        <v>157590</v>
      </c>
      <c r="C24" s="1">
        <v>157820</v>
      </c>
      <c r="D24" s="1">
        <v>158020</v>
      </c>
      <c r="E24" s="1">
        <v>158200</v>
      </c>
      <c r="F24" s="1">
        <v>158400</v>
      </c>
      <c r="G24" s="1">
        <v>158590</v>
      </c>
      <c r="H24" s="1">
        <v>158780</v>
      </c>
      <c r="I24" s="1">
        <v>158990</v>
      </c>
      <c r="J24" s="1">
        <v>159150</v>
      </c>
      <c r="K24" s="1">
        <v>159350</v>
      </c>
      <c r="L24" s="1">
        <v>159560</v>
      </c>
      <c r="M24" s="1">
        <v>159740</v>
      </c>
      <c r="N24" s="1">
        <v>159900</v>
      </c>
      <c r="O24" s="1">
        <v>160110</v>
      </c>
      <c r="P24" s="1">
        <v>160340</v>
      </c>
      <c r="Q24" s="1">
        <v>160530</v>
      </c>
      <c r="R24" s="1">
        <v>160690</v>
      </c>
      <c r="S24" s="1">
        <v>160860</v>
      </c>
      <c r="T24" s="1">
        <v>161060</v>
      </c>
      <c r="U24" s="1">
        <v>161270</v>
      </c>
      <c r="V24" s="1">
        <v>161450</v>
      </c>
      <c r="W24" s="1">
        <v>161660</v>
      </c>
      <c r="X24" s="1">
        <v>161880</v>
      </c>
      <c r="Y24" s="1">
        <v>162060</v>
      </c>
      <c r="Z24" s="1">
        <v>162450</v>
      </c>
      <c r="AA24" s="5">
        <f>AVERAGE(B24:Y24)</f>
        <v>159833.33333333334</v>
      </c>
      <c r="AB24" s="5">
        <f>(AA25-AA23)/2</f>
        <v>4806.666666666657</v>
      </c>
      <c r="AC24" s="14">
        <f>AB24/(23+AB151)</f>
        <v>192.56802941190514</v>
      </c>
      <c r="AD24" s="5">
        <f>AA24-AA23</f>
        <v>4800</v>
      </c>
      <c r="AE24" s="1">
        <f>AD24-AD23</f>
        <v>-15.416666666686069</v>
      </c>
      <c r="AG24" s="5">
        <f>Z24-Y24</f>
        <v>390</v>
      </c>
      <c r="AI24" s="1">
        <f>C24-B24</f>
        <v>230</v>
      </c>
      <c r="AJ24" s="1">
        <f>D24-C24</f>
        <v>200</v>
      </c>
      <c r="AK24" s="1">
        <f>E24-D24</f>
        <v>180</v>
      </c>
      <c r="AL24" s="1">
        <f>F24-E24</f>
        <v>200</v>
      </c>
      <c r="AM24" s="1">
        <f>G24-F24</f>
        <v>190</v>
      </c>
      <c r="AN24" s="1">
        <f>H24-G24</f>
        <v>190</v>
      </c>
      <c r="AO24" s="1">
        <f>I24-H24</f>
        <v>210</v>
      </c>
      <c r="AP24" s="1">
        <f>J24-I24</f>
        <v>160</v>
      </c>
      <c r="AQ24" s="1">
        <f>K24-J24</f>
        <v>200</v>
      </c>
      <c r="AR24" s="1">
        <f>L24-K24</f>
        <v>210</v>
      </c>
      <c r="AS24" s="1">
        <f>M24-L24</f>
        <v>180</v>
      </c>
      <c r="AT24" s="1">
        <f>N24-M24</f>
        <v>160</v>
      </c>
      <c r="AU24" s="1">
        <f>O24-N24</f>
        <v>210</v>
      </c>
      <c r="AV24" s="1">
        <f>P24-O24</f>
        <v>230</v>
      </c>
      <c r="AW24" s="1">
        <f>Q24-P24</f>
        <v>190</v>
      </c>
      <c r="AX24" s="1">
        <f>R24-Q24</f>
        <v>160</v>
      </c>
      <c r="AY24" s="1">
        <f>S24-R24</f>
        <v>170</v>
      </c>
      <c r="AZ24" s="1">
        <f>T24-S24</f>
        <v>200</v>
      </c>
      <c r="BA24" s="1">
        <f>U24-T24</f>
        <v>210</v>
      </c>
      <c r="BB24" s="1">
        <f>V24-U24</f>
        <v>180</v>
      </c>
      <c r="BC24" s="1">
        <f>W24-V24</f>
        <v>210</v>
      </c>
      <c r="BD24" s="1">
        <f>X24-W24</f>
        <v>220</v>
      </c>
      <c r="BE24" s="1">
        <f>Y24-X24</f>
        <v>180</v>
      </c>
      <c r="BF24" s="1">
        <f>Z24-Y24</f>
        <v>390</v>
      </c>
    </row>
    <row r="25" spans="1:58">
      <c r="A25" s="1">
        <v>23</v>
      </c>
      <c r="B25" s="1">
        <v>162450</v>
      </c>
      <c r="C25" s="1">
        <v>162620</v>
      </c>
      <c r="D25" s="1">
        <v>162860</v>
      </c>
      <c r="E25" s="1">
        <v>163050</v>
      </c>
      <c r="F25" s="1">
        <v>163190</v>
      </c>
      <c r="G25" s="1">
        <v>163380</v>
      </c>
      <c r="H25" s="1">
        <v>163570</v>
      </c>
      <c r="I25" s="1">
        <v>163790</v>
      </c>
      <c r="J25" s="1">
        <v>163970</v>
      </c>
      <c r="K25" s="1">
        <v>164170</v>
      </c>
      <c r="L25" s="1">
        <v>164330</v>
      </c>
      <c r="M25" s="1">
        <v>164540</v>
      </c>
      <c r="N25" s="1">
        <v>164690</v>
      </c>
      <c r="O25" s="1">
        <v>164950</v>
      </c>
      <c r="P25" s="1">
        <v>165140</v>
      </c>
      <c r="Q25" s="1">
        <v>165330</v>
      </c>
      <c r="R25" s="1">
        <v>165510</v>
      </c>
      <c r="S25" s="1">
        <v>165660</v>
      </c>
      <c r="T25" s="1">
        <v>165880</v>
      </c>
      <c r="U25" s="1">
        <v>166100</v>
      </c>
      <c r="V25" s="1">
        <v>166250</v>
      </c>
      <c r="W25" s="1">
        <v>166490</v>
      </c>
      <c r="X25" s="1">
        <v>166680</v>
      </c>
      <c r="Y25" s="1">
        <v>166920</v>
      </c>
      <c r="Z25" s="1">
        <v>167270</v>
      </c>
      <c r="AA25" s="5">
        <f>AVERAGE(B25:Y25)</f>
        <v>164646.66666666666</v>
      </c>
      <c r="AB25" s="5">
        <f>(AA26-AA24)/2</f>
        <v>4821.25</v>
      </c>
      <c r="AC25" s="14">
        <f>AB25/(23+AB151)</f>
        <v>193.15227707395621</v>
      </c>
      <c r="AD25" s="5">
        <f>AA25-AA24</f>
        <v>4813.3333333333139</v>
      </c>
      <c r="AE25" s="1">
        <f>AD25-AD24</f>
        <v>13.333333333313931</v>
      </c>
      <c r="AG25" s="5">
        <f>Z25-Y25</f>
        <v>350</v>
      </c>
      <c r="AI25" s="1">
        <f>C25-B25</f>
        <v>170</v>
      </c>
      <c r="AJ25" s="1">
        <f>D25-C25</f>
        <v>240</v>
      </c>
      <c r="AK25" s="1">
        <f>E25-D25</f>
        <v>190</v>
      </c>
      <c r="AL25" s="1">
        <f>F25-E25</f>
        <v>140</v>
      </c>
      <c r="AM25" s="1">
        <f>G25-F25</f>
        <v>190</v>
      </c>
      <c r="AN25" s="1">
        <f>H25-G25</f>
        <v>190</v>
      </c>
      <c r="AO25" s="1">
        <f>I25-H25</f>
        <v>220</v>
      </c>
      <c r="AP25" s="1">
        <f>J25-I25</f>
        <v>180</v>
      </c>
      <c r="AQ25" s="1">
        <f>K25-J25</f>
        <v>200</v>
      </c>
      <c r="AR25" s="1">
        <f>L25-K25</f>
        <v>160</v>
      </c>
      <c r="AS25" s="1">
        <f>M25-L25</f>
        <v>210</v>
      </c>
      <c r="AT25" s="1">
        <f>N25-M25</f>
        <v>150</v>
      </c>
      <c r="AU25" s="1">
        <f>O25-N25</f>
        <v>260</v>
      </c>
      <c r="AV25" s="1">
        <f>P25-O25</f>
        <v>190</v>
      </c>
      <c r="AW25" s="1">
        <f>Q25-P25</f>
        <v>190</v>
      </c>
      <c r="AX25" s="1">
        <f>R25-Q25</f>
        <v>180</v>
      </c>
      <c r="AY25" s="1">
        <f>S25-R25</f>
        <v>150</v>
      </c>
      <c r="AZ25" s="1">
        <f>T25-S25</f>
        <v>220</v>
      </c>
      <c r="BA25" s="1">
        <f>U25-T25</f>
        <v>220</v>
      </c>
      <c r="BB25" s="1">
        <f>V25-U25</f>
        <v>150</v>
      </c>
      <c r="BC25" s="1">
        <f>W25-V25</f>
        <v>240</v>
      </c>
      <c r="BD25" s="1">
        <f>X25-W25</f>
        <v>190</v>
      </c>
      <c r="BE25" s="1">
        <f>Y25-X25</f>
        <v>240</v>
      </c>
      <c r="BF25" s="1">
        <f>Z25-Y25</f>
        <v>350</v>
      </c>
    </row>
    <row r="26" spans="1:58">
      <c r="A26" s="1">
        <v>24</v>
      </c>
      <c r="B26" s="1">
        <v>167270</v>
      </c>
      <c r="C26" s="1">
        <v>167450</v>
      </c>
      <c r="D26" s="1">
        <v>167670</v>
      </c>
      <c r="E26" s="1">
        <v>167850</v>
      </c>
      <c r="F26" s="1">
        <v>168050</v>
      </c>
      <c r="G26" s="1">
        <v>168240</v>
      </c>
      <c r="H26" s="1">
        <v>168420</v>
      </c>
      <c r="I26" s="1">
        <v>168620</v>
      </c>
      <c r="J26" s="1">
        <v>168810</v>
      </c>
      <c r="K26" s="1">
        <v>168990</v>
      </c>
      <c r="L26" s="1">
        <v>169170</v>
      </c>
      <c r="M26" s="1">
        <v>169370</v>
      </c>
      <c r="N26" s="1">
        <v>169550</v>
      </c>
      <c r="O26" s="1">
        <v>169750</v>
      </c>
      <c r="P26" s="1">
        <v>169940</v>
      </c>
      <c r="Q26" s="1">
        <v>170180</v>
      </c>
      <c r="R26" s="1">
        <v>170370</v>
      </c>
      <c r="S26" s="1">
        <v>170550</v>
      </c>
      <c r="T26" s="1">
        <v>170700</v>
      </c>
      <c r="U26" s="1">
        <v>170910</v>
      </c>
      <c r="V26" s="1">
        <v>171090</v>
      </c>
      <c r="W26" s="1">
        <v>171320</v>
      </c>
      <c r="X26" s="1">
        <v>171450</v>
      </c>
      <c r="Y26" s="1">
        <v>171700</v>
      </c>
      <c r="Z26" s="1">
        <v>172080</v>
      </c>
      <c r="AA26" s="5">
        <f>AVERAGE(B26:Y26)</f>
        <v>169475.83333333334</v>
      </c>
      <c r="AB26" s="5">
        <f>(AA27-AA25)/2</f>
        <v>4814.375</v>
      </c>
      <c r="AC26" s="14">
        <f>AB26/(23+AB151)</f>
        <v>192.87684603327517</v>
      </c>
      <c r="AD26" s="5">
        <f>AA26-AA25</f>
        <v>4829.1666666666861</v>
      </c>
      <c r="AE26" s="1">
        <f>AD26-AD25</f>
        <v>15.833333333372138</v>
      </c>
      <c r="AG26" s="5">
        <f>Z26-Y26</f>
        <v>380</v>
      </c>
      <c r="AI26" s="1">
        <f>C26-B26</f>
        <v>180</v>
      </c>
      <c r="AJ26" s="1">
        <f>D26-C26</f>
        <v>220</v>
      </c>
      <c r="AK26" s="1">
        <f>E26-D26</f>
        <v>180</v>
      </c>
      <c r="AL26" s="1">
        <f>F26-E26</f>
        <v>200</v>
      </c>
      <c r="AM26" s="1">
        <f>G26-F26</f>
        <v>190</v>
      </c>
      <c r="AN26" s="1">
        <f>H26-G26</f>
        <v>180</v>
      </c>
      <c r="AO26" s="1">
        <f>I26-H26</f>
        <v>200</v>
      </c>
      <c r="AP26" s="1">
        <f>J26-I26</f>
        <v>190</v>
      </c>
      <c r="AQ26" s="1">
        <f>K26-J26</f>
        <v>180</v>
      </c>
      <c r="AR26" s="1">
        <f>L26-K26</f>
        <v>180</v>
      </c>
      <c r="AS26" s="1">
        <f>M26-L26</f>
        <v>200</v>
      </c>
      <c r="AT26" s="1">
        <f>N26-M26</f>
        <v>180</v>
      </c>
      <c r="AU26" s="1">
        <f>O26-N26</f>
        <v>200</v>
      </c>
      <c r="AV26" s="1">
        <f>P26-O26</f>
        <v>190</v>
      </c>
      <c r="AW26" s="1">
        <f>Q26-P26</f>
        <v>240</v>
      </c>
      <c r="AX26" s="1">
        <f>R26-Q26</f>
        <v>190</v>
      </c>
      <c r="AY26" s="1">
        <f>S26-R26</f>
        <v>180</v>
      </c>
      <c r="AZ26" s="1">
        <f>T26-S26</f>
        <v>150</v>
      </c>
      <c r="BA26" s="1">
        <f>U26-T26</f>
        <v>210</v>
      </c>
      <c r="BB26" s="1">
        <f>V26-U26</f>
        <v>180</v>
      </c>
      <c r="BC26" s="1">
        <f>W26-V26</f>
        <v>230</v>
      </c>
      <c r="BD26" s="1">
        <f>X26-W26</f>
        <v>130</v>
      </c>
      <c r="BE26" s="1">
        <f>Y26-X26</f>
        <v>250</v>
      </c>
      <c r="BF26" s="1">
        <f>Z26-Y26</f>
        <v>380</v>
      </c>
    </row>
    <row r="27" spans="1:58">
      <c r="A27" s="1">
        <v>25</v>
      </c>
      <c r="B27" s="1">
        <v>172080</v>
      </c>
      <c r="C27" s="1">
        <v>172260</v>
      </c>
      <c r="D27" s="1">
        <v>172440</v>
      </c>
      <c r="E27" s="1">
        <v>172660</v>
      </c>
      <c r="F27" s="1">
        <v>172870</v>
      </c>
      <c r="G27" s="1">
        <v>173050</v>
      </c>
      <c r="H27" s="1">
        <v>173230</v>
      </c>
      <c r="I27" s="1">
        <v>173400</v>
      </c>
      <c r="J27" s="1">
        <v>173600</v>
      </c>
      <c r="K27" s="1">
        <v>173790</v>
      </c>
      <c r="L27" s="1">
        <v>173950</v>
      </c>
      <c r="M27" s="1">
        <v>174150</v>
      </c>
      <c r="N27" s="1">
        <v>174380</v>
      </c>
      <c r="O27" s="1">
        <v>174550</v>
      </c>
      <c r="P27" s="1">
        <v>174770</v>
      </c>
      <c r="Q27" s="1">
        <v>174940</v>
      </c>
      <c r="R27" s="1">
        <v>175120</v>
      </c>
      <c r="S27" s="1">
        <v>175330</v>
      </c>
      <c r="T27" s="1">
        <v>175520</v>
      </c>
      <c r="U27" s="1">
        <v>175690</v>
      </c>
      <c r="V27" s="1">
        <v>175880</v>
      </c>
      <c r="W27" s="1">
        <v>176130</v>
      </c>
      <c r="X27" s="1">
        <v>176300</v>
      </c>
      <c r="Y27" s="1">
        <v>176520</v>
      </c>
      <c r="Z27" s="1">
        <v>176910</v>
      </c>
      <c r="AA27" s="5">
        <f>AVERAGE(B27:Y27)</f>
        <v>174275.41666666666</v>
      </c>
      <c r="AB27" s="5">
        <f>(AA28-AA26)/2</f>
        <v>4802.916666666657</v>
      </c>
      <c r="AC27" s="14">
        <f>AB27/(23+AB151)</f>
        <v>192.4177942988064</v>
      </c>
      <c r="AD27" s="5">
        <f>AA27-AA26</f>
        <v>4799.5833333333139</v>
      </c>
      <c r="AE27" s="1">
        <f>AD27-AD26</f>
        <v>-29.583333333372138</v>
      </c>
      <c r="AG27" s="5">
        <f>Z27-Y27</f>
        <v>390</v>
      </c>
      <c r="AI27" s="1">
        <f>C27-B27</f>
        <v>180</v>
      </c>
      <c r="AJ27" s="1">
        <f>D27-C27</f>
        <v>180</v>
      </c>
      <c r="AK27" s="1">
        <f>E27-D27</f>
        <v>220</v>
      </c>
      <c r="AL27" s="1">
        <f>F27-E27</f>
        <v>210</v>
      </c>
      <c r="AM27" s="1">
        <f>G27-F27</f>
        <v>180</v>
      </c>
      <c r="AN27" s="1">
        <f>H27-G27</f>
        <v>180</v>
      </c>
      <c r="AO27" s="1">
        <f>I27-H27</f>
        <v>170</v>
      </c>
      <c r="AP27" s="1">
        <f>J27-I27</f>
        <v>200</v>
      </c>
      <c r="AQ27" s="1">
        <f>K27-J27</f>
        <v>190</v>
      </c>
      <c r="AR27" s="1">
        <f>L27-K27</f>
        <v>160</v>
      </c>
      <c r="AS27" s="1">
        <f>M27-L27</f>
        <v>200</v>
      </c>
      <c r="AT27" s="1">
        <f>N27-M27</f>
        <v>230</v>
      </c>
      <c r="AU27" s="1">
        <f>O27-N27</f>
        <v>170</v>
      </c>
      <c r="AV27" s="1">
        <f>P27-O27</f>
        <v>220</v>
      </c>
      <c r="AW27" s="1">
        <f>Q27-P27</f>
        <v>170</v>
      </c>
      <c r="AX27" s="1">
        <f>R27-Q27</f>
        <v>180</v>
      </c>
      <c r="AY27" s="1">
        <f>S27-R27</f>
        <v>210</v>
      </c>
      <c r="AZ27" s="1">
        <f>T27-S27</f>
        <v>190</v>
      </c>
      <c r="BA27" s="1">
        <f>U27-T27</f>
        <v>170</v>
      </c>
      <c r="BB27" s="1">
        <f>V27-U27</f>
        <v>190</v>
      </c>
      <c r="BC27" s="1">
        <f>W27-V27</f>
        <v>250</v>
      </c>
      <c r="BD27" s="1">
        <f>X27-W27</f>
        <v>170</v>
      </c>
      <c r="BE27" s="1">
        <f>Y27-X27</f>
        <v>220</v>
      </c>
      <c r="BF27" s="1">
        <f>Z27-Y27</f>
        <v>390</v>
      </c>
    </row>
    <row r="28" spans="1:58">
      <c r="A28" s="1">
        <v>26</v>
      </c>
      <c r="B28" s="1">
        <v>176910</v>
      </c>
      <c r="C28" s="1">
        <v>177080</v>
      </c>
      <c r="D28" s="1">
        <v>177240</v>
      </c>
      <c r="E28" s="1">
        <v>177480</v>
      </c>
      <c r="F28" s="1">
        <v>177690</v>
      </c>
      <c r="G28" s="1">
        <v>177870</v>
      </c>
      <c r="H28" s="1">
        <v>178030</v>
      </c>
      <c r="I28" s="1">
        <v>178240</v>
      </c>
      <c r="J28" s="1">
        <v>178370</v>
      </c>
      <c r="K28" s="1">
        <v>178580</v>
      </c>
      <c r="L28" s="1">
        <v>178750</v>
      </c>
      <c r="M28" s="1">
        <v>178970</v>
      </c>
      <c r="N28" s="1">
        <v>179170</v>
      </c>
      <c r="O28" s="1">
        <v>179360</v>
      </c>
      <c r="P28" s="1">
        <v>179580</v>
      </c>
      <c r="Q28" s="1">
        <v>179760</v>
      </c>
      <c r="R28" s="1">
        <v>179920</v>
      </c>
      <c r="S28" s="1">
        <v>180140</v>
      </c>
      <c r="T28" s="1">
        <v>180340</v>
      </c>
      <c r="U28" s="1">
        <v>180550</v>
      </c>
      <c r="V28" s="1">
        <v>180720</v>
      </c>
      <c r="W28" s="1">
        <v>180890</v>
      </c>
      <c r="X28" s="1">
        <v>181060</v>
      </c>
      <c r="Y28" s="1">
        <v>181260</v>
      </c>
      <c r="Z28" s="1">
        <v>181670</v>
      </c>
      <c r="AA28" s="5">
        <f>AVERAGE(B28:Y28)</f>
        <v>179081.66666666666</v>
      </c>
      <c r="AB28" s="5">
        <f>(AA29-AA27)/2</f>
        <v>4798.125</v>
      </c>
      <c r="AC28" s="14">
        <f>AB28/(23+AB151)</f>
        <v>192.22582720984727</v>
      </c>
      <c r="AD28" s="5">
        <f>AA28-AA27</f>
        <v>4806.25</v>
      </c>
      <c r="AE28" s="1">
        <f>AD28-AD27</f>
        <v>6.6666666666860692</v>
      </c>
      <c r="AG28" s="5">
        <f>Z28-Y28</f>
        <v>410</v>
      </c>
      <c r="AI28" s="1">
        <f>C28-B28</f>
        <v>170</v>
      </c>
      <c r="AJ28" s="1">
        <f>D28-C28</f>
        <v>160</v>
      </c>
      <c r="AK28" s="1">
        <f>E28-D28</f>
        <v>240</v>
      </c>
      <c r="AL28" s="1">
        <f>F28-E28</f>
        <v>210</v>
      </c>
      <c r="AM28" s="1">
        <f>G28-F28</f>
        <v>180</v>
      </c>
      <c r="AN28" s="1">
        <f>H28-G28</f>
        <v>160</v>
      </c>
      <c r="AO28" s="1">
        <f>I28-H28</f>
        <v>210</v>
      </c>
      <c r="AP28" s="1">
        <f>J28-I28</f>
        <v>130</v>
      </c>
      <c r="AQ28" s="1">
        <f>K28-J28</f>
        <v>210</v>
      </c>
      <c r="AR28" s="1">
        <f>L28-K28</f>
        <v>170</v>
      </c>
      <c r="AS28" s="1">
        <f>M28-L28</f>
        <v>220</v>
      </c>
      <c r="AT28" s="1">
        <f>N28-M28</f>
        <v>200</v>
      </c>
      <c r="AU28" s="1">
        <f>O28-N28</f>
        <v>190</v>
      </c>
      <c r="AV28" s="1">
        <f>P28-O28</f>
        <v>220</v>
      </c>
      <c r="AW28" s="1">
        <f>Q28-P28</f>
        <v>180</v>
      </c>
      <c r="AX28" s="1">
        <f>R28-Q28</f>
        <v>160</v>
      </c>
      <c r="AY28" s="1">
        <f>S28-R28</f>
        <v>220</v>
      </c>
      <c r="AZ28" s="1">
        <f>T28-S28</f>
        <v>200</v>
      </c>
      <c r="BA28" s="1">
        <f>U28-T28</f>
        <v>210</v>
      </c>
      <c r="BB28" s="1">
        <f>V28-U28</f>
        <v>170</v>
      </c>
      <c r="BC28" s="1">
        <f>W28-V28</f>
        <v>170</v>
      </c>
      <c r="BD28" s="1">
        <f>X28-W28</f>
        <v>170</v>
      </c>
      <c r="BE28" s="1">
        <f>Y28-X28</f>
        <v>200</v>
      </c>
      <c r="BF28" s="1">
        <f>Z28-Y28</f>
        <v>410</v>
      </c>
    </row>
    <row r="29" spans="1:58">
      <c r="A29" s="1">
        <v>27</v>
      </c>
      <c r="B29" s="1">
        <v>181670</v>
      </c>
      <c r="C29" s="1">
        <v>181860</v>
      </c>
      <c r="D29" s="1">
        <v>182090</v>
      </c>
      <c r="E29" s="1">
        <v>182250</v>
      </c>
      <c r="F29" s="1">
        <v>182490</v>
      </c>
      <c r="G29" s="1">
        <v>182650</v>
      </c>
      <c r="H29" s="1">
        <v>182810</v>
      </c>
      <c r="I29" s="1">
        <v>182990</v>
      </c>
      <c r="J29" s="1">
        <v>183180</v>
      </c>
      <c r="K29" s="1">
        <v>183370</v>
      </c>
      <c r="L29" s="1">
        <v>183590</v>
      </c>
      <c r="M29" s="1">
        <v>183770</v>
      </c>
      <c r="N29" s="1">
        <v>183950</v>
      </c>
      <c r="O29" s="1">
        <v>184150</v>
      </c>
      <c r="P29" s="1">
        <v>184370</v>
      </c>
      <c r="Q29" s="1">
        <v>184550</v>
      </c>
      <c r="R29" s="1">
        <v>184740</v>
      </c>
      <c r="S29" s="1">
        <v>184900</v>
      </c>
      <c r="T29" s="1">
        <v>185110</v>
      </c>
      <c r="U29" s="1">
        <v>185340</v>
      </c>
      <c r="V29" s="1">
        <v>185490</v>
      </c>
      <c r="W29" s="1">
        <v>185680</v>
      </c>
      <c r="X29" s="1">
        <v>185870</v>
      </c>
      <c r="Y29" s="1">
        <v>186050</v>
      </c>
      <c r="Z29" s="1">
        <v>186520</v>
      </c>
      <c r="AA29" s="5">
        <f>AVERAGE(B29:Y29)</f>
        <v>183871.66666666666</v>
      </c>
      <c r="AB29" s="5">
        <f>(AA30-AA28)/2</f>
        <v>4800.833333333343</v>
      </c>
      <c r="AC29" s="14">
        <f>AB29/(23+AB151)</f>
        <v>192.33433034708563</v>
      </c>
      <c r="AD29" s="5">
        <f>AA29-AA28</f>
        <v>4790</v>
      </c>
      <c r="AE29" s="1">
        <f>AD29-AD28</f>
        <v>-16.25</v>
      </c>
      <c r="AG29" s="5">
        <f>Z29-Y29</f>
        <v>470</v>
      </c>
      <c r="AI29" s="1">
        <f>C29-B29</f>
        <v>190</v>
      </c>
      <c r="AJ29" s="1">
        <f>D29-C29</f>
        <v>230</v>
      </c>
      <c r="AK29" s="1">
        <f>E29-D29</f>
        <v>160</v>
      </c>
      <c r="AL29" s="1">
        <f>F29-E29</f>
        <v>240</v>
      </c>
      <c r="AM29" s="1">
        <f>G29-F29</f>
        <v>160</v>
      </c>
      <c r="AN29" s="1">
        <f>H29-G29</f>
        <v>160</v>
      </c>
      <c r="AO29" s="1">
        <f>I29-H29</f>
        <v>180</v>
      </c>
      <c r="AP29" s="1">
        <f>J29-I29</f>
        <v>190</v>
      </c>
      <c r="AQ29" s="1">
        <f>K29-J29</f>
        <v>190</v>
      </c>
      <c r="AR29" s="1">
        <f>L29-K29</f>
        <v>220</v>
      </c>
      <c r="AS29" s="1">
        <f>M29-L29</f>
        <v>180</v>
      </c>
      <c r="AT29" s="1">
        <f>N29-M29</f>
        <v>180</v>
      </c>
      <c r="AU29" s="1">
        <f>O29-N29</f>
        <v>200</v>
      </c>
      <c r="AV29" s="1">
        <f>P29-O29</f>
        <v>220</v>
      </c>
      <c r="AW29" s="1">
        <f>Q29-P29</f>
        <v>180</v>
      </c>
      <c r="AX29" s="1">
        <f>R29-Q29</f>
        <v>190</v>
      </c>
      <c r="AY29" s="1">
        <f>S29-R29</f>
        <v>160</v>
      </c>
      <c r="AZ29" s="1">
        <f>T29-S29</f>
        <v>210</v>
      </c>
      <c r="BA29" s="1">
        <f>U29-T29</f>
        <v>230</v>
      </c>
      <c r="BB29" s="1">
        <f>V29-U29</f>
        <v>150</v>
      </c>
      <c r="BC29" s="1">
        <f>W29-V29</f>
        <v>190</v>
      </c>
      <c r="BD29" s="1">
        <f>X29-W29</f>
        <v>190</v>
      </c>
      <c r="BE29" s="1">
        <f>Y29-X29</f>
        <v>180</v>
      </c>
      <c r="BF29" s="1">
        <f>Z29-Y29</f>
        <v>470</v>
      </c>
    </row>
    <row r="30" spans="1:58">
      <c r="A30" s="1">
        <v>28</v>
      </c>
      <c r="B30" s="1">
        <v>186520</v>
      </c>
      <c r="C30" s="1">
        <v>186710</v>
      </c>
      <c r="D30" s="1">
        <v>186860</v>
      </c>
      <c r="E30" s="1">
        <v>187060</v>
      </c>
      <c r="F30" s="1">
        <v>187220</v>
      </c>
      <c r="G30" s="1">
        <v>187440</v>
      </c>
      <c r="H30" s="1">
        <v>187690</v>
      </c>
      <c r="I30" s="1">
        <v>187800</v>
      </c>
      <c r="J30" s="1">
        <v>187980</v>
      </c>
      <c r="K30" s="1">
        <v>188200</v>
      </c>
      <c r="L30" s="1">
        <v>188370</v>
      </c>
      <c r="M30" s="1">
        <v>188580</v>
      </c>
      <c r="N30" s="1">
        <v>188790</v>
      </c>
      <c r="O30" s="1">
        <v>188960</v>
      </c>
      <c r="P30" s="1">
        <v>189170</v>
      </c>
      <c r="Q30" s="1">
        <v>189330</v>
      </c>
      <c r="R30" s="1">
        <v>189560</v>
      </c>
      <c r="S30" s="1">
        <v>189760</v>
      </c>
      <c r="T30" s="1">
        <v>189920</v>
      </c>
      <c r="U30" s="1">
        <v>190110</v>
      </c>
      <c r="V30" s="1">
        <v>190310</v>
      </c>
      <c r="W30" s="1">
        <v>190500</v>
      </c>
      <c r="X30" s="1">
        <v>190660</v>
      </c>
      <c r="Y30" s="1">
        <v>190900</v>
      </c>
      <c r="Z30" s="1">
        <v>191270</v>
      </c>
      <c r="AA30" s="5">
        <f>AVERAGE(B30:Y30)</f>
        <v>188683.33333333334</v>
      </c>
      <c r="AB30" s="5">
        <f>(AA31-AA29)/2</f>
        <v>4801.875</v>
      </c>
      <c r="AC30" s="14">
        <f>AB30/(23+AB151)</f>
        <v>192.37606232294601</v>
      </c>
      <c r="AD30" s="5">
        <f>AA30-AA29</f>
        <v>4811.6666666666861</v>
      </c>
      <c r="AE30" s="1">
        <f>AD30-AD29</f>
        <v>21.666666666686069</v>
      </c>
      <c r="AG30" s="5">
        <f>Z30-Y30</f>
        <v>370</v>
      </c>
      <c r="AI30" s="1">
        <f>C30-B30</f>
        <v>190</v>
      </c>
      <c r="AJ30" s="1">
        <f>D30-C30</f>
        <v>150</v>
      </c>
      <c r="AK30" s="1">
        <f>E30-D30</f>
        <v>200</v>
      </c>
      <c r="AL30" s="1">
        <f>F30-E30</f>
        <v>160</v>
      </c>
      <c r="AM30" s="1">
        <f>G30-F30</f>
        <v>220</v>
      </c>
      <c r="AN30" s="1">
        <f>H30-G30</f>
        <v>250</v>
      </c>
      <c r="AO30" s="1">
        <f>I30-H30</f>
        <v>110</v>
      </c>
      <c r="AP30" s="1">
        <f>J30-I30</f>
        <v>180</v>
      </c>
      <c r="AQ30" s="1">
        <f>K30-J30</f>
        <v>220</v>
      </c>
      <c r="AR30" s="1">
        <f>L30-K30</f>
        <v>170</v>
      </c>
      <c r="AS30" s="1">
        <f>M30-L30</f>
        <v>210</v>
      </c>
      <c r="AT30" s="1">
        <f>N30-M30</f>
        <v>210</v>
      </c>
      <c r="AU30" s="1">
        <f>O30-N30</f>
        <v>170</v>
      </c>
      <c r="AV30" s="1">
        <f>P30-O30</f>
        <v>210</v>
      </c>
      <c r="AW30" s="1">
        <f>Q30-P30</f>
        <v>160</v>
      </c>
      <c r="AX30" s="1">
        <f>R30-Q30</f>
        <v>230</v>
      </c>
      <c r="AY30" s="1">
        <f>S30-R30</f>
        <v>200</v>
      </c>
      <c r="AZ30" s="1">
        <f>T30-S30</f>
        <v>160</v>
      </c>
      <c r="BA30" s="1">
        <f>U30-T30</f>
        <v>190</v>
      </c>
      <c r="BB30" s="1">
        <f>V30-U30</f>
        <v>200</v>
      </c>
      <c r="BC30" s="1">
        <f>W30-V30</f>
        <v>190</v>
      </c>
      <c r="BD30" s="1">
        <f>X30-W30</f>
        <v>160</v>
      </c>
      <c r="BE30" s="1">
        <f>Y30-X30</f>
        <v>240</v>
      </c>
      <c r="BF30" s="1">
        <f>Z30-Y30</f>
        <v>370</v>
      </c>
    </row>
    <row r="31" spans="1:58">
      <c r="A31" s="1">
        <v>29</v>
      </c>
      <c r="B31" s="1">
        <v>191270</v>
      </c>
      <c r="C31" s="1">
        <v>191450</v>
      </c>
      <c r="D31" s="1">
        <v>191660</v>
      </c>
      <c r="E31" s="1">
        <v>191840</v>
      </c>
      <c r="F31" s="1">
        <v>192030</v>
      </c>
      <c r="G31" s="1">
        <v>192240</v>
      </c>
      <c r="H31" s="1">
        <v>192410</v>
      </c>
      <c r="I31" s="1">
        <v>192630</v>
      </c>
      <c r="J31" s="1">
        <v>192810</v>
      </c>
      <c r="K31" s="1">
        <v>193000</v>
      </c>
      <c r="L31" s="1">
        <v>193180</v>
      </c>
      <c r="M31" s="1">
        <v>193350</v>
      </c>
      <c r="N31" s="1">
        <v>193600</v>
      </c>
      <c r="O31" s="1">
        <v>193740</v>
      </c>
      <c r="P31" s="1">
        <v>193960</v>
      </c>
      <c r="Q31" s="1">
        <v>194160</v>
      </c>
      <c r="R31" s="1">
        <v>194350</v>
      </c>
      <c r="S31" s="1">
        <v>194540</v>
      </c>
      <c r="T31" s="1">
        <v>194750</v>
      </c>
      <c r="U31" s="1">
        <v>194910</v>
      </c>
      <c r="V31" s="1">
        <v>195100</v>
      </c>
      <c r="W31" s="1">
        <v>195270</v>
      </c>
      <c r="X31" s="1">
        <v>195470</v>
      </c>
      <c r="Y31" s="1">
        <v>195690</v>
      </c>
      <c r="Z31" s="1">
        <v>196090</v>
      </c>
      <c r="AA31" s="5">
        <f>AVERAGE(B31:Y31)</f>
        <v>193475.41666666666</v>
      </c>
      <c r="AB31" s="5">
        <f>(AA32-AA30)/2</f>
        <v>4795.8333333333285</v>
      </c>
      <c r="AC31" s="14">
        <f>AB31/(23+AB151)</f>
        <v>192.13401686295339</v>
      </c>
      <c r="AD31" s="5">
        <f>AA31-AA30</f>
        <v>4792.0833333333139</v>
      </c>
      <c r="AE31" s="1">
        <f>AD31-AD30</f>
        <v>-19.583333333372138</v>
      </c>
      <c r="AG31" s="5">
        <f>Z31-Y31</f>
        <v>400</v>
      </c>
      <c r="AI31" s="1">
        <f>C31-B31</f>
        <v>180</v>
      </c>
      <c r="AJ31" s="1">
        <f>D31-C31</f>
        <v>210</v>
      </c>
      <c r="AK31" s="1">
        <f>E31-D31</f>
        <v>180</v>
      </c>
      <c r="AL31" s="1">
        <f>F31-E31</f>
        <v>190</v>
      </c>
      <c r="AM31" s="1">
        <f>G31-F31</f>
        <v>210</v>
      </c>
      <c r="AN31" s="1">
        <f>H31-G31</f>
        <v>170</v>
      </c>
      <c r="AO31" s="1">
        <f>I31-H31</f>
        <v>220</v>
      </c>
      <c r="AP31" s="1">
        <f>J31-I31</f>
        <v>180</v>
      </c>
      <c r="AQ31" s="1">
        <f>K31-J31</f>
        <v>190</v>
      </c>
      <c r="AR31" s="1">
        <f>L31-K31</f>
        <v>180</v>
      </c>
      <c r="AS31" s="1">
        <f>M31-L31</f>
        <v>170</v>
      </c>
      <c r="AT31" s="1">
        <f>N31-M31</f>
        <v>250</v>
      </c>
      <c r="AU31" s="1">
        <f>O31-N31</f>
        <v>140</v>
      </c>
      <c r="AV31" s="1">
        <f>P31-O31</f>
        <v>220</v>
      </c>
      <c r="AW31" s="1">
        <f>Q31-P31</f>
        <v>200</v>
      </c>
      <c r="AX31" s="1">
        <f>R31-Q31</f>
        <v>190</v>
      </c>
      <c r="AY31" s="1">
        <f>S31-R31</f>
        <v>190</v>
      </c>
      <c r="AZ31" s="1">
        <f>T31-S31</f>
        <v>210</v>
      </c>
      <c r="BA31" s="1">
        <f>U31-T31</f>
        <v>160</v>
      </c>
      <c r="BB31" s="1">
        <f>V31-U31</f>
        <v>190</v>
      </c>
      <c r="BC31" s="1">
        <f>W31-V31</f>
        <v>170</v>
      </c>
      <c r="BD31" s="1">
        <f>X31-W31</f>
        <v>200</v>
      </c>
      <c r="BE31" s="1">
        <f>Y31-X31</f>
        <v>220</v>
      </c>
      <c r="BF31" s="1">
        <f>Z31-Y31</f>
        <v>400</v>
      </c>
    </row>
    <row r="32" spans="1:58">
      <c r="A32" s="1">
        <v>30</v>
      </c>
      <c r="B32" s="1">
        <v>196090</v>
      </c>
      <c r="C32" s="1">
        <v>196300</v>
      </c>
      <c r="D32" s="1">
        <v>196470</v>
      </c>
      <c r="E32" s="1">
        <v>196640</v>
      </c>
      <c r="F32" s="1">
        <v>196860</v>
      </c>
      <c r="G32" s="1">
        <v>197030</v>
      </c>
      <c r="H32" s="1">
        <v>197180</v>
      </c>
      <c r="I32" s="1">
        <v>197420</v>
      </c>
      <c r="J32" s="1">
        <v>197610</v>
      </c>
      <c r="K32" s="1">
        <v>197790</v>
      </c>
      <c r="L32" s="1">
        <v>197960</v>
      </c>
      <c r="M32" s="1">
        <v>198160</v>
      </c>
      <c r="N32" s="1">
        <v>198340</v>
      </c>
      <c r="O32" s="1">
        <v>198580</v>
      </c>
      <c r="P32" s="1">
        <v>198770</v>
      </c>
      <c r="Q32" s="1">
        <v>198960</v>
      </c>
      <c r="R32" s="1">
        <v>199150</v>
      </c>
      <c r="S32" s="1">
        <v>199360</v>
      </c>
      <c r="T32" s="1">
        <v>199520</v>
      </c>
      <c r="U32" s="1">
        <v>199700</v>
      </c>
      <c r="V32" s="1">
        <v>199880</v>
      </c>
      <c r="W32" s="1">
        <v>200080</v>
      </c>
      <c r="X32" s="1">
        <v>200280</v>
      </c>
      <c r="Y32" s="1">
        <v>200470</v>
      </c>
      <c r="Z32" s="1">
        <v>200880</v>
      </c>
      <c r="AA32" s="5">
        <f>AVERAGE(B32:Y32)</f>
        <v>198275</v>
      </c>
      <c r="AB32" s="5">
        <f>(AA33-AA31)/2</f>
        <v>4806.0416666666715</v>
      </c>
      <c r="AC32" s="14">
        <f>AB32/(23+AB151)</f>
        <v>192.54299022638926</v>
      </c>
      <c r="AD32" s="5">
        <f>AA32-AA31</f>
        <v>4799.583333333343</v>
      </c>
      <c r="AE32" s="1">
        <f>AD32-AD31</f>
        <v>7.5000000000291038</v>
      </c>
      <c r="AG32" s="5">
        <f>Z32-Y32</f>
        <v>410</v>
      </c>
      <c r="AI32" s="1">
        <f>C32-B32</f>
        <v>210</v>
      </c>
      <c r="AJ32" s="1">
        <f>D32-C32</f>
        <v>170</v>
      </c>
      <c r="AK32" s="1">
        <f>E32-D32</f>
        <v>170</v>
      </c>
      <c r="AL32" s="1">
        <f>F32-E32</f>
        <v>220</v>
      </c>
      <c r="AM32" s="1">
        <f>G32-F32</f>
        <v>170</v>
      </c>
      <c r="AN32" s="1">
        <f>H32-G32</f>
        <v>150</v>
      </c>
      <c r="AO32" s="1">
        <f>I32-H32</f>
        <v>240</v>
      </c>
      <c r="AP32" s="1">
        <f>J32-I32</f>
        <v>190</v>
      </c>
      <c r="AQ32" s="1">
        <f>K32-J32</f>
        <v>180</v>
      </c>
      <c r="AR32" s="1">
        <f>L32-K32</f>
        <v>170</v>
      </c>
      <c r="AS32" s="1">
        <f>M32-L32</f>
        <v>200</v>
      </c>
      <c r="AT32" s="1">
        <f>N32-M32</f>
        <v>180</v>
      </c>
      <c r="AU32" s="1">
        <f>O32-N32</f>
        <v>240</v>
      </c>
      <c r="AV32" s="1">
        <f>P32-O32</f>
        <v>190</v>
      </c>
      <c r="AW32" s="1">
        <f>Q32-P32</f>
        <v>190</v>
      </c>
      <c r="AX32" s="1">
        <f>R32-Q32</f>
        <v>190</v>
      </c>
      <c r="AY32" s="1">
        <f>S32-R32</f>
        <v>210</v>
      </c>
      <c r="AZ32" s="1">
        <f>T32-S32</f>
        <v>160</v>
      </c>
      <c r="BA32" s="1">
        <f>U32-T32</f>
        <v>180</v>
      </c>
      <c r="BB32" s="1">
        <f>V32-U32</f>
        <v>180</v>
      </c>
      <c r="BC32" s="1">
        <f>W32-V32</f>
        <v>200</v>
      </c>
      <c r="BD32" s="1">
        <f>X32-W32</f>
        <v>200</v>
      </c>
      <c r="BE32" s="1">
        <f>Y32-X32</f>
        <v>190</v>
      </c>
      <c r="BF32" s="1">
        <f>Z32-Y32</f>
        <v>410</v>
      </c>
    </row>
    <row r="33" spans="1:58">
      <c r="A33" s="1">
        <v>31</v>
      </c>
      <c r="B33" s="1">
        <v>200880</v>
      </c>
      <c r="C33" s="1">
        <v>201110</v>
      </c>
      <c r="D33" s="1">
        <v>201260</v>
      </c>
      <c r="E33" s="1">
        <v>201450</v>
      </c>
      <c r="F33" s="1">
        <v>201700</v>
      </c>
      <c r="G33" s="1">
        <v>201880</v>
      </c>
      <c r="H33" s="1">
        <v>202070</v>
      </c>
      <c r="I33" s="1">
        <v>202240</v>
      </c>
      <c r="J33" s="1">
        <v>202390</v>
      </c>
      <c r="K33" s="1">
        <v>202590</v>
      </c>
      <c r="L33" s="1">
        <v>202770</v>
      </c>
      <c r="M33" s="1">
        <v>202950</v>
      </c>
      <c r="N33" s="1">
        <v>203150</v>
      </c>
      <c r="O33" s="1">
        <v>203370</v>
      </c>
      <c r="P33" s="1">
        <v>203570</v>
      </c>
      <c r="Q33" s="1">
        <v>203780</v>
      </c>
      <c r="R33" s="1">
        <v>203980</v>
      </c>
      <c r="S33" s="1">
        <v>204200</v>
      </c>
      <c r="T33" s="1">
        <v>204330</v>
      </c>
      <c r="U33" s="1">
        <v>204520</v>
      </c>
      <c r="V33" s="1">
        <v>204720</v>
      </c>
      <c r="W33" s="1">
        <v>204880</v>
      </c>
      <c r="X33" s="1">
        <v>205060</v>
      </c>
      <c r="Y33" s="1">
        <v>205250</v>
      </c>
      <c r="Z33" s="1">
        <v>205640</v>
      </c>
      <c r="AA33" s="5">
        <f>AVERAGE(B33:Y33)</f>
        <v>203087.5</v>
      </c>
      <c r="AB33" s="5">
        <f>(AA34-AA32)/2</f>
        <v>4804.5833333333285</v>
      </c>
      <c r="AC33" s="14">
        <f>AB33/(23+AB151)</f>
        <v>192.4845654601838</v>
      </c>
      <c r="AD33" s="5">
        <f>AA33-AA32</f>
        <v>4812.5</v>
      </c>
      <c r="AE33" s="1">
        <f>AD33-AD32</f>
        <v>12.916666666656965</v>
      </c>
      <c r="AG33" s="5">
        <f>Z33-Y33</f>
        <v>390</v>
      </c>
      <c r="AI33" s="1">
        <f>C33-B33</f>
        <v>230</v>
      </c>
      <c r="AJ33" s="1">
        <f>D33-C33</f>
        <v>150</v>
      </c>
      <c r="AK33" s="1">
        <f>E33-D33</f>
        <v>190</v>
      </c>
      <c r="AL33" s="1">
        <f>F33-E33</f>
        <v>250</v>
      </c>
      <c r="AM33" s="1">
        <f>G33-F33</f>
        <v>180</v>
      </c>
      <c r="AN33" s="1">
        <f>H33-G33</f>
        <v>190</v>
      </c>
      <c r="AO33" s="1">
        <f>I33-H33</f>
        <v>170</v>
      </c>
      <c r="AP33" s="1">
        <f>J33-I33</f>
        <v>150</v>
      </c>
      <c r="AQ33" s="1">
        <f>K33-J33</f>
        <v>200</v>
      </c>
      <c r="AR33" s="1">
        <f>L33-K33</f>
        <v>180</v>
      </c>
      <c r="AS33" s="1">
        <f>M33-L33</f>
        <v>180</v>
      </c>
      <c r="AT33" s="1">
        <f>N33-M33</f>
        <v>200</v>
      </c>
      <c r="AU33" s="1">
        <f>O33-N33</f>
        <v>220</v>
      </c>
      <c r="AV33" s="1">
        <f>P33-O33</f>
        <v>200</v>
      </c>
      <c r="AW33" s="1">
        <f>Q33-P33</f>
        <v>210</v>
      </c>
      <c r="AX33" s="1">
        <f>R33-Q33</f>
        <v>200</v>
      </c>
      <c r="AY33" s="1">
        <f>S33-R33</f>
        <v>220</v>
      </c>
      <c r="AZ33" s="1">
        <f>T33-S33</f>
        <v>130</v>
      </c>
      <c r="BA33" s="1">
        <f>U33-T33</f>
        <v>190</v>
      </c>
      <c r="BB33" s="1">
        <f>V33-U33</f>
        <v>200</v>
      </c>
      <c r="BC33" s="1">
        <f>W33-V33</f>
        <v>160</v>
      </c>
      <c r="BD33" s="1">
        <f>X33-W33</f>
        <v>180</v>
      </c>
      <c r="BE33" s="1">
        <f>Y33-X33</f>
        <v>190</v>
      </c>
      <c r="BF33" s="1">
        <f>Z33-Y33</f>
        <v>390</v>
      </c>
    </row>
    <row r="34" spans="1:58">
      <c r="A34" s="1">
        <v>32</v>
      </c>
      <c r="B34" s="1">
        <v>205640</v>
      </c>
      <c r="C34" s="1">
        <v>205890</v>
      </c>
      <c r="D34" s="1">
        <v>206060</v>
      </c>
      <c r="E34" s="1">
        <v>206250</v>
      </c>
      <c r="F34" s="1">
        <v>206480</v>
      </c>
      <c r="G34" s="1">
        <v>206650</v>
      </c>
      <c r="H34" s="1">
        <v>206800</v>
      </c>
      <c r="I34" s="1">
        <v>207020</v>
      </c>
      <c r="J34" s="1">
        <v>207170</v>
      </c>
      <c r="K34" s="1">
        <v>207400</v>
      </c>
      <c r="L34" s="1">
        <v>207590</v>
      </c>
      <c r="M34" s="1">
        <v>207730</v>
      </c>
      <c r="N34" s="1">
        <v>208010</v>
      </c>
      <c r="O34" s="1">
        <v>208220</v>
      </c>
      <c r="P34" s="1">
        <v>208370</v>
      </c>
      <c r="Q34" s="1">
        <v>208570</v>
      </c>
      <c r="R34" s="1">
        <v>208770</v>
      </c>
      <c r="S34" s="1">
        <v>208930</v>
      </c>
      <c r="T34" s="1">
        <v>209150</v>
      </c>
      <c r="U34" s="1">
        <v>209310</v>
      </c>
      <c r="V34" s="1">
        <v>209490</v>
      </c>
      <c r="W34" s="1">
        <v>209730</v>
      </c>
      <c r="X34" s="1">
        <v>209910</v>
      </c>
      <c r="Y34" s="1">
        <v>210080</v>
      </c>
      <c r="Z34" s="1">
        <v>210520</v>
      </c>
      <c r="AA34" s="5">
        <f>AVERAGE(B34:Y34)</f>
        <v>207884.16666666666</v>
      </c>
      <c r="AB34" s="5">
        <f>(AA35-AA33)/2</f>
        <v>4810.2083333333285</v>
      </c>
      <c r="AC34" s="14">
        <f>AB34/(23+AB151)</f>
        <v>192.70991812983192</v>
      </c>
      <c r="AD34" s="5">
        <f>AA34-AA33</f>
        <v>4796.666666666657</v>
      </c>
      <c r="AE34" s="1">
        <f>AD34-AD33</f>
        <v>-15.833333333343035</v>
      </c>
      <c r="AG34" s="5">
        <f>Z34-Y34</f>
        <v>440</v>
      </c>
      <c r="AI34" s="1">
        <f>C34-B34</f>
        <v>250</v>
      </c>
      <c r="AJ34" s="1">
        <f>D34-C34</f>
        <v>170</v>
      </c>
      <c r="AK34" s="1">
        <f>E34-D34</f>
        <v>190</v>
      </c>
      <c r="AL34" s="1">
        <f>F34-E34</f>
        <v>230</v>
      </c>
      <c r="AM34" s="1">
        <f>G34-F34</f>
        <v>170</v>
      </c>
      <c r="AN34" s="1">
        <f>H34-G34</f>
        <v>150</v>
      </c>
      <c r="AO34" s="1">
        <f>I34-H34</f>
        <v>220</v>
      </c>
      <c r="AP34" s="1">
        <f>J34-I34</f>
        <v>150</v>
      </c>
      <c r="AQ34" s="1">
        <f>K34-J34</f>
        <v>230</v>
      </c>
      <c r="AR34" s="1">
        <f>L34-K34</f>
        <v>190</v>
      </c>
      <c r="AS34" s="1">
        <f>M34-L34</f>
        <v>140</v>
      </c>
      <c r="AT34" s="1">
        <f>N34-M34</f>
        <v>280</v>
      </c>
      <c r="AU34" s="1">
        <f>O34-N34</f>
        <v>210</v>
      </c>
      <c r="AV34" s="1">
        <f>P34-O34</f>
        <v>150</v>
      </c>
      <c r="AW34" s="1">
        <f>Q34-P34</f>
        <v>200</v>
      </c>
      <c r="AX34" s="1">
        <f>R34-Q34</f>
        <v>200</v>
      </c>
      <c r="AY34" s="1">
        <f>S34-R34</f>
        <v>160</v>
      </c>
      <c r="AZ34" s="1">
        <f>T34-S34</f>
        <v>220</v>
      </c>
      <c r="BA34" s="1">
        <f>U34-T34</f>
        <v>160</v>
      </c>
      <c r="BB34" s="1">
        <f>V34-U34</f>
        <v>180</v>
      </c>
      <c r="BC34" s="1">
        <f>W34-V34</f>
        <v>240</v>
      </c>
      <c r="BD34" s="1">
        <f>X34-W34</f>
        <v>180</v>
      </c>
      <c r="BE34" s="1">
        <f>Y34-X34</f>
        <v>170</v>
      </c>
      <c r="BF34" s="1">
        <f>Z34-Y34</f>
        <v>440</v>
      </c>
    </row>
    <row r="35" spans="1:58">
      <c r="A35" s="1">
        <v>33</v>
      </c>
      <c r="B35" s="1">
        <v>210520</v>
      </c>
      <c r="C35" s="1">
        <v>210740</v>
      </c>
      <c r="D35" s="1">
        <v>210910</v>
      </c>
      <c r="E35" s="1">
        <v>211100</v>
      </c>
      <c r="F35" s="1">
        <v>211260</v>
      </c>
      <c r="G35" s="1">
        <v>211470</v>
      </c>
      <c r="H35" s="1">
        <v>211620</v>
      </c>
      <c r="I35" s="1">
        <v>211840</v>
      </c>
      <c r="J35" s="1">
        <v>211980</v>
      </c>
      <c r="K35" s="1">
        <v>212220</v>
      </c>
      <c r="L35" s="1">
        <v>212360</v>
      </c>
      <c r="M35" s="1">
        <v>212620</v>
      </c>
      <c r="N35" s="1">
        <v>212810</v>
      </c>
      <c r="O35" s="1">
        <v>213020</v>
      </c>
      <c r="P35" s="1">
        <v>213190</v>
      </c>
      <c r="Q35" s="1">
        <v>213370</v>
      </c>
      <c r="R35" s="1">
        <v>213590</v>
      </c>
      <c r="S35" s="1">
        <v>213760</v>
      </c>
      <c r="T35" s="1">
        <v>213970</v>
      </c>
      <c r="U35" s="1">
        <v>214160</v>
      </c>
      <c r="V35" s="1">
        <v>214350</v>
      </c>
      <c r="W35" s="1">
        <v>214490</v>
      </c>
      <c r="X35" s="1">
        <v>214730</v>
      </c>
      <c r="Y35" s="1">
        <v>214910</v>
      </c>
      <c r="Z35" s="1">
        <v>215310</v>
      </c>
      <c r="AA35" s="5">
        <f>AVERAGE(B35:Y35)</f>
        <v>212707.91666666666</v>
      </c>
      <c r="AB35" s="5">
        <f>(AA36-AA34)/2</f>
        <v>4829.583333333343</v>
      </c>
      <c r="AC35" s="14">
        <f>AB35/(23+AB151)</f>
        <v>193.48613288084269</v>
      </c>
      <c r="AD35" s="5">
        <f>AA35-AA34</f>
        <v>4823.75</v>
      </c>
      <c r="AE35" s="1">
        <f>AD35-AD34</f>
        <v>27.083333333343035</v>
      </c>
      <c r="AG35" s="5">
        <f>Z35-Y35</f>
        <v>400</v>
      </c>
      <c r="AI35" s="1">
        <f>C35-B35</f>
        <v>220</v>
      </c>
      <c r="AJ35" s="1">
        <f>D35-C35</f>
        <v>170</v>
      </c>
      <c r="AK35" s="1">
        <f>E35-D35</f>
        <v>190</v>
      </c>
      <c r="AL35" s="1">
        <f>F35-E35</f>
        <v>160</v>
      </c>
      <c r="AM35" s="1">
        <f>G35-F35</f>
        <v>210</v>
      </c>
      <c r="AN35" s="1">
        <f>H35-G35</f>
        <v>150</v>
      </c>
      <c r="AO35" s="1">
        <f>I35-H35</f>
        <v>220</v>
      </c>
      <c r="AP35" s="1">
        <f>J35-I35</f>
        <v>140</v>
      </c>
      <c r="AQ35" s="1">
        <f>K35-J35</f>
        <v>240</v>
      </c>
      <c r="AR35" s="1">
        <f>L35-K35</f>
        <v>140</v>
      </c>
      <c r="AS35" s="1">
        <f>M35-L35</f>
        <v>260</v>
      </c>
      <c r="AT35" s="1">
        <f>N35-M35</f>
        <v>190</v>
      </c>
      <c r="AU35" s="1">
        <f>O35-N35</f>
        <v>210</v>
      </c>
      <c r="AV35" s="1">
        <f>P35-O35</f>
        <v>170</v>
      </c>
      <c r="AW35" s="1">
        <f>Q35-P35</f>
        <v>180</v>
      </c>
      <c r="AX35" s="1">
        <f>R35-Q35</f>
        <v>220</v>
      </c>
      <c r="AY35" s="1">
        <f>S35-R35</f>
        <v>170</v>
      </c>
      <c r="AZ35" s="1">
        <f>T35-S35</f>
        <v>210</v>
      </c>
      <c r="BA35" s="1">
        <f>U35-T35</f>
        <v>190</v>
      </c>
      <c r="BB35" s="1">
        <f>V35-U35</f>
        <v>190</v>
      </c>
      <c r="BC35" s="1">
        <f>W35-V35</f>
        <v>140</v>
      </c>
      <c r="BD35" s="1">
        <f>X35-W35</f>
        <v>240</v>
      </c>
      <c r="BE35" s="1">
        <f>Y35-X35</f>
        <v>180</v>
      </c>
      <c r="BF35" s="1">
        <f>Z35-Y35</f>
        <v>400</v>
      </c>
    </row>
    <row r="36" spans="1:58">
      <c r="A36" s="1">
        <v>34</v>
      </c>
      <c r="B36" s="1">
        <v>215310</v>
      </c>
      <c r="C36" s="1">
        <v>215510</v>
      </c>
      <c r="D36" s="1">
        <v>215730</v>
      </c>
      <c r="E36" s="1">
        <v>215940</v>
      </c>
      <c r="F36" s="1">
        <v>216110</v>
      </c>
      <c r="G36" s="1">
        <v>216350</v>
      </c>
      <c r="H36" s="1">
        <v>216450</v>
      </c>
      <c r="I36" s="1">
        <v>216620</v>
      </c>
      <c r="J36" s="1">
        <v>216860</v>
      </c>
      <c r="K36" s="1">
        <v>217090</v>
      </c>
      <c r="L36" s="1">
        <v>217210</v>
      </c>
      <c r="M36" s="1">
        <v>217470</v>
      </c>
      <c r="N36" s="1">
        <v>217620</v>
      </c>
      <c r="O36" s="1">
        <v>217840</v>
      </c>
      <c r="P36" s="1">
        <v>218020</v>
      </c>
      <c r="Q36" s="1">
        <v>218210</v>
      </c>
      <c r="R36" s="1">
        <v>218410</v>
      </c>
      <c r="S36" s="1">
        <v>218610</v>
      </c>
      <c r="T36" s="1">
        <v>218790</v>
      </c>
      <c r="U36" s="1">
        <v>218970</v>
      </c>
      <c r="V36" s="1">
        <v>219190</v>
      </c>
      <c r="W36" s="1">
        <v>219360</v>
      </c>
      <c r="X36" s="1">
        <v>219600</v>
      </c>
      <c r="Y36" s="1">
        <v>219770</v>
      </c>
      <c r="Z36" s="1">
        <v>220220</v>
      </c>
      <c r="AA36" s="5">
        <f>AVERAGE(B36:Y36)</f>
        <v>217543.33333333334</v>
      </c>
      <c r="AB36" s="5">
        <f>(AA37-AA35)/2</f>
        <v>4837.708333333343</v>
      </c>
      <c r="AC36" s="14">
        <f>AB36/(23+AB151)</f>
        <v>193.81164229255666</v>
      </c>
      <c r="AD36" s="5">
        <f>AA36-AA35</f>
        <v>4835.4166666666861</v>
      </c>
      <c r="AE36" s="1">
        <f>AD36-AD35</f>
        <v>11.666666666686069</v>
      </c>
      <c r="AG36" s="5">
        <f>Z36-Y36</f>
        <v>450</v>
      </c>
      <c r="AI36" s="1">
        <f>C36-B36</f>
        <v>200</v>
      </c>
      <c r="AJ36" s="1">
        <f>D36-C36</f>
        <v>220</v>
      </c>
      <c r="AK36" s="1">
        <f>E36-D36</f>
        <v>210</v>
      </c>
      <c r="AL36" s="1">
        <f>F36-E36</f>
        <v>170</v>
      </c>
      <c r="AM36" s="1">
        <f>G36-F36</f>
        <v>240</v>
      </c>
      <c r="AN36" s="1">
        <f>H36-G36</f>
        <v>100</v>
      </c>
      <c r="AO36" s="1">
        <f>I36-H36</f>
        <v>170</v>
      </c>
      <c r="AP36" s="1">
        <f>J36-I36</f>
        <v>240</v>
      </c>
      <c r="AQ36" s="1">
        <f>K36-J36</f>
        <v>230</v>
      </c>
      <c r="AR36" s="1">
        <f>L36-K36</f>
        <v>120</v>
      </c>
      <c r="AS36" s="1">
        <f>M36-L36</f>
        <v>260</v>
      </c>
      <c r="AT36" s="1">
        <f>N36-M36</f>
        <v>150</v>
      </c>
      <c r="AU36" s="1">
        <f>O36-N36</f>
        <v>220</v>
      </c>
      <c r="AV36" s="1">
        <f>P36-O36</f>
        <v>180</v>
      </c>
      <c r="AW36" s="1">
        <f>Q36-P36</f>
        <v>190</v>
      </c>
      <c r="AX36" s="1">
        <f>R36-Q36</f>
        <v>200</v>
      </c>
      <c r="AY36" s="1">
        <f>S36-R36</f>
        <v>200</v>
      </c>
      <c r="AZ36" s="1">
        <f>T36-S36</f>
        <v>180</v>
      </c>
      <c r="BA36" s="1">
        <f>U36-T36</f>
        <v>180</v>
      </c>
      <c r="BB36" s="1">
        <f>V36-U36</f>
        <v>220</v>
      </c>
      <c r="BC36" s="1">
        <f>W36-V36</f>
        <v>170</v>
      </c>
      <c r="BD36" s="1">
        <f>X36-W36</f>
        <v>240</v>
      </c>
      <c r="BE36" s="1">
        <f>Y36-X36</f>
        <v>170</v>
      </c>
      <c r="BF36" s="1">
        <f>Z36-Y36</f>
        <v>450</v>
      </c>
    </row>
    <row r="37" spans="1:58">
      <c r="A37" s="1">
        <v>35</v>
      </c>
      <c r="B37" s="1">
        <v>220220</v>
      </c>
      <c r="C37" s="1">
        <v>220380</v>
      </c>
      <c r="D37" s="1">
        <v>220570</v>
      </c>
      <c r="E37" s="1">
        <v>220770</v>
      </c>
      <c r="F37" s="1">
        <v>220920</v>
      </c>
      <c r="G37" s="1">
        <v>221140</v>
      </c>
      <c r="H37" s="1">
        <v>221290</v>
      </c>
      <c r="I37" s="1">
        <v>221510</v>
      </c>
      <c r="J37" s="1">
        <v>221670</v>
      </c>
      <c r="K37" s="1">
        <v>221880</v>
      </c>
      <c r="L37" s="1">
        <v>222080</v>
      </c>
      <c r="M37" s="1">
        <v>222290</v>
      </c>
      <c r="N37" s="1">
        <v>222510</v>
      </c>
      <c r="O37" s="1">
        <v>222720</v>
      </c>
      <c r="P37" s="1">
        <v>222880</v>
      </c>
      <c r="Q37" s="1">
        <v>223050</v>
      </c>
      <c r="R37" s="1">
        <v>223190</v>
      </c>
      <c r="S37" s="1">
        <v>223430</v>
      </c>
      <c r="T37" s="1">
        <v>223660</v>
      </c>
      <c r="U37" s="1">
        <v>223830</v>
      </c>
      <c r="V37" s="1">
        <v>224020</v>
      </c>
      <c r="W37" s="1">
        <v>224200</v>
      </c>
      <c r="X37" s="1">
        <v>224420</v>
      </c>
      <c r="Y37" s="1">
        <v>224570</v>
      </c>
      <c r="Z37" s="1">
        <v>225020</v>
      </c>
      <c r="AA37" s="5">
        <f>AVERAGE(B37:Y37)</f>
        <v>222383.33333333334</v>
      </c>
      <c r="AB37" s="5">
        <f>(AA38-AA36)/2</f>
        <v>4833.3333333333285</v>
      </c>
      <c r="AC37" s="14">
        <f>AB37/(23+AB151)</f>
        <v>193.63636799394087</v>
      </c>
      <c r="AD37" s="5">
        <f>AA37-AA36</f>
        <v>4840</v>
      </c>
      <c r="AE37" s="1">
        <f>AD37-AD36</f>
        <v>4.5833333333139308</v>
      </c>
      <c r="AG37" s="5">
        <f>Z37-Y37</f>
        <v>450</v>
      </c>
      <c r="AI37" s="1">
        <f>C37-B37</f>
        <v>160</v>
      </c>
      <c r="AJ37" s="1">
        <f>D37-C37</f>
        <v>190</v>
      </c>
      <c r="AK37" s="1">
        <f>E37-D37</f>
        <v>200</v>
      </c>
      <c r="AL37" s="1">
        <f>F37-E37</f>
        <v>150</v>
      </c>
      <c r="AM37" s="1">
        <f>G37-F37</f>
        <v>220</v>
      </c>
      <c r="AN37" s="1">
        <f>H37-G37</f>
        <v>150</v>
      </c>
      <c r="AO37" s="1">
        <f>I37-H37</f>
        <v>220</v>
      </c>
      <c r="AP37" s="1">
        <f>J37-I37</f>
        <v>160</v>
      </c>
      <c r="AQ37" s="1">
        <f>K37-J37</f>
        <v>210</v>
      </c>
      <c r="AR37" s="1">
        <f>L37-K37</f>
        <v>200</v>
      </c>
      <c r="AS37" s="1">
        <f>M37-L37</f>
        <v>210</v>
      </c>
      <c r="AT37" s="1">
        <f>N37-M37</f>
        <v>220</v>
      </c>
      <c r="AU37" s="1">
        <f>O37-N37</f>
        <v>210</v>
      </c>
      <c r="AV37" s="1">
        <f>P37-O37</f>
        <v>160</v>
      </c>
      <c r="AW37" s="1">
        <f>Q37-P37</f>
        <v>170</v>
      </c>
      <c r="AX37" s="1">
        <f>R37-Q37</f>
        <v>140</v>
      </c>
      <c r="AY37" s="1">
        <f>S37-R37</f>
        <v>240</v>
      </c>
      <c r="AZ37" s="1">
        <f>T37-S37</f>
        <v>230</v>
      </c>
      <c r="BA37" s="1">
        <f>U37-T37</f>
        <v>170</v>
      </c>
      <c r="BB37" s="1">
        <f>V37-U37</f>
        <v>190</v>
      </c>
      <c r="BC37" s="1">
        <f>W37-V37</f>
        <v>180</v>
      </c>
      <c r="BD37" s="1">
        <f>X37-W37</f>
        <v>220</v>
      </c>
      <c r="BE37" s="1">
        <f>Y37-X37</f>
        <v>150</v>
      </c>
      <c r="BF37" s="1">
        <f>Z37-Y37</f>
        <v>450</v>
      </c>
    </row>
    <row r="38" spans="1:58">
      <c r="A38" s="1">
        <v>36</v>
      </c>
      <c r="B38" s="1">
        <v>225020</v>
      </c>
      <c r="C38" s="1">
        <v>225210</v>
      </c>
      <c r="D38" s="1">
        <v>225420</v>
      </c>
      <c r="E38" s="1">
        <v>225640</v>
      </c>
      <c r="F38" s="1">
        <v>225770</v>
      </c>
      <c r="G38" s="1">
        <v>225970</v>
      </c>
      <c r="H38" s="1">
        <v>226120</v>
      </c>
      <c r="I38" s="1">
        <v>226340</v>
      </c>
      <c r="J38" s="1">
        <v>226510</v>
      </c>
      <c r="K38" s="1">
        <v>226730</v>
      </c>
      <c r="L38" s="1">
        <v>226850</v>
      </c>
      <c r="M38" s="1">
        <v>227080</v>
      </c>
      <c r="N38" s="1">
        <v>227250</v>
      </c>
      <c r="O38" s="1">
        <v>227490</v>
      </c>
      <c r="P38" s="1">
        <v>227710</v>
      </c>
      <c r="Q38" s="1">
        <v>227900</v>
      </c>
      <c r="R38" s="1">
        <v>228090</v>
      </c>
      <c r="S38" s="1">
        <v>228300</v>
      </c>
      <c r="T38" s="1">
        <v>228450</v>
      </c>
      <c r="U38" s="1">
        <v>228630</v>
      </c>
      <c r="V38" s="1">
        <v>228840</v>
      </c>
      <c r="W38" s="1">
        <v>229020</v>
      </c>
      <c r="X38" s="1">
        <v>229260</v>
      </c>
      <c r="Y38" s="1">
        <v>229440</v>
      </c>
      <c r="Z38" s="1">
        <v>229810</v>
      </c>
      <c r="AA38" s="5">
        <f>AVERAGE(B38:Y38)</f>
        <v>227210</v>
      </c>
      <c r="AB38" s="5">
        <f>(AA39-AA37)/2</f>
        <v>4823.75</v>
      </c>
      <c r="AC38" s="14">
        <f>AB38/(23+AB151)</f>
        <v>193.25243381602203</v>
      </c>
      <c r="AD38" s="5">
        <f>AA38-AA37</f>
        <v>4826.666666666657</v>
      </c>
      <c r="AE38" s="1">
        <f>AD38-AD37</f>
        <v>-13.333333333343035</v>
      </c>
      <c r="AG38" s="5">
        <f>Z38-Y38</f>
        <v>370</v>
      </c>
      <c r="AI38" s="1">
        <f>C38-B38</f>
        <v>190</v>
      </c>
      <c r="AJ38" s="1">
        <f>D38-C38</f>
        <v>210</v>
      </c>
      <c r="AK38" s="1">
        <f>E38-D38</f>
        <v>220</v>
      </c>
      <c r="AL38" s="1">
        <f>F38-E38</f>
        <v>130</v>
      </c>
      <c r="AM38" s="1">
        <f>G38-F38</f>
        <v>200</v>
      </c>
      <c r="AN38" s="1">
        <f>H38-G38</f>
        <v>150</v>
      </c>
      <c r="AO38" s="1">
        <f>I38-H38</f>
        <v>220</v>
      </c>
      <c r="AP38" s="1">
        <f>J38-I38</f>
        <v>170</v>
      </c>
      <c r="AQ38" s="1">
        <f>K38-J38</f>
        <v>220</v>
      </c>
      <c r="AR38" s="1">
        <f>L38-K38</f>
        <v>120</v>
      </c>
      <c r="AS38" s="1">
        <f>M38-L38</f>
        <v>230</v>
      </c>
      <c r="AT38" s="1">
        <f>N38-M38</f>
        <v>170</v>
      </c>
      <c r="AU38" s="1">
        <f>O38-N38</f>
        <v>240</v>
      </c>
      <c r="AV38" s="1">
        <f>P38-O38</f>
        <v>220</v>
      </c>
      <c r="AW38" s="1">
        <f>Q38-P38</f>
        <v>190</v>
      </c>
      <c r="AX38" s="1">
        <f>R38-Q38</f>
        <v>190</v>
      </c>
      <c r="AY38" s="1">
        <f>S38-R38</f>
        <v>210</v>
      </c>
      <c r="AZ38" s="1">
        <f>T38-S38</f>
        <v>150</v>
      </c>
      <c r="BA38" s="1">
        <f>U38-T38</f>
        <v>180</v>
      </c>
      <c r="BB38" s="1">
        <f>V38-U38</f>
        <v>210</v>
      </c>
      <c r="BC38" s="1">
        <f>W38-V38</f>
        <v>180</v>
      </c>
      <c r="BD38" s="1">
        <f>X38-W38</f>
        <v>240</v>
      </c>
      <c r="BE38" s="1">
        <f>Y38-X38</f>
        <v>180</v>
      </c>
      <c r="BF38" s="1">
        <f>Z38-Y38</f>
        <v>370</v>
      </c>
    </row>
    <row r="39" spans="1:58">
      <c r="A39" s="1">
        <v>37</v>
      </c>
      <c r="B39" s="1">
        <v>229810</v>
      </c>
      <c r="C39" s="1">
        <v>230010</v>
      </c>
      <c r="D39" s="1">
        <v>230180</v>
      </c>
      <c r="E39" s="1">
        <v>230400</v>
      </c>
      <c r="F39" s="1">
        <v>230550</v>
      </c>
      <c r="G39" s="1">
        <v>230800</v>
      </c>
      <c r="H39" s="1">
        <v>230980</v>
      </c>
      <c r="I39" s="1">
        <v>231190</v>
      </c>
      <c r="J39" s="1">
        <v>231390</v>
      </c>
      <c r="K39" s="1">
        <v>231550</v>
      </c>
      <c r="L39" s="1">
        <v>231780</v>
      </c>
      <c r="M39" s="1">
        <v>231930</v>
      </c>
      <c r="N39" s="1">
        <v>232100</v>
      </c>
      <c r="O39" s="1">
        <v>232310</v>
      </c>
      <c r="P39" s="1">
        <v>232520</v>
      </c>
      <c r="Q39" s="1">
        <v>232670</v>
      </c>
      <c r="R39" s="1">
        <v>232880</v>
      </c>
      <c r="S39" s="1">
        <v>233090</v>
      </c>
      <c r="T39" s="1">
        <v>233250</v>
      </c>
      <c r="U39" s="1">
        <v>233470</v>
      </c>
      <c r="V39" s="1">
        <v>233680</v>
      </c>
      <c r="W39" s="1">
        <v>233850</v>
      </c>
      <c r="X39" s="1">
        <v>234060</v>
      </c>
      <c r="Y39" s="1">
        <v>234290</v>
      </c>
      <c r="Z39" s="1">
        <v>234640</v>
      </c>
      <c r="AA39" s="5">
        <f>AVERAGE(B39:Y39)</f>
        <v>232030.83333333334</v>
      </c>
      <c r="AB39" s="5">
        <f>(AA40-AA38)/2</f>
        <v>4819.1666666666715</v>
      </c>
      <c r="AC39" s="14">
        <f>AB39/(23+AB151)</f>
        <v>193.06881312223487</v>
      </c>
      <c r="AD39" s="5">
        <f>AA39-AA38</f>
        <v>4820.833333333343</v>
      </c>
      <c r="AE39" s="1">
        <f>AD39-AD38</f>
        <v>-5.8333333333139308</v>
      </c>
      <c r="AG39" s="5">
        <f>Z39-Y39</f>
        <v>350</v>
      </c>
      <c r="AI39" s="1">
        <f>C39-B39</f>
        <v>200</v>
      </c>
      <c r="AJ39" s="1">
        <f>D39-C39</f>
        <v>170</v>
      </c>
      <c r="AK39" s="1">
        <f>E39-D39</f>
        <v>220</v>
      </c>
      <c r="AL39" s="1">
        <f>F39-E39</f>
        <v>150</v>
      </c>
      <c r="AM39" s="1">
        <f>G39-F39</f>
        <v>250</v>
      </c>
      <c r="AN39" s="1">
        <f>H39-G39</f>
        <v>180</v>
      </c>
      <c r="AO39" s="1">
        <f>I39-H39</f>
        <v>210</v>
      </c>
      <c r="AP39" s="1">
        <f>J39-I39</f>
        <v>200</v>
      </c>
      <c r="AQ39" s="1">
        <f>K39-J39</f>
        <v>160</v>
      </c>
      <c r="AR39" s="1">
        <f>L39-K39</f>
        <v>230</v>
      </c>
      <c r="AS39" s="1">
        <f>M39-L39</f>
        <v>150</v>
      </c>
      <c r="AT39" s="1">
        <f>N39-M39</f>
        <v>170</v>
      </c>
      <c r="AU39" s="1">
        <f>O39-N39</f>
        <v>210</v>
      </c>
      <c r="AV39" s="1">
        <f>P39-O39</f>
        <v>210</v>
      </c>
      <c r="AW39" s="1">
        <f>Q39-P39</f>
        <v>150</v>
      </c>
      <c r="AX39" s="1">
        <f>R39-Q39</f>
        <v>210</v>
      </c>
      <c r="AY39" s="1">
        <f>S39-R39</f>
        <v>210</v>
      </c>
      <c r="AZ39" s="1">
        <f>T39-S39</f>
        <v>160</v>
      </c>
      <c r="BA39" s="1">
        <f>U39-T39</f>
        <v>220</v>
      </c>
      <c r="BB39" s="1">
        <f>V39-U39</f>
        <v>210</v>
      </c>
      <c r="BC39" s="1">
        <f>W39-V39</f>
        <v>170</v>
      </c>
      <c r="BD39" s="1">
        <f>X39-W39</f>
        <v>210</v>
      </c>
      <c r="BE39" s="1">
        <f>Y39-X39</f>
        <v>230</v>
      </c>
      <c r="BF39" s="1">
        <f>Z39-Y39</f>
        <v>350</v>
      </c>
    </row>
    <row r="40" spans="1:58">
      <c r="A40" s="1">
        <v>38</v>
      </c>
      <c r="B40" s="1">
        <v>234640</v>
      </c>
      <c r="C40" s="1">
        <v>234860</v>
      </c>
      <c r="D40" s="1">
        <v>235020</v>
      </c>
      <c r="E40" s="1">
        <v>235200</v>
      </c>
      <c r="F40" s="1">
        <v>235340</v>
      </c>
      <c r="G40" s="1">
        <v>235560</v>
      </c>
      <c r="H40" s="1">
        <v>235780</v>
      </c>
      <c r="I40" s="1">
        <v>236000</v>
      </c>
      <c r="J40" s="1">
        <v>236150</v>
      </c>
      <c r="K40" s="1">
        <v>236380</v>
      </c>
      <c r="L40" s="1">
        <v>236570</v>
      </c>
      <c r="M40" s="1">
        <v>236780</v>
      </c>
      <c r="N40" s="1">
        <v>236930</v>
      </c>
      <c r="O40" s="1">
        <v>237130</v>
      </c>
      <c r="P40" s="1">
        <v>237300</v>
      </c>
      <c r="Q40" s="1">
        <v>237520</v>
      </c>
      <c r="R40" s="1">
        <v>237710</v>
      </c>
      <c r="S40" s="1">
        <v>237910</v>
      </c>
      <c r="T40" s="1">
        <v>238110</v>
      </c>
      <c r="U40" s="1">
        <v>238290</v>
      </c>
      <c r="V40" s="1">
        <v>238460</v>
      </c>
      <c r="W40" s="1">
        <v>238680</v>
      </c>
      <c r="X40" s="1">
        <v>238900</v>
      </c>
      <c r="Y40" s="1">
        <v>239140</v>
      </c>
      <c r="Z40" s="1">
        <v>239450</v>
      </c>
      <c r="AA40" s="5">
        <f>AVERAGE(B40:Y40)</f>
        <v>236848.33333333334</v>
      </c>
      <c r="AB40" s="5">
        <f>(AA41-AA39)/2</f>
        <v>4827.291666666657</v>
      </c>
      <c r="AC40" s="14">
        <f>AB40/(23+AB151)</f>
        <v>193.39432253394824</v>
      </c>
      <c r="AD40" s="5">
        <f>AA40-AA39</f>
        <v>4817.5</v>
      </c>
      <c r="AE40" s="1">
        <f>AD40-AD39</f>
        <v>-3.3333333333430346</v>
      </c>
      <c r="AG40" s="5">
        <f>Z40-Y40</f>
        <v>310</v>
      </c>
      <c r="AI40" s="1">
        <f>C40-B40</f>
        <v>220</v>
      </c>
      <c r="AJ40" s="1">
        <f>D40-C40</f>
        <v>160</v>
      </c>
      <c r="AK40" s="1">
        <f>E40-D40</f>
        <v>180</v>
      </c>
      <c r="AL40" s="1">
        <f>F40-E40</f>
        <v>140</v>
      </c>
      <c r="AM40" s="1">
        <f>G40-F40</f>
        <v>220</v>
      </c>
      <c r="AN40" s="1">
        <f>H40-G40</f>
        <v>220</v>
      </c>
      <c r="AO40" s="1">
        <f>I40-H40</f>
        <v>220</v>
      </c>
      <c r="AP40" s="1">
        <f>J40-I40</f>
        <v>150</v>
      </c>
      <c r="AQ40" s="1">
        <f>K40-J40</f>
        <v>230</v>
      </c>
      <c r="AR40" s="1">
        <f>L40-K40</f>
        <v>190</v>
      </c>
      <c r="AS40" s="1">
        <f>M40-L40</f>
        <v>210</v>
      </c>
      <c r="AT40" s="1">
        <f>N40-M40</f>
        <v>150</v>
      </c>
      <c r="AU40" s="1">
        <f>O40-N40</f>
        <v>200</v>
      </c>
      <c r="AV40" s="1">
        <f>P40-O40</f>
        <v>170</v>
      </c>
      <c r="AW40" s="1">
        <f>Q40-P40</f>
        <v>220</v>
      </c>
      <c r="AX40" s="1">
        <f>R40-Q40</f>
        <v>190</v>
      </c>
      <c r="AY40" s="1">
        <f>S40-R40</f>
        <v>200</v>
      </c>
      <c r="AZ40" s="1">
        <f>T40-S40</f>
        <v>200</v>
      </c>
      <c r="BA40" s="1">
        <f>U40-T40</f>
        <v>180</v>
      </c>
      <c r="BB40" s="1">
        <f>V40-U40</f>
        <v>170</v>
      </c>
      <c r="BC40" s="1">
        <f>W40-V40</f>
        <v>220</v>
      </c>
      <c r="BD40" s="1">
        <f>X40-W40</f>
        <v>220</v>
      </c>
      <c r="BE40" s="1">
        <f>Y40-X40</f>
        <v>240</v>
      </c>
      <c r="BF40" s="1">
        <f>Z40-Y40</f>
        <v>310</v>
      </c>
    </row>
    <row r="41" spans="1:58">
      <c r="A41" s="1">
        <v>39</v>
      </c>
      <c r="B41" s="1">
        <v>239450</v>
      </c>
      <c r="C41" s="1">
        <v>239670</v>
      </c>
      <c r="D41" s="1">
        <v>239820</v>
      </c>
      <c r="E41" s="1">
        <v>240060</v>
      </c>
      <c r="F41" s="1">
        <v>240220</v>
      </c>
      <c r="G41" s="1">
        <v>240470</v>
      </c>
      <c r="H41" s="1">
        <v>240590</v>
      </c>
      <c r="I41" s="1">
        <v>240820</v>
      </c>
      <c r="J41" s="1">
        <v>241020</v>
      </c>
      <c r="K41" s="1">
        <v>241200</v>
      </c>
      <c r="L41" s="1">
        <v>241400</v>
      </c>
      <c r="M41" s="1">
        <v>241570</v>
      </c>
      <c r="N41" s="1">
        <v>241760</v>
      </c>
      <c r="O41" s="1">
        <v>241980</v>
      </c>
      <c r="P41" s="1">
        <v>242160</v>
      </c>
      <c r="Q41" s="1">
        <v>242360</v>
      </c>
      <c r="R41" s="1">
        <v>242550</v>
      </c>
      <c r="S41" s="1">
        <v>242720</v>
      </c>
      <c r="T41" s="1">
        <v>242950</v>
      </c>
      <c r="U41" s="1">
        <v>243160</v>
      </c>
      <c r="V41" s="1">
        <v>243330</v>
      </c>
      <c r="W41" s="1">
        <v>243560</v>
      </c>
      <c r="X41" s="1">
        <v>243720</v>
      </c>
      <c r="Y41" s="1">
        <v>243910</v>
      </c>
      <c r="Z41" s="1">
        <v>244320</v>
      </c>
      <c r="AA41" s="5">
        <f>AVERAGE(B41:Y41)</f>
        <v>241685.41666666666</v>
      </c>
      <c r="AB41" s="5">
        <f>(AA42-AA40)/2</f>
        <v>4831.25</v>
      </c>
      <c r="AC41" s="14">
        <f>AB41/(23+AB151)</f>
        <v>193.55290404221952</v>
      </c>
      <c r="AD41" s="5">
        <f>AA41-AA40</f>
        <v>4837.0833333333139</v>
      </c>
      <c r="AE41" s="1">
        <f>AD41-AD40</f>
        <v>19.583333333313931</v>
      </c>
      <c r="AG41" s="5">
        <f>Z41-Y41</f>
        <v>410</v>
      </c>
      <c r="AI41" s="1">
        <f>C41-B41</f>
        <v>220</v>
      </c>
      <c r="AJ41" s="1">
        <f>D41-C41</f>
        <v>150</v>
      </c>
      <c r="AK41" s="1">
        <f>E41-D41</f>
        <v>240</v>
      </c>
      <c r="AL41" s="1">
        <f>F41-E41</f>
        <v>160</v>
      </c>
      <c r="AM41" s="1">
        <f>G41-F41</f>
        <v>250</v>
      </c>
      <c r="AN41" s="1">
        <f>H41-G41</f>
        <v>120</v>
      </c>
      <c r="AO41" s="1">
        <f>I41-H41</f>
        <v>230</v>
      </c>
      <c r="AP41" s="1">
        <f>J41-I41</f>
        <v>200</v>
      </c>
      <c r="AQ41" s="1">
        <f>K41-J41</f>
        <v>180</v>
      </c>
      <c r="AR41" s="1">
        <f>L41-K41</f>
        <v>200</v>
      </c>
      <c r="AS41" s="1">
        <f>M41-L41</f>
        <v>170</v>
      </c>
      <c r="AT41" s="1">
        <f>N41-M41</f>
        <v>190</v>
      </c>
      <c r="AU41" s="1">
        <f>O41-N41</f>
        <v>220</v>
      </c>
      <c r="AV41" s="1">
        <f>P41-O41</f>
        <v>180</v>
      </c>
      <c r="AW41" s="1">
        <f>Q41-P41</f>
        <v>200</v>
      </c>
      <c r="AX41" s="1">
        <f>R41-Q41</f>
        <v>190</v>
      </c>
      <c r="AY41" s="1">
        <f>S41-R41</f>
        <v>170</v>
      </c>
      <c r="AZ41" s="1">
        <f>T41-S41</f>
        <v>230</v>
      </c>
      <c r="BA41" s="1">
        <f>U41-T41</f>
        <v>210</v>
      </c>
      <c r="BB41" s="1">
        <f>V41-U41</f>
        <v>170</v>
      </c>
      <c r="BC41" s="1">
        <f>W41-V41</f>
        <v>230</v>
      </c>
      <c r="BD41" s="1">
        <f>X41-W41</f>
        <v>160</v>
      </c>
      <c r="BE41" s="1">
        <f>Y41-X41</f>
        <v>190</v>
      </c>
      <c r="BF41" s="1">
        <f>Z41-Y41</f>
        <v>410</v>
      </c>
    </row>
    <row r="42" spans="1:58">
      <c r="A42" s="1">
        <v>40</v>
      </c>
      <c r="B42" s="1">
        <v>244320</v>
      </c>
      <c r="C42" s="1">
        <v>244460</v>
      </c>
      <c r="D42" s="1">
        <v>244640</v>
      </c>
      <c r="E42" s="1">
        <v>244880</v>
      </c>
      <c r="F42" s="1">
        <v>245050</v>
      </c>
      <c r="G42" s="1">
        <v>245240</v>
      </c>
      <c r="H42" s="1">
        <v>245440</v>
      </c>
      <c r="I42" s="1">
        <v>245640</v>
      </c>
      <c r="J42" s="1">
        <v>245850</v>
      </c>
      <c r="K42" s="1">
        <v>246020</v>
      </c>
      <c r="L42" s="1">
        <v>246220</v>
      </c>
      <c r="M42" s="1">
        <v>246430</v>
      </c>
      <c r="N42" s="1">
        <v>246620</v>
      </c>
      <c r="O42" s="1">
        <v>246790</v>
      </c>
      <c r="P42" s="1">
        <v>247000</v>
      </c>
      <c r="Q42" s="1">
        <v>247150</v>
      </c>
      <c r="R42" s="1">
        <v>247380</v>
      </c>
      <c r="S42" s="1">
        <v>247590</v>
      </c>
      <c r="T42" s="1">
        <v>247740</v>
      </c>
      <c r="U42" s="1">
        <v>247990</v>
      </c>
      <c r="V42" s="1">
        <v>248160</v>
      </c>
      <c r="W42" s="1">
        <v>248390</v>
      </c>
      <c r="X42" s="1">
        <v>248520</v>
      </c>
      <c r="Y42" s="1">
        <v>248740</v>
      </c>
      <c r="Z42" s="1">
        <v>249040</v>
      </c>
      <c r="AA42" s="5">
        <f>AVERAGE(B42:Y42)</f>
        <v>246510.83333333334</v>
      </c>
      <c r="AB42" s="5">
        <f>(AA43-AA41)/2</f>
        <v>4819.7916666666715</v>
      </c>
      <c r="AC42" s="14">
        <f>AB42/(23+AB151)</f>
        <v>193.09385230775132</v>
      </c>
      <c r="AD42" s="5">
        <f>AA42-AA41</f>
        <v>4825.4166666666861</v>
      </c>
      <c r="AE42" s="1">
        <f>AD42-AD41</f>
        <v>-11.666666666627862</v>
      </c>
      <c r="AG42" s="5">
        <f>Z42-Y42</f>
        <v>300</v>
      </c>
      <c r="AI42" s="1">
        <f>C42-B42</f>
        <v>140</v>
      </c>
      <c r="AJ42" s="1">
        <f>D42-C42</f>
        <v>180</v>
      </c>
      <c r="AK42" s="1">
        <f>E42-D42</f>
        <v>240</v>
      </c>
      <c r="AL42" s="1">
        <f>F42-E42</f>
        <v>170</v>
      </c>
      <c r="AM42" s="1">
        <f>G42-F42</f>
        <v>190</v>
      </c>
      <c r="AN42" s="1">
        <f>H42-G42</f>
        <v>200</v>
      </c>
      <c r="AO42" s="1">
        <f>I42-H42</f>
        <v>200</v>
      </c>
      <c r="AP42" s="1">
        <f>J42-I42</f>
        <v>210</v>
      </c>
      <c r="AQ42" s="1">
        <f>K42-J42</f>
        <v>170</v>
      </c>
      <c r="AR42" s="1">
        <f>L42-K42</f>
        <v>200</v>
      </c>
      <c r="AS42" s="1">
        <f>M42-L42</f>
        <v>210</v>
      </c>
      <c r="AT42" s="1">
        <f>N42-M42</f>
        <v>190</v>
      </c>
      <c r="AU42" s="1">
        <f>O42-N42</f>
        <v>170</v>
      </c>
      <c r="AV42" s="1">
        <f>P42-O42</f>
        <v>210</v>
      </c>
      <c r="AW42" s="1">
        <f>Q42-P42</f>
        <v>150</v>
      </c>
      <c r="AX42" s="1">
        <f>R42-Q42</f>
        <v>230</v>
      </c>
      <c r="AY42" s="1">
        <f>S42-R42</f>
        <v>210</v>
      </c>
      <c r="AZ42" s="1">
        <f>T42-S42</f>
        <v>150</v>
      </c>
      <c r="BA42" s="1">
        <f>U42-T42</f>
        <v>250</v>
      </c>
      <c r="BB42" s="1">
        <f>V42-U42</f>
        <v>170</v>
      </c>
      <c r="BC42" s="1">
        <f>W42-V42</f>
        <v>230</v>
      </c>
      <c r="BD42" s="1">
        <f>X42-W42</f>
        <v>130</v>
      </c>
      <c r="BE42" s="1">
        <f>Y42-X42</f>
        <v>220</v>
      </c>
      <c r="BF42" s="1">
        <f>Z42-Y42</f>
        <v>300</v>
      </c>
    </row>
    <row r="43" spans="1:58">
      <c r="A43" s="1">
        <v>41</v>
      </c>
      <c r="B43" s="1">
        <v>249040</v>
      </c>
      <c r="C43" s="1">
        <v>249270</v>
      </c>
      <c r="D43" s="1">
        <v>249470</v>
      </c>
      <c r="E43" s="1">
        <v>249670</v>
      </c>
      <c r="F43" s="1">
        <v>249890</v>
      </c>
      <c r="G43" s="1">
        <v>250100</v>
      </c>
      <c r="H43" s="1">
        <v>250280</v>
      </c>
      <c r="I43" s="1">
        <v>250440</v>
      </c>
      <c r="J43" s="1">
        <v>250670</v>
      </c>
      <c r="K43" s="1">
        <v>250860</v>
      </c>
      <c r="L43" s="1">
        <v>251060</v>
      </c>
      <c r="M43" s="1">
        <v>251300</v>
      </c>
      <c r="N43" s="1">
        <v>251390</v>
      </c>
      <c r="O43" s="1">
        <v>251590</v>
      </c>
      <c r="P43" s="1">
        <v>251780</v>
      </c>
      <c r="Q43" s="1">
        <v>251990</v>
      </c>
      <c r="R43" s="1">
        <v>252160</v>
      </c>
      <c r="S43" s="1">
        <v>252410</v>
      </c>
      <c r="T43" s="1">
        <v>252560</v>
      </c>
      <c r="U43" s="1">
        <v>252790</v>
      </c>
      <c r="V43" s="1">
        <v>252980</v>
      </c>
      <c r="W43" s="1">
        <v>253170</v>
      </c>
      <c r="X43" s="1">
        <v>253350</v>
      </c>
      <c r="Y43" s="1">
        <v>253580</v>
      </c>
      <c r="Z43" s="1">
        <v>253920</v>
      </c>
      <c r="AA43" s="5">
        <f>AVERAGE(B43:Y43)</f>
        <v>251325</v>
      </c>
      <c r="AB43" s="5">
        <f>(AA44-AA42)/2</f>
        <v>4818.125</v>
      </c>
      <c r="AC43" s="14">
        <f>AB43/(23+AB151)</f>
        <v>193.02708114637392</v>
      </c>
      <c r="AD43" s="5">
        <f>AA43-AA42</f>
        <v>4814.166666666657</v>
      </c>
      <c r="AE43" s="1">
        <f>AD43-AD42</f>
        <v>-11.250000000029104</v>
      </c>
      <c r="AG43" s="5">
        <f>Z43-Y43</f>
        <v>340</v>
      </c>
      <c r="AI43" s="1">
        <f>C43-B43</f>
        <v>230</v>
      </c>
      <c r="AJ43" s="1">
        <f>D43-C43</f>
        <v>200</v>
      </c>
      <c r="AK43" s="1">
        <f>E43-D43</f>
        <v>200</v>
      </c>
      <c r="AL43" s="1">
        <f>F43-E43</f>
        <v>220</v>
      </c>
      <c r="AM43" s="1">
        <f>G43-F43</f>
        <v>210</v>
      </c>
      <c r="AN43" s="1">
        <f>H43-G43</f>
        <v>180</v>
      </c>
      <c r="AO43" s="1">
        <f>I43-H43</f>
        <v>160</v>
      </c>
      <c r="AP43" s="1">
        <f>J43-I43</f>
        <v>230</v>
      </c>
      <c r="AQ43" s="1">
        <f>K43-J43</f>
        <v>190</v>
      </c>
      <c r="AR43" s="1">
        <f>L43-K43</f>
        <v>200</v>
      </c>
      <c r="AS43" s="1">
        <f>M43-L43</f>
        <v>240</v>
      </c>
      <c r="AT43" s="1">
        <f>N43-M43</f>
        <v>90</v>
      </c>
      <c r="AU43" s="1">
        <f>O43-N43</f>
        <v>200</v>
      </c>
      <c r="AV43" s="1">
        <f>P43-O43</f>
        <v>190</v>
      </c>
      <c r="AW43" s="1">
        <f>Q43-P43</f>
        <v>210</v>
      </c>
      <c r="AX43" s="1">
        <f>R43-Q43</f>
        <v>170</v>
      </c>
      <c r="AY43" s="1">
        <f>S43-R43</f>
        <v>250</v>
      </c>
      <c r="AZ43" s="1">
        <f>T43-S43</f>
        <v>150</v>
      </c>
      <c r="BA43" s="1">
        <f>U43-T43</f>
        <v>230</v>
      </c>
      <c r="BB43" s="1">
        <f>V43-U43</f>
        <v>190</v>
      </c>
      <c r="BC43" s="1">
        <f>W43-V43</f>
        <v>190</v>
      </c>
      <c r="BD43" s="1">
        <f>X43-W43</f>
        <v>180</v>
      </c>
      <c r="BE43" s="1">
        <f>Y43-X43</f>
        <v>230</v>
      </c>
      <c r="BF43" s="1">
        <f>Z43-Y43</f>
        <v>340</v>
      </c>
    </row>
    <row r="44" spans="1:58">
      <c r="A44" s="1">
        <v>42</v>
      </c>
      <c r="B44" s="1">
        <v>253920</v>
      </c>
      <c r="C44" s="1">
        <v>254140</v>
      </c>
      <c r="D44" s="1">
        <v>254300</v>
      </c>
      <c r="E44" s="1">
        <v>254510</v>
      </c>
      <c r="F44" s="1">
        <v>254650</v>
      </c>
      <c r="G44" s="1">
        <v>254880</v>
      </c>
      <c r="H44" s="1">
        <v>255080</v>
      </c>
      <c r="I44" s="1">
        <v>255300</v>
      </c>
      <c r="J44" s="1">
        <v>255480</v>
      </c>
      <c r="K44" s="1">
        <v>255640</v>
      </c>
      <c r="L44" s="1">
        <v>255880</v>
      </c>
      <c r="M44" s="1">
        <v>256060</v>
      </c>
      <c r="N44" s="1">
        <v>256260</v>
      </c>
      <c r="O44" s="1">
        <v>256450</v>
      </c>
      <c r="P44" s="1">
        <v>256610</v>
      </c>
      <c r="Q44" s="1">
        <v>256850</v>
      </c>
      <c r="R44" s="1">
        <v>256960</v>
      </c>
      <c r="S44" s="1">
        <v>257180</v>
      </c>
      <c r="T44" s="1">
        <v>257420</v>
      </c>
      <c r="U44" s="1">
        <v>257610</v>
      </c>
      <c r="V44" s="1">
        <v>257790</v>
      </c>
      <c r="W44" s="1">
        <v>258010</v>
      </c>
      <c r="X44" s="1">
        <v>258180</v>
      </c>
      <c r="Y44" s="1">
        <v>258370</v>
      </c>
      <c r="Z44" s="1">
        <v>258740</v>
      </c>
      <c r="AA44" s="5">
        <f>AVERAGE(B44:Y44)</f>
        <v>256147.08333333334</v>
      </c>
      <c r="AB44" s="5">
        <f>(AA45-AA43)/2</f>
        <v>4829.5833333333285</v>
      </c>
      <c r="AC44" s="14">
        <f>AB44/(23+AB151)</f>
        <v>193.48613288084212</v>
      </c>
      <c r="AD44" s="5">
        <f>AA44-AA43</f>
        <v>4822.083333333343</v>
      </c>
      <c r="AE44" s="1">
        <f>AD44-AD43</f>
        <v>7.9166666666860692</v>
      </c>
      <c r="AG44" s="5">
        <f>Z44-Y44</f>
        <v>370</v>
      </c>
      <c r="AI44" s="1">
        <f>C44-B44</f>
        <v>220</v>
      </c>
      <c r="AJ44" s="1">
        <f>D44-C44</f>
        <v>160</v>
      </c>
      <c r="AK44" s="1">
        <f>E44-D44</f>
        <v>210</v>
      </c>
      <c r="AL44" s="1">
        <f>F44-E44</f>
        <v>140</v>
      </c>
      <c r="AM44" s="1">
        <f>G44-F44</f>
        <v>230</v>
      </c>
      <c r="AN44" s="1">
        <f>H44-G44</f>
        <v>200</v>
      </c>
      <c r="AO44" s="1">
        <f>I44-H44</f>
        <v>220</v>
      </c>
      <c r="AP44" s="1">
        <f>J44-I44</f>
        <v>180</v>
      </c>
      <c r="AQ44" s="1">
        <f>K44-J44</f>
        <v>160</v>
      </c>
      <c r="AR44" s="1">
        <f>L44-K44</f>
        <v>240</v>
      </c>
      <c r="AS44" s="1">
        <f>M44-L44</f>
        <v>180</v>
      </c>
      <c r="AT44" s="1">
        <f>N44-M44</f>
        <v>200</v>
      </c>
      <c r="AU44" s="1">
        <f>O44-N44</f>
        <v>190</v>
      </c>
      <c r="AV44" s="1">
        <f>P44-O44</f>
        <v>160</v>
      </c>
      <c r="AW44" s="1">
        <f>Q44-P44</f>
        <v>240</v>
      </c>
      <c r="AX44" s="1">
        <f>R44-Q44</f>
        <v>110</v>
      </c>
      <c r="AY44" s="1">
        <f>S44-R44</f>
        <v>220</v>
      </c>
      <c r="AZ44" s="1">
        <f>T44-S44</f>
        <v>240</v>
      </c>
      <c r="BA44" s="1">
        <f>U44-T44</f>
        <v>190</v>
      </c>
      <c r="BB44" s="1">
        <f>V44-U44</f>
        <v>180</v>
      </c>
      <c r="BC44" s="1">
        <f>W44-V44</f>
        <v>220</v>
      </c>
      <c r="BD44" s="1">
        <f>X44-W44</f>
        <v>170</v>
      </c>
      <c r="BE44" s="1">
        <f>Y44-X44</f>
        <v>190</v>
      </c>
      <c r="BF44" s="1">
        <f>Z44-Y44</f>
        <v>370</v>
      </c>
    </row>
    <row r="45" spans="1:58">
      <c r="A45" s="1">
        <v>43</v>
      </c>
      <c r="B45" s="1">
        <v>258740</v>
      </c>
      <c r="C45" s="1">
        <v>258980</v>
      </c>
      <c r="D45" s="1">
        <v>259160</v>
      </c>
      <c r="E45" s="1">
        <v>259320</v>
      </c>
      <c r="F45" s="1">
        <v>259570</v>
      </c>
      <c r="G45" s="1">
        <v>259710</v>
      </c>
      <c r="H45" s="1">
        <v>259960</v>
      </c>
      <c r="I45" s="1">
        <v>260120</v>
      </c>
      <c r="J45" s="1">
        <v>260290</v>
      </c>
      <c r="K45" s="1">
        <v>260490</v>
      </c>
      <c r="L45" s="1">
        <v>260680</v>
      </c>
      <c r="M45" s="1">
        <v>260900</v>
      </c>
      <c r="N45" s="1">
        <v>261050</v>
      </c>
      <c r="O45" s="1">
        <v>261220</v>
      </c>
      <c r="P45" s="1">
        <v>261460</v>
      </c>
      <c r="Q45" s="1">
        <v>261670</v>
      </c>
      <c r="R45" s="1">
        <v>261860</v>
      </c>
      <c r="S45" s="1">
        <v>262090</v>
      </c>
      <c r="T45" s="1">
        <v>262260</v>
      </c>
      <c r="U45" s="1">
        <v>262450</v>
      </c>
      <c r="V45" s="1">
        <v>262650</v>
      </c>
      <c r="W45" s="1">
        <v>262800</v>
      </c>
      <c r="X45" s="1">
        <v>263010</v>
      </c>
      <c r="Y45" s="1">
        <v>263180</v>
      </c>
      <c r="Z45" s="1">
        <v>263580</v>
      </c>
      <c r="AA45" s="5">
        <f>AVERAGE(B45:Y45)</f>
        <v>260984.16666666666</v>
      </c>
      <c r="AB45" s="5">
        <f>(AA46-AA44)/2</f>
        <v>4824.9999999999854</v>
      </c>
      <c r="AC45" s="14">
        <f>AB45/(23+AB151)</f>
        <v>193.30251218705436</v>
      </c>
      <c r="AD45" s="5">
        <f>AA45-AA44</f>
        <v>4837.0833333333139</v>
      </c>
      <c r="AE45" s="1">
        <f>AD45-AD44</f>
        <v>14.999999999970896</v>
      </c>
      <c r="AG45" s="5">
        <f>Z45-Y45</f>
        <v>400</v>
      </c>
      <c r="AI45" s="1">
        <f>C45-B45</f>
        <v>240</v>
      </c>
      <c r="AJ45" s="1">
        <f>D45-C45</f>
        <v>180</v>
      </c>
      <c r="AK45" s="1">
        <f>E45-D45</f>
        <v>160</v>
      </c>
      <c r="AL45" s="1">
        <f>F45-E45</f>
        <v>250</v>
      </c>
      <c r="AM45" s="1">
        <f>G45-F45</f>
        <v>140</v>
      </c>
      <c r="AN45" s="1">
        <f>H45-G45</f>
        <v>250</v>
      </c>
      <c r="AO45" s="1">
        <f>I45-H45</f>
        <v>160</v>
      </c>
      <c r="AP45" s="1">
        <f>J45-I45</f>
        <v>170</v>
      </c>
      <c r="AQ45" s="1">
        <f>K45-J45</f>
        <v>200</v>
      </c>
      <c r="AR45" s="1">
        <f>L45-K45</f>
        <v>190</v>
      </c>
      <c r="AS45" s="1">
        <f>M45-L45</f>
        <v>220</v>
      </c>
      <c r="AT45" s="1">
        <f>N45-M45</f>
        <v>150</v>
      </c>
      <c r="AU45" s="1">
        <f>O45-N45</f>
        <v>170</v>
      </c>
      <c r="AV45" s="1">
        <f>P45-O45</f>
        <v>240</v>
      </c>
      <c r="AW45" s="1">
        <f>Q45-P45</f>
        <v>210</v>
      </c>
      <c r="AX45" s="1">
        <f>R45-Q45</f>
        <v>190</v>
      </c>
      <c r="AY45" s="1">
        <f>S45-R45</f>
        <v>230</v>
      </c>
      <c r="AZ45" s="1">
        <f>T45-S45</f>
        <v>170</v>
      </c>
      <c r="BA45" s="1">
        <f>U45-T45</f>
        <v>190</v>
      </c>
      <c r="BB45" s="1">
        <f>V45-U45</f>
        <v>200</v>
      </c>
      <c r="BC45" s="1">
        <f>W45-V45</f>
        <v>150</v>
      </c>
      <c r="BD45" s="1">
        <f>X45-W45</f>
        <v>210</v>
      </c>
      <c r="BE45" s="1">
        <f>Y45-X45</f>
        <v>170</v>
      </c>
      <c r="BF45" s="1">
        <f>Z45-Y45</f>
        <v>400</v>
      </c>
    </row>
    <row r="46" spans="1:58">
      <c r="A46" s="1">
        <v>44</v>
      </c>
      <c r="B46" s="1">
        <v>263580</v>
      </c>
      <c r="C46" s="1">
        <v>263780</v>
      </c>
      <c r="D46" s="1">
        <v>263940</v>
      </c>
      <c r="E46" s="1">
        <v>264160</v>
      </c>
      <c r="F46" s="1">
        <v>264360</v>
      </c>
      <c r="G46" s="1">
        <v>264550</v>
      </c>
      <c r="H46" s="1">
        <v>264690</v>
      </c>
      <c r="I46" s="1">
        <v>264920</v>
      </c>
      <c r="J46" s="1">
        <v>265120</v>
      </c>
      <c r="K46" s="1">
        <v>265340</v>
      </c>
      <c r="L46" s="1">
        <v>265510</v>
      </c>
      <c r="M46" s="1">
        <v>265670</v>
      </c>
      <c r="N46" s="1">
        <v>265880</v>
      </c>
      <c r="O46" s="1">
        <v>266110</v>
      </c>
      <c r="P46" s="1">
        <v>266300</v>
      </c>
      <c r="Q46" s="1">
        <v>266470</v>
      </c>
      <c r="R46" s="1">
        <v>266630</v>
      </c>
      <c r="S46" s="1">
        <v>266890</v>
      </c>
      <c r="T46" s="1">
        <v>267060</v>
      </c>
      <c r="U46" s="1">
        <v>267270</v>
      </c>
      <c r="V46" s="1">
        <v>267420</v>
      </c>
      <c r="W46" s="1">
        <v>267610</v>
      </c>
      <c r="X46" s="1">
        <v>267830</v>
      </c>
      <c r="Y46" s="1">
        <v>268040</v>
      </c>
      <c r="Z46" s="1">
        <v>268420</v>
      </c>
      <c r="AA46" s="5">
        <f>AVERAGE(B46:Y46)</f>
        <v>265797.08333333331</v>
      </c>
      <c r="AB46" s="5">
        <f>(AA47-AA45)/2</f>
        <v>4818.9583333333285</v>
      </c>
      <c r="AC46" s="14">
        <f>AB46/(23+AB151)</f>
        <v>193.06046672706233</v>
      </c>
      <c r="AD46" s="5">
        <f>AA46-AA45</f>
        <v>4812.916666666657</v>
      </c>
      <c r="AE46" s="1">
        <f>AD46-AD45</f>
        <v>-24.166666666656965</v>
      </c>
      <c r="AG46" s="5">
        <f>Z46-Y46</f>
        <v>380</v>
      </c>
      <c r="AI46" s="1">
        <f>C46-B46</f>
        <v>200</v>
      </c>
      <c r="AJ46" s="1">
        <f>D46-C46</f>
        <v>160</v>
      </c>
      <c r="AK46" s="1">
        <f>E46-D46</f>
        <v>220</v>
      </c>
      <c r="AL46" s="1">
        <f>F46-E46</f>
        <v>200</v>
      </c>
      <c r="AM46" s="1">
        <f>G46-F46</f>
        <v>190</v>
      </c>
      <c r="AN46" s="1">
        <f>H46-G46</f>
        <v>140</v>
      </c>
      <c r="AO46" s="1">
        <f>I46-H46</f>
        <v>230</v>
      </c>
      <c r="AP46" s="1">
        <f>J46-I46</f>
        <v>200</v>
      </c>
      <c r="AQ46" s="1">
        <f>K46-J46</f>
        <v>220</v>
      </c>
      <c r="AR46" s="1">
        <f>L46-K46</f>
        <v>170</v>
      </c>
      <c r="AS46" s="1">
        <f>M46-L46</f>
        <v>160</v>
      </c>
      <c r="AT46" s="1">
        <f>N46-M46</f>
        <v>210</v>
      </c>
      <c r="AU46" s="1">
        <f>O46-N46</f>
        <v>230</v>
      </c>
      <c r="AV46" s="1">
        <f>P46-O46</f>
        <v>190</v>
      </c>
      <c r="AW46" s="1">
        <f>Q46-P46</f>
        <v>170</v>
      </c>
      <c r="AX46" s="1">
        <f>R46-Q46</f>
        <v>160</v>
      </c>
      <c r="AY46" s="1">
        <f>S46-R46</f>
        <v>260</v>
      </c>
      <c r="AZ46" s="1">
        <f>T46-S46</f>
        <v>170</v>
      </c>
      <c r="BA46" s="1">
        <f>U46-T46</f>
        <v>210</v>
      </c>
      <c r="BB46" s="1">
        <f>V46-U46</f>
        <v>150</v>
      </c>
      <c r="BC46" s="1">
        <f>W46-V46</f>
        <v>190</v>
      </c>
      <c r="BD46" s="1">
        <f>X46-W46</f>
        <v>220</v>
      </c>
      <c r="BE46" s="1">
        <f>Y46-X46</f>
        <v>210</v>
      </c>
      <c r="BF46" s="1">
        <f>Z46-Y46</f>
        <v>380</v>
      </c>
    </row>
    <row r="47" spans="1:58">
      <c r="A47" s="1">
        <v>45</v>
      </c>
      <c r="B47" s="1">
        <v>268420</v>
      </c>
      <c r="C47" s="1">
        <v>268590</v>
      </c>
      <c r="D47" s="1">
        <v>268770</v>
      </c>
      <c r="E47" s="1">
        <v>268940</v>
      </c>
      <c r="F47" s="1">
        <v>269210</v>
      </c>
      <c r="G47" s="1">
        <v>269370</v>
      </c>
      <c r="H47" s="1">
        <v>269540</v>
      </c>
      <c r="I47" s="1">
        <v>269770</v>
      </c>
      <c r="J47" s="1">
        <v>269970</v>
      </c>
      <c r="K47" s="1">
        <v>270140</v>
      </c>
      <c r="L47" s="1">
        <v>270360</v>
      </c>
      <c r="M47" s="1">
        <v>270520</v>
      </c>
      <c r="N47" s="1">
        <v>270690</v>
      </c>
      <c r="O47" s="1">
        <v>270900</v>
      </c>
      <c r="P47" s="1">
        <v>271080</v>
      </c>
      <c r="Q47" s="1">
        <v>271300</v>
      </c>
      <c r="R47" s="1">
        <v>271480</v>
      </c>
      <c r="S47" s="1">
        <v>271670</v>
      </c>
      <c r="T47" s="1">
        <v>271900</v>
      </c>
      <c r="U47" s="1">
        <v>272070</v>
      </c>
      <c r="V47" s="1">
        <v>272240</v>
      </c>
      <c r="W47" s="1">
        <v>272440</v>
      </c>
      <c r="X47" s="1">
        <v>272670</v>
      </c>
      <c r="Y47" s="1">
        <v>272890</v>
      </c>
      <c r="Z47" s="1">
        <v>273240</v>
      </c>
      <c r="AA47" s="5">
        <f>AVERAGE(B47:Y47)</f>
        <v>270622.08333333331</v>
      </c>
      <c r="AB47" s="5">
        <f>(AA48-AA46)/2</f>
        <v>4818.958333333343</v>
      </c>
      <c r="AC47" s="14">
        <f>AB47/(23+AB151)</f>
        <v>193.0604667270629</v>
      </c>
      <c r="AD47" s="5">
        <f>AA47-AA46</f>
        <v>4825</v>
      </c>
      <c r="AE47" s="1">
        <f>AD47-AD46</f>
        <v>12.083333333343035</v>
      </c>
      <c r="AG47" s="5">
        <f>Z47-Y47</f>
        <v>350</v>
      </c>
      <c r="AI47" s="1">
        <f>C47-B47</f>
        <v>170</v>
      </c>
      <c r="AJ47" s="1">
        <f>D47-C47</f>
        <v>180</v>
      </c>
      <c r="AK47" s="1">
        <f>E47-D47</f>
        <v>170</v>
      </c>
      <c r="AL47" s="1">
        <f>F47-E47</f>
        <v>270</v>
      </c>
      <c r="AM47" s="1">
        <f>G47-F47</f>
        <v>160</v>
      </c>
      <c r="AN47" s="1">
        <f>H47-G47</f>
        <v>170</v>
      </c>
      <c r="AO47" s="1">
        <f>I47-H47</f>
        <v>230</v>
      </c>
      <c r="AP47" s="1">
        <f>J47-I47</f>
        <v>200</v>
      </c>
      <c r="AQ47" s="1">
        <f>K47-J47</f>
        <v>170</v>
      </c>
      <c r="AR47" s="1">
        <f>L47-K47</f>
        <v>220</v>
      </c>
      <c r="AS47" s="1">
        <f>M47-L47</f>
        <v>160</v>
      </c>
      <c r="AT47" s="1">
        <f>N47-M47</f>
        <v>170</v>
      </c>
      <c r="AU47" s="1">
        <f>O47-N47</f>
        <v>210</v>
      </c>
      <c r="AV47" s="1">
        <f>P47-O47</f>
        <v>180</v>
      </c>
      <c r="AW47" s="1">
        <f>Q47-P47</f>
        <v>220</v>
      </c>
      <c r="AX47" s="1">
        <f>R47-Q47</f>
        <v>180</v>
      </c>
      <c r="AY47" s="1">
        <f>S47-R47</f>
        <v>190</v>
      </c>
      <c r="AZ47" s="1">
        <f>T47-S47</f>
        <v>230</v>
      </c>
      <c r="BA47" s="1">
        <f>U47-T47</f>
        <v>170</v>
      </c>
      <c r="BB47" s="1">
        <f>V47-U47</f>
        <v>170</v>
      </c>
      <c r="BC47" s="1">
        <f>W47-V47</f>
        <v>200</v>
      </c>
      <c r="BD47" s="1">
        <f>X47-W47</f>
        <v>230</v>
      </c>
      <c r="BE47" s="1">
        <f>Y47-X47</f>
        <v>220</v>
      </c>
      <c r="BF47" s="1">
        <f>Z47-Y47</f>
        <v>350</v>
      </c>
    </row>
    <row r="48" spans="1:58">
      <c r="A48" s="1">
        <v>46</v>
      </c>
      <c r="B48" s="1">
        <v>273240</v>
      </c>
      <c r="C48" s="1">
        <v>273390</v>
      </c>
      <c r="D48" s="1">
        <v>273610</v>
      </c>
      <c r="E48" s="1">
        <v>273760</v>
      </c>
      <c r="F48" s="1">
        <v>273990</v>
      </c>
      <c r="G48" s="1">
        <v>274190</v>
      </c>
      <c r="H48" s="1">
        <v>274340</v>
      </c>
      <c r="I48" s="1">
        <v>274580</v>
      </c>
      <c r="J48" s="1">
        <v>274790</v>
      </c>
      <c r="K48" s="1">
        <v>274960</v>
      </c>
      <c r="L48" s="1">
        <v>275130</v>
      </c>
      <c r="M48" s="1">
        <v>275350</v>
      </c>
      <c r="N48" s="1">
        <v>275590</v>
      </c>
      <c r="O48" s="1">
        <v>275730</v>
      </c>
      <c r="P48" s="1">
        <v>275900</v>
      </c>
      <c r="Q48" s="1">
        <v>276110</v>
      </c>
      <c r="R48" s="1">
        <v>276250</v>
      </c>
      <c r="S48" s="1">
        <v>276520</v>
      </c>
      <c r="T48" s="1">
        <v>276650</v>
      </c>
      <c r="U48" s="1">
        <v>276860</v>
      </c>
      <c r="V48" s="1">
        <v>277080</v>
      </c>
      <c r="W48" s="1">
        <v>277270</v>
      </c>
      <c r="X48" s="1">
        <v>277480</v>
      </c>
      <c r="Y48" s="1">
        <v>277670</v>
      </c>
      <c r="Z48" s="1">
        <v>277960</v>
      </c>
      <c r="AA48" s="5">
        <f>AVERAGE(B48:Y48)</f>
        <v>275435</v>
      </c>
      <c r="AB48" s="5">
        <f>(AA49-AA47)/2</f>
        <v>4811.458333333343</v>
      </c>
      <c r="AC48" s="14">
        <f>AB48/(23+AB151)</f>
        <v>192.75999650086541</v>
      </c>
      <c r="AD48" s="5">
        <f>AA48-AA47</f>
        <v>4812.9166666666861</v>
      </c>
      <c r="AE48" s="1">
        <f>AD48-AD47</f>
        <v>-12.083333333313931</v>
      </c>
      <c r="AG48" s="5">
        <f>Z48-Y48</f>
        <v>290</v>
      </c>
      <c r="AI48" s="1">
        <f>C48-B48</f>
        <v>150</v>
      </c>
      <c r="AJ48" s="1">
        <f>D48-C48</f>
        <v>220</v>
      </c>
      <c r="AK48" s="1">
        <f>E48-D48</f>
        <v>150</v>
      </c>
      <c r="AL48" s="1">
        <f>F48-E48</f>
        <v>230</v>
      </c>
      <c r="AM48" s="1">
        <f>G48-F48</f>
        <v>200</v>
      </c>
      <c r="AN48" s="1">
        <f>H48-G48</f>
        <v>150</v>
      </c>
      <c r="AO48" s="1">
        <f>I48-H48</f>
        <v>240</v>
      </c>
      <c r="AP48" s="1">
        <f>J48-I48</f>
        <v>210</v>
      </c>
      <c r="AQ48" s="1">
        <f>K48-J48</f>
        <v>170</v>
      </c>
      <c r="AR48" s="1">
        <f>L48-K48</f>
        <v>170</v>
      </c>
      <c r="AS48" s="1">
        <f>M48-L48</f>
        <v>220</v>
      </c>
      <c r="AT48" s="1">
        <f>N48-M48</f>
        <v>240</v>
      </c>
      <c r="AU48" s="1">
        <f>O48-N48</f>
        <v>140</v>
      </c>
      <c r="AV48" s="1">
        <f>P48-O48</f>
        <v>170</v>
      </c>
      <c r="AW48" s="1">
        <f>Q48-P48</f>
        <v>210</v>
      </c>
      <c r="AX48" s="1">
        <f>R48-Q48</f>
        <v>140</v>
      </c>
      <c r="AY48" s="1">
        <f>S48-R48</f>
        <v>270</v>
      </c>
      <c r="AZ48" s="1">
        <f>T48-S48</f>
        <v>130</v>
      </c>
      <c r="BA48" s="1">
        <f>U48-T48</f>
        <v>210</v>
      </c>
      <c r="BB48" s="1">
        <f>V48-U48</f>
        <v>220</v>
      </c>
      <c r="BC48" s="1">
        <f>W48-V48</f>
        <v>190</v>
      </c>
      <c r="BD48" s="1">
        <f>X48-W48</f>
        <v>210</v>
      </c>
      <c r="BE48" s="1">
        <f>Y48-X48</f>
        <v>190</v>
      </c>
      <c r="BF48" s="1">
        <f>Z48-Y48</f>
        <v>290</v>
      </c>
    </row>
    <row r="49" spans="1:58">
      <c r="A49" s="1">
        <v>47</v>
      </c>
      <c r="B49" s="1">
        <v>277960</v>
      </c>
      <c r="C49" s="1">
        <v>278220</v>
      </c>
      <c r="D49" s="1">
        <v>278430</v>
      </c>
      <c r="E49" s="1">
        <v>278610</v>
      </c>
      <c r="F49" s="1">
        <v>278800</v>
      </c>
      <c r="G49" s="1">
        <v>279000</v>
      </c>
      <c r="H49" s="1">
        <v>279160</v>
      </c>
      <c r="I49" s="1">
        <v>279360</v>
      </c>
      <c r="J49" s="1">
        <v>279560</v>
      </c>
      <c r="K49" s="1">
        <v>279780</v>
      </c>
      <c r="L49" s="1">
        <v>279970</v>
      </c>
      <c r="M49" s="1">
        <v>280190</v>
      </c>
      <c r="N49" s="1">
        <v>280260</v>
      </c>
      <c r="O49" s="1">
        <v>280530</v>
      </c>
      <c r="P49" s="1">
        <v>280670</v>
      </c>
      <c r="Q49" s="1">
        <v>280930</v>
      </c>
      <c r="R49" s="1">
        <v>281100</v>
      </c>
      <c r="S49" s="1">
        <v>281320</v>
      </c>
      <c r="T49" s="1">
        <v>281530</v>
      </c>
      <c r="U49" s="1">
        <v>281700</v>
      </c>
      <c r="V49" s="1">
        <v>281890</v>
      </c>
      <c r="W49" s="1">
        <v>282060</v>
      </c>
      <c r="X49" s="1">
        <v>282300</v>
      </c>
      <c r="Y49" s="1">
        <v>282550</v>
      </c>
      <c r="Z49" s="1">
        <v>282890</v>
      </c>
      <c r="AA49" s="5">
        <f>AVERAGE(B49:Y49)</f>
        <v>280245</v>
      </c>
      <c r="AB49" s="5">
        <f>(AA50-AA48)/2</f>
        <v>4820.625</v>
      </c>
      <c r="AC49" s="14">
        <f>AB49/(23+AB151)</f>
        <v>193.12723788843974</v>
      </c>
      <c r="AD49" s="5">
        <f>AA49-AA48</f>
        <v>4810</v>
      </c>
      <c r="AE49" s="1">
        <f>AD49-AD48</f>
        <v>-2.9166666666860692</v>
      </c>
      <c r="AG49" s="5">
        <f>Z49-Y49</f>
        <v>340</v>
      </c>
      <c r="AI49" s="1">
        <f>C49-B49</f>
        <v>260</v>
      </c>
      <c r="AJ49" s="1">
        <f>D49-C49</f>
        <v>210</v>
      </c>
      <c r="AK49" s="1">
        <f>E49-D49</f>
        <v>180</v>
      </c>
      <c r="AL49" s="1">
        <f>F49-E49</f>
        <v>190</v>
      </c>
      <c r="AM49" s="1">
        <f>G49-F49</f>
        <v>200</v>
      </c>
      <c r="AN49" s="1">
        <f>H49-G49</f>
        <v>160</v>
      </c>
      <c r="AO49" s="1">
        <f>I49-H49</f>
        <v>200</v>
      </c>
      <c r="AP49" s="1">
        <f>J49-I49</f>
        <v>200</v>
      </c>
      <c r="AQ49" s="1">
        <f>K49-J49</f>
        <v>220</v>
      </c>
      <c r="AR49" s="1">
        <f>L49-K49</f>
        <v>190</v>
      </c>
      <c r="AS49" s="1">
        <f>M49-L49</f>
        <v>220</v>
      </c>
      <c r="AT49" s="1">
        <f>N49-M49</f>
        <v>70</v>
      </c>
      <c r="AU49" s="1">
        <f>O49-N49</f>
        <v>270</v>
      </c>
      <c r="AV49" s="1">
        <f>P49-O49</f>
        <v>140</v>
      </c>
      <c r="AW49" s="1">
        <f>Q49-P49</f>
        <v>260</v>
      </c>
      <c r="AX49" s="1">
        <f>R49-Q49</f>
        <v>170</v>
      </c>
      <c r="AY49" s="1">
        <f>S49-R49</f>
        <v>220</v>
      </c>
      <c r="AZ49" s="1">
        <f>T49-S49</f>
        <v>210</v>
      </c>
      <c r="BA49" s="1">
        <f>U49-T49</f>
        <v>170</v>
      </c>
      <c r="BB49" s="1">
        <f>V49-U49</f>
        <v>190</v>
      </c>
      <c r="BC49" s="1">
        <f>W49-V49</f>
        <v>170</v>
      </c>
      <c r="BD49" s="1">
        <f>X49-W49</f>
        <v>240</v>
      </c>
      <c r="BE49" s="1">
        <f>Y49-X49</f>
        <v>250</v>
      </c>
      <c r="BF49" s="1">
        <f>Z49-Y49</f>
        <v>340</v>
      </c>
    </row>
    <row r="50" spans="1:58">
      <c r="A50" s="1">
        <v>48</v>
      </c>
      <c r="B50" s="1">
        <v>282890</v>
      </c>
      <c r="C50" s="1">
        <v>283030</v>
      </c>
      <c r="D50" s="1">
        <v>283200</v>
      </c>
      <c r="E50" s="1">
        <v>283420</v>
      </c>
      <c r="F50" s="1">
        <v>283600</v>
      </c>
      <c r="G50" s="1">
        <v>283820</v>
      </c>
      <c r="H50" s="1">
        <v>284020</v>
      </c>
      <c r="I50" s="1">
        <v>284210</v>
      </c>
      <c r="J50" s="1">
        <v>284400</v>
      </c>
      <c r="K50" s="1">
        <v>284620</v>
      </c>
      <c r="L50" s="1">
        <v>284790</v>
      </c>
      <c r="M50" s="1">
        <v>284990</v>
      </c>
      <c r="N50" s="1">
        <v>285170</v>
      </c>
      <c r="O50" s="1">
        <v>285400</v>
      </c>
      <c r="P50" s="1">
        <v>285560</v>
      </c>
      <c r="Q50" s="1">
        <v>285800</v>
      </c>
      <c r="R50" s="1">
        <v>285930</v>
      </c>
      <c r="S50" s="1">
        <v>286110</v>
      </c>
      <c r="T50" s="1">
        <v>286290</v>
      </c>
      <c r="U50" s="1">
        <v>286530</v>
      </c>
      <c r="V50" s="1">
        <v>286700</v>
      </c>
      <c r="W50" s="1">
        <v>286910</v>
      </c>
      <c r="X50" s="1">
        <v>287120</v>
      </c>
      <c r="Y50" s="1">
        <v>287320</v>
      </c>
      <c r="Z50" s="1">
        <v>287700</v>
      </c>
      <c r="AA50" s="5">
        <f>AVERAGE(B50:Y50)</f>
        <v>285076.25</v>
      </c>
      <c r="AB50" s="5">
        <f>(AA51-AA49)/2</f>
        <v>4831.458333333343</v>
      </c>
      <c r="AC50" s="14">
        <f>AB50/(23+AB151)</f>
        <v>193.56125043739206</v>
      </c>
      <c r="AD50" s="5">
        <f>AA50-AA49</f>
        <v>4831.25</v>
      </c>
      <c r="AE50" s="1">
        <f>AD50-AD49</f>
        <v>21.25</v>
      </c>
      <c r="AG50" s="5">
        <f>Z50-Y50</f>
        <v>380</v>
      </c>
      <c r="AI50" s="1">
        <f>C50-B50</f>
        <v>140</v>
      </c>
      <c r="AJ50" s="1">
        <f>D50-C50</f>
        <v>170</v>
      </c>
      <c r="AK50" s="1">
        <f>E50-D50</f>
        <v>220</v>
      </c>
      <c r="AL50" s="1">
        <f>F50-E50</f>
        <v>180</v>
      </c>
      <c r="AM50" s="1">
        <f>G50-F50</f>
        <v>220</v>
      </c>
      <c r="AN50" s="1">
        <f>H50-G50</f>
        <v>200</v>
      </c>
      <c r="AO50" s="1">
        <f>I50-H50</f>
        <v>190</v>
      </c>
      <c r="AP50" s="1">
        <f>J50-I50</f>
        <v>190</v>
      </c>
      <c r="AQ50" s="1">
        <f>K50-J50</f>
        <v>220</v>
      </c>
      <c r="AR50" s="1">
        <f>L50-K50</f>
        <v>170</v>
      </c>
      <c r="AS50" s="1">
        <f>M50-L50</f>
        <v>200</v>
      </c>
      <c r="AT50" s="1">
        <f>N50-M50</f>
        <v>180</v>
      </c>
      <c r="AU50" s="1">
        <f>O50-N50</f>
        <v>230</v>
      </c>
      <c r="AV50" s="1">
        <f>P50-O50</f>
        <v>160</v>
      </c>
      <c r="AW50" s="1">
        <f>Q50-P50</f>
        <v>240</v>
      </c>
      <c r="AX50" s="1">
        <f>R50-Q50</f>
        <v>130</v>
      </c>
      <c r="AY50" s="1">
        <f>S50-R50</f>
        <v>180</v>
      </c>
      <c r="AZ50" s="1">
        <f>T50-S50</f>
        <v>180</v>
      </c>
      <c r="BA50" s="1">
        <f>U50-T50</f>
        <v>240</v>
      </c>
      <c r="BB50" s="1">
        <f>V50-U50</f>
        <v>170</v>
      </c>
      <c r="BC50" s="1">
        <f>W50-V50</f>
        <v>210</v>
      </c>
      <c r="BD50" s="1">
        <f>X50-W50</f>
        <v>210</v>
      </c>
      <c r="BE50" s="1">
        <f>Y50-X50</f>
        <v>200</v>
      </c>
      <c r="BF50" s="1">
        <f>Z50-Y50</f>
        <v>380</v>
      </c>
    </row>
    <row r="51" spans="1:58">
      <c r="A51" s="1">
        <v>49</v>
      </c>
      <c r="B51" s="1">
        <v>287700</v>
      </c>
      <c r="C51" s="1">
        <v>287890</v>
      </c>
      <c r="D51" s="1">
        <v>288110</v>
      </c>
      <c r="E51" s="1">
        <v>288270</v>
      </c>
      <c r="F51" s="1">
        <v>288450</v>
      </c>
      <c r="G51" s="1">
        <v>288660</v>
      </c>
      <c r="H51" s="1">
        <v>288880</v>
      </c>
      <c r="I51" s="1">
        <v>289040</v>
      </c>
      <c r="J51" s="1">
        <v>289210</v>
      </c>
      <c r="K51" s="1">
        <v>289390</v>
      </c>
      <c r="L51" s="1">
        <v>289600</v>
      </c>
      <c r="M51" s="1">
        <v>289760</v>
      </c>
      <c r="N51" s="1">
        <v>290000</v>
      </c>
      <c r="O51" s="1">
        <v>290150</v>
      </c>
      <c r="P51" s="1">
        <v>290400</v>
      </c>
      <c r="Q51" s="1">
        <v>290610</v>
      </c>
      <c r="R51" s="1">
        <v>290780</v>
      </c>
      <c r="S51" s="1">
        <v>290980</v>
      </c>
      <c r="T51" s="1">
        <v>291140</v>
      </c>
      <c r="U51" s="1">
        <v>291350</v>
      </c>
      <c r="V51" s="1">
        <v>291580</v>
      </c>
      <c r="W51" s="1">
        <v>291760</v>
      </c>
      <c r="X51" s="1">
        <v>291930</v>
      </c>
      <c r="Y51" s="1">
        <v>292150</v>
      </c>
      <c r="Z51" s="1">
        <v>292520</v>
      </c>
      <c r="AA51" s="5">
        <f>AVERAGE(B51:Y51)</f>
        <v>289907.91666666669</v>
      </c>
      <c r="AB51" s="5">
        <f>(AA52-AA50)/2</f>
        <v>4839.166666666657</v>
      </c>
      <c r="AC51" s="14">
        <f>AB51/(23+AB151)</f>
        <v>193.87006705876095</v>
      </c>
      <c r="AD51" s="5">
        <f>AA51-AA50</f>
        <v>4831.6666666666861</v>
      </c>
      <c r="AE51" s="1">
        <f>AD51-AD50</f>
        <v>0.41666666668606922</v>
      </c>
      <c r="AG51" s="5">
        <f>Z51-Y51</f>
        <v>370</v>
      </c>
      <c r="AI51" s="1">
        <f>C51-B51</f>
        <v>190</v>
      </c>
      <c r="AJ51" s="1">
        <f>D51-C51</f>
        <v>220</v>
      </c>
      <c r="AK51" s="1">
        <f>E51-D51</f>
        <v>160</v>
      </c>
      <c r="AL51" s="1">
        <f>F51-E51</f>
        <v>180</v>
      </c>
      <c r="AM51" s="1">
        <f>G51-F51</f>
        <v>210</v>
      </c>
      <c r="AN51" s="1">
        <f>H51-G51</f>
        <v>220</v>
      </c>
      <c r="AO51" s="1">
        <f>I51-H51</f>
        <v>160</v>
      </c>
      <c r="AP51" s="1">
        <f>J51-I51</f>
        <v>170</v>
      </c>
      <c r="AQ51" s="1">
        <f>K51-J51</f>
        <v>180</v>
      </c>
      <c r="AR51" s="1">
        <f>L51-K51</f>
        <v>210</v>
      </c>
      <c r="AS51" s="1">
        <f>M51-L51</f>
        <v>160</v>
      </c>
      <c r="AT51" s="1">
        <f>N51-M51</f>
        <v>240</v>
      </c>
      <c r="AU51" s="1">
        <f>O51-N51</f>
        <v>150</v>
      </c>
      <c r="AV51" s="1">
        <f>P51-O51</f>
        <v>250</v>
      </c>
      <c r="AW51" s="1">
        <f>Q51-P51</f>
        <v>210</v>
      </c>
      <c r="AX51" s="1">
        <f>R51-Q51</f>
        <v>170</v>
      </c>
      <c r="AY51" s="1">
        <f>S51-R51</f>
        <v>200</v>
      </c>
      <c r="AZ51" s="1">
        <f>T51-S51</f>
        <v>160</v>
      </c>
      <c r="BA51" s="1">
        <f>U51-T51</f>
        <v>210</v>
      </c>
      <c r="BB51" s="1">
        <f>V51-U51</f>
        <v>230</v>
      </c>
      <c r="BC51" s="1">
        <f>W51-V51</f>
        <v>180</v>
      </c>
      <c r="BD51" s="1">
        <f>X51-W51</f>
        <v>170</v>
      </c>
      <c r="BE51" s="1">
        <f>Y51-X51</f>
        <v>220</v>
      </c>
      <c r="BF51" s="1">
        <f>Z51-Y51</f>
        <v>370</v>
      </c>
    </row>
    <row r="52" spans="1:58">
      <c r="A52" s="1">
        <v>50</v>
      </c>
      <c r="B52" s="1">
        <v>292520</v>
      </c>
      <c r="C52" s="1">
        <v>292710</v>
      </c>
      <c r="D52" s="1">
        <v>292910</v>
      </c>
      <c r="E52" s="1">
        <v>293090</v>
      </c>
      <c r="F52" s="1">
        <v>293280</v>
      </c>
      <c r="G52" s="1">
        <v>293530</v>
      </c>
      <c r="H52" s="1">
        <v>293720</v>
      </c>
      <c r="I52" s="1">
        <v>293940</v>
      </c>
      <c r="J52" s="1">
        <v>294100</v>
      </c>
      <c r="K52" s="1">
        <v>294260</v>
      </c>
      <c r="L52" s="1">
        <v>294480</v>
      </c>
      <c r="M52" s="1">
        <v>294660</v>
      </c>
      <c r="N52" s="1">
        <v>294830</v>
      </c>
      <c r="O52" s="1">
        <v>295000</v>
      </c>
      <c r="P52" s="1">
        <v>295210</v>
      </c>
      <c r="Q52" s="1">
        <v>295400</v>
      </c>
      <c r="R52" s="1">
        <v>295600</v>
      </c>
      <c r="S52" s="1">
        <v>295800</v>
      </c>
      <c r="T52" s="1">
        <v>296040</v>
      </c>
      <c r="U52" s="1">
        <v>296230</v>
      </c>
      <c r="V52" s="1">
        <v>296390</v>
      </c>
      <c r="W52" s="1">
        <v>296600</v>
      </c>
      <c r="X52" s="1">
        <v>296810</v>
      </c>
      <c r="Y52" s="1">
        <v>297000</v>
      </c>
      <c r="Z52" s="1">
        <v>297340</v>
      </c>
      <c r="AA52" s="5">
        <f>AVERAGE(B52:Y52)</f>
        <v>294754.58333333331</v>
      </c>
      <c r="AB52" s="5">
        <f>(AA53-AA51)/2</f>
        <v>4848.125</v>
      </c>
      <c r="AC52" s="14">
        <f>AB52/(23+AB151)</f>
        <v>194.2289620511639</v>
      </c>
      <c r="AD52" s="5">
        <f>AA52-AA51</f>
        <v>4846.6666666666279</v>
      </c>
      <c r="AE52" s="1">
        <f>AD52-AD51</f>
        <v>14.999999999941792</v>
      </c>
      <c r="AG52" s="5">
        <f>Z52-Y52</f>
        <v>340</v>
      </c>
      <c r="AI52" s="1">
        <f>C52-B52</f>
        <v>190</v>
      </c>
      <c r="AJ52" s="1">
        <f>D52-C52</f>
        <v>200</v>
      </c>
      <c r="AK52" s="1">
        <f>E52-D52</f>
        <v>180</v>
      </c>
      <c r="AL52" s="1">
        <f>F52-E52</f>
        <v>190</v>
      </c>
      <c r="AM52" s="1">
        <f>G52-F52</f>
        <v>250</v>
      </c>
      <c r="AN52" s="1">
        <f>H52-G52</f>
        <v>190</v>
      </c>
      <c r="AO52" s="1">
        <f>I52-H52</f>
        <v>220</v>
      </c>
      <c r="AP52" s="1">
        <f>J52-I52</f>
        <v>160</v>
      </c>
      <c r="AQ52" s="1">
        <f>K52-J52</f>
        <v>160</v>
      </c>
      <c r="AR52" s="1">
        <f>L52-K52</f>
        <v>220</v>
      </c>
      <c r="AS52" s="1">
        <f>M52-L52</f>
        <v>180</v>
      </c>
      <c r="AT52" s="1">
        <f>N52-M52</f>
        <v>170</v>
      </c>
      <c r="AU52" s="1">
        <f>O52-N52</f>
        <v>170</v>
      </c>
      <c r="AV52" s="1">
        <f>P52-O52</f>
        <v>210</v>
      </c>
      <c r="AW52" s="1">
        <f>Q52-P52</f>
        <v>190</v>
      </c>
      <c r="AX52" s="1">
        <f>R52-Q52</f>
        <v>200</v>
      </c>
      <c r="AY52" s="1">
        <f>S52-R52</f>
        <v>200</v>
      </c>
      <c r="AZ52" s="1">
        <f>T52-S52</f>
        <v>240</v>
      </c>
      <c r="BA52" s="1">
        <f>U52-T52</f>
        <v>190</v>
      </c>
      <c r="BB52" s="1">
        <f>V52-U52</f>
        <v>160</v>
      </c>
      <c r="BC52" s="1">
        <f>W52-V52</f>
        <v>210</v>
      </c>
      <c r="BD52" s="1">
        <f>X52-W52</f>
        <v>210</v>
      </c>
      <c r="BE52" s="1">
        <f>Y52-X52</f>
        <v>190</v>
      </c>
      <c r="BF52" s="1">
        <f>Z52-Y52</f>
        <v>340</v>
      </c>
    </row>
    <row r="53" spans="1:58">
      <c r="A53" s="1">
        <v>51</v>
      </c>
      <c r="B53" s="1">
        <v>297340</v>
      </c>
      <c r="C53" s="1">
        <v>297600</v>
      </c>
      <c r="D53" s="1">
        <v>297770</v>
      </c>
      <c r="E53" s="1">
        <v>297960</v>
      </c>
      <c r="F53" s="1">
        <v>298140</v>
      </c>
      <c r="G53" s="1">
        <v>298320</v>
      </c>
      <c r="H53" s="1">
        <v>298490</v>
      </c>
      <c r="I53" s="1">
        <v>298740</v>
      </c>
      <c r="J53" s="1">
        <v>298910</v>
      </c>
      <c r="K53" s="1">
        <v>299110</v>
      </c>
      <c r="L53" s="1">
        <v>299340</v>
      </c>
      <c r="M53" s="1">
        <v>299520</v>
      </c>
      <c r="N53" s="1">
        <v>299690</v>
      </c>
      <c r="O53" s="1">
        <v>299890</v>
      </c>
      <c r="P53" s="1">
        <v>300100</v>
      </c>
      <c r="Q53" s="1">
        <v>300280</v>
      </c>
      <c r="R53" s="1">
        <v>300460</v>
      </c>
      <c r="S53" s="1">
        <v>300660</v>
      </c>
      <c r="T53" s="1">
        <v>300850</v>
      </c>
      <c r="U53" s="1">
        <v>301050</v>
      </c>
      <c r="V53" s="1">
        <v>301240</v>
      </c>
      <c r="W53" s="1">
        <v>301490</v>
      </c>
      <c r="X53" s="1">
        <v>301660</v>
      </c>
      <c r="Y53" s="1">
        <v>301890</v>
      </c>
      <c r="Z53" s="1">
        <v>302240</v>
      </c>
      <c r="AA53" s="5">
        <f>AVERAGE(B53:Y53)</f>
        <v>299604.16666666669</v>
      </c>
      <c r="AB53" s="5">
        <f>(AA54-AA52)/2</f>
        <v>4846.875</v>
      </c>
      <c r="AC53" s="14">
        <f>AB53/(23+AB151)</f>
        <v>194.17888368013098</v>
      </c>
      <c r="AD53" s="5">
        <f>AA53-AA52</f>
        <v>4849.5833333333721</v>
      </c>
      <c r="AE53" s="1">
        <f>AD53-AD52</f>
        <v>2.9166666667442769</v>
      </c>
      <c r="AG53" s="5">
        <f>Z53-Y53</f>
        <v>350</v>
      </c>
      <c r="AI53" s="1">
        <f>C53-B53</f>
        <v>260</v>
      </c>
      <c r="AJ53" s="1">
        <f>D53-C53</f>
        <v>170</v>
      </c>
      <c r="AK53" s="1">
        <f>E53-D53</f>
        <v>190</v>
      </c>
      <c r="AL53" s="1">
        <f>F53-E53</f>
        <v>180</v>
      </c>
      <c r="AM53" s="1">
        <f>G53-F53</f>
        <v>180</v>
      </c>
      <c r="AN53" s="1">
        <f>H53-G53</f>
        <v>170</v>
      </c>
      <c r="AO53" s="1">
        <f>I53-H53</f>
        <v>250</v>
      </c>
      <c r="AP53" s="1">
        <f>J53-I53</f>
        <v>170</v>
      </c>
      <c r="AQ53" s="1">
        <f>K53-J53</f>
        <v>200</v>
      </c>
      <c r="AR53" s="1">
        <f>L53-K53</f>
        <v>230</v>
      </c>
      <c r="AS53" s="1">
        <f>M53-L53</f>
        <v>180</v>
      </c>
      <c r="AT53" s="1">
        <f>N53-M53</f>
        <v>170</v>
      </c>
      <c r="AU53" s="1">
        <f>O53-N53</f>
        <v>200</v>
      </c>
      <c r="AV53" s="1">
        <f>P53-O53</f>
        <v>210</v>
      </c>
      <c r="AW53" s="1">
        <f>Q53-P53</f>
        <v>180</v>
      </c>
      <c r="AX53" s="1">
        <f>R53-Q53</f>
        <v>180</v>
      </c>
      <c r="AY53" s="1">
        <f>S53-R53</f>
        <v>200</v>
      </c>
      <c r="AZ53" s="1">
        <f>T53-S53</f>
        <v>190</v>
      </c>
      <c r="BA53" s="1">
        <f>U53-T53</f>
        <v>200</v>
      </c>
      <c r="BB53" s="1">
        <f>V53-U53</f>
        <v>190</v>
      </c>
      <c r="BC53" s="1">
        <f>W53-V53</f>
        <v>250</v>
      </c>
      <c r="BD53" s="1">
        <f>X53-W53</f>
        <v>170</v>
      </c>
      <c r="BE53" s="1">
        <f>Y53-X53</f>
        <v>230</v>
      </c>
      <c r="BF53" s="1">
        <f>Z53-Y53</f>
        <v>350</v>
      </c>
    </row>
    <row r="54" spans="1:58">
      <c r="A54" s="1">
        <v>52</v>
      </c>
      <c r="B54" s="1">
        <v>302240</v>
      </c>
      <c r="C54" s="1">
        <v>302430</v>
      </c>
      <c r="D54" s="1">
        <v>302590</v>
      </c>
      <c r="E54" s="1">
        <v>302780</v>
      </c>
      <c r="F54" s="1">
        <v>302980</v>
      </c>
      <c r="G54" s="1">
        <v>303210</v>
      </c>
      <c r="H54" s="1">
        <v>303390</v>
      </c>
      <c r="I54" s="1">
        <v>303590</v>
      </c>
      <c r="J54" s="1">
        <v>303760</v>
      </c>
      <c r="K54" s="1">
        <v>303990</v>
      </c>
      <c r="L54" s="1">
        <v>304120</v>
      </c>
      <c r="M54" s="1">
        <v>304350</v>
      </c>
      <c r="N54" s="1">
        <v>304530</v>
      </c>
      <c r="O54" s="1">
        <v>304730</v>
      </c>
      <c r="P54" s="1">
        <v>304960</v>
      </c>
      <c r="Q54" s="1">
        <v>305130</v>
      </c>
      <c r="R54" s="1">
        <v>305320</v>
      </c>
      <c r="S54" s="1">
        <v>305530</v>
      </c>
      <c r="T54" s="1">
        <v>305720</v>
      </c>
      <c r="U54" s="1">
        <v>305880</v>
      </c>
      <c r="V54" s="1">
        <v>306090</v>
      </c>
      <c r="W54" s="1">
        <v>306300</v>
      </c>
      <c r="X54" s="1">
        <v>306440</v>
      </c>
      <c r="Y54" s="1">
        <v>306700</v>
      </c>
      <c r="Z54" s="1">
        <v>307120</v>
      </c>
      <c r="AA54" s="5">
        <f>AVERAGE(B54:Y54)</f>
        <v>304448.33333333331</v>
      </c>
      <c r="AB54" s="5">
        <f>(AA55-AA53)/2</f>
        <v>4849.375</v>
      </c>
      <c r="AC54" s="14">
        <f>AB54/(23+AB151)</f>
        <v>194.2790404221968</v>
      </c>
      <c r="AD54" s="5">
        <f>AA54-AA53</f>
        <v>4844.1666666666279</v>
      </c>
      <c r="AE54" s="1">
        <f>AD54-AD53</f>
        <v>-5.4166666667442769</v>
      </c>
      <c r="AG54" s="5">
        <f>Z54-Y54</f>
        <v>420</v>
      </c>
      <c r="AI54" s="1">
        <f>C54-B54</f>
        <v>190</v>
      </c>
      <c r="AJ54" s="1">
        <f>D54-C54</f>
        <v>160</v>
      </c>
      <c r="AK54" s="1">
        <f>E54-D54</f>
        <v>190</v>
      </c>
      <c r="AL54" s="1">
        <f>F54-E54</f>
        <v>200</v>
      </c>
      <c r="AM54" s="1">
        <f>G54-F54</f>
        <v>230</v>
      </c>
      <c r="AN54" s="1">
        <f>H54-G54</f>
        <v>180</v>
      </c>
      <c r="AO54" s="1">
        <f>I54-H54</f>
        <v>200</v>
      </c>
      <c r="AP54" s="1">
        <f>J54-I54</f>
        <v>170</v>
      </c>
      <c r="AQ54" s="1">
        <f>K54-J54</f>
        <v>230</v>
      </c>
      <c r="AR54" s="1">
        <f>L54-K54</f>
        <v>130</v>
      </c>
      <c r="AS54" s="1">
        <f>M54-L54</f>
        <v>230</v>
      </c>
      <c r="AT54" s="1">
        <f>N54-M54</f>
        <v>180</v>
      </c>
      <c r="AU54" s="1">
        <f>O54-N54</f>
        <v>200</v>
      </c>
      <c r="AV54" s="1">
        <f>P54-O54</f>
        <v>230</v>
      </c>
      <c r="AW54" s="1">
        <f>Q54-P54</f>
        <v>170</v>
      </c>
      <c r="AX54" s="1">
        <f>R54-Q54</f>
        <v>190</v>
      </c>
      <c r="AY54" s="1">
        <f>S54-R54</f>
        <v>210</v>
      </c>
      <c r="AZ54" s="1">
        <f>T54-S54</f>
        <v>190</v>
      </c>
      <c r="BA54" s="1">
        <f>U54-T54</f>
        <v>160</v>
      </c>
      <c r="BB54" s="1">
        <f>V54-U54</f>
        <v>210</v>
      </c>
      <c r="BC54" s="1">
        <f>W54-V54</f>
        <v>210</v>
      </c>
      <c r="BD54" s="1">
        <f>X54-W54</f>
        <v>140</v>
      </c>
      <c r="BE54" s="1">
        <f>Y54-X54</f>
        <v>260</v>
      </c>
      <c r="BF54" s="1">
        <f>Z54-Y54</f>
        <v>420</v>
      </c>
    </row>
    <row r="55" spans="1:58">
      <c r="A55" s="1">
        <v>53</v>
      </c>
      <c r="B55" s="1">
        <v>307120</v>
      </c>
      <c r="C55" s="1">
        <v>307300</v>
      </c>
      <c r="D55" s="1">
        <v>307460</v>
      </c>
      <c r="E55" s="1">
        <v>307700</v>
      </c>
      <c r="F55" s="1">
        <v>307860</v>
      </c>
      <c r="G55" s="1">
        <v>308060</v>
      </c>
      <c r="H55" s="1">
        <v>308280</v>
      </c>
      <c r="I55" s="1">
        <v>308430</v>
      </c>
      <c r="J55" s="1">
        <v>308640</v>
      </c>
      <c r="K55" s="1">
        <v>308810</v>
      </c>
      <c r="L55" s="1">
        <v>308980</v>
      </c>
      <c r="M55" s="1">
        <v>309200</v>
      </c>
      <c r="N55" s="1">
        <v>309370</v>
      </c>
      <c r="O55" s="1">
        <v>309580</v>
      </c>
      <c r="P55" s="1">
        <v>309760</v>
      </c>
      <c r="Q55" s="1">
        <v>309970</v>
      </c>
      <c r="R55" s="1">
        <v>310210</v>
      </c>
      <c r="S55" s="1">
        <v>310370</v>
      </c>
      <c r="T55" s="1">
        <v>310560</v>
      </c>
      <c r="U55" s="1">
        <v>310700</v>
      </c>
      <c r="V55" s="1">
        <v>310920</v>
      </c>
      <c r="W55" s="1">
        <v>311140</v>
      </c>
      <c r="X55" s="1">
        <v>311320</v>
      </c>
      <c r="Y55" s="1">
        <v>311530</v>
      </c>
      <c r="Z55" s="1">
        <v>311940</v>
      </c>
      <c r="AA55" s="5">
        <f>AVERAGE(B55:Y55)</f>
        <v>309302.91666666669</v>
      </c>
      <c r="AB55" s="5">
        <f>(AA56-AA54)/2</f>
        <v>4851.25</v>
      </c>
      <c r="AC55" s="14">
        <f>AB55/(23+AB151)</f>
        <v>194.35415797874617</v>
      </c>
      <c r="AD55" s="5">
        <f>AA55-AA54</f>
        <v>4854.5833333333721</v>
      </c>
      <c r="AE55" s="1">
        <f>AD55-AD54</f>
        <v>10.416666666744277</v>
      </c>
      <c r="AG55" s="5">
        <f>Z55-Y55</f>
        <v>410</v>
      </c>
      <c r="AI55" s="1">
        <f>C55-B55</f>
        <v>180</v>
      </c>
      <c r="AJ55" s="1">
        <f>D55-C55</f>
        <v>160</v>
      </c>
      <c r="AK55" s="1">
        <f>E55-D55</f>
        <v>240</v>
      </c>
      <c r="AL55" s="1">
        <f>F55-E55</f>
        <v>160</v>
      </c>
      <c r="AM55" s="1">
        <f>G55-F55</f>
        <v>200</v>
      </c>
      <c r="AN55" s="1">
        <f>H55-G55</f>
        <v>220</v>
      </c>
      <c r="AO55" s="1">
        <f>I55-H55</f>
        <v>150</v>
      </c>
      <c r="AP55" s="1">
        <f>J55-I55</f>
        <v>210</v>
      </c>
      <c r="AQ55" s="1">
        <f>K55-J55</f>
        <v>170</v>
      </c>
      <c r="AR55" s="1">
        <f>L55-K55</f>
        <v>170</v>
      </c>
      <c r="AS55" s="1">
        <f>M55-L55</f>
        <v>220</v>
      </c>
      <c r="AT55" s="1">
        <f>N55-M55</f>
        <v>170</v>
      </c>
      <c r="AU55" s="1">
        <f>O55-N55</f>
        <v>210</v>
      </c>
      <c r="AV55" s="1">
        <f>P55-O55</f>
        <v>180</v>
      </c>
      <c r="AW55" s="1">
        <f>Q55-P55</f>
        <v>210</v>
      </c>
      <c r="AX55" s="1">
        <f>R55-Q55</f>
        <v>240</v>
      </c>
      <c r="AY55" s="1">
        <f>S55-R55</f>
        <v>160</v>
      </c>
      <c r="AZ55" s="1">
        <f>T55-S55</f>
        <v>190</v>
      </c>
      <c r="BA55" s="1">
        <f>U55-T55</f>
        <v>140</v>
      </c>
      <c r="BB55" s="1">
        <f>V55-U55</f>
        <v>220</v>
      </c>
      <c r="BC55" s="1">
        <f>W55-V55</f>
        <v>220</v>
      </c>
      <c r="BD55" s="1">
        <f>X55-W55</f>
        <v>180</v>
      </c>
      <c r="BE55" s="1">
        <f>Y55-X55</f>
        <v>210</v>
      </c>
      <c r="BF55" s="1">
        <f>Z55-Y55</f>
        <v>410</v>
      </c>
    </row>
    <row r="56" spans="1:58">
      <c r="A56" s="1">
        <v>54</v>
      </c>
      <c r="B56" s="1">
        <v>311940</v>
      </c>
      <c r="C56" s="1">
        <v>312180</v>
      </c>
      <c r="D56" s="1">
        <v>312360</v>
      </c>
      <c r="E56" s="1">
        <v>312530</v>
      </c>
      <c r="F56" s="1">
        <v>312680</v>
      </c>
      <c r="G56" s="1">
        <v>312890</v>
      </c>
      <c r="H56" s="1">
        <v>313080</v>
      </c>
      <c r="I56" s="1">
        <v>313280</v>
      </c>
      <c r="J56" s="1">
        <v>313460</v>
      </c>
      <c r="K56" s="1">
        <v>313650</v>
      </c>
      <c r="L56" s="1">
        <v>313820</v>
      </c>
      <c r="M56" s="1">
        <v>314050</v>
      </c>
      <c r="N56" s="1">
        <v>314240</v>
      </c>
      <c r="O56" s="1">
        <v>314460</v>
      </c>
      <c r="P56" s="1">
        <v>314620</v>
      </c>
      <c r="Q56" s="1">
        <v>314850</v>
      </c>
      <c r="R56" s="1">
        <v>315030</v>
      </c>
      <c r="S56" s="1">
        <v>315190</v>
      </c>
      <c r="T56" s="1">
        <v>315410</v>
      </c>
      <c r="U56" s="1">
        <v>315610</v>
      </c>
      <c r="V56" s="1">
        <v>315780</v>
      </c>
      <c r="W56" s="1">
        <v>315970</v>
      </c>
      <c r="X56" s="1">
        <v>316180</v>
      </c>
      <c r="Y56" s="1">
        <v>316360</v>
      </c>
      <c r="Z56" s="1">
        <v>316770</v>
      </c>
      <c r="AA56" s="5">
        <f>AVERAGE(B56:Y56)</f>
        <v>314150.83333333331</v>
      </c>
      <c r="AB56" s="5">
        <f>(AA57-AA55)/2</f>
        <v>4843.75</v>
      </c>
      <c r="AC56" s="14">
        <f>AB56/(23+AB151)</f>
        <v>194.05368775254868</v>
      </c>
      <c r="AD56" s="5">
        <f>AA56-AA55</f>
        <v>4847.9166666666279</v>
      </c>
      <c r="AE56" s="1">
        <f>AD56-AD55</f>
        <v>-6.6666666667442769</v>
      </c>
      <c r="AG56" s="5">
        <f>Z56-Y56</f>
        <v>410</v>
      </c>
      <c r="AI56" s="1">
        <f>C56-B56</f>
        <v>240</v>
      </c>
      <c r="AJ56" s="1">
        <f>D56-C56</f>
        <v>180</v>
      </c>
      <c r="AK56" s="1">
        <f>E56-D56</f>
        <v>170</v>
      </c>
      <c r="AL56" s="1">
        <f>F56-E56</f>
        <v>150</v>
      </c>
      <c r="AM56" s="1">
        <f>G56-F56</f>
        <v>210</v>
      </c>
      <c r="AN56" s="1">
        <f>H56-G56</f>
        <v>190</v>
      </c>
      <c r="AO56" s="1">
        <f>I56-H56</f>
        <v>200</v>
      </c>
      <c r="AP56" s="1">
        <f>J56-I56</f>
        <v>180</v>
      </c>
      <c r="AQ56" s="1">
        <f>K56-J56</f>
        <v>190</v>
      </c>
      <c r="AR56" s="1">
        <f>L56-K56</f>
        <v>170</v>
      </c>
      <c r="AS56" s="1">
        <f>M56-L56</f>
        <v>230</v>
      </c>
      <c r="AT56" s="1">
        <f>N56-M56</f>
        <v>190</v>
      </c>
      <c r="AU56" s="1">
        <f>O56-N56</f>
        <v>220</v>
      </c>
      <c r="AV56" s="1">
        <f>P56-O56</f>
        <v>160</v>
      </c>
      <c r="AW56" s="1">
        <f>Q56-P56</f>
        <v>230</v>
      </c>
      <c r="AX56" s="1">
        <f>R56-Q56</f>
        <v>180</v>
      </c>
      <c r="AY56" s="1">
        <f>S56-R56</f>
        <v>160</v>
      </c>
      <c r="AZ56" s="1">
        <f>T56-S56</f>
        <v>220</v>
      </c>
      <c r="BA56" s="1">
        <f>U56-T56</f>
        <v>200</v>
      </c>
      <c r="BB56" s="1">
        <f>V56-U56</f>
        <v>170</v>
      </c>
      <c r="BC56" s="1">
        <f>W56-V56</f>
        <v>190</v>
      </c>
      <c r="BD56" s="1">
        <f>X56-W56</f>
        <v>210</v>
      </c>
      <c r="BE56" s="1">
        <f>Y56-X56</f>
        <v>180</v>
      </c>
      <c r="BF56" s="1">
        <f>Z56-Y56</f>
        <v>410</v>
      </c>
    </row>
    <row r="57" spans="1:58">
      <c r="A57" s="1">
        <v>55</v>
      </c>
      <c r="B57" s="1">
        <v>316770</v>
      </c>
      <c r="C57" s="1">
        <v>316960</v>
      </c>
      <c r="D57" s="1">
        <v>317190</v>
      </c>
      <c r="E57" s="1">
        <v>317370</v>
      </c>
      <c r="F57" s="1">
        <v>317570</v>
      </c>
      <c r="G57" s="1">
        <v>317760</v>
      </c>
      <c r="H57" s="1">
        <v>317980</v>
      </c>
      <c r="I57" s="1">
        <v>318120</v>
      </c>
      <c r="J57" s="1">
        <v>318270</v>
      </c>
      <c r="K57" s="1">
        <v>318460</v>
      </c>
      <c r="L57" s="1">
        <v>318660</v>
      </c>
      <c r="M57" s="1">
        <v>318910</v>
      </c>
      <c r="N57" s="1">
        <v>319050</v>
      </c>
      <c r="O57" s="1">
        <v>319300</v>
      </c>
      <c r="P57" s="1">
        <v>319440</v>
      </c>
      <c r="Q57" s="1">
        <v>319670</v>
      </c>
      <c r="R57" s="1">
        <v>319870</v>
      </c>
      <c r="S57" s="1">
        <v>320090</v>
      </c>
      <c r="T57" s="1">
        <v>320290</v>
      </c>
      <c r="U57" s="1">
        <v>320440</v>
      </c>
      <c r="V57" s="1">
        <v>320610</v>
      </c>
      <c r="W57" s="1">
        <v>320780</v>
      </c>
      <c r="X57" s="1">
        <v>321020</v>
      </c>
      <c r="Y57" s="1">
        <v>321190</v>
      </c>
      <c r="Z57" s="1">
        <v>321660</v>
      </c>
      <c r="AA57" s="5">
        <f>AVERAGE(B57:Y57)</f>
        <v>318990.41666666669</v>
      </c>
      <c r="AB57" s="5">
        <f>(AA58-AA56)/2</f>
        <v>4840.208333333343</v>
      </c>
      <c r="AC57" s="14">
        <f>AB57/(23+AB151)</f>
        <v>193.91179903462248</v>
      </c>
      <c r="AD57" s="5">
        <f>AA57-AA56</f>
        <v>4839.5833333333721</v>
      </c>
      <c r="AE57" s="1">
        <f>AD57-AD56</f>
        <v>-8.3333333332557231</v>
      </c>
      <c r="AG57" s="5">
        <f>Z57-Y57</f>
        <v>470</v>
      </c>
      <c r="AI57" s="1">
        <f>C57-B57</f>
        <v>190</v>
      </c>
      <c r="AJ57" s="1">
        <f>D57-C57</f>
        <v>230</v>
      </c>
      <c r="AK57" s="1">
        <f>E57-D57</f>
        <v>180</v>
      </c>
      <c r="AL57" s="1">
        <f>F57-E57</f>
        <v>200</v>
      </c>
      <c r="AM57" s="1">
        <f>G57-F57</f>
        <v>190</v>
      </c>
      <c r="AN57" s="1">
        <f>H57-G57</f>
        <v>220</v>
      </c>
      <c r="AO57" s="1">
        <f>I57-H57</f>
        <v>140</v>
      </c>
      <c r="AP57" s="1">
        <f>J57-I57</f>
        <v>150</v>
      </c>
      <c r="AQ57" s="1">
        <f>K57-J57</f>
        <v>190</v>
      </c>
      <c r="AR57" s="1">
        <f>L57-K57</f>
        <v>200</v>
      </c>
      <c r="AS57" s="1">
        <f>M57-L57</f>
        <v>250</v>
      </c>
      <c r="AT57" s="1">
        <f>N57-M57</f>
        <v>140</v>
      </c>
      <c r="AU57" s="1">
        <f>O57-N57</f>
        <v>250</v>
      </c>
      <c r="AV57" s="1">
        <f>P57-O57</f>
        <v>140</v>
      </c>
      <c r="AW57" s="1">
        <f>Q57-P57</f>
        <v>230</v>
      </c>
      <c r="AX57" s="1">
        <f>R57-Q57</f>
        <v>200</v>
      </c>
      <c r="AY57" s="1">
        <f>S57-R57</f>
        <v>220</v>
      </c>
      <c r="AZ57" s="1">
        <f>T57-S57</f>
        <v>200</v>
      </c>
      <c r="BA57" s="1">
        <f>U57-T57</f>
        <v>150</v>
      </c>
      <c r="BB57" s="1">
        <f>V57-U57</f>
        <v>170</v>
      </c>
      <c r="BC57" s="1">
        <f>W57-V57</f>
        <v>170</v>
      </c>
      <c r="BD57" s="1">
        <f>X57-W57</f>
        <v>240</v>
      </c>
      <c r="BE57" s="1">
        <f>Y57-X57</f>
        <v>170</v>
      </c>
      <c r="BF57" s="1">
        <f>Z57-Y57</f>
        <v>470</v>
      </c>
    </row>
    <row r="58" spans="1:58">
      <c r="A58" s="1">
        <v>56</v>
      </c>
      <c r="B58" s="1">
        <v>321660</v>
      </c>
      <c r="C58" s="1">
        <v>321830</v>
      </c>
      <c r="D58" s="1">
        <v>321990</v>
      </c>
      <c r="E58" s="1">
        <v>322190</v>
      </c>
      <c r="F58" s="1">
        <v>322400</v>
      </c>
      <c r="G58" s="1">
        <v>322590</v>
      </c>
      <c r="H58" s="1">
        <v>322770</v>
      </c>
      <c r="I58" s="1">
        <v>322990</v>
      </c>
      <c r="J58" s="1">
        <v>323100</v>
      </c>
      <c r="K58" s="1">
        <v>323280</v>
      </c>
      <c r="L58" s="1">
        <v>323490</v>
      </c>
      <c r="M58" s="1">
        <v>323760</v>
      </c>
      <c r="N58" s="1">
        <v>323960</v>
      </c>
      <c r="O58" s="1">
        <v>324150</v>
      </c>
      <c r="P58" s="1">
        <v>324340</v>
      </c>
      <c r="Q58" s="1">
        <v>324540</v>
      </c>
      <c r="R58" s="1">
        <v>324720</v>
      </c>
      <c r="S58" s="1">
        <v>324880</v>
      </c>
      <c r="T58" s="1">
        <v>325120</v>
      </c>
      <c r="U58" s="1">
        <v>325270</v>
      </c>
      <c r="V58" s="1">
        <v>325430</v>
      </c>
      <c r="W58" s="1">
        <v>325620</v>
      </c>
      <c r="X58" s="1">
        <v>325810</v>
      </c>
      <c r="Y58" s="1">
        <v>326060</v>
      </c>
      <c r="Z58" s="1">
        <v>326470</v>
      </c>
      <c r="AA58" s="5">
        <f>AVERAGE(B58:Y58)</f>
        <v>323831.25</v>
      </c>
      <c r="AB58" s="5">
        <f>(AA59-AA57)/2</f>
        <v>4847.291666666657</v>
      </c>
      <c r="AC58" s="14">
        <f>AB58/(23+AB151)</f>
        <v>194.19557647047489</v>
      </c>
      <c r="AD58" s="5">
        <f>AA58-AA57</f>
        <v>4840.8333333333139</v>
      </c>
      <c r="AE58" s="1">
        <f>AD58-AD57</f>
        <v>1.2499999999417923</v>
      </c>
      <c r="AG58" s="5">
        <f>Z58-Y58</f>
        <v>410</v>
      </c>
      <c r="AI58" s="1">
        <f>C58-B58</f>
        <v>170</v>
      </c>
      <c r="AJ58" s="1">
        <f>D58-C58</f>
        <v>160</v>
      </c>
      <c r="AK58" s="1">
        <f>E58-D58</f>
        <v>200</v>
      </c>
      <c r="AL58" s="1">
        <f>F58-E58</f>
        <v>210</v>
      </c>
      <c r="AM58" s="1">
        <f>G58-F58</f>
        <v>190</v>
      </c>
      <c r="AN58" s="1">
        <f>H58-G58</f>
        <v>180</v>
      </c>
      <c r="AO58" s="1">
        <f>I58-H58</f>
        <v>220</v>
      </c>
      <c r="AP58" s="1">
        <f>J58-I58</f>
        <v>110</v>
      </c>
      <c r="AQ58" s="1">
        <f>K58-J58</f>
        <v>180</v>
      </c>
      <c r="AR58" s="1">
        <f>L58-K58</f>
        <v>210</v>
      </c>
      <c r="AS58" s="1">
        <f>M58-L58</f>
        <v>270</v>
      </c>
      <c r="AT58" s="1">
        <f>N58-M58</f>
        <v>200</v>
      </c>
      <c r="AU58" s="1">
        <f>O58-N58</f>
        <v>190</v>
      </c>
      <c r="AV58" s="1">
        <f>P58-O58</f>
        <v>190</v>
      </c>
      <c r="AW58" s="1">
        <f>Q58-P58</f>
        <v>200</v>
      </c>
      <c r="AX58" s="1">
        <f>R58-Q58</f>
        <v>180</v>
      </c>
      <c r="AY58" s="1">
        <f>S58-R58</f>
        <v>160</v>
      </c>
      <c r="AZ58" s="1">
        <f>T58-S58</f>
        <v>240</v>
      </c>
      <c r="BA58" s="1">
        <f>U58-T58</f>
        <v>150</v>
      </c>
      <c r="BB58" s="1">
        <f>V58-U58</f>
        <v>160</v>
      </c>
      <c r="BC58" s="1">
        <f>W58-V58</f>
        <v>190</v>
      </c>
      <c r="BD58" s="1">
        <f>X58-W58</f>
        <v>190</v>
      </c>
      <c r="BE58" s="1">
        <f>Y58-X58</f>
        <v>250</v>
      </c>
      <c r="BF58" s="1">
        <f>Z58-Y58</f>
        <v>410</v>
      </c>
    </row>
    <row r="59" spans="1:58">
      <c r="A59" s="1">
        <v>57</v>
      </c>
      <c r="B59" s="1">
        <v>326470</v>
      </c>
      <c r="C59" s="1">
        <v>326650</v>
      </c>
      <c r="D59" s="1">
        <v>326840</v>
      </c>
      <c r="E59" s="1">
        <v>327020</v>
      </c>
      <c r="F59" s="1">
        <v>327240</v>
      </c>
      <c r="G59" s="1">
        <v>327430</v>
      </c>
      <c r="H59" s="1">
        <v>327670</v>
      </c>
      <c r="I59" s="1">
        <v>327880</v>
      </c>
      <c r="J59" s="1">
        <v>328040</v>
      </c>
      <c r="K59" s="1">
        <v>328170</v>
      </c>
      <c r="L59" s="1">
        <v>328330</v>
      </c>
      <c r="M59" s="1">
        <v>328530</v>
      </c>
      <c r="N59" s="1">
        <v>328770</v>
      </c>
      <c r="O59" s="1">
        <v>328980</v>
      </c>
      <c r="P59" s="1">
        <v>329150</v>
      </c>
      <c r="Q59" s="1">
        <v>329390</v>
      </c>
      <c r="R59" s="1">
        <v>329570</v>
      </c>
      <c r="S59" s="1">
        <v>329750</v>
      </c>
      <c r="T59" s="1">
        <v>329960</v>
      </c>
      <c r="U59" s="1">
        <v>330140</v>
      </c>
      <c r="V59" s="1">
        <v>330340</v>
      </c>
      <c r="W59" s="1">
        <v>330540</v>
      </c>
      <c r="X59" s="1">
        <v>330670</v>
      </c>
      <c r="Y59" s="1">
        <v>330910</v>
      </c>
      <c r="Z59" s="1">
        <v>331320</v>
      </c>
      <c r="AA59" s="5">
        <f>AVERAGE(B59:Y59)</f>
        <v>328685</v>
      </c>
      <c r="AB59" s="5">
        <f>(AA60-AA58)/2</f>
        <v>4848.75</v>
      </c>
      <c r="AC59" s="14">
        <f>AB59/(23+AB151)</f>
        <v>194.25400123668035</v>
      </c>
      <c r="AD59" s="5">
        <f>AA59-AA58</f>
        <v>4853.75</v>
      </c>
      <c r="AE59" s="1">
        <f>AD59-AD58</f>
        <v>12.916666666686069</v>
      </c>
      <c r="AG59" s="5">
        <f>Z59-Y59</f>
        <v>410</v>
      </c>
      <c r="AI59" s="1">
        <f>C59-B59</f>
        <v>180</v>
      </c>
      <c r="AJ59" s="1">
        <f>D59-C59</f>
        <v>190</v>
      </c>
      <c r="AK59" s="1">
        <f>E59-D59</f>
        <v>180</v>
      </c>
      <c r="AL59" s="1">
        <f>F59-E59</f>
        <v>220</v>
      </c>
      <c r="AM59" s="1">
        <f>G59-F59</f>
        <v>190</v>
      </c>
      <c r="AN59" s="1">
        <f>H59-G59</f>
        <v>240</v>
      </c>
      <c r="AO59" s="1">
        <f>I59-H59</f>
        <v>210</v>
      </c>
      <c r="AP59" s="1">
        <f>J59-I59</f>
        <v>160</v>
      </c>
      <c r="AQ59" s="1">
        <f>K59-J59</f>
        <v>130</v>
      </c>
      <c r="AR59" s="1">
        <f>L59-K59</f>
        <v>160</v>
      </c>
      <c r="AS59" s="1">
        <f>M59-L59</f>
        <v>200</v>
      </c>
      <c r="AT59" s="1">
        <f>N59-M59</f>
        <v>240</v>
      </c>
      <c r="AU59" s="1">
        <f>O59-N59</f>
        <v>210</v>
      </c>
      <c r="AV59" s="1">
        <f>P59-O59</f>
        <v>170</v>
      </c>
      <c r="AW59" s="1">
        <f>Q59-P59</f>
        <v>240</v>
      </c>
      <c r="AX59" s="1">
        <f>R59-Q59</f>
        <v>180</v>
      </c>
      <c r="AY59" s="1">
        <f>S59-R59</f>
        <v>180</v>
      </c>
      <c r="AZ59" s="1">
        <f>T59-S59</f>
        <v>210</v>
      </c>
      <c r="BA59" s="1">
        <f>U59-T59</f>
        <v>180</v>
      </c>
      <c r="BB59" s="1">
        <f>V59-U59</f>
        <v>200</v>
      </c>
      <c r="BC59" s="1">
        <f>W59-V59</f>
        <v>200</v>
      </c>
      <c r="BD59" s="1">
        <f>X59-W59</f>
        <v>130</v>
      </c>
      <c r="BE59" s="1">
        <f>Y59-X59</f>
        <v>240</v>
      </c>
      <c r="BF59" s="1">
        <f>Z59-Y59</f>
        <v>410</v>
      </c>
    </row>
    <row r="60" spans="1:58">
      <c r="A60" s="1">
        <v>58</v>
      </c>
      <c r="B60" s="1">
        <v>331320</v>
      </c>
      <c r="C60" s="1">
        <v>331500</v>
      </c>
      <c r="D60" s="1">
        <v>331690</v>
      </c>
      <c r="E60" s="1">
        <v>331910</v>
      </c>
      <c r="F60" s="1">
        <v>332090</v>
      </c>
      <c r="G60" s="1">
        <v>332280</v>
      </c>
      <c r="H60" s="1">
        <v>332460</v>
      </c>
      <c r="I60" s="1">
        <v>332680</v>
      </c>
      <c r="J60" s="1">
        <v>332830</v>
      </c>
      <c r="K60" s="1">
        <v>333040</v>
      </c>
      <c r="L60" s="1">
        <v>333190</v>
      </c>
      <c r="M60" s="1">
        <v>333420</v>
      </c>
      <c r="N60" s="1">
        <v>333590</v>
      </c>
      <c r="O60" s="1">
        <v>333810</v>
      </c>
      <c r="P60" s="1">
        <v>334030</v>
      </c>
      <c r="Q60" s="1">
        <v>334220</v>
      </c>
      <c r="R60" s="1">
        <v>334390</v>
      </c>
      <c r="S60" s="1">
        <v>334610</v>
      </c>
      <c r="T60" s="1">
        <v>334800</v>
      </c>
      <c r="U60" s="1">
        <v>334990</v>
      </c>
      <c r="V60" s="1">
        <v>335190</v>
      </c>
      <c r="W60" s="1">
        <v>335350</v>
      </c>
      <c r="X60" s="1">
        <v>335540</v>
      </c>
      <c r="Y60" s="1">
        <v>335760</v>
      </c>
      <c r="Z60" s="1">
        <v>336110</v>
      </c>
      <c r="AA60" s="5">
        <f>AVERAGE(B60:Y60)</f>
        <v>333528.75</v>
      </c>
      <c r="AB60" s="5">
        <f>(AA61-AA59)/2</f>
        <v>4824.791666666657</v>
      </c>
      <c r="AC60" s="14">
        <f>AB60/(23+AB151)</f>
        <v>193.29416579188242</v>
      </c>
      <c r="AD60" s="5">
        <f>AA60-AA59</f>
        <v>4843.75</v>
      </c>
      <c r="AE60" s="1">
        <f>AD60-AD59</f>
        <v>-10</v>
      </c>
      <c r="AG60" s="5">
        <f>Z60-Y60</f>
        <v>350</v>
      </c>
      <c r="AI60" s="1">
        <f>C60-B60</f>
        <v>180</v>
      </c>
      <c r="AJ60" s="1">
        <f>D60-C60</f>
        <v>190</v>
      </c>
      <c r="AK60" s="1">
        <f>E60-D60</f>
        <v>220</v>
      </c>
      <c r="AL60" s="1">
        <f>F60-E60</f>
        <v>180</v>
      </c>
      <c r="AM60" s="1">
        <f>G60-F60</f>
        <v>190</v>
      </c>
      <c r="AN60" s="1">
        <f>H60-G60</f>
        <v>180</v>
      </c>
      <c r="AO60" s="1">
        <f>I60-H60</f>
        <v>220</v>
      </c>
      <c r="AP60" s="1">
        <f>J60-I60</f>
        <v>150</v>
      </c>
      <c r="AQ60" s="1">
        <f>K60-J60</f>
        <v>210</v>
      </c>
      <c r="AR60" s="1">
        <f>L60-K60</f>
        <v>150</v>
      </c>
      <c r="AS60" s="1">
        <f>M60-L60</f>
        <v>230</v>
      </c>
      <c r="AT60" s="1">
        <f>N60-M60</f>
        <v>170</v>
      </c>
      <c r="AU60" s="1">
        <f>O60-N60</f>
        <v>220</v>
      </c>
      <c r="AV60" s="1">
        <f>P60-O60</f>
        <v>220</v>
      </c>
      <c r="AW60" s="1">
        <f>Q60-P60</f>
        <v>190</v>
      </c>
      <c r="AX60" s="1">
        <f>R60-Q60</f>
        <v>170</v>
      </c>
      <c r="AY60" s="1">
        <f>S60-R60</f>
        <v>220</v>
      </c>
      <c r="AZ60" s="1">
        <f>T60-S60</f>
        <v>190</v>
      </c>
      <c r="BA60" s="1">
        <f>U60-T60</f>
        <v>190</v>
      </c>
      <c r="BB60" s="1">
        <f>V60-U60</f>
        <v>200</v>
      </c>
      <c r="BC60" s="1">
        <f>W60-V60</f>
        <v>160</v>
      </c>
      <c r="BD60" s="1">
        <f>X60-W60</f>
        <v>190</v>
      </c>
      <c r="BE60" s="1">
        <f>Y60-X60</f>
        <v>220</v>
      </c>
      <c r="BF60" s="1">
        <f>Z60-Y60</f>
        <v>350</v>
      </c>
    </row>
    <row r="61" spans="1:58">
      <c r="A61" s="1">
        <v>59</v>
      </c>
      <c r="B61" s="1">
        <v>336110</v>
      </c>
      <c r="C61" s="1">
        <v>336290</v>
      </c>
      <c r="D61" s="1">
        <v>336490</v>
      </c>
      <c r="E61" s="1">
        <v>336680</v>
      </c>
      <c r="F61" s="1">
        <v>336890</v>
      </c>
      <c r="G61" s="1">
        <v>337100</v>
      </c>
      <c r="H61" s="1">
        <v>337280</v>
      </c>
      <c r="I61" s="1">
        <v>337480</v>
      </c>
      <c r="J61" s="1">
        <v>337660</v>
      </c>
      <c r="K61" s="1">
        <v>337860</v>
      </c>
      <c r="L61" s="1">
        <v>338040</v>
      </c>
      <c r="M61" s="1">
        <v>338240</v>
      </c>
      <c r="N61" s="1">
        <v>338440</v>
      </c>
      <c r="O61" s="1">
        <v>338660</v>
      </c>
      <c r="P61" s="1">
        <v>338850</v>
      </c>
      <c r="Q61" s="1">
        <v>339020</v>
      </c>
      <c r="R61" s="1">
        <v>339190</v>
      </c>
      <c r="S61" s="1">
        <v>339340</v>
      </c>
      <c r="T61" s="1">
        <v>339550</v>
      </c>
      <c r="U61" s="1">
        <v>339760</v>
      </c>
      <c r="V61" s="1">
        <v>339940</v>
      </c>
      <c r="W61" s="1">
        <v>340200</v>
      </c>
      <c r="X61" s="1">
        <v>340380</v>
      </c>
      <c r="Y61" s="1">
        <v>340580</v>
      </c>
      <c r="Z61" s="1">
        <v>340980</v>
      </c>
      <c r="AA61" s="5">
        <f>AVERAGE(B61:Y61)</f>
        <v>338334.58333333331</v>
      </c>
      <c r="AB61" s="5">
        <f>(AA62-AA60)/2</f>
        <v>4826.458333333343</v>
      </c>
      <c r="AC61" s="14">
        <f>AB61/(23+AB151)</f>
        <v>193.36093695326042</v>
      </c>
      <c r="AD61" s="5">
        <f>AA61-AA60</f>
        <v>4805.8333333333139</v>
      </c>
      <c r="AE61" s="1">
        <f>AD61-AD60</f>
        <v>-37.916666666686069</v>
      </c>
      <c r="AG61" s="5">
        <f>Z61-Y61</f>
        <v>400</v>
      </c>
      <c r="AI61" s="1">
        <f>C61-B61</f>
        <v>180</v>
      </c>
      <c r="AJ61" s="1">
        <f>D61-C61</f>
        <v>200</v>
      </c>
      <c r="AK61" s="1">
        <f>E61-D61</f>
        <v>190</v>
      </c>
      <c r="AL61" s="1">
        <f>F61-E61</f>
        <v>210</v>
      </c>
      <c r="AM61" s="1">
        <f>G61-F61</f>
        <v>210</v>
      </c>
      <c r="AN61" s="1">
        <f>H61-G61</f>
        <v>180</v>
      </c>
      <c r="AO61" s="1">
        <f>I61-H61</f>
        <v>200</v>
      </c>
      <c r="AP61" s="1">
        <f>J61-I61</f>
        <v>180</v>
      </c>
      <c r="AQ61" s="1">
        <f>K61-J61</f>
        <v>200</v>
      </c>
      <c r="AR61" s="1">
        <f>L61-K61</f>
        <v>180</v>
      </c>
      <c r="AS61" s="1">
        <f>M61-L61</f>
        <v>200</v>
      </c>
      <c r="AT61" s="1">
        <f>N61-M61</f>
        <v>200</v>
      </c>
      <c r="AU61" s="1">
        <f>O61-N61</f>
        <v>220</v>
      </c>
      <c r="AV61" s="1">
        <f>P61-O61</f>
        <v>190</v>
      </c>
      <c r="AW61" s="1">
        <f>Q61-P61</f>
        <v>170</v>
      </c>
      <c r="AX61" s="1">
        <f>R61-Q61</f>
        <v>170</v>
      </c>
      <c r="AY61" s="1">
        <f>S61-R61</f>
        <v>150</v>
      </c>
      <c r="AZ61" s="1">
        <f>T61-S61</f>
        <v>210</v>
      </c>
      <c r="BA61" s="1">
        <f>U61-T61</f>
        <v>210</v>
      </c>
      <c r="BB61" s="1">
        <f>V61-U61</f>
        <v>180</v>
      </c>
      <c r="BC61" s="1">
        <f>W61-V61</f>
        <v>260</v>
      </c>
      <c r="BD61" s="1">
        <f>X61-W61</f>
        <v>180</v>
      </c>
      <c r="BE61" s="1">
        <f>Y61-X61</f>
        <v>200</v>
      </c>
      <c r="BF61" s="1">
        <f>Z61-Y61</f>
        <v>400</v>
      </c>
    </row>
    <row r="62" spans="1:58">
      <c r="A62" s="1">
        <v>60</v>
      </c>
      <c r="B62" s="1">
        <v>340980</v>
      </c>
      <c r="C62" s="1">
        <v>341160</v>
      </c>
      <c r="D62" s="1">
        <v>341340</v>
      </c>
      <c r="E62" s="1">
        <v>341530</v>
      </c>
      <c r="F62" s="1">
        <v>341720</v>
      </c>
      <c r="G62" s="1">
        <v>341900</v>
      </c>
      <c r="H62" s="1">
        <v>342140</v>
      </c>
      <c r="I62" s="1">
        <v>342310</v>
      </c>
      <c r="J62" s="1">
        <v>342500</v>
      </c>
      <c r="K62" s="1">
        <v>342660</v>
      </c>
      <c r="L62" s="1">
        <v>342860</v>
      </c>
      <c r="M62" s="1">
        <v>343090</v>
      </c>
      <c r="N62" s="1">
        <v>343300</v>
      </c>
      <c r="O62" s="1">
        <v>343500</v>
      </c>
      <c r="P62" s="1">
        <v>343680</v>
      </c>
      <c r="Q62" s="1">
        <v>343880</v>
      </c>
      <c r="R62" s="1">
        <v>344070</v>
      </c>
      <c r="S62" s="1">
        <v>344260</v>
      </c>
      <c r="T62" s="1">
        <v>344410</v>
      </c>
      <c r="U62" s="1">
        <v>344630</v>
      </c>
      <c r="V62" s="1">
        <v>344820</v>
      </c>
      <c r="W62" s="1">
        <v>345020</v>
      </c>
      <c r="X62" s="1">
        <v>345200</v>
      </c>
      <c r="Y62" s="1">
        <v>345400</v>
      </c>
      <c r="Z62" s="1">
        <v>345780</v>
      </c>
      <c r="AA62" s="5">
        <f>AVERAGE(B62:Y62)</f>
        <v>343181.66666666669</v>
      </c>
      <c r="AB62" s="5">
        <f>(AA63-AA61)/2</f>
        <v>4842.2916666666861</v>
      </c>
      <c r="AC62" s="14">
        <f>AB62/(23+AB151)</f>
        <v>193.99526298634439</v>
      </c>
      <c r="AD62" s="5">
        <f>AA62-AA61</f>
        <v>4847.0833333333721</v>
      </c>
      <c r="AE62" s="1">
        <f>AD62-AD61</f>
        <v>41.250000000058208</v>
      </c>
      <c r="AG62" s="5">
        <f>Z62-Y62</f>
        <v>380</v>
      </c>
      <c r="AI62" s="1">
        <f>C62-B62</f>
        <v>180</v>
      </c>
      <c r="AJ62" s="1">
        <f>D62-C62</f>
        <v>180</v>
      </c>
      <c r="AK62" s="1">
        <f>E62-D62</f>
        <v>190</v>
      </c>
      <c r="AL62" s="1">
        <f>F62-E62</f>
        <v>190</v>
      </c>
      <c r="AM62" s="1">
        <f>G62-F62</f>
        <v>180</v>
      </c>
      <c r="AN62" s="1">
        <f>H62-G62</f>
        <v>240</v>
      </c>
      <c r="AO62" s="1">
        <f>I62-H62</f>
        <v>170</v>
      </c>
      <c r="AP62" s="1">
        <f>J62-I62</f>
        <v>190</v>
      </c>
      <c r="AQ62" s="1">
        <f>K62-J62</f>
        <v>160</v>
      </c>
      <c r="AR62" s="1">
        <f>L62-K62</f>
        <v>200</v>
      </c>
      <c r="AS62" s="1">
        <f>M62-L62</f>
        <v>230</v>
      </c>
      <c r="AT62" s="1">
        <f>N62-M62</f>
        <v>210</v>
      </c>
      <c r="AU62" s="1">
        <f>O62-N62</f>
        <v>200</v>
      </c>
      <c r="AV62" s="1">
        <f>P62-O62</f>
        <v>180</v>
      </c>
      <c r="AW62" s="1">
        <f>Q62-P62</f>
        <v>200</v>
      </c>
      <c r="AX62" s="1">
        <f>R62-Q62</f>
        <v>190</v>
      </c>
      <c r="AY62" s="1">
        <f>S62-R62</f>
        <v>190</v>
      </c>
      <c r="AZ62" s="1">
        <f>T62-S62</f>
        <v>150</v>
      </c>
      <c r="BA62" s="1">
        <f>U62-T62</f>
        <v>220</v>
      </c>
      <c r="BB62" s="1">
        <f>V62-U62</f>
        <v>190</v>
      </c>
      <c r="BC62" s="1">
        <f>W62-V62</f>
        <v>200</v>
      </c>
      <c r="BD62" s="1">
        <f>X62-W62</f>
        <v>180</v>
      </c>
      <c r="BE62" s="1">
        <f>Y62-X62</f>
        <v>200</v>
      </c>
      <c r="BF62" s="1">
        <f>Z62-Y62</f>
        <v>380</v>
      </c>
    </row>
    <row r="63" spans="1:58">
      <c r="A63" s="1">
        <v>61</v>
      </c>
      <c r="B63" s="1">
        <v>345780</v>
      </c>
      <c r="C63" s="1">
        <v>345990</v>
      </c>
      <c r="D63" s="1">
        <v>346200</v>
      </c>
      <c r="E63" s="1">
        <v>346390</v>
      </c>
      <c r="F63" s="1">
        <v>346590</v>
      </c>
      <c r="G63" s="1">
        <v>346800</v>
      </c>
      <c r="H63" s="1">
        <v>346980</v>
      </c>
      <c r="I63" s="1">
        <v>347130</v>
      </c>
      <c r="J63" s="1">
        <v>347310</v>
      </c>
      <c r="K63" s="1">
        <v>347500</v>
      </c>
      <c r="L63" s="1">
        <v>347700</v>
      </c>
      <c r="M63" s="1">
        <v>347920</v>
      </c>
      <c r="N63" s="1">
        <v>348090</v>
      </c>
      <c r="O63" s="1">
        <v>348290</v>
      </c>
      <c r="P63" s="1">
        <v>348510</v>
      </c>
      <c r="Q63" s="1">
        <v>348710</v>
      </c>
      <c r="R63" s="1">
        <v>348900</v>
      </c>
      <c r="S63" s="1">
        <v>349110</v>
      </c>
      <c r="T63" s="1">
        <v>349280</v>
      </c>
      <c r="U63" s="1">
        <v>349480</v>
      </c>
      <c r="V63" s="1">
        <v>349620</v>
      </c>
      <c r="W63" s="1">
        <v>349850</v>
      </c>
      <c r="X63" s="1">
        <v>350060</v>
      </c>
      <c r="Y63" s="1">
        <v>350270</v>
      </c>
      <c r="Z63" s="1">
        <v>350590</v>
      </c>
      <c r="AA63" s="5">
        <f>AVERAGE(B63:Y63)</f>
        <v>348019.16666666669</v>
      </c>
      <c r="AB63" s="5">
        <f>(AA64-AA62)/2</f>
        <v>4841.666666666657</v>
      </c>
      <c r="AC63" s="14">
        <f>AB63/(23+AB151)</f>
        <v>193.97022380082677</v>
      </c>
      <c r="AD63" s="5">
        <f>AA63-AA62</f>
        <v>4837.5</v>
      </c>
      <c r="AE63" s="1">
        <f>AD63-AD62</f>
        <v>-9.5833333333721384</v>
      </c>
      <c r="AG63" s="5">
        <f>Z63-Y63</f>
        <v>320</v>
      </c>
      <c r="AI63" s="1">
        <f>C63-B63</f>
        <v>210</v>
      </c>
      <c r="AJ63" s="1">
        <f>D63-C63</f>
        <v>210</v>
      </c>
      <c r="AK63" s="1">
        <f>E63-D63</f>
        <v>190</v>
      </c>
      <c r="AL63" s="1">
        <f>F63-E63</f>
        <v>200</v>
      </c>
      <c r="AM63" s="1">
        <f>G63-F63</f>
        <v>210</v>
      </c>
      <c r="AN63" s="1">
        <f>H63-G63</f>
        <v>180</v>
      </c>
      <c r="AO63" s="1">
        <f>I63-H63</f>
        <v>150</v>
      </c>
      <c r="AP63" s="1">
        <f>J63-I63</f>
        <v>180</v>
      </c>
      <c r="AQ63" s="1">
        <f>K63-J63</f>
        <v>190</v>
      </c>
      <c r="AR63" s="1">
        <f>L63-K63</f>
        <v>200</v>
      </c>
      <c r="AS63" s="1">
        <f>M63-L63</f>
        <v>220</v>
      </c>
      <c r="AT63" s="1">
        <f>N63-M63</f>
        <v>170</v>
      </c>
      <c r="AU63" s="1">
        <f>O63-N63</f>
        <v>200</v>
      </c>
      <c r="AV63" s="1">
        <f>P63-O63</f>
        <v>220</v>
      </c>
      <c r="AW63" s="1">
        <f>Q63-P63</f>
        <v>200</v>
      </c>
      <c r="AX63" s="1">
        <f>R63-Q63</f>
        <v>190</v>
      </c>
      <c r="AY63" s="1">
        <f>S63-R63</f>
        <v>210</v>
      </c>
      <c r="AZ63" s="1">
        <f>T63-S63</f>
        <v>170</v>
      </c>
      <c r="BA63" s="1">
        <f>U63-T63</f>
        <v>200</v>
      </c>
      <c r="BB63" s="1">
        <f>V63-U63</f>
        <v>140</v>
      </c>
      <c r="BC63" s="1">
        <f>W63-V63</f>
        <v>230</v>
      </c>
      <c r="BD63" s="1">
        <f>X63-W63</f>
        <v>210</v>
      </c>
      <c r="BE63" s="1">
        <f>Y63-X63</f>
        <v>210</v>
      </c>
      <c r="BF63" s="1">
        <f>Z63-Y63</f>
        <v>320</v>
      </c>
    </row>
    <row r="64" spans="1:58">
      <c r="A64" s="1">
        <v>62</v>
      </c>
      <c r="B64" s="1">
        <v>350590</v>
      </c>
      <c r="C64" s="1">
        <v>350800</v>
      </c>
      <c r="D64" s="1">
        <v>351020</v>
      </c>
      <c r="E64" s="1">
        <v>351220</v>
      </c>
      <c r="F64" s="1">
        <v>351440</v>
      </c>
      <c r="G64" s="1">
        <v>351660</v>
      </c>
      <c r="H64" s="1">
        <v>351800</v>
      </c>
      <c r="I64" s="1">
        <v>351970</v>
      </c>
      <c r="J64" s="1">
        <v>352190</v>
      </c>
      <c r="K64" s="1">
        <v>352400</v>
      </c>
      <c r="L64" s="1">
        <v>352580</v>
      </c>
      <c r="M64" s="1">
        <v>352740</v>
      </c>
      <c r="N64" s="1">
        <v>352930</v>
      </c>
      <c r="O64" s="1">
        <v>353170</v>
      </c>
      <c r="P64" s="1">
        <v>353350</v>
      </c>
      <c r="Q64" s="1">
        <v>353540</v>
      </c>
      <c r="R64" s="1">
        <v>353780</v>
      </c>
      <c r="S64" s="1">
        <v>353950</v>
      </c>
      <c r="T64" s="1">
        <v>354110</v>
      </c>
      <c r="U64" s="1">
        <v>354300</v>
      </c>
      <c r="V64" s="1">
        <v>354480</v>
      </c>
      <c r="W64" s="1">
        <v>354690</v>
      </c>
      <c r="X64" s="1">
        <v>354900</v>
      </c>
      <c r="Y64" s="1">
        <v>355150</v>
      </c>
      <c r="Z64" s="1">
        <v>355520</v>
      </c>
      <c r="AA64" s="5">
        <f>AVERAGE(B64:Y64)</f>
        <v>352865</v>
      </c>
      <c r="AB64" s="5">
        <f>(AA65-AA63)/2</f>
        <v>4856.4583333333139</v>
      </c>
      <c r="AC64" s="14">
        <f>AB64/(23+AB151)</f>
        <v>194.56281785804921</v>
      </c>
      <c r="AD64" s="5">
        <f>AA64-AA63</f>
        <v>4845.8333333333139</v>
      </c>
      <c r="AE64" s="1">
        <f>AD64-AD63</f>
        <v>8.3333333333139308</v>
      </c>
      <c r="AG64" s="5">
        <f>Z64-Y64</f>
        <v>370</v>
      </c>
      <c r="AI64" s="1">
        <f>C64-B64</f>
        <v>210</v>
      </c>
      <c r="AJ64" s="1">
        <f>D64-C64</f>
        <v>220</v>
      </c>
      <c r="AK64" s="1">
        <f>E64-D64</f>
        <v>200</v>
      </c>
      <c r="AL64" s="1">
        <f>F64-E64</f>
        <v>220</v>
      </c>
      <c r="AM64" s="1">
        <f>G64-F64</f>
        <v>220</v>
      </c>
      <c r="AN64" s="1">
        <f>H64-G64</f>
        <v>140</v>
      </c>
      <c r="AO64" s="1">
        <f>I64-H64</f>
        <v>170</v>
      </c>
      <c r="AP64" s="1">
        <f>J64-I64</f>
        <v>220</v>
      </c>
      <c r="AQ64" s="1">
        <f>K64-J64</f>
        <v>210</v>
      </c>
      <c r="AR64" s="1">
        <f>L64-K64</f>
        <v>180</v>
      </c>
      <c r="AS64" s="1">
        <f>M64-L64</f>
        <v>160</v>
      </c>
      <c r="AT64" s="1">
        <f>N64-M64</f>
        <v>190</v>
      </c>
      <c r="AU64" s="1">
        <f>O64-N64</f>
        <v>240</v>
      </c>
      <c r="AV64" s="1">
        <f>P64-O64</f>
        <v>180</v>
      </c>
      <c r="AW64" s="1">
        <f>Q64-P64</f>
        <v>190</v>
      </c>
      <c r="AX64" s="1">
        <f>R64-Q64</f>
        <v>240</v>
      </c>
      <c r="AY64" s="1">
        <f>S64-R64</f>
        <v>170</v>
      </c>
      <c r="AZ64" s="1">
        <f>T64-S64</f>
        <v>160</v>
      </c>
      <c r="BA64" s="1">
        <f>U64-T64</f>
        <v>190</v>
      </c>
      <c r="BB64" s="1">
        <f>V64-U64</f>
        <v>180</v>
      </c>
      <c r="BC64" s="1">
        <f>W64-V64</f>
        <v>210</v>
      </c>
      <c r="BD64" s="1">
        <f>X64-W64</f>
        <v>210</v>
      </c>
      <c r="BE64" s="1">
        <f>Y64-X64</f>
        <v>250</v>
      </c>
      <c r="BF64" s="1">
        <f>Z64-Y64</f>
        <v>370</v>
      </c>
    </row>
    <row r="65" spans="1:58">
      <c r="A65" s="1">
        <v>63</v>
      </c>
      <c r="B65" s="1">
        <v>355520</v>
      </c>
      <c r="C65" s="1">
        <v>355690</v>
      </c>
      <c r="D65" s="1">
        <v>355900</v>
      </c>
      <c r="E65" s="1">
        <v>356110</v>
      </c>
      <c r="F65" s="1">
        <v>356290</v>
      </c>
      <c r="G65" s="1">
        <v>356460</v>
      </c>
      <c r="H65" s="1">
        <v>356640</v>
      </c>
      <c r="I65" s="1">
        <v>356840</v>
      </c>
      <c r="J65" s="1">
        <v>357040</v>
      </c>
      <c r="K65" s="1">
        <v>357240</v>
      </c>
      <c r="L65" s="1">
        <v>357460</v>
      </c>
      <c r="M65" s="1">
        <v>357620</v>
      </c>
      <c r="N65" s="1">
        <v>357840</v>
      </c>
      <c r="O65" s="1">
        <v>358050</v>
      </c>
      <c r="P65" s="1">
        <v>358180</v>
      </c>
      <c r="Q65" s="1">
        <v>358390</v>
      </c>
      <c r="R65" s="1">
        <v>358590</v>
      </c>
      <c r="S65" s="1">
        <v>358810</v>
      </c>
      <c r="T65" s="1">
        <v>359000</v>
      </c>
      <c r="U65" s="1">
        <v>359210</v>
      </c>
      <c r="V65" s="1">
        <v>359360</v>
      </c>
      <c r="W65" s="1">
        <v>359590</v>
      </c>
      <c r="X65" s="1">
        <v>359790</v>
      </c>
      <c r="Y65" s="1">
        <v>359950</v>
      </c>
      <c r="Z65" s="1">
        <v>360390</v>
      </c>
      <c r="AA65" s="5">
        <f>AVERAGE(B65:Y65)</f>
        <v>357732.08333333331</v>
      </c>
      <c r="AB65" s="5">
        <f>(AA66-AA64)/2</f>
        <v>4868.333333333343</v>
      </c>
      <c r="AC65" s="14">
        <f>AB65/(23+AB151)</f>
        <v>195.03856238286309</v>
      </c>
      <c r="AD65" s="5">
        <f>AA65-AA64</f>
        <v>4867.0833333333139</v>
      </c>
      <c r="AE65" s="1">
        <f>AD65-AD64</f>
        <v>21.25</v>
      </c>
      <c r="AG65" s="5">
        <f>Z65-Y65</f>
        <v>440</v>
      </c>
      <c r="AI65" s="1">
        <f>C65-B65</f>
        <v>170</v>
      </c>
      <c r="AJ65" s="1">
        <f>D65-C65</f>
        <v>210</v>
      </c>
      <c r="AK65" s="1">
        <f>E65-D65</f>
        <v>210</v>
      </c>
      <c r="AL65" s="1">
        <f>F65-E65</f>
        <v>180</v>
      </c>
      <c r="AM65" s="1">
        <f>G65-F65</f>
        <v>170</v>
      </c>
      <c r="AN65" s="1">
        <f>H65-G65</f>
        <v>180</v>
      </c>
      <c r="AO65" s="1">
        <f>I65-H65</f>
        <v>200</v>
      </c>
      <c r="AP65" s="1">
        <f>J65-I65</f>
        <v>200</v>
      </c>
      <c r="AQ65" s="1">
        <f>K65-J65</f>
        <v>200</v>
      </c>
      <c r="AR65" s="1">
        <f>L65-K65</f>
        <v>220</v>
      </c>
      <c r="AS65" s="1">
        <f>M65-L65</f>
        <v>160</v>
      </c>
      <c r="AT65" s="1">
        <f>N65-M65</f>
        <v>220</v>
      </c>
      <c r="AU65" s="1">
        <f>O65-N65</f>
        <v>210</v>
      </c>
      <c r="AV65" s="1">
        <f>P65-O65</f>
        <v>130</v>
      </c>
      <c r="AW65" s="1">
        <f>Q65-P65</f>
        <v>210</v>
      </c>
      <c r="AX65" s="1">
        <f>R65-Q65</f>
        <v>200</v>
      </c>
      <c r="AY65" s="1">
        <f>S65-R65</f>
        <v>220</v>
      </c>
      <c r="AZ65" s="1">
        <f>T65-S65</f>
        <v>190</v>
      </c>
      <c r="BA65" s="1">
        <f>U65-T65</f>
        <v>210</v>
      </c>
      <c r="BB65" s="1">
        <f>V65-U65</f>
        <v>150</v>
      </c>
      <c r="BC65" s="1">
        <f>W65-V65</f>
        <v>230</v>
      </c>
      <c r="BD65" s="1">
        <f>X65-W65</f>
        <v>200</v>
      </c>
      <c r="BE65" s="1">
        <f>Y65-X65</f>
        <v>160</v>
      </c>
      <c r="BF65" s="1">
        <f>Z65-Y65</f>
        <v>440</v>
      </c>
    </row>
    <row r="66" spans="1:58">
      <c r="A66" s="1">
        <v>64</v>
      </c>
      <c r="B66" s="1">
        <v>360390</v>
      </c>
      <c r="C66" s="1">
        <v>360590</v>
      </c>
      <c r="D66" s="1">
        <v>360810</v>
      </c>
      <c r="E66" s="1">
        <v>361020</v>
      </c>
      <c r="F66" s="1">
        <v>361170</v>
      </c>
      <c r="G66" s="1">
        <v>361300</v>
      </c>
      <c r="H66" s="1">
        <v>361530</v>
      </c>
      <c r="I66" s="1">
        <v>361730</v>
      </c>
      <c r="J66" s="1">
        <v>361940</v>
      </c>
      <c r="K66" s="1">
        <v>362110</v>
      </c>
      <c r="L66" s="1">
        <v>362230</v>
      </c>
      <c r="M66" s="1">
        <v>362470</v>
      </c>
      <c r="N66" s="1">
        <v>362670</v>
      </c>
      <c r="O66" s="1">
        <v>362900</v>
      </c>
      <c r="P66" s="1">
        <v>363120</v>
      </c>
      <c r="Q66" s="1">
        <v>363280</v>
      </c>
      <c r="R66" s="1">
        <v>363470</v>
      </c>
      <c r="S66" s="1">
        <v>363670</v>
      </c>
      <c r="T66" s="1">
        <v>363840</v>
      </c>
      <c r="U66" s="1">
        <v>364060</v>
      </c>
      <c r="V66" s="1">
        <v>364250</v>
      </c>
      <c r="W66" s="1">
        <v>364460</v>
      </c>
      <c r="X66" s="1">
        <v>364610</v>
      </c>
      <c r="Y66" s="1">
        <v>364820</v>
      </c>
      <c r="Z66" s="1">
        <v>365200</v>
      </c>
      <c r="AA66" s="5">
        <f>AVERAGE(B66:Y66)</f>
        <v>362601.66666666669</v>
      </c>
      <c r="AB66" s="5">
        <f>(AA67-AA65)/2</f>
        <v>4869.1666666666861</v>
      </c>
      <c r="AC66" s="14">
        <f>AB66/(23+AB151)</f>
        <v>195.07194796355208</v>
      </c>
      <c r="AD66" s="5">
        <f>AA66-AA65</f>
        <v>4869.5833333333721</v>
      </c>
      <c r="AE66" s="1">
        <f>AD66-AD65</f>
        <v>2.5000000000582077</v>
      </c>
      <c r="AG66" s="5">
        <f>Z66-Y66</f>
        <v>380</v>
      </c>
      <c r="AI66" s="1">
        <f>C66-B66</f>
        <v>200</v>
      </c>
      <c r="AJ66" s="1">
        <f>D66-C66</f>
        <v>220</v>
      </c>
      <c r="AK66" s="1">
        <f>E66-D66</f>
        <v>210</v>
      </c>
      <c r="AL66" s="1">
        <f>F66-E66</f>
        <v>150</v>
      </c>
      <c r="AM66" s="1">
        <f>G66-F66</f>
        <v>130</v>
      </c>
      <c r="AN66" s="1">
        <f>H66-G66</f>
        <v>230</v>
      </c>
      <c r="AO66" s="1">
        <f>I66-H66</f>
        <v>200</v>
      </c>
      <c r="AP66" s="1">
        <f>J66-I66</f>
        <v>210</v>
      </c>
      <c r="AQ66" s="1">
        <f>K66-J66</f>
        <v>170</v>
      </c>
      <c r="AR66" s="1">
        <f>L66-K66</f>
        <v>120</v>
      </c>
      <c r="AS66" s="1">
        <f>M66-L66</f>
        <v>240</v>
      </c>
      <c r="AT66" s="1">
        <f>N66-M66</f>
        <v>200</v>
      </c>
      <c r="AU66" s="1">
        <f>O66-N66</f>
        <v>230</v>
      </c>
      <c r="AV66" s="1">
        <f>P66-O66</f>
        <v>220</v>
      </c>
      <c r="AW66" s="1">
        <f>Q66-P66</f>
        <v>160</v>
      </c>
      <c r="AX66" s="1">
        <f>R66-Q66</f>
        <v>190</v>
      </c>
      <c r="AY66" s="1">
        <f>S66-R66</f>
        <v>200</v>
      </c>
      <c r="AZ66" s="1">
        <f>T66-S66</f>
        <v>170</v>
      </c>
      <c r="BA66" s="1">
        <f>U66-T66</f>
        <v>220</v>
      </c>
      <c r="BB66" s="1">
        <f>V66-U66</f>
        <v>190</v>
      </c>
      <c r="BC66" s="1">
        <f>W66-V66</f>
        <v>210</v>
      </c>
      <c r="BD66" s="1">
        <f>X66-W66</f>
        <v>150</v>
      </c>
      <c r="BE66" s="1">
        <f>Y66-X66</f>
        <v>210</v>
      </c>
      <c r="BF66" s="1">
        <f>Z66-Y66</f>
        <v>380</v>
      </c>
    </row>
    <row r="67" spans="1:58">
      <c r="A67" s="1">
        <v>65</v>
      </c>
      <c r="B67" s="1">
        <v>365200</v>
      </c>
      <c r="C67" s="1">
        <v>365410</v>
      </c>
      <c r="D67" s="1">
        <v>365640</v>
      </c>
      <c r="E67" s="1">
        <v>365860</v>
      </c>
      <c r="F67" s="1">
        <v>365990</v>
      </c>
      <c r="G67" s="1">
        <v>366240</v>
      </c>
      <c r="H67" s="1">
        <v>366410</v>
      </c>
      <c r="I67" s="1">
        <v>366600</v>
      </c>
      <c r="J67" s="1">
        <v>366790</v>
      </c>
      <c r="K67" s="1">
        <v>366970</v>
      </c>
      <c r="L67" s="1">
        <v>367130</v>
      </c>
      <c r="M67" s="1">
        <v>367330</v>
      </c>
      <c r="N67" s="1">
        <v>367570</v>
      </c>
      <c r="O67" s="1">
        <v>367780</v>
      </c>
      <c r="P67" s="1">
        <v>367960</v>
      </c>
      <c r="Q67" s="1">
        <v>368150</v>
      </c>
      <c r="R67" s="1">
        <v>368340</v>
      </c>
      <c r="S67" s="1">
        <v>368550</v>
      </c>
      <c r="T67" s="1">
        <v>368740</v>
      </c>
      <c r="U67" s="1">
        <v>368970</v>
      </c>
      <c r="V67" s="1">
        <v>369170</v>
      </c>
      <c r="W67" s="1">
        <v>369310</v>
      </c>
      <c r="X67" s="1">
        <v>369470</v>
      </c>
      <c r="Y67" s="1">
        <v>369710</v>
      </c>
      <c r="Z67" s="1">
        <v>370050</v>
      </c>
      <c r="AA67" s="5">
        <f>AVERAGE(B67:Y67)</f>
        <v>367470.41666666669</v>
      </c>
      <c r="AB67" s="5">
        <f>(AA68-AA66)/2</f>
        <v>4873.3333333333139</v>
      </c>
      <c r="AC67" s="14">
        <f>AB67/(23+AB151)</f>
        <v>195.2388758669936</v>
      </c>
      <c r="AD67" s="5">
        <f>AA67-AA66</f>
        <v>4868.75</v>
      </c>
      <c r="AE67" s="1">
        <f>AD67-AD66</f>
        <v>-0.83333333337213844</v>
      </c>
      <c r="AG67" s="5">
        <f>Z67-Y67</f>
        <v>340</v>
      </c>
      <c r="AI67" s="1">
        <f>C67-B67</f>
        <v>210</v>
      </c>
      <c r="AJ67" s="1">
        <f>D67-C67</f>
        <v>230</v>
      </c>
      <c r="AK67" s="1">
        <f>E67-D67</f>
        <v>220</v>
      </c>
      <c r="AL67" s="1">
        <f>F67-E67</f>
        <v>130</v>
      </c>
      <c r="AM67" s="1">
        <f>G67-F67</f>
        <v>250</v>
      </c>
      <c r="AN67" s="1">
        <f>H67-G67</f>
        <v>170</v>
      </c>
      <c r="AO67" s="1">
        <f>I67-H67</f>
        <v>190</v>
      </c>
      <c r="AP67" s="1">
        <f>J67-I67</f>
        <v>190</v>
      </c>
      <c r="AQ67" s="1">
        <f>K67-J67</f>
        <v>180</v>
      </c>
      <c r="AR67" s="1">
        <f>L67-K67</f>
        <v>160</v>
      </c>
      <c r="AS67" s="1">
        <f>M67-L67</f>
        <v>200</v>
      </c>
      <c r="AT67" s="1">
        <f>N67-M67</f>
        <v>240</v>
      </c>
      <c r="AU67" s="1">
        <f>O67-N67</f>
        <v>210</v>
      </c>
      <c r="AV67" s="1">
        <f>P67-O67</f>
        <v>180</v>
      </c>
      <c r="AW67" s="1">
        <f>Q67-P67</f>
        <v>190</v>
      </c>
      <c r="AX67" s="1">
        <f>R67-Q67</f>
        <v>190</v>
      </c>
      <c r="AY67" s="1">
        <f>S67-R67</f>
        <v>210</v>
      </c>
      <c r="AZ67" s="1">
        <f>T67-S67</f>
        <v>190</v>
      </c>
      <c r="BA67" s="1">
        <f>U67-T67</f>
        <v>230</v>
      </c>
      <c r="BB67" s="1">
        <f>V67-U67</f>
        <v>200</v>
      </c>
      <c r="BC67" s="1">
        <f>W67-V67</f>
        <v>140</v>
      </c>
      <c r="BD67" s="1">
        <f>X67-W67</f>
        <v>160</v>
      </c>
      <c r="BE67" s="1">
        <f>Y67-X67</f>
        <v>240</v>
      </c>
      <c r="BF67" s="1">
        <f>Z67-Y67</f>
        <v>340</v>
      </c>
    </row>
    <row r="68" spans="1:58">
      <c r="A68" s="1">
        <v>66</v>
      </c>
      <c r="B68" s="1">
        <v>370050</v>
      </c>
      <c r="C68" s="1">
        <v>370300</v>
      </c>
      <c r="D68" s="1">
        <v>370510</v>
      </c>
      <c r="E68" s="1">
        <v>370700</v>
      </c>
      <c r="F68" s="1">
        <v>370880</v>
      </c>
      <c r="G68" s="1">
        <v>371110</v>
      </c>
      <c r="H68" s="1">
        <v>371280</v>
      </c>
      <c r="I68" s="1">
        <v>371460</v>
      </c>
      <c r="J68" s="1">
        <v>371650</v>
      </c>
      <c r="K68" s="1">
        <v>371880</v>
      </c>
      <c r="L68" s="1">
        <v>372020</v>
      </c>
      <c r="M68" s="1">
        <v>372260</v>
      </c>
      <c r="N68" s="1">
        <v>372440</v>
      </c>
      <c r="O68" s="1">
        <v>372610</v>
      </c>
      <c r="P68" s="1">
        <v>372840</v>
      </c>
      <c r="Q68" s="1">
        <v>373040</v>
      </c>
      <c r="R68" s="1">
        <v>373210</v>
      </c>
      <c r="S68" s="1">
        <v>373490</v>
      </c>
      <c r="T68" s="1">
        <v>373640</v>
      </c>
      <c r="U68" s="1">
        <v>373850</v>
      </c>
      <c r="V68" s="1">
        <v>374000</v>
      </c>
      <c r="W68" s="1">
        <v>374210</v>
      </c>
      <c r="X68" s="1">
        <v>374360</v>
      </c>
      <c r="Y68" s="1">
        <v>374570</v>
      </c>
      <c r="Z68" s="1">
        <v>375030</v>
      </c>
      <c r="AA68" s="5">
        <f>AVERAGE(B68:Y68)</f>
        <v>372348.33333333331</v>
      </c>
      <c r="AB68" s="5">
        <f>(AA69-AA67)/2</f>
        <v>4885.416666666657</v>
      </c>
      <c r="AC68" s="14">
        <f>AB68/(23+AB151)</f>
        <v>195.72296678697882</v>
      </c>
      <c r="AD68" s="5">
        <f>AA68-AA67</f>
        <v>4877.9166666666279</v>
      </c>
      <c r="AE68" s="1">
        <f>AD68-AD67</f>
        <v>9.1666666666278616</v>
      </c>
      <c r="AG68" s="5">
        <f>Z68-Y68</f>
        <v>460</v>
      </c>
      <c r="AI68" s="1">
        <f>C68-B68</f>
        <v>250</v>
      </c>
      <c r="AJ68" s="1">
        <f>D68-C68</f>
        <v>210</v>
      </c>
      <c r="AK68" s="1">
        <f>E68-D68</f>
        <v>190</v>
      </c>
      <c r="AL68" s="1">
        <f>F68-E68</f>
        <v>180</v>
      </c>
      <c r="AM68" s="1">
        <f>G68-F68</f>
        <v>230</v>
      </c>
      <c r="AN68" s="1">
        <f>H68-G68</f>
        <v>170</v>
      </c>
      <c r="AO68" s="1">
        <f>I68-H68</f>
        <v>180</v>
      </c>
      <c r="AP68" s="1">
        <f>J68-I68</f>
        <v>190</v>
      </c>
      <c r="AQ68" s="1">
        <f>K68-J68</f>
        <v>230</v>
      </c>
      <c r="AR68" s="1">
        <f>L68-K68</f>
        <v>140</v>
      </c>
      <c r="AS68" s="1">
        <f>M68-L68</f>
        <v>240</v>
      </c>
      <c r="AT68" s="1">
        <f>N68-M68</f>
        <v>180</v>
      </c>
      <c r="AU68" s="1">
        <f>O68-N68</f>
        <v>170</v>
      </c>
      <c r="AV68" s="1">
        <f>P68-O68</f>
        <v>230</v>
      </c>
      <c r="AW68" s="1">
        <f>Q68-P68</f>
        <v>200</v>
      </c>
      <c r="AX68" s="1">
        <f>R68-Q68</f>
        <v>170</v>
      </c>
      <c r="AY68" s="1">
        <f>S68-R68</f>
        <v>280</v>
      </c>
      <c r="AZ68" s="1">
        <f>T68-S68</f>
        <v>150</v>
      </c>
      <c r="BA68" s="1">
        <f>U68-T68</f>
        <v>210</v>
      </c>
      <c r="BB68" s="1">
        <f>V68-U68</f>
        <v>150</v>
      </c>
      <c r="BC68" s="1">
        <f>W68-V68</f>
        <v>210</v>
      </c>
      <c r="BD68" s="1">
        <f>X68-W68</f>
        <v>150</v>
      </c>
      <c r="BE68" s="1">
        <f>Y68-X68</f>
        <v>210</v>
      </c>
      <c r="BF68" s="1">
        <f>Z68-Y68</f>
        <v>460</v>
      </c>
    </row>
    <row r="69" spans="1:58">
      <c r="A69" s="1">
        <v>67</v>
      </c>
      <c r="B69" s="1">
        <v>375030</v>
      </c>
      <c r="C69" s="1">
        <v>375200</v>
      </c>
      <c r="D69" s="1">
        <v>375360</v>
      </c>
      <c r="E69" s="1">
        <v>375610</v>
      </c>
      <c r="F69" s="1">
        <v>375810</v>
      </c>
      <c r="G69" s="1">
        <v>376000</v>
      </c>
      <c r="H69" s="1">
        <v>376190</v>
      </c>
      <c r="I69" s="1">
        <v>376390</v>
      </c>
      <c r="J69" s="1">
        <v>376540</v>
      </c>
      <c r="K69" s="1">
        <v>376740</v>
      </c>
      <c r="L69" s="1">
        <v>376920</v>
      </c>
      <c r="M69" s="1">
        <v>377080</v>
      </c>
      <c r="N69" s="1">
        <v>377310</v>
      </c>
      <c r="O69" s="1">
        <v>377530</v>
      </c>
      <c r="P69" s="1">
        <v>377740</v>
      </c>
      <c r="Q69" s="1">
        <v>377930</v>
      </c>
      <c r="R69" s="1">
        <v>378130</v>
      </c>
      <c r="S69" s="1">
        <v>378330</v>
      </c>
      <c r="T69" s="1">
        <v>378510</v>
      </c>
      <c r="U69" s="1">
        <v>378710</v>
      </c>
      <c r="V69" s="1">
        <v>378900</v>
      </c>
      <c r="W69" s="1">
        <v>379110</v>
      </c>
      <c r="X69" s="1">
        <v>379250</v>
      </c>
      <c r="Y69" s="1">
        <v>379470</v>
      </c>
      <c r="Z69" s="1">
        <v>379880</v>
      </c>
      <c r="AA69" s="5">
        <f>AVERAGE(B69:Y69)</f>
        <v>377241.25</v>
      </c>
      <c r="AB69" s="5">
        <f>(AA70-AA68)/2</f>
        <v>4876.6666666666861</v>
      </c>
      <c r="AC69" s="14">
        <f>AB69/(23+AB151)</f>
        <v>195.3724181897496</v>
      </c>
      <c r="AD69" s="5">
        <f>AA69-AA68</f>
        <v>4892.9166666666861</v>
      </c>
      <c r="AE69" s="1">
        <f>AD69-AD68</f>
        <v>15.000000000058208</v>
      </c>
      <c r="AG69" s="5">
        <f>Z69-Y69</f>
        <v>410</v>
      </c>
      <c r="AI69" s="1">
        <f>C69-B69</f>
        <v>170</v>
      </c>
      <c r="AJ69" s="1">
        <f>D69-C69</f>
        <v>160</v>
      </c>
      <c r="AK69" s="1">
        <f>E69-D69</f>
        <v>250</v>
      </c>
      <c r="AL69" s="1">
        <f>F69-E69</f>
        <v>200</v>
      </c>
      <c r="AM69" s="1">
        <f>G69-F69</f>
        <v>190</v>
      </c>
      <c r="AN69" s="1">
        <f>H69-G69</f>
        <v>190</v>
      </c>
      <c r="AO69" s="1">
        <f>I69-H69</f>
        <v>200</v>
      </c>
      <c r="AP69" s="1">
        <f>J69-I69</f>
        <v>150</v>
      </c>
      <c r="AQ69" s="1">
        <f>K69-J69</f>
        <v>200</v>
      </c>
      <c r="AR69" s="1">
        <f>L69-K69</f>
        <v>180</v>
      </c>
      <c r="AS69" s="1">
        <f>M69-L69</f>
        <v>160</v>
      </c>
      <c r="AT69" s="1">
        <f>N69-M69</f>
        <v>230</v>
      </c>
      <c r="AU69" s="1">
        <f>O69-N69</f>
        <v>220</v>
      </c>
      <c r="AV69" s="1">
        <f>P69-O69</f>
        <v>210</v>
      </c>
      <c r="AW69" s="1">
        <f>Q69-P69</f>
        <v>190</v>
      </c>
      <c r="AX69" s="1">
        <f>R69-Q69</f>
        <v>200</v>
      </c>
      <c r="AY69" s="1">
        <f>S69-R69</f>
        <v>200</v>
      </c>
      <c r="AZ69" s="1">
        <f>T69-S69</f>
        <v>180</v>
      </c>
      <c r="BA69" s="1">
        <f>U69-T69</f>
        <v>200</v>
      </c>
      <c r="BB69" s="1">
        <f>V69-U69</f>
        <v>190</v>
      </c>
      <c r="BC69" s="1">
        <f>W69-V69</f>
        <v>210</v>
      </c>
      <c r="BD69" s="1">
        <f>X69-W69</f>
        <v>140</v>
      </c>
      <c r="BE69" s="1">
        <f>Y69-X69</f>
        <v>220</v>
      </c>
      <c r="BF69" s="1">
        <f>Z69-Y69</f>
        <v>410</v>
      </c>
    </row>
    <row r="70" spans="1:58">
      <c r="A70" s="1">
        <v>68</v>
      </c>
      <c r="B70" s="1">
        <v>379880</v>
      </c>
      <c r="C70" s="1">
        <v>380030</v>
      </c>
      <c r="D70" s="1">
        <v>380210</v>
      </c>
      <c r="E70" s="1">
        <v>380470</v>
      </c>
      <c r="F70" s="1">
        <v>380660</v>
      </c>
      <c r="G70" s="1">
        <v>380880</v>
      </c>
      <c r="H70" s="1">
        <v>381060</v>
      </c>
      <c r="I70" s="1">
        <v>381230</v>
      </c>
      <c r="J70" s="1">
        <v>381440</v>
      </c>
      <c r="K70" s="1">
        <v>381590</v>
      </c>
      <c r="L70" s="1">
        <v>381800</v>
      </c>
      <c r="M70" s="1">
        <v>381990</v>
      </c>
      <c r="N70" s="1">
        <v>382200</v>
      </c>
      <c r="O70" s="1">
        <v>382380</v>
      </c>
      <c r="P70" s="1">
        <v>382560</v>
      </c>
      <c r="Q70" s="1">
        <v>382780</v>
      </c>
      <c r="R70" s="1">
        <v>382990</v>
      </c>
      <c r="S70" s="1">
        <v>383170</v>
      </c>
      <c r="T70" s="1">
        <v>383340</v>
      </c>
      <c r="U70" s="1">
        <v>383570</v>
      </c>
      <c r="V70" s="1">
        <v>383750</v>
      </c>
      <c r="W70" s="1">
        <v>383940</v>
      </c>
      <c r="X70" s="1">
        <v>384130</v>
      </c>
      <c r="Y70" s="1">
        <v>384390</v>
      </c>
      <c r="Z70" s="1">
        <v>384700</v>
      </c>
      <c r="AA70" s="5">
        <f>AVERAGE(B70:Y70)</f>
        <v>382101.66666666669</v>
      </c>
      <c r="AB70" s="5">
        <f>(AA71-AA69)/2</f>
        <v>4869.791666666657</v>
      </c>
      <c r="AC70" s="14">
        <f>AB70/(23+AB151)</f>
        <v>195.09698714906739</v>
      </c>
      <c r="AD70" s="5">
        <f>AA70-AA69</f>
        <v>4860.4166666666861</v>
      </c>
      <c r="AE70" s="1">
        <f>AD70-AD69</f>
        <v>-32.5</v>
      </c>
      <c r="AG70" s="5">
        <f>Z70-Y70</f>
        <v>310</v>
      </c>
      <c r="AI70" s="1">
        <f>C70-B70</f>
        <v>150</v>
      </c>
      <c r="AJ70" s="1">
        <f>D70-C70</f>
        <v>180</v>
      </c>
      <c r="AK70" s="1">
        <f>E70-D70</f>
        <v>260</v>
      </c>
      <c r="AL70" s="1">
        <f>F70-E70</f>
        <v>190</v>
      </c>
      <c r="AM70" s="1">
        <f>G70-F70</f>
        <v>220</v>
      </c>
      <c r="AN70" s="1">
        <f>H70-G70</f>
        <v>180</v>
      </c>
      <c r="AO70" s="1">
        <f>I70-H70</f>
        <v>170</v>
      </c>
      <c r="AP70" s="1">
        <f>J70-I70</f>
        <v>210</v>
      </c>
      <c r="AQ70" s="1">
        <f>K70-J70</f>
        <v>150</v>
      </c>
      <c r="AR70" s="1">
        <f>L70-K70</f>
        <v>210</v>
      </c>
      <c r="AS70" s="1">
        <f>M70-L70</f>
        <v>190</v>
      </c>
      <c r="AT70" s="1">
        <f>N70-M70</f>
        <v>210</v>
      </c>
      <c r="AU70" s="1">
        <f>O70-N70</f>
        <v>180</v>
      </c>
      <c r="AV70" s="1">
        <f>P70-O70</f>
        <v>180</v>
      </c>
      <c r="AW70" s="1">
        <f>Q70-P70</f>
        <v>220</v>
      </c>
      <c r="AX70" s="1">
        <f>R70-Q70</f>
        <v>210</v>
      </c>
      <c r="AY70" s="1">
        <f>S70-R70</f>
        <v>180</v>
      </c>
      <c r="AZ70" s="1">
        <f>T70-S70</f>
        <v>170</v>
      </c>
      <c r="BA70" s="1">
        <f>U70-T70</f>
        <v>230</v>
      </c>
      <c r="BB70" s="1">
        <f>V70-U70</f>
        <v>180</v>
      </c>
      <c r="BC70" s="1">
        <f>W70-V70</f>
        <v>190</v>
      </c>
      <c r="BD70" s="1">
        <f>X70-W70</f>
        <v>190</v>
      </c>
      <c r="BE70" s="1">
        <f>Y70-X70</f>
        <v>260</v>
      </c>
      <c r="BF70" s="1">
        <f>Z70-Y70</f>
        <v>310</v>
      </c>
    </row>
    <row r="71" spans="1:58">
      <c r="A71" s="1">
        <v>69</v>
      </c>
      <c r="B71" s="1">
        <v>384700</v>
      </c>
      <c r="C71" s="1">
        <v>384910</v>
      </c>
      <c r="D71" s="1">
        <v>385130</v>
      </c>
      <c r="E71" s="1">
        <v>385300</v>
      </c>
      <c r="F71" s="1">
        <v>385550</v>
      </c>
      <c r="G71" s="1">
        <v>385720</v>
      </c>
      <c r="H71" s="1">
        <v>385880</v>
      </c>
      <c r="I71" s="1">
        <v>386080</v>
      </c>
      <c r="J71" s="1">
        <v>386270</v>
      </c>
      <c r="K71" s="1">
        <v>386490</v>
      </c>
      <c r="L71" s="1">
        <v>386760</v>
      </c>
      <c r="M71" s="1">
        <v>386900</v>
      </c>
      <c r="N71" s="1">
        <v>387070</v>
      </c>
      <c r="O71" s="1">
        <v>387310</v>
      </c>
      <c r="P71" s="1">
        <v>387450</v>
      </c>
      <c r="Q71" s="1">
        <v>387690</v>
      </c>
      <c r="R71" s="1">
        <v>387900</v>
      </c>
      <c r="S71" s="1">
        <v>388110</v>
      </c>
      <c r="T71" s="1">
        <v>388260</v>
      </c>
      <c r="U71" s="1">
        <v>388440</v>
      </c>
      <c r="V71" s="1">
        <v>388590</v>
      </c>
      <c r="W71" s="1">
        <v>388800</v>
      </c>
      <c r="X71" s="1">
        <v>388980</v>
      </c>
      <c r="Y71" s="1">
        <v>389250</v>
      </c>
      <c r="Z71" s="1">
        <v>389610</v>
      </c>
      <c r="AA71" s="5">
        <f>AVERAGE(B71:Y71)</f>
        <v>386980.83333333331</v>
      </c>
      <c r="AB71" s="5">
        <f>(AA72-AA70)/2</f>
        <v>4878.9583333333139</v>
      </c>
      <c r="AC71" s="14">
        <f>AB71/(23+AB151)</f>
        <v>195.46422853664171</v>
      </c>
      <c r="AD71" s="5">
        <f>AA71-AA70</f>
        <v>4879.1666666666279</v>
      </c>
      <c r="AE71" s="1">
        <f>AD71-AD70</f>
        <v>18.749999999941792</v>
      </c>
      <c r="AG71" s="5">
        <f>Z71-Y71</f>
        <v>360</v>
      </c>
      <c r="AI71" s="1">
        <f>C71-B71</f>
        <v>210</v>
      </c>
      <c r="AJ71" s="1">
        <f>D71-C71</f>
        <v>220</v>
      </c>
      <c r="AK71" s="1">
        <f>E71-D71</f>
        <v>170</v>
      </c>
      <c r="AL71" s="1">
        <f>F71-E71</f>
        <v>250</v>
      </c>
      <c r="AM71" s="1">
        <f>G71-F71</f>
        <v>170</v>
      </c>
      <c r="AN71" s="1">
        <f>H71-G71</f>
        <v>160</v>
      </c>
      <c r="AO71" s="1">
        <f>I71-H71</f>
        <v>200</v>
      </c>
      <c r="AP71" s="1">
        <f>J71-I71</f>
        <v>190</v>
      </c>
      <c r="AQ71" s="1">
        <f>K71-J71</f>
        <v>220</v>
      </c>
      <c r="AR71" s="1">
        <f>L71-K71</f>
        <v>270</v>
      </c>
      <c r="AS71" s="1">
        <f>M71-L71</f>
        <v>140</v>
      </c>
      <c r="AT71" s="1">
        <f>N71-M71</f>
        <v>170</v>
      </c>
      <c r="AU71" s="1">
        <f>O71-N71</f>
        <v>240</v>
      </c>
      <c r="AV71" s="1">
        <f>P71-O71</f>
        <v>140</v>
      </c>
      <c r="AW71" s="1">
        <f>Q71-P71</f>
        <v>240</v>
      </c>
      <c r="AX71" s="1">
        <f>R71-Q71</f>
        <v>210</v>
      </c>
      <c r="AY71" s="1">
        <f>S71-R71</f>
        <v>210</v>
      </c>
      <c r="AZ71" s="1">
        <f>T71-S71</f>
        <v>150</v>
      </c>
      <c r="BA71" s="1">
        <f>U71-T71</f>
        <v>180</v>
      </c>
      <c r="BB71" s="1">
        <f>V71-U71</f>
        <v>150</v>
      </c>
      <c r="BC71" s="1">
        <f>W71-V71</f>
        <v>210</v>
      </c>
      <c r="BD71" s="1">
        <f>X71-W71</f>
        <v>180</v>
      </c>
      <c r="BE71" s="1">
        <f>Y71-X71</f>
        <v>270</v>
      </c>
      <c r="BF71" s="1">
        <f>Z71-Y71</f>
        <v>360</v>
      </c>
    </row>
    <row r="72" spans="1:58">
      <c r="A72" s="1">
        <v>70</v>
      </c>
      <c r="B72" s="1">
        <v>389610</v>
      </c>
      <c r="C72" s="1">
        <v>389810</v>
      </c>
      <c r="D72" s="1">
        <v>390010</v>
      </c>
      <c r="E72" s="1">
        <v>390210</v>
      </c>
      <c r="F72" s="1">
        <v>390390</v>
      </c>
      <c r="G72" s="1">
        <v>390660</v>
      </c>
      <c r="H72" s="1">
        <v>390780</v>
      </c>
      <c r="I72" s="1">
        <v>390980</v>
      </c>
      <c r="J72" s="1">
        <v>391180</v>
      </c>
      <c r="K72" s="1">
        <v>391360</v>
      </c>
      <c r="L72" s="1">
        <v>391570</v>
      </c>
      <c r="M72" s="1">
        <v>391790</v>
      </c>
      <c r="N72" s="1">
        <v>391940</v>
      </c>
      <c r="O72" s="1">
        <v>392160</v>
      </c>
      <c r="P72" s="1">
        <v>392330</v>
      </c>
      <c r="Q72" s="1">
        <v>392580</v>
      </c>
      <c r="R72" s="1">
        <v>392720</v>
      </c>
      <c r="S72" s="1">
        <v>392950</v>
      </c>
      <c r="T72" s="1">
        <v>393090</v>
      </c>
      <c r="U72" s="1">
        <v>393300</v>
      </c>
      <c r="V72" s="1">
        <v>393520</v>
      </c>
      <c r="W72" s="1">
        <v>393720</v>
      </c>
      <c r="X72" s="1">
        <v>393880</v>
      </c>
      <c r="Y72" s="1">
        <v>394090</v>
      </c>
      <c r="Z72" s="1">
        <v>394520</v>
      </c>
      <c r="AA72" s="5">
        <f>AVERAGE(B72:Y72)</f>
        <v>391859.58333333331</v>
      </c>
      <c r="AB72" s="5">
        <f>(AA73-AA71)/2</f>
        <v>4869.7916666666861</v>
      </c>
      <c r="AC72" s="14">
        <f>AB72/(23+AB151)</f>
        <v>195.09698714906855</v>
      </c>
      <c r="AD72" s="5">
        <f>AA72-AA71</f>
        <v>4878.75</v>
      </c>
      <c r="AE72" s="1">
        <f>AD72-AD71</f>
        <v>-0.41666666662786156</v>
      </c>
      <c r="AG72" s="5">
        <f>Z72-Y72</f>
        <v>430</v>
      </c>
      <c r="AI72" s="1">
        <f>C72-B72</f>
        <v>200</v>
      </c>
      <c r="AJ72" s="1">
        <f>D72-C72</f>
        <v>200</v>
      </c>
      <c r="AK72" s="1">
        <f>E72-D72</f>
        <v>200</v>
      </c>
      <c r="AL72" s="1">
        <f>F72-E72</f>
        <v>180</v>
      </c>
      <c r="AM72" s="1">
        <f>G72-F72</f>
        <v>270</v>
      </c>
      <c r="AN72" s="1">
        <f>H72-G72</f>
        <v>120</v>
      </c>
      <c r="AO72" s="1">
        <f>I72-H72</f>
        <v>200</v>
      </c>
      <c r="AP72" s="1">
        <f>J72-I72</f>
        <v>200</v>
      </c>
      <c r="AQ72" s="1">
        <f>K72-J72</f>
        <v>180</v>
      </c>
      <c r="AR72" s="1">
        <f>L72-K72</f>
        <v>210</v>
      </c>
      <c r="AS72" s="1">
        <f>M72-L72</f>
        <v>220</v>
      </c>
      <c r="AT72" s="1">
        <f>N72-M72</f>
        <v>150</v>
      </c>
      <c r="AU72" s="1">
        <f>O72-N72</f>
        <v>220</v>
      </c>
      <c r="AV72" s="1">
        <f>P72-O72</f>
        <v>170</v>
      </c>
      <c r="AW72" s="1">
        <f>Q72-P72</f>
        <v>250</v>
      </c>
      <c r="AX72" s="1">
        <f>R72-Q72</f>
        <v>140</v>
      </c>
      <c r="AY72" s="1">
        <f>S72-R72</f>
        <v>230</v>
      </c>
      <c r="AZ72" s="1">
        <f>T72-S72</f>
        <v>140</v>
      </c>
      <c r="BA72" s="1">
        <f>U72-T72</f>
        <v>210</v>
      </c>
      <c r="BB72" s="1">
        <f>V72-U72</f>
        <v>220</v>
      </c>
      <c r="BC72" s="1">
        <f>W72-V72</f>
        <v>200</v>
      </c>
      <c r="BD72" s="1">
        <f>X72-W72</f>
        <v>160</v>
      </c>
      <c r="BE72" s="1">
        <f>Y72-X72</f>
        <v>210</v>
      </c>
      <c r="BF72" s="1">
        <f>Z72-Y72</f>
        <v>430</v>
      </c>
    </row>
    <row r="73" spans="1:58">
      <c r="A73" s="1">
        <v>71</v>
      </c>
      <c r="B73" s="1">
        <v>394520</v>
      </c>
      <c r="C73" s="1">
        <v>394670</v>
      </c>
      <c r="D73" s="1">
        <v>394890</v>
      </c>
      <c r="E73" s="1">
        <v>395050</v>
      </c>
      <c r="F73" s="1">
        <v>395270</v>
      </c>
      <c r="G73" s="1">
        <v>395420</v>
      </c>
      <c r="H73" s="1">
        <v>395610</v>
      </c>
      <c r="I73" s="1">
        <v>395850</v>
      </c>
      <c r="J73" s="1">
        <v>396070</v>
      </c>
      <c r="K73" s="1">
        <v>396260</v>
      </c>
      <c r="L73" s="1">
        <v>396440</v>
      </c>
      <c r="M73" s="1">
        <v>396620</v>
      </c>
      <c r="N73" s="1">
        <v>396840</v>
      </c>
      <c r="O73" s="1">
        <v>397070</v>
      </c>
      <c r="P73" s="1">
        <v>397210</v>
      </c>
      <c r="Q73" s="1">
        <v>397380</v>
      </c>
      <c r="R73" s="1">
        <v>397610</v>
      </c>
      <c r="S73" s="1">
        <v>397790</v>
      </c>
      <c r="T73" s="1">
        <v>397940</v>
      </c>
      <c r="U73" s="1">
        <v>398150</v>
      </c>
      <c r="V73" s="1">
        <v>398360</v>
      </c>
      <c r="W73" s="1">
        <v>398570</v>
      </c>
      <c r="X73" s="1">
        <v>398760</v>
      </c>
      <c r="Y73" s="1">
        <v>398940</v>
      </c>
      <c r="Z73" s="1">
        <v>399370</v>
      </c>
      <c r="AA73" s="5">
        <f>AVERAGE(B73:Y73)</f>
        <v>396720.41666666669</v>
      </c>
      <c r="AB73" s="5">
        <f>(AA74-AA72)/2</f>
        <v>4857.5</v>
      </c>
      <c r="AC73" s="14">
        <f>AB73/(23+AB151)</f>
        <v>194.60454983391077</v>
      </c>
      <c r="AD73" s="5">
        <f>AA73-AA72</f>
        <v>4860.8333333333721</v>
      </c>
      <c r="AE73" s="1">
        <f>AD73-AD72</f>
        <v>-17.916666666627862</v>
      </c>
      <c r="AG73" s="5">
        <f>Z73-Y73</f>
        <v>430</v>
      </c>
      <c r="AI73" s="1">
        <f>C73-B73</f>
        <v>150</v>
      </c>
      <c r="AJ73" s="1">
        <f>D73-C73</f>
        <v>220</v>
      </c>
      <c r="AK73" s="1">
        <f>E73-D73</f>
        <v>160</v>
      </c>
      <c r="AL73" s="1">
        <f>F73-E73</f>
        <v>220</v>
      </c>
      <c r="AM73" s="1">
        <f>G73-F73</f>
        <v>150</v>
      </c>
      <c r="AN73" s="1">
        <f>H73-G73</f>
        <v>190</v>
      </c>
      <c r="AO73" s="1">
        <f>I73-H73</f>
        <v>240</v>
      </c>
      <c r="AP73" s="1">
        <f>J73-I73</f>
        <v>220</v>
      </c>
      <c r="AQ73" s="1">
        <f>K73-J73</f>
        <v>190</v>
      </c>
      <c r="AR73" s="1">
        <f>L73-K73</f>
        <v>180</v>
      </c>
      <c r="AS73" s="1">
        <f>M73-L73</f>
        <v>180</v>
      </c>
      <c r="AT73" s="1">
        <f>N73-M73</f>
        <v>220</v>
      </c>
      <c r="AU73" s="1">
        <f>O73-N73</f>
        <v>230</v>
      </c>
      <c r="AV73" s="1">
        <f>P73-O73</f>
        <v>140</v>
      </c>
      <c r="AW73" s="1">
        <f>Q73-P73</f>
        <v>170</v>
      </c>
      <c r="AX73" s="1">
        <f>R73-Q73</f>
        <v>230</v>
      </c>
      <c r="AY73" s="1">
        <f>S73-R73</f>
        <v>180</v>
      </c>
      <c r="AZ73" s="1">
        <f>T73-S73</f>
        <v>150</v>
      </c>
      <c r="BA73" s="1">
        <f>U73-T73</f>
        <v>210</v>
      </c>
      <c r="BB73" s="1">
        <f>V73-U73</f>
        <v>210</v>
      </c>
      <c r="BC73" s="1">
        <f>W73-V73</f>
        <v>210</v>
      </c>
      <c r="BD73" s="1">
        <f>X73-W73</f>
        <v>190</v>
      </c>
      <c r="BE73" s="1">
        <f>Y73-X73</f>
        <v>180</v>
      </c>
      <c r="BF73" s="1">
        <f>Z73-Y73</f>
        <v>430</v>
      </c>
    </row>
    <row r="74" spans="1:58">
      <c r="A74" s="1">
        <v>72</v>
      </c>
      <c r="B74" s="1">
        <v>399370</v>
      </c>
      <c r="C74" s="1">
        <v>399590</v>
      </c>
      <c r="D74" s="1">
        <v>399760</v>
      </c>
      <c r="E74" s="1">
        <v>399930</v>
      </c>
      <c r="F74" s="1">
        <v>400110</v>
      </c>
      <c r="G74" s="1">
        <v>400330</v>
      </c>
      <c r="H74" s="1">
        <v>400490</v>
      </c>
      <c r="I74" s="1">
        <v>400630</v>
      </c>
      <c r="J74" s="1">
        <v>400900</v>
      </c>
      <c r="K74" s="1">
        <v>401090</v>
      </c>
      <c r="L74" s="1">
        <v>401250</v>
      </c>
      <c r="M74" s="1">
        <v>401450</v>
      </c>
      <c r="N74" s="1">
        <v>401680</v>
      </c>
      <c r="O74" s="1">
        <v>401890</v>
      </c>
      <c r="P74" s="1">
        <v>402050</v>
      </c>
      <c r="Q74" s="1">
        <v>402280</v>
      </c>
      <c r="R74" s="1">
        <v>402450</v>
      </c>
      <c r="S74" s="1">
        <v>402640</v>
      </c>
      <c r="T74" s="1">
        <v>402820</v>
      </c>
      <c r="U74" s="1">
        <v>403050</v>
      </c>
      <c r="V74" s="1">
        <v>403230</v>
      </c>
      <c r="W74" s="1">
        <v>403380</v>
      </c>
      <c r="X74" s="1">
        <v>403610</v>
      </c>
      <c r="Y74" s="1">
        <v>403810</v>
      </c>
      <c r="Z74" s="1">
        <v>404200</v>
      </c>
      <c r="AA74" s="5">
        <f>AVERAGE(B74:Y74)</f>
        <v>401574.58333333331</v>
      </c>
      <c r="AB74" s="5">
        <f>(AA75-AA73)/2</f>
        <v>4845.2083333333139</v>
      </c>
      <c r="AC74" s="14">
        <f>AB74/(23+AB151)</f>
        <v>194.11211251875298</v>
      </c>
      <c r="AD74" s="5">
        <f>AA74-AA73</f>
        <v>4854.1666666666279</v>
      </c>
      <c r="AE74" s="1">
        <f>AD74-AD73</f>
        <v>-6.6666666667442769</v>
      </c>
      <c r="AG74" s="5">
        <f>Z74-Y74</f>
        <v>390</v>
      </c>
      <c r="AI74" s="1">
        <f>C74-B74</f>
        <v>220</v>
      </c>
      <c r="AJ74" s="1">
        <f>D74-C74</f>
        <v>170</v>
      </c>
      <c r="AK74" s="1">
        <f>E74-D74</f>
        <v>170</v>
      </c>
      <c r="AL74" s="1">
        <f>F74-E74</f>
        <v>180</v>
      </c>
      <c r="AM74" s="1">
        <f>G74-F74</f>
        <v>220</v>
      </c>
      <c r="AN74" s="1">
        <f>H74-G74</f>
        <v>160</v>
      </c>
      <c r="AO74" s="1">
        <f>I74-H74</f>
        <v>140</v>
      </c>
      <c r="AP74" s="1">
        <f>J74-I74</f>
        <v>270</v>
      </c>
      <c r="AQ74" s="1">
        <f>K74-J74</f>
        <v>190</v>
      </c>
      <c r="AR74" s="1">
        <f>L74-K74</f>
        <v>160</v>
      </c>
      <c r="AS74" s="1">
        <f>M74-L74</f>
        <v>200</v>
      </c>
      <c r="AT74" s="1">
        <f>N74-M74</f>
        <v>230</v>
      </c>
      <c r="AU74" s="1">
        <f>O74-N74</f>
        <v>210</v>
      </c>
      <c r="AV74" s="1">
        <f>P74-O74</f>
        <v>160</v>
      </c>
      <c r="AW74" s="1">
        <f>Q74-P74</f>
        <v>230</v>
      </c>
      <c r="AX74" s="1">
        <f>R74-Q74</f>
        <v>170</v>
      </c>
      <c r="AY74" s="1">
        <f>S74-R74</f>
        <v>190</v>
      </c>
      <c r="AZ74" s="1">
        <f>T74-S74</f>
        <v>180</v>
      </c>
      <c r="BA74" s="1">
        <f>U74-T74</f>
        <v>230</v>
      </c>
      <c r="BB74" s="1">
        <f>V74-U74</f>
        <v>180</v>
      </c>
      <c r="BC74" s="1">
        <f>W74-V74</f>
        <v>150</v>
      </c>
      <c r="BD74" s="1">
        <f>X74-W74</f>
        <v>230</v>
      </c>
      <c r="BE74" s="1">
        <f>Y74-X74</f>
        <v>200</v>
      </c>
      <c r="BF74" s="1">
        <f>Z74-Y74</f>
        <v>390</v>
      </c>
    </row>
    <row r="75" spans="1:58">
      <c r="A75" s="1">
        <v>73</v>
      </c>
      <c r="B75" s="1">
        <v>404200</v>
      </c>
      <c r="C75" s="1">
        <v>404390</v>
      </c>
      <c r="D75" s="1">
        <v>404550</v>
      </c>
      <c r="E75" s="1">
        <v>404780</v>
      </c>
      <c r="F75" s="1">
        <v>404930</v>
      </c>
      <c r="G75" s="1">
        <v>405130</v>
      </c>
      <c r="H75" s="1">
        <v>405330</v>
      </c>
      <c r="I75" s="1">
        <v>405590</v>
      </c>
      <c r="J75" s="1">
        <v>405760</v>
      </c>
      <c r="K75" s="1">
        <v>405950</v>
      </c>
      <c r="L75" s="1">
        <v>406120</v>
      </c>
      <c r="M75" s="1">
        <v>406300</v>
      </c>
      <c r="N75" s="1">
        <v>406540</v>
      </c>
      <c r="O75" s="1">
        <v>406700</v>
      </c>
      <c r="P75" s="1">
        <v>406850</v>
      </c>
      <c r="Q75" s="1">
        <v>407090</v>
      </c>
      <c r="R75" s="1">
        <v>407240</v>
      </c>
      <c r="S75" s="1">
        <v>407440</v>
      </c>
      <c r="T75" s="1">
        <v>407700</v>
      </c>
      <c r="U75" s="1">
        <v>407900</v>
      </c>
      <c r="V75" s="1">
        <v>408050</v>
      </c>
      <c r="W75" s="1">
        <v>408220</v>
      </c>
      <c r="X75" s="1">
        <v>408450</v>
      </c>
      <c r="Y75" s="1">
        <v>408650</v>
      </c>
      <c r="Z75" s="1">
        <v>409030</v>
      </c>
      <c r="AA75" s="5">
        <f>AVERAGE(B75:Y75)</f>
        <v>406410.83333333331</v>
      </c>
      <c r="AB75" s="5">
        <f>(AA76-AA74)/2</f>
        <v>4835.625</v>
      </c>
      <c r="AC75" s="14">
        <f>AB75/(23+AB151)</f>
        <v>193.72817834083475</v>
      </c>
      <c r="AD75" s="5">
        <f>AA75-AA74</f>
        <v>4836.25</v>
      </c>
      <c r="AE75" s="1">
        <f>AD75-AD74</f>
        <v>-17.916666666627862</v>
      </c>
      <c r="AG75" s="5">
        <f>Z75-Y75</f>
        <v>380</v>
      </c>
      <c r="AI75" s="1">
        <f>C75-B75</f>
        <v>190</v>
      </c>
      <c r="AJ75" s="1">
        <f>D75-C75</f>
        <v>160</v>
      </c>
      <c r="AK75" s="1">
        <f>E75-D75</f>
        <v>230</v>
      </c>
      <c r="AL75" s="1">
        <f>F75-E75</f>
        <v>150</v>
      </c>
      <c r="AM75" s="1">
        <f>G75-F75</f>
        <v>200</v>
      </c>
      <c r="AN75" s="1">
        <f>H75-G75</f>
        <v>200</v>
      </c>
      <c r="AO75" s="1">
        <f>I75-H75</f>
        <v>260</v>
      </c>
      <c r="AP75" s="1">
        <f>J75-I75</f>
        <v>170</v>
      </c>
      <c r="AQ75" s="1">
        <f>K75-J75</f>
        <v>190</v>
      </c>
      <c r="AR75" s="1">
        <f>L75-K75</f>
        <v>170</v>
      </c>
      <c r="AS75" s="1">
        <f>M75-L75</f>
        <v>180</v>
      </c>
      <c r="AT75" s="1">
        <f>N75-M75</f>
        <v>240</v>
      </c>
      <c r="AU75" s="1">
        <f>O75-N75</f>
        <v>160</v>
      </c>
      <c r="AV75" s="1">
        <f>P75-O75</f>
        <v>150</v>
      </c>
      <c r="AW75" s="1">
        <f>Q75-P75</f>
        <v>240</v>
      </c>
      <c r="AX75" s="1">
        <f>R75-Q75</f>
        <v>150</v>
      </c>
      <c r="AY75" s="1">
        <f>S75-R75</f>
        <v>200</v>
      </c>
      <c r="AZ75" s="1">
        <f>T75-S75</f>
        <v>260</v>
      </c>
      <c r="BA75" s="1">
        <f>U75-T75</f>
        <v>200</v>
      </c>
      <c r="BB75" s="1">
        <f>V75-U75</f>
        <v>150</v>
      </c>
      <c r="BC75" s="1">
        <f>W75-V75</f>
        <v>170</v>
      </c>
      <c r="BD75" s="1">
        <f>X75-W75</f>
        <v>230</v>
      </c>
      <c r="BE75" s="1">
        <f>Y75-X75</f>
        <v>200</v>
      </c>
      <c r="BF75" s="1">
        <f>Z75-Y75</f>
        <v>380</v>
      </c>
    </row>
    <row r="76" spans="1:58">
      <c r="A76" s="1">
        <v>74</v>
      </c>
      <c r="B76" s="1">
        <v>409030</v>
      </c>
      <c r="C76" s="1">
        <v>409240</v>
      </c>
      <c r="D76" s="1">
        <v>409400</v>
      </c>
      <c r="E76" s="1">
        <v>409610</v>
      </c>
      <c r="F76" s="1">
        <v>409780</v>
      </c>
      <c r="G76" s="1">
        <v>409980</v>
      </c>
      <c r="H76" s="1">
        <v>410160</v>
      </c>
      <c r="I76" s="1">
        <v>410410</v>
      </c>
      <c r="J76" s="1">
        <v>410580</v>
      </c>
      <c r="K76" s="1">
        <v>410770</v>
      </c>
      <c r="L76" s="1">
        <v>410940</v>
      </c>
      <c r="M76" s="1">
        <v>411130</v>
      </c>
      <c r="N76" s="1">
        <v>411350</v>
      </c>
      <c r="O76" s="1">
        <v>411510</v>
      </c>
      <c r="P76" s="1">
        <v>411740</v>
      </c>
      <c r="Q76" s="1">
        <v>411910</v>
      </c>
      <c r="R76" s="1">
        <v>412090</v>
      </c>
      <c r="S76" s="1">
        <v>412340</v>
      </c>
      <c r="T76" s="1">
        <v>412510</v>
      </c>
      <c r="U76" s="1">
        <v>412670</v>
      </c>
      <c r="V76" s="1">
        <v>412870</v>
      </c>
      <c r="W76" s="1">
        <v>413080</v>
      </c>
      <c r="X76" s="1">
        <v>413290</v>
      </c>
      <c r="Y76" s="1">
        <v>413510</v>
      </c>
      <c r="Z76" s="1">
        <v>413860</v>
      </c>
      <c r="AA76" s="5">
        <f>AVERAGE(B76:Y76)</f>
        <v>411245.83333333331</v>
      </c>
      <c r="AB76" s="5">
        <f>(AA77-AA75)/2</f>
        <v>4833.958333333343</v>
      </c>
      <c r="AC76" s="14">
        <f>AB76/(23+AB151)</f>
        <v>193.66140717945791</v>
      </c>
      <c r="AD76" s="5">
        <f>AA76-AA75</f>
        <v>4835</v>
      </c>
      <c r="AE76" s="1">
        <f>AD76-AD75</f>
        <v>-1.25</v>
      </c>
      <c r="AG76" s="5">
        <f>Z76-Y76</f>
        <v>350</v>
      </c>
      <c r="AI76" s="1">
        <f>C76-B76</f>
        <v>210</v>
      </c>
      <c r="AJ76" s="1">
        <f>D76-C76</f>
        <v>160</v>
      </c>
      <c r="AK76" s="1">
        <f>E76-D76</f>
        <v>210</v>
      </c>
      <c r="AL76" s="1">
        <f>F76-E76</f>
        <v>170</v>
      </c>
      <c r="AM76" s="1">
        <f>G76-F76</f>
        <v>200</v>
      </c>
      <c r="AN76" s="1">
        <f>H76-G76</f>
        <v>180</v>
      </c>
      <c r="AO76" s="1">
        <f>I76-H76</f>
        <v>250</v>
      </c>
      <c r="AP76" s="1">
        <f>J76-I76</f>
        <v>170</v>
      </c>
      <c r="AQ76" s="1">
        <f>K76-J76</f>
        <v>190</v>
      </c>
      <c r="AR76" s="1">
        <f>L76-K76</f>
        <v>170</v>
      </c>
      <c r="AS76" s="1">
        <f>M76-L76</f>
        <v>190</v>
      </c>
      <c r="AT76" s="1">
        <f>N76-M76</f>
        <v>220</v>
      </c>
      <c r="AU76" s="1">
        <f>O76-N76</f>
        <v>160</v>
      </c>
      <c r="AV76" s="1">
        <f>P76-O76</f>
        <v>230</v>
      </c>
      <c r="AW76" s="1">
        <f>Q76-P76</f>
        <v>170</v>
      </c>
      <c r="AX76" s="1">
        <f>R76-Q76</f>
        <v>180</v>
      </c>
      <c r="AY76" s="1">
        <f>S76-R76</f>
        <v>250</v>
      </c>
      <c r="AZ76" s="1">
        <f>T76-S76</f>
        <v>170</v>
      </c>
      <c r="BA76" s="1">
        <f>U76-T76</f>
        <v>160</v>
      </c>
      <c r="BB76" s="1">
        <f>V76-U76</f>
        <v>200</v>
      </c>
      <c r="BC76" s="1">
        <f>W76-V76</f>
        <v>210</v>
      </c>
      <c r="BD76" s="1">
        <f>X76-W76</f>
        <v>210</v>
      </c>
      <c r="BE76" s="1">
        <f>Y76-X76</f>
        <v>220</v>
      </c>
      <c r="BF76" s="1">
        <f>Z76-Y76</f>
        <v>350</v>
      </c>
    </row>
    <row r="77" spans="1:58">
      <c r="A77" s="1">
        <v>75</v>
      </c>
      <c r="B77" s="1">
        <v>413860</v>
      </c>
      <c r="C77" s="1">
        <v>414090</v>
      </c>
      <c r="D77" s="1">
        <v>414220</v>
      </c>
      <c r="E77" s="1">
        <v>414400</v>
      </c>
      <c r="F77" s="1">
        <v>414600</v>
      </c>
      <c r="G77" s="1">
        <v>414800</v>
      </c>
      <c r="H77" s="1">
        <v>415010</v>
      </c>
      <c r="I77" s="1">
        <v>415180</v>
      </c>
      <c r="J77" s="1">
        <v>415360</v>
      </c>
      <c r="K77" s="1">
        <v>415590</v>
      </c>
      <c r="L77" s="1">
        <v>415790</v>
      </c>
      <c r="M77" s="1">
        <v>416020</v>
      </c>
      <c r="N77" s="1">
        <v>416200</v>
      </c>
      <c r="O77" s="1">
        <v>416370</v>
      </c>
      <c r="P77" s="1">
        <v>416590</v>
      </c>
      <c r="Q77" s="1">
        <v>416750</v>
      </c>
      <c r="R77" s="1">
        <v>416940</v>
      </c>
      <c r="S77" s="1">
        <v>417150</v>
      </c>
      <c r="T77" s="1">
        <v>417370</v>
      </c>
      <c r="U77" s="1">
        <v>417510</v>
      </c>
      <c r="V77" s="1">
        <v>417710</v>
      </c>
      <c r="W77" s="1">
        <v>417880</v>
      </c>
      <c r="X77" s="1">
        <v>418130</v>
      </c>
      <c r="Y77" s="1">
        <v>418370</v>
      </c>
      <c r="Z77" s="1">
        <v>418710</v>
      </c>
      <c r="AA77" s="5">
        <f>AVERAGE(B77:Y77)</f>
        <v>416078.75</v>
      </c>
      <c r="AB77" s="5">
        <f>(AA78-AA76)/2</f>
        <v>4834.1666666666861</v>
      </c>
      <c r="AC77" s="14">
        <f>AB77/(23+AB151)</f>
        <v>193.66975357463045</v>
      </c>
      <c r="AD77" s="5">
        <f>AA77-AA76</f>
        <v>4832.9166666666861</v>
      </c>
      <c r="AE77" s="1">
        <f>AD77-AD76</f>
        <v>-2.0833333333139308</v>
      </c>
      <c r="AG77" s="5">
        <f>Z77-Y77</f>
        <v>340</v>
      </c>
      <c r="AI77" s="1">
        <f>C77-B77</f>
        <v>230</v>
      </c>
      <c r="AJ77" s="1">
        <f>D77-C77</f>
        <v>130</v>
      </c>
      <c r="AK77" s="1">
        <f>E77-D77</f>
        <v>180</v>
      </c>
      <c r="AL77" s="1">
        <f>F77-E77</f>
        <v>200</v>
      </c>
      <c r="AM77" s="1">
        <f>G77-F77</f>
        <v>200</v>
      </c>
      <c r="AN77" s="1">
        <f>H77-G77</f>
        <v>210</v>
      </c>
      <c r="AO77" s="1">
        <f>I77-H77</f>
        <v>170</v>
      </c>
      <c r="AP77" s="1">
        <f>J77-I77</f>
        <v>180</v>
      </c>
      <c r="AQ77" s="1">
        <f>K77-J77</f>
        <v>230</v>
      </c>
      <c r="AR77" s="1">
        <f>L77-K77</f>
        <v>200</v>
      </c>
      <c r="AS77" s="1">
        <f>M77-L77</f>
        <v>230</v>
      </c>
      <c r="AT77" s="1">
        <f>N77-M77</f>
        <v>180</v>
      </c>
      <c r="AU77" s="1">
        <f>O77-N77</f>
        <v>170</v>
      </c>
      <c r="AV77" s="1">
        <f>P77-O77</f>
        <v>220</v>
      </c>
      <c r="AW77" s="1">
        <f>Q77-P77</f>
        <v>160</v>
      </c>
      <c r="AX77" s="1">
        <f>R77-Q77</f>
        <v>190</v>
      </c>
      <c r="AY77" s="1">
        <f>S77-R77</f>
        <v>210</v>
      </c>
      <c r="AZ77" s="1">
        <f>T77-S77</f>
        <v>220</v>
      </c>
      <c r="BA77" s="1">
        <f>U77-T77</f>
        <v>140</v>
      </c>
      <c r="BB77" s="1">
        <f>V77-U77</f>
        <v>200</v>
      </c>
      <c r="BC77" s="1">
        <f>W77-V77</f>
        <v>170</v>
      </c>
      <c r="BD77" s="1">
        <f>X77-W77</f>
        <v>250</v>
      </c>
      <c r="BE77" s="1">
        <f>Y77-X77</f>
        <v>240</v>
      </c>
      <c r="BF77" s="1">
        <f>Z77-Y77</f>
        <v>340</v>
      </c>
    </row>
    <row r="78" spans="1:58">
      <c r="A78" s="1">
        <v>76</v>
      </c>
      <c r="B78" s="1">
        <v>418710</v>
      </c>
      <c r="C78" s="1">
        <v>418870</v>
      </c>
      <c r="D78" s="1">
        <v>419060</v>
      </c>
      <c r="E78" s="1">
        <v>419250</v>
      </c>
      <c r="F78" s="1">
        <v>419450</v>
      </c>
      <c r="G78" s="1">
        <v>419660</v>
      </c>
      <c r="H78" s="1">
        <v>419870</v>
      </c>
      <c r="I78" s="1">
        <v>420050</v>
      </c>
      <c r="J78" s="1">
        <v>420250</v>
      </c>
      <c r="K78" s="1">
        <v>420480</v>
      </c>
      <c r="L78" s="1">
        <v>420650</v>
      </c>
      <c r="M78" s="1">
        <v>420820</v>
      </c>
      <c r="N78" s="1">
        <v>420950</v>
      </c>
      <c r="O78" s="1">
        <v>421180</v>
      </c>
      <c r="P78" s="1">
        <v>421390</v>
      </c>
      <c r="Q78" s="1">
        <v>421590</v>
      </c>
      <c r="R78" s="1">
        <v>421770</v>
      </c>
      <c r="S78" s="1">
        <v>421970</v>
      </c>
      <c r="T78" s="1">
        <v>422170</v>
      </c>
      <c r="U78" s="1">
        <v>422370</v>
      </c>
      <c r="V78" s="1">
        <v>422590</v>
      </c>
      <c r="W78" s="1">
        <v>422760</v>
      </c>
      <c r="X78" s="1">
        <v>422940</v>
      </c>
      <c r="Y78" s="1">
        <v>423140</v>
      </c>
      <c r="Z78" s="1">
        <v>423530</v>
      </c>
      <c r="AA78" s="5">
        <f>AVERAGE(B78:Y78)</f>
        <v>420914.16666666669</v>
      </c>
      <c r="AB78" s="5">
        <f>(AA79-AA77)/2</f>
        <v>4831.666666666657</v>
      </c>
      <c r="AC78" s="14">
        <f>AB78/(23+AB151)</f>
        <v>193.56959683256346</v>
      </c>
      <c r="AD78" s="5">
        <f>AA78-AA77</f>
        <v>4835.4166666666861</v>
      </c>
      <c r="AE78" s="1">
        <f>AD78-AD77</f>
        <v>2.5</v>
      </c>
      <c r="AG78" s="5">
        <f>Z78-Y78</f>
        <v>390</v>
      </c>
      <c r="AI78" s="1">
        <f>C78-B78</f>
        <v>160</v>
      </c>
      <c r="AJ78" s="1">
        <f>D78-C78</f>
        <v>190</v>
      </c>
      <c r="AK78" s="1">
        <f>E78-D78</f>
        <v>190</v>
      </c>
      <c r="AL78" s="1">
        <f>F78-E78</f>
        <v>200</v>
      </c>
      <c r="AM78" s="1">
        <f>G78-F78</f>
        <v>210</v>
      </c>
      <c r="AN78" s="1">
        <f>H78-G78</f>
        <v>210</v>
      </c>
      <c r="AO78" s="1">
        <f>I78-H78</f>
        <v>180</v>
      </c>
      <c r="AP78" s="1">
        <f>J78-I78</f>
        <v>200</v>
      </c>
      <c r="AQ78" s="1">
        <f>K78-J78</f>
        <v>230</v>
      </c>
      <c r="AR78" s="1">
        <f>L78-K78</f>
        <v>170</v>
      </c>
      <c r="AS78" s="1">
        <f>M78-L78</f>
        <v>170</v>
      </c>
      <c r="AT78" s="1">
        <f>N78-M78</f>
        <v>130</v>
      </c>
      <c r="AU78" s="1">
        <f>O78-N78</f>
        <v>230</v>
      </c>
      <c r="AV78" s="1">
        <f>P78-O78</f>
        <v>210</v>
      </c>
      <c r="AW78" s="1">
        <f>Q78-P78</f>
        <v>200</v>
      </c>
      <c r="AX78" s="1">
        <f>R78-Q78</f>
        <v>180</v>
      </c>
      <c r="AY78" s="1">
        <f>S78-R78</f>
        <v>200</v>
      </c>
      <c r="AZ78" s="1">
        <f>T78-S78</f>
        <v>200</v>
      </c>
      <c r="BA78" s="1">
        <f>U78-T78</f>
        <v>200</v>
      </c>
      <c r="BB78" s="1">
        <f>V78-U78</f>
        <v>220</v>
      </c>
      <c r="BC78" s="1">
        <f>W78-V78</f>
        <v>170</v>
      </c>
      <c r="BD78" s="1">
        <f>X78-W78</f>
        <v>180</v>
      </c>
      <c r="BE78" s="1">
        <f>Y78-X78</f>
        <v>200</v>
      </c>
      <c r="BF78" s="1">
        <f>Z78-Y78</f>
        <v>390</v>
      </c>
    </row>
    <row r="79" spans="1:58">
      <c r="A79" s="1">
        <v>77</v>
      </c>
      <c r="B79" s="1">
        <v>423530</v>
      </c>
      <c r="C79" s="1">
        <v>423700</v>
      </c>
      <c r="D79" s="1">
        <v>423870</v>
      </c>
      <c r="E79" s="1">
        <v>424110</v>
      </c>
      <c r="F79" s="1">
        <v>424300</v>
      </c>
      <c r="G79" s="1">
        <v>424470</v>
      </c>
      <c r="H79" s="1">
        <v>424660</v>
      </c>
      <c r="I79" s="1">
        <v>424920</v>
      </c>
      <c r="J79" s="1">
        <v>425080</v>
      </c>
      <c r="K79" s="1">
        <v>425290</v>
      </c>
      <c r="L79" s="1">
        <v>425430</v>
      </c>
      <c r="M79" s="1">
        <v>425620</v>
      </c>
      <c r="N79" s="1">
        <v>425850</v>
      </c>
      <c r="O79" s="1">
        <v>426000</v>
      </c>
      <c r="P79" s="1">
        <v>426200</v>
      </c>
      <c r="Q79" s="1">
        <v>426400</v>
      </c>
      <c r="R79" s="1">
        <v>426640</v>
      </c>
      <c r="S79" s="1">
        <v>426800</v>
      </c>
      <c r="T79" s="1">
        <v>427000</v>
      </c>
      <c r="U79" s="1">
        <v>427160</v>
      </c>
      <c r="V79" s="1">
        <v>427400</v>
      </c>
      <c r="W79" s="1">
        <v>427600</v>
      </c>
      <c r="X79" s="1">
        <v>427790</v>
      </c>
      <c r="Y79" s="1">
        <v>427990</v>
      </c>
      <c r="Z79" s="1">
        <v>428360</v>
      </c>
      <c r="AA79" s="5">
        <f>AVERAGE(B79:Y79)</f>
        <v>425742.08333333331</v>
      </c>
      <c r="AB79" s="5">
        <f>(AA80-AA78)/2</f>
        <v>4834.166666666657</v>
      </c>
      <c r="AC79" s="14">
        <f>AB79/(23+AB151)</f>
        <v>193.66975357462928</v>
      </c>
      <c r="AD79" s="5">
        <f>AA79-AA78</f>
        <v>4827.9166666666279</v>
      </c>
      <c r="AE79" s="1">
        <f>AD79-AD78</f>
        <v>-7.5000000000582077</v>
      </c>
      <c r="AG79" s="5">
        <f>Z79-Y79</f>
        <v>370</v>
      </c>
      <c r="AI79" s="1">
        <f>C79-B79</f>
        <v>170</v>
      </c>
      <c r="AJ79" s="1">
        <f>D79-C79</f>
        <v>170</v>
      </c>
      <c r="AK79" s="1">
        <f>E79-D79</f>
        <v>240</v>
      </c>
      <c r="AL79" s="1">
        <f>F79-E79</f>
        <v>190</v>
      </c>
      <c r="AM79" s="1">
        <f>G79-F79</f>
        <v>170</v>
      </c>
      <c r="AN79" s="1">
        <f>H79-G79</f>
        <v>190</v>
      </c>
      <c r="AO79" s="1">
        <f>I79-H79</f>
        <v>260</v>
      </c>
      <c r="AP79" s="1">
        <f>J79-I79</f>
        <v>160</v>
      </c>
      <c r="AQ79" s="1">
        <f>K79-J79</f>
        <v>210</v>
      </c>
      <c r="AR79" s="1">
        <f>L79-K79</f>
        <v>140</v>
      </c>
      <c r="AS79" s="1">
        <f>M79-L79</f>
        <v>190</v>
      </c>
      <c r="AT79" s="1">
        <f>N79-M79</f>
        <v>230</v>
      </c>
      <c r="AU79" s="1">
        <f>O79-N79</f>
        <v>150</v>
      </c>
      <c r="AV79" s="1">
        <f>P79-O79</f>
        <v>200</v>
      </c>
      <c r="AW79" s="1">
        <f>Q79-P79</f>
        <v>200</v>
      </c>
      <c r="AX79" s="1">
        <f>R79-Q79</f>
        <v>240</v>
      </c>
      <c r="AY79" s="1">
        <f>S79-R79</f>
        <v>160</v>
      </c>
      <c r="AZ79" s="1">
        <f>T79-S79</f>
        <v>200</v>
      </c>
      <c r="BA79" s="1">
        <f>U79-T79</f>
        <v>160</v>
      </c>
      <c r="BB79" s="1">
        <f>V79-U79</f>
        <v>240</v>
      </c>
      <c r="BC79" s="1">
        <f>W79-V79</f>
        <v>200</v>
      </c>
      <c r="BD79" s="1">
        <f>X79-W79</f>
        <v>190</v>
      </c>
      <c r="BE79" s="1">
        <f>Y79-X79</f>
        <v>200</v>
      </c>
      <c r="BF79" s="1">
        <f>Z79-Y79</f>
        <v>370</v>
      </c>
    </row>
    <row r="80" spans="1:58">
      <c r="A80" s="1">
        <v>78</v>
      </c>
      <c r="B80" s="1">
        <v>428360</v>
      </c>
      <c r="C80" s="1">
        <v>428560</v>
      </c>
      <c r="D80" s="1">
        <v>428750</v>
      </c>
      <c r="E80" s="1">
        <v>428890</v>
      </c>
      <c r="F80" s="1">
        <v>429100</v>
      </c>
      <c r="G80" s="1">
        <v>429360</v>
      </c>
      <c r="H80" s="1">
        <v>429530</v>
      </c>
      <c r="I80" s="1">
        <v>429720</v>
      </c>
      <c r="J80" s="1">
        <v>429890</v>
      </c>
      <c r="K80" s="1">
        <v>430110</v>
      </c>
      <c r="L80" s="1">
        <v>430290</v>
      </c>
      <c r="M80" s="1">
        <v>430450</v>
      </c>
      <c r="N80" s="1">
        <v>430670</v>
      </c>
      <c r="O80" s="1">
        <v>430870</v>
      </c>
      <c r="P80" s="1">
        <v>431040</v>
      </c>
      <c r="Q80" s="1">
        <v>431230</v>
      </c>
      <c r="R80" s="1">
        <v>431490</v>
      </c>
      <c r="S80" s="1">
        <v>431690</v>
      </c>
      <c r="T80" s="1">
        <v>431860</v>
      </c>
      <c r="U80" s="1">
        <v>432030</v>
      </c>
      <c r="V80" s="1">
        <v>432200</v>
      </c>
      <c r="W80" s="1">
        <v>432420</v>
      </c>
      <c r="X80" s="1">
        <v>432640</v>
      </c>
      <c r="Y80" s="1">
        <v>432830</v>
      </c>
      <c r="Z80" s="1">
        <v>433240</v>
      </c>
      <c r="AA80" s="5">
        <f>AVERAGE(B80:Y80)</f>
        <v>430582.5</v>
      </c>
      <c r="AB80" s="5">
        <f>(AA81-AA79)/2</f>
        <v>4850</v>
      </c>
      <c r="AC80" s="14">
        <f>AB80/(23+AB151)</f>
        <v>194.30407960771328</v>
      </c>
      <c r="AD80" s="5">
        <f>AA80-AA79</f>
        <v>4840.4166666666861</v>
      </c>
      <c r="AE80" s="1">
        <f>AD80-AD79</f>
        <v>12.500000000058208</v>
      </c>
      <c r="AG80" s="5">
        <f>Z80-Y80</f>
        <v>410</v>
      </c>
      <c r="AI80" s="1">
        <f>C80-B80</f>
        <v>200</v>
      </c>
      <c r="AJ80" s="1">
        <f>D80-C80</f>
        <v>190</v>
      </c>
      <c r="AK80" s="1">
        <f>E80-D80</f>
        <v>140</v>
      </c>
      <c r="AL80" s="1">
        <f>F80-E80</f>
        <v>210</v>
      </c>
      <c r="AM80" s="1">
        <f>G80-F80</f>
        <v>260</v>
      </c>
      <c r="AN80" s="1">
        <f>H80-G80</f>
        <v>170</v>
      </c>
      <c r="AO80" s="1">
        <f>I80-H80</f>
        <v>190</v>
      </c>
      <c r="AP80" s="1">
        <f>J80-I80</f>
        <v>170</v>
      </c>
      <c r="AQ80" s="1">
        <f>K80-J80</f>
        <v>220</v>
      </c>
      <c r="AR80" s="1">
        <f>L80-K80</f>
        <v>180</v>
      </c>
      <c r="AS80" s="1">
        <f>M80-L80</f>
        <v>160</v>
      </c>
      <c r="AT80" s="1">
        <f>N80-M80</f>
        <v>220</v>
      </c>
      <c r="AU80" s="1">
        <f>O80-N80</f>
        <v>200</v>
      </c>
      <c r="AV80" s="1">
        <f>P80-O80</f>
        <v>170</v>
      </c>
      <c r="AW80" s="1">
        <f>Q80-P80</f>
        <v>190</v>
      </c>
      <c r="AX80" s="1">
        <f>R80-Q80</f>
        <v>260</v>
      </c>
      <c r="AY80" s="1">
        <f>S80-R80</f>
        <v>200</v>
      </c>
      <c r="AZ80" s="1">
        <f>T80-S80</f>
        <v>170</v>
      </c>
      <c r="BA80" s="1">
        <f>U80-T80</f>
        <v>170</v>
      </c>
      <c r="BB80" s="1">
        <f>V80-U80</f>
        <v>170</v>
      </c>
      <c r="BC80" s="1">
        <f>W80-V80</f>
        <v>220</v>
      </c>
      <c r="BD80" s="1">
        <f>X80-W80</f>
        <v>220</v>
      </c>
      <c r="BE80" s="1">
        <f>Y80-X80</f>
        <v>190</v>
      </c>
      <c r="BF80" s="1">
        <f>Z80-Y80</f>
        <v>410</v>
      </c>
    </row>
    <row r="81" spans="1:58">
      <c r="A81" s="1">
        <v>79</v>
      </c>
      <c r="B81" s="1">
        <v>433240</v>
      </c>
      <c r="C81" s="1">
        <v>433410</v>
      </c>
      <c r="D81" s="1">
        <v>433590</v>
      </c>
      <c r="E81" s="1">
        <v>433750</v>
      </c>
      <c r="F81" s="1">
        <v>433970</v>
      </c>
      <c r="G81" s="1">
        <v>434210</v>
      </c>
      <c r="H81" s="1">
        <v>434390</v>
      </c>
      <c r="I81" s="1">
        <v>434560</v>
      </c>
      <c r="J81" s="1">
        <v>434810</v>
      </c>
      <c r="K81" s="1">
        <v>434990</v>
      </c>
      <c r="L81" s="1">
        <v>435150</v>
      </c>
      <c r="M81" s="1">
        <v>435330</v>
      </c>
      <c r="N81" s="1">
        <v>435520</v>
      </c>
      <c r="O81" s="1">
        <v>435720</v>
      </c>
      <c r="P81" s="1">
        <v>435860</v>
      </c>
      <c r="Q81" s="1">
        <v>436110</v>
      </c>
      <c r="R81" s="1">
        <v>436280</v>
      </c>
      <c r="S81" s="1">
        <v>436510</v>
      </c>
      <c r="T81" s="1">
        <v>436750</v>
      </c>
      <c r="U81" s="1">
        <v>436910</v>
      </c>
      <c r="V81" s="1">
        <v>437080</v>
      </c>
      <c r="W81" s="1">
        <v>437290</v>
      </c>
      <c r="X81" s="1">
        <v>437480</v>
      </c>
      <c r="Y81" s="1">
        <v>437700</v>
      </c>
      <c r="Z81" s="1">
        <v>438100</v>
      </c>
      <c r="AA81" s="5">
        <f>AVERAGE(B81:Y81)</f>
        <v>435442.08333333331</v>
      </c>
      <c r="AB81" s="5">
        <f>(AA82-AA80)/2</f>
        <v>4857.708333333343</v>
      </c>
      <c r="AC81" s="14">
        <f>AB81/(23+AB151)</f>
        <v>194.6128962290833</v>
      </c>
      <c r="AD81" s="5">
        <f>AA81-AA80</f>
        <v>4859.5833333333139</v>
      </c>
      <c r="AE81" s="1">
        <f>AD81-AD80</f>
        <v>19.166666666627862</v>
      </c>
      <c r="AG81" s="5">
        <f>Z81-Y81</f>
        <v>400</v>
      </c>
      <c r="AI81" s="1">
        <f>C81-B81</f>
        <v>170</v>
      </c>
      <c r="AJ81" s="1">
        <f>D81-C81</f>
        <v>180</v>
      </c>
      <c r="AK81" s="1">
        <f>E81-D81</f>
        <v>160</v>
      </c>
      <c r="AL81" s="1">
        <f>F81-E81</f>
        <v>220</v>
      </c>
      <c r="AM81" s="1">
        <f>G81-F81</f>
        <v>240</v>
      </c>
      <c r="AN81" s="1">
        <f>H81-G81</f>
        <v>180</v>
      </c>
      <c r="AO81" s="1">
        <f>I81-H81</f>
        <v>170</v>
      </c>
      <c r="AP81" s="1">
        <f>J81-I81</f>
        <v>250</v>
      </c>
      <c r="AQ81" s="1">
        <f>K81-J81</f>
        <v>180</v>
      </c>
      <c r="AR81" s="1">
        <f>L81-K81</f>
        <v>160</v>
      </c>
      <c r="AS81" s="1">
        <f>M81-L81</f>
        <v>180</v>
      </c>
      <c r="AT81" s="1">
        <f>N81-M81</f>
        <v>190</v>
      </c>
      <c r="AU81" s="1">
        <f>O81-N81</f>
        <v>200</v>
      </c>
      <c r="AV81" s="1">
        <f>P81-O81</f>
        <v>140</v>
      </c>
      <c r="AW81" s="1">
        <f>Q81-P81</f>
        <v>250</v>
      </c>
      <c r="AX81" s="1">
        <f>R81-Q81</f>
        <v>170</v>
      </c>
      <c r="AY81" s="1">
        <f>S81-R81</f>
        <v>230</v>
      </c>
      <c r="AZ81" s="1">
        <f>T81-S81</f>
        <v>240</v>
      </c>
      <c r="BA81" s="1">
        <f>U81-T81</f>
        <v>160</v>
      </c>
      <c r="BB81" s="1">
        <f>V81-U81</f>
        <v>170</v>
      </c>
      <c r="BC81" s="1">
        <f>W81-V81</f>
        <v>210</v>
      </c>
      <c r="BD81" s="1">
        <f>X81-W81</f>
        <v>190</v>
      </c>
      <c r="BE81" s="1">
        <f>Y81-X81</f>
        <v>220</v>
      </c>
      <c r="BF81" s="1">
        <f>Z81-Y81</f>
        <v>400</v>
      </c>
    </row>
    <row r="82" spans="1:58">
      <c r="A82" s="1">
        <v>80</v>
      </c>
      <c r="B82" s="1">
        <v>438100</v>
      </c>
      <c r="C82" s="1">
        <v>438280</v>
      </c>
      <c r="D82" s="1">
        <v>438450</v>
      </c>
      <c r="E82" s="1">
        <v>438600</v>
      </c>
      <c r="F82" s="1">
        <v>438850</v>
      </c>
      <c r="G82" s="1">
        <v>439040</v>
      </c>
      <c r="H82" s="1">
        <v>439250</v>
      </c>
      <c r="I82" s="1">
        <v>439450</v>
      </c>
      <c r="J82" s="1">
        <v>439630</v>
      </c>
      <c r="K82" s="1">
        <v>439840</v>
      </c>
      <c r="L82" s="1">
        <v>440000</v>
      </c>
      <c r="M82" s="1">
        <v>440180</v>
      </c>
      <c r="N82" s="1">
        <v>440340</v>
      </c>
      <c r="O82" s="1">
        <v>440580</v>
      </c>
      <c r="P82" s="1">
        <v>440770</v>
      </c>
      <c r="Q82" s="1">
        <v>441000</v>
      </c>
      <c r="R82" s="1">
        <v>441150</v>
      </c>
      <c r="S82" s="1">
        <v>441340</v>
      </c>
      <c r="T82" s="1">
        <v>441590</v>
      </c>
      <c r="U82" s="1">
        <v>441760</v>
      </c>
      <c r="V82" s="1">
        <v>441950</v>
      </c>
      <c r="W82" s="1">
        <v>442160</v>
      </c>
      <c r="X82" s="1">
        <v>442310</v>
      </c>
      <c r="Y82" s="1">
        <v>442530</v>
      </c>
      <c r="Z82" s="1">
        <v>442880</v>
      </c>
      <c r="AA82" s="5">
        <f>AVERAGE(B82:Y82)</f>
        <v>440297.91666666669</v>
      </c>
      <c r="AB82" s="5">
        <f>(AA83-AA81)/2</f>
        <v>4851.458333333343</v>
      </c>
      <c r="AC82" s="14">
        <f>AB82/(23+AB151)</f>
        <v>194.36250437391874</v>
      </c>
      <c r="AD82" s="5">
        <f>AA82-AA81</f>
        <v>4855.8333333333721</v>
      </c>
      <c r="AE82" s="1">
        <f>AD82-AD81</f>
        <v>-3.7499999999417923</v>
      </c>
      <c r="AG82" s="5">
        <f>Z82-Y82</f>
        <v>350</v>
      </c>
      <c r="AI82" s="1">
        <f>C82-B82</f>
        <v>180</v>
      </c>
      <c r="AJ82" s="1">
        <f>D82-C82</f>
        <v>170</v>
      </c>
      <c r="AK82" s="1">
        <f>E82-D82</f>
        <v>150</v>
      </c>
      <c r="AL82" s="1">
        <f>F82-E82</f>
        <v>250</v>
      </c>
      <c r="AM82" s="1">
        <f>G82-F82</f>
        <v>190</v>
      </c>
      <c r="AN82" s="1">
        <f>H82-G82</f>
        <v>210</v>
      </c>
      <c r="AO82" s="1">
        <f>I82-H82</f>
        <v>200</v>
      </c>
      <c r="AP82" s="1">
        <f>J82-I82</f>
        <v>180</v>
      </c>
      <c r="AQ82" s="1">
        <f>K82-J82</f>
        <v>210</v>
      </c>
      <c r="AR82" s="1">
        <f>L82-K82</f>
        <v>160</v>
      </c>
      <c r="AS82" s="1">
        <f>M82-L82</f>
        <v>180</v>
      </c>
      <c r="AT82" s="1">
        <f>N82-M82</f>
        <v>160</v>
      </c>
      <c r="AU82" s="1">
        <f>O82-N82</f>
        <v>240</v>
      </c>
      <c r="AV82" s="1">
        <f>P82-O82</f>
        <v>190</v>
      </c>
      <c r="AW82" s="1">
        <f>Q82-P82</f>
        <v>230</v>
      </c>
      <c r="AX82" s="1">
        <f>R82-Q82</f>
        <v>150</v>
      </c>
      <c r="AY82" s="1">
        <f>S82-R82</f>
        <v>190</v>
      </c>
      <c r="AZ82" s="1">
        <f>T82-S82</f>
        <v>250</v>
      </c>
      <c r="BA82" s="1">
        <f>U82-T82</f>
        <v>170</v>
      </c>
      <c r="BB82" s="1">
        <f>V82-U82</f>
        <v>190</v>
      </c>
      <c r="BC82" s="1">
        <f>W82-V82</f>
        <v>210</v>
      </c>
      <c r="BD82" s="1">
        <f>X82-W82</f>
        <v>150</v>
      </c>
      <c r="BE82" s="1">
        <f>Y82-X82</f>
        <v>220</v>
      </c>
      <c r="BF82" s="1">
        <f>Z82-Y82</f>
        <v>350</v>
      </c>
    </row>
    <row r="83" spans="1:58">
      <c r="A83" s="1">
        <v>81</v>
      </c>
      <c r="B83" s="1">
        <v>442880</v>
      </c>
      <c r="C83" s="1">
        <v>443090</v>
      </c>
      <c r="D83" s="1">
        <v>443310</v>
      </c>
      <c r="E83" s="1">
        <v>443550</v>
      </c>
      <c r="F83" s="1">
        <v>443670</v>
      </c>
      <c r="G83" s="1">
        <v>443870</v>
      </c>
      <c r="H83" s="1">
        <v>444070</v>
      </c>
      <c r="I83" s="1">
        <v>444310</v>
      </c>
      <c r="J83" s="1">
        <v>444460</v>
      </c>
      <c r="K83" s="1">
        <v>444680</v>
      </c>
      <c r="L83" s="1">
        <v>444840</v>
      </c>
      <c r="M83" s="1">
        <v>445080</v>
      </c>
      <c r="N83" s="1">
        <v>445210</v>
      </c>
      <c r="O83" s="1">
        <v>445410</v>
      </c>
      <c r="P83" s="1">
        <v>445610</v>
      </c>
      <c r="Q83" s="1">
        <v>445820</v>
      </c>
      <c r="R83" s="1">
        <v>446020</v>
      </c>
      <c r="S83" s="1">
        <v>446180</v>
      </c>
      <c r="T83" s="1">
        <v>446420</v>
      </c>
      <c r="U83" s="1">
        <v>446610</v>
      </c>
      <c r="V83" s="1">
        <v>446830</v>
      </c>
      <c r="W83" s="1">
        <v>446990</v>
      </c>
      <c r="X83" s="1">
        <v>447180</v>
      </c>
      <c r="Y83" s="1">
        <v>447390</v>
      </c>
      <c r="Z83" s="1">
        <v>447750</v>
      </c>
      <c r="AA83" s="5">
        <f>AVERAGE(B83:Y83)</f>
        <v>445145</v>
      </c>
      <c r="AB83" s="5">
        <f>(AA84-AA82)/2</f>
        <v>4860.625</v>
      </c>
      <c r="AC83" s="14">
        <f>AB83/(23+AB151)</f>
        <v>194.72974576149306</v>
      </c>
      <c r="AD83" s="5">
        <f>AA83-AA82</f>
        <v>4847.0833333333139</v>
      </c>
      <c r="AE83" s="1">
        <f>AD83-AD82</f>
        <v>-8.7500000000582077</v>
      </c>
      <c r="AG83" s="5">
        <f>Z83-Y83</f>
        <v>360</v>
      </c>
      <c r="AI83" s="1">
        <f>C83-B83</f>
        <v>210</v>
      </c>
      <c r="AJ83" s="1">
        <f>D83-C83</f>
        <v>220</v>
      </c>
      <c r="AK83" s="1">
        <f>E83-D83</f>
        <v>240</v>
      </c>
      <c r="AL83" s="1">
        <f>F83-E83</f>
        <v>120</v>
      </c>
      <c r="AM83" s="1">
        <f>G83-F83</f>
        <v>200</v>
      </c>
      <c r="AN83" s="1">
        <f>H83-G83</f>
        <v>200</v>
      </c>
      <c r="AO83" s="1">
        <f>I83-H83</f>
        <v>240</v>
      </c>
      <c r="AP83" s="1">
        <f>J83-I83</f>
        <v>150</v>
      </c>
      <c r="AQ83" s="1">
        <f>K83-J83</f>
        <v>220</v>
      </c>
      <c r="AR83" s="1">
        <f>L83-K83</f>
        <v>160</v>
      </c>
      <c r="AS83" s="1">
        <f>M83-L83</f>
        <v>240</v>
      </c>
      <c r="AT83" s="1">
        <f>N83-M83</f>
        <v>130</v>
      </c>
      <c r="AU83" s="1">
        <f>O83-N83</f>
        <v>200</v>
      </c>
      <c r="AV83" s="1">
        <f>P83-O83</f>
        <v>200</v>
      </c>
      <c r="AW83" s="1">
        <f>Q83-P83</f>
        <v>210</v>
      </c>
      <c r="AX83" s="1">
        <f>R83-Q83</f>
        <v>200</v>
      </c>
      <c r="AY83" s="1">
        <f>S83-R83</f>
        <v>160</v>
      </c>
      <c r="AZ83" s="1">
        <f>T83-S83</f>
        <v>240</v>
      </c>
      <c r="BA83" s="1">
        <f>U83-T83</f>
        <v>190</v>
      </c>
      <c r="BB83" s="1">
        <f>V83-U83</f>
        <v>220</v>
      </c>
      <c r="BC83" s="1">
        <f>W83-V83</f>
        <v>160</v>
      </c>
      <c r="BD83" s="1">
        <f>X83-W83</f>
        <v>190</v>
      </c>
      <c r="BE83" s="1">
        <f>Y83-X83</f>
        <v>210</v>
      </c>
      <c r="BF83" s="1">
        <f>Z83-Y83</f>
        <v>360</v>
      </c>
    </row>
    <row r="84" spans="1:58">
      <c r="A84" s="1">
        <v>82</v>
      </c>
      <c r="B84" s="1">
        <v>447750</v>
      </c>
      <c r="C84" s="1">
        <v>447970</v>
      </c>
      <c r="D84" s="1">
        <v>448160</v>
      </c>
      <c r="E84" s="1">
        <v>448370</v>
      </c>
      <c r="F84" s="1">
        <v>448570</v>
      </c>
      <c r="G84" s="1">
        <v>448710</v>
      </c>
      <c r="H84" s="1">
        <v>448980</v>
      </c>
      <c r="I84" s="1">
        <v>449110</v>
      </c>
      <c r="J84" s="1">
        <v>449380</v>
      </c>
      <c r="K84" s="1">
        <v>449580</v>
      </c>
      <c r="L84" s="1">
        <v>449700</v>
      </c>
      <c r="M84" s="1">
        <v>449930</v>
      </c>
      <c r="N84" s="1">
        <v>450080</v>
      </c>
      <c r="O84" s="1">
        <v>450310</v>
      </c>
      <c r="P84" s="1">
        <v>450520</v>
      </c>
      <c r="Q84" s="1">
        <v>450730</v>
      </c>
      <c r="R84" s="1">
        <v>450870</v>
      </c>
      <c r="S84" s="1">
        <v>451090</v>
      </c>
      <c r="T84" s="1">
        <v>451250</v>
      </c>
      <c r="U84" s="1">
        <v>451480</v>
      </c>
      <c r="V84" s="1">
        <v>451710</v>
      </c>
      <c r="W84" s="1">
        <v>451890</v>
      </c>
      <c r="X84" s="1">
        <v>452050</v>
      </c>
      <c r="Y84" s="1">
        <v>452270</v>
      </c>
      <c r="Z84" s="1">
        <v>452660</v>
      </c>
      <c r="AA84" s="5">
        <f>AVERAGE(B84:Y84)</f>
        <v>450019.16666666669</v>
      </c>
      <c r="AB84" s="5">
        <f>(AA85-AA83)/2</f>
        <v>4885</v>
      </c>
      <c r="AC84" s="14">
        <f>AB84/(23+AB151)</f>
        <v>195.70627399663491</v>
      </c>
      <c r="AD84" s="5">
        <f>AA84-AA83</f>
        <v>4874.1666666666861</v>
      </c>
      <c r="AE84" s="1">
        <f>AD84-AD83</f>
        <v>27.083333333372138</v>
      </c>
      <c r="AG84" s="5">
        <f>Z84-Y84</f>
        <v>390</v>
      </c>
      <c r="AI84" s="1">
        <f>C84-B84</f>
        <v>220</v>
      </c>
      <c r="AJ84" s="1">
        <f>D84-C84</f>
        <v>190</v>
      </c>
      <c r="AK84" s="1">
        <f>E84-D84</f>
        <v>210</v>
      </c>
      <c r="AL84" s="1">
        <f>F84-E84</f>
        <v>200</v>
      </c>
      <c r="AM84" s="1">
        <f>G84-F84</f>
        <v>140</v>
      </c>
      <c r="AN84" s="1">
        <f>H84-G84</f>
        <v>270</v>
      </c>
      <c r="AO84" s="1">
        <f>I84-H84</f>
        <v>130</v>
      </c>
      <c r="AP84" s="1">
        <f>J84-I84</f>
        <v>270</v>
      </c>
      <c r="AQ84" s="1">
        <f>K84-J84</f>
        <v>200</v>
      </c>
      <c r="AR84" s="1">
        <f>L84-K84</f>
        <v>120</v>
      </c>
      <c r="AS84" s="1">
        <f>M84-L84</f>
        <v>230</v>
      </c>
      <c r="AT84" s="1">
        <f>N84-M84</f>
        <v>150</v>
      </c>
      <c r="AU84" s="1">
        <f>O84-N84</f>
        <v>230</v>
      </c>
      <c r="AV84" s="1">
        <f>P84-O84</f>
        <v>210</v>
      </c>
      <c r="AW84" s="1">
        <f>Q84-P84</f>
        <v>210</v>
      </c>
      <c r="AX84" s="1">
        <f>R84-Q84</f>
        <v>140</v>
      </c>
      <c r="AY84" s="1">
        <f>S84-R84</f>
        <v>220</v>
      </c>
      <c r="AZ84" s="1">
        <f>T84-S84</f>
        <v>160</v>
      </c>
      <c r="BA84" s="1">
        <f>U84-T84</f>
        <v>230</v>
      </c>
      <c r="BB84" s="1">
        <f>V84-U84</f>
        <v>230</v>
      </c>
      <c r="BC84" s="1">
        <f>W84-V84</f>
        <v>180</v>
      </c>
      <c r="BD84" s="1">
        <f>X84-W84</f>
        <v>160</v>
      </c>
      <c r="BE84" s="1">
        <f>Y84-X84</f>
        <v>220</v>
      </c>
      <c r="BF84" s="1">
        <f>Z84-Y84</f>
        <v>390</v>
      </c>
    </row>
    <row r="85" spans="1:58">
      <c r="A85" s="1">
        <v>83</v>
      </c>
      <c r="B85" s="1">
        <v>452660</v>
      </c>
      <c r="C85" s="1">
        <v>452850</v>
      </c>
      <c r="D85" s="1">
        <v>453090</v>
      </c>
      <c r="E85" s="1">
        <v>453270</v>
      </c>
      <c r="F85" s="1">
        <v>453520</v>
      </c>
      <c r="G85" s="1">
        <v>453650</v>
      </c>
      <c r="H85" s="1">
        <v>453810</v>
      </c>
      <c r="I85" s="1">
        <v>454000</v>
      </c>
      <c r="J85" s="1">
        <v>454270</v>
      </c>
      <c r="K85" s="1">
        <v>454490</v>
      </c>
      <c r="L85" s="1">
        <v>454620</v>
      </c>
      <c r="M85" s="1">
        <v>454830</v>
      </c>
      <c r="N85" s="1">
        <v>454990</v>
      </c>
      <c r="O85" s="1">
        <v>455190</v>
      </c>
      <c r="P85" s="1">
        <v>455330</v>
      </c>
      <c r="Q85" s="1">
        <v>455570</v>
      </c>
      <c r="R85" s="1">
        <v>455770</v>
      </c>
      <c r="S85" s="1">
        <v>455980</v>
      </c>
      <c r="T85" s="1">
        <v>456170</v>
      </c>
      <c r="U85" s="1">
        <v>456370</v>
      </c>
      <c r="V85" s="1">
        <v>456580</v>
      </c>
      <c r="W85" s="1">
        <v>456800</v>
      </c>
      <c r="X85" s="1">
        <v>457000</v>
      </c>
      <c r="Y85" s="1">
        <v>457150</v>
      </c>
      <c r="Z85" s="1">
        <v>457570</v>
      </c>
      <c r="AA85" s="5">
        <f>AVERAGE(B85:Y85)</f>
        <v>454915</v>
      </c>
      <c r="AB85" s="5">
        <f>(AA86-AA84)/2</f>
        <v>4888.3333333333139</v>
      </c>
      <c r="AC85" s="14">
        <f>AB85/(23+AB151)</f>
        <v>195.83981631938858</v>
      </c>
      <c r="AD85" s="5">
        <f>AA85-AA84</f>
        <v>4895.8333333333139</v>
      </c>
      <c r="AE85" s="1">
        <f>AD85-AD84</f>
        <v>21.666666666627862</v>
      </c>
      <c r="AG85" s="5">
        <f>Z85-Y85</f>
        <v>420</v>
      </c>
      <c r="AI85" s="1">
        <f>C85-B85</f>
        <v>190</v>
      </c>
      <c r="AJ85" s="1">
        <f>D85-C85</f>
        <v>240</v>
      </c>
      <c r="AK85" s="1">
        <f>E85-D85</f>
        <v>180</v>
      </c>
      <c r="AL85" s="1">
        <f>F85-E85</f>
        <v>250</v>
      </c>
      <c r="AM85" s="1">
        <f>G85-F85</f>
        <v>130</v>
      </c>
      <c r="AN85" s="1">
        <f>H85-G85</f>
        <v>160</v>
      </c>
      <c r="AO85" s="1">
        <f>I85-H85</f>
        <v>190</v>
      </c>
      <c r="AP85" s="1">
        <f>J85-I85</f>
        <v>270</v>
      </c>
      <c r="AQ85" s="1">
        <f>K85-J85</f>
        <v>220</v>
      </c>
      <c r="AR85" s="1">
        <f>L85-K85</f>
        <v>130</v>
      </c>
      <c r="AS85" s="1">
        <f>M85-L85</f>
        <v>210</v>
      </c>
      <c r="AT85" s="1">
        <f>N85-M85</f>
        <v>160</v>
      </c>
      <c r="AU85" s="1">
        <f>O85-N85</f>
        <v>200</v>
      </c>
      <c r="AV85" s="1">
        <f>P85-O85</f>
        <v>140</v>
      </c>
      <c r="AW85" s="1">
        <f>Q85-P85</f>
        <v>240</v>
      </c>
      <c r="AX85" s="1">
        <f>R85-Q85</f>
        <v>200</v>
      </c>
      <c r="AY85" s="1">
        <f>S85-R85</f>
        <v>210</v>
      </c>
      <c r="AZ85" s="1">
        <f>T85-S85</f>
        <v>190</v>
      </c>
      <c r="BA85" s="1">
        <f>U85-T85</f>
        <v>200</v>
      </c>
      <c r="BB85" s="1">
        <f>V85-U85</f>
        <v>210</v>
      </c>
      <c r="BC85" s="1">
        <f>W85-V85</f>
        <v>220</v>
      </c>
      <c r="BD85" s="1">
        <f>X85-W85</f>
        <v>200</v>
      </c>
      <c r="BE85" s="1">
        <f>Y85-X85</f>
        <v>150</v>
      </c>
      <c r="BF85" s="1">
        <f>Z85-Y85</f>
        <v>420</v>
      </c>
    </row>
    <row r="86" spans="1:58">
      <c r="A86" s="1">
        <v>84</v>
      </c>
      <c r="B86" s="1">
        <v>457570</v>
      </c>
      <c r="C86" s="1">
        <v>457760</v>
      </c>
      <c r="D86" s="1">
        <v>457970</v>
      </c>
      <c r="E86" s="1">
        <v>458200</v>
      </c>
      <c r="F86" s="1">
        <v>458370</v>
      </c>
      <c r="G86" s="1">
        <v>458540</v>
      </c>
      <c r="H86" s="1">
        <v>458690</v>
      </c>
      <c r="I86" s="1">
        <v>458880</v>
      </c>
      <c r="J86" s="1">
        <v>459090</v>
      </c>
      <c r="K86" s="1">
        <v>459260</v>
      </c>
      <c r="L86" s="1">
        <v>459480</v>
      </c>
      <c r="M86" s="1">
        <v>459720</v>
      </c>
      <c r="N86" s="1">
        <v>459920</v>
      </c>
      <c r="O86" s="1">
        <v>460100</v>
      </c>
      <c r="P86" s="1">
        <v>460280</v>
      </c>
      <c r="Q86" s="1">
        <v>460480</v>
      </c>
      <c r="R86" s="1">
        <v>460670</v>
      </c>
      <c r="S86" s="1">
        <v>460850</v>
      </c>
      <c r="T86" s="1">
        <v>461080</v>
      </c>
      <c r="U86" s="1">
        <v>461240</v>
      </c>
      <c r="V86" s="1">
        <v>461410</v>
      </c>
      <c r="W86" s="1">
        <v>461640</v>
      </c>
      <c r="X86" s="1">
        <v>461870</v>
      </c>
      <c r="Y86" s="1">
        <v>462030</v>
      </c>
      <c r="Z86" s="1">
        <v>462430</v>
      </c>
      <c r="AA86" s="5">
        <f>AVERAGE(B86:Y86)</f>
        <v>459795.83333333331</v>
      </c>
      <c r="AB86" s="5">
        <f>(AA87-AA85)/2</f>
        <v>4877.916666666657</v>
      </c>
      <c r="AC86" s="14">
        <f>AB86/(23+AB151)</f>
        <v>195.42249656078133</v>
      </c>
      <c r="AD86" s="5">
        <f>AA86-AA85</f>
        <v>4880.8333333333139</v>
      </c>
      <c r="AE86" s="1">
        <f>AD86-AD85</f>
        <v>-15</v>
      </c>
      <c r="AG86" s="5">
        <f>Z86-Y86</f>
        <v>400</v>
      </c>
      <c r="AI86" s="1">
        <f>C86-B86</f>
        <v>190</v>
      </c>
      <c r="AJ86" s="1">
        <f>D86-C86</f>
        <v>210</v>
      </c>
      <c r="AK86" s="1">
        <f>E86-D86</f>
        <v>230</v>
      </c>
      <c r="AL86" s="1">
        <f>F86-E86</f>
        <v>170</v>
      </c>
      <c r="AM86" s="1">
        <f>G86-F86</f>
        <v>170</v>
      </c>
      <c r="AN86" s="1">
        <f>H86-G86</f>
        <v>150</v>
      </c>
      <c r="AO86" s="1">
        <f>I86-H86</f>
        <v>190</v>
      </c>
      <c r="AP86" s="1">
        <f>J86-I86</f>
        <v>210</v>
      </c>
      <c r="AQ86" s="1">
        <f>K86-J86</f>
        <v>170</v>
      </c>
      <c r="AR86" s="1">
        <f>L86-K86</f>
        <v>220</v>
      </c>
      <c r="AS86" s="1">
        <f>M86-L86</f>
        <v>240</v>
      </c>
      <c r="AT86" s="1">
        <f>N86-M86</f>
        <v>200</v>
      </c>
      <c r="AU86" s="1">
        <f>O86-N86</f>
        <v>180</v>
      </c>
      <c r="AV86" s="1">
        <f>P86-O86</f>
        <v>180</v>
      </c>
      <c r="AW86" s="1">
        <f>Q86-P86</f>
        <v>200</v>
      </c>
      <c r="AX86" s="1">
        <f>R86-Q86</f>
        <v>190</v>
      </c>
      <c r="AY86" s="1">
        <f>S86-R86</f>
        <v>180</v>
      </c>
      <c r="AZ86" s="1">
        <f>T86-S86</f>
        <v>230</v>
      </c>
      <c r="BA86" s="1">
        <f>U86-T86</f>
        <v>160</v>
      </c>
      <c r="BB86" s="1">
        <f>V86-U86</f>
        <v>170</v>
      </c>
      <c r="BC86" s="1">
        <f>W86-V86</f>
        <v>230</v>
      </c>
      <c r="BD86" s="1">
        <f>X86-W86</f>
        <v>230</v>
      </c>
      <c r="BE86" s="1">
        <f>Y86-X86</f>
        <v>160</v>
      </c>
      <c r="BF86" s="1">
        <f>Z86-Y86</f>
        <v>400</v>
      </c>
    </row>
    <row r="87" spans="1:58">
      <c r="A87" s="1">
        <v>85</v>
      </c>
      <c r="B87" s="1">
        <v>462430</v>
      </c>
      <c r="C87" s="1">
        <v>462630</v>
      </c>
      <c r="D87" s="1">
        <v>462830</v>
      </c>
      <c r="E87" s="1">
        <v>463020</v>
      </c>
      <c r="F87" s="1">
        <v>463210</v>
      </c>
      <c r="G87" s="1">
        <v>463410</v>
      </c>
      <c r="H87" s="1">
        <v>463550</v>
      </c>
      <c r="I87" s="1">
        <v>463800</v>
      </c>
      <c r="J87" s="1">
        <v>463960</v>
      </c>
      <c r="K87" s="1">
        <v>464170</v>
      </c>
      <c r="L87" s="1">
        <v>464410</v>
      </c>
      <c r="M87" s="1">
        <v>464580</v>
      </c>
      <c r="N87" s="1">
        <v>464750</v>
      </c>
      <c r="O87" s="1">
        <v>464960</v>
      </c>
      <c r="P87" s="1">
        <v>465190</v>
      </c>
      <c r="Q87" s="1">
        <v>465360</v>
      </c>
      <c r="R87" s="1">
        <v>465550</v>
      </c>
      <c r="S87" s="1">
        <v>465740</v>
      </c>
      <c r="T87" s="1">
        <v>465930</v>
      </c>
      <c r="U87" s="1">
        <v>466150</v>
      </c>
      <c r="V87" s="1">
        <v>466300</v>
      </c>
      <c r="W87" s="1">
        <v>466510</v>
      </c>
      <c r="X87" s="1">
        <v>466700</v>
      </c>
      <c r="Y87" s="1">
        <v>466960</v>
      </c>
      <c r="Z87" s="1">
        <v>467290</v>
      </c>
      <c r="AA87" s="5">
        <f>AVERAGE(B87:Y87)</f>
        <v>464670.83333333331</v>
      </c>
      <c r="AB87" s="5">
        <f>(AA88-AA86)/2</f>
        <v>4871.0416666666861</v>
      </c>
      <c r="AC87" s="14">
        <f>AB87/(23+AB151)</f>
        <v>195.14706552010145</v>
      </c>
      <c r="AD87" s="5">
        <f>AA87-AA86</f>
        <v>4875</v>
      </c>
      <c r="AE87" s="1">
        <f>AD87-AD86</f>
        <v>-5.8333333333139308</v>
      </c>
      <c r="AG87" s="5">
        <f>Z87-Y87</f>
        <v>330</v>
      </c>
      <c r="AI87" s="1">
        <f>C87-B87</f>
        <v>200</v>
      </c>
      <c r="AJ87" s="1">
        <f>D87-C87</f>
        <v>200</v>
      </c>
      <c r="AK87" s="1">
        <f>E87-D87</f>
        <v>190</v>
      </c>
      <c r="AL87" s="1">
        <f>F87-E87</f>
        <v>190</v>
      </c>
      <c r="AM87" s="1">
        <f>G87-F87</f>
        <v>200</v>
      </c>
      <c r="AN87" s="1">
        <f>H87-G87</f>
        <v>140</v>
      </c>
      <c r="AO87" s="1">
        <f>I87-H87</f>
        <v>250</v>
      </c>
      <c r="AP87" s="1">
        <f>J87-I87</f>
        <v>160</v>
      </c>
      <c r="AQ87" s="1">
        <f>K87-J87</f>
        <v>210</v>
      </c>
      <c r="AR87" s="1">
        <f>L87-K87</f>
        <v>240</v>
      </c>
      <c r="AS87" s="1">
        <f>M87-L87</f>
        <v>170</v>
      </c>
      <c r="AT87" s="1">
        <f>N87-M87</f>
        <v>170</v>
      </c>
      <c r="AU87" s="1">
        <f>O87-N87</f>
        <v>210</v>
      </c>
      <c r="AV87" s="1">
        <f>P87-O87</f>
        <v>230</v>
      </c>
      <c r="AW87" s="1">
        <f>Q87-P87</f>
        <v>170</v>
      </c>
      <c r="AX87" s="1">
        <f>R87-Q87</f>
        <v>190</v>
      </c>
      <c r="AY87" s="1">
        <f>S87-R87</f>
        <v>190</v>
      </c>
      <c r="AZ87" s="1">
        <f>T87-S87</f>
        <v>190</v>
      </c>
      <c r="BA87" s="1">
        <f>U87-T87</f>
        <v>220</v>
      </c>
      <c r="BB87" s="1">
        <f>V87-U87</f>
        <v>150</v>
      </c>
      <c r="BC87" s="1">
        <f>W87-V87</f>
        <v>210</v>
      </c>
      <c r="BD87" s="1">
        <f>X87-W87</f>
        <v>190</v>
      </c>
      <c r="BE87" s="1">
        <f>Y87-X87</f>
        <v>260</v>
      </c>
      <c r="BF87" s="1">
        <f>Z87-Y87</f>
        <v>330</v>
      </c>
    </row>
    <row r="88" spans="1:58">
      <c r="A88" s="1">
        <v>86</v>
      </c>
      <c r="B88" s="1">
        <v>467290</v>
      </c>
      <c r="C88" s="1">
        <v>467500</v>
      </c>
      <c r="D88" s="1">
        <v>467710</v>
      </c>
      <c r="E88" s="1">
        <v>467890</v>
      </c>
      <c r="F88" s="1">
        <v>468070</v>
      </c>
      <c r="G88" s="1">
        <v>468280</v>
      </c>
      <c r="H88" s="1">
        <v>468480</v>
      </c>
      <c r="I88" s="1">
        <v>468710</v>
      </c>
      <c r="J88" s="1">
        <v>468850</v>
      </c>
      <c r="K88" s="1">
        <v>469050</v>
      </c>
      <c r="L88" s="1">
        <v>469250</v>
      </c>
      <c r="M88" s="1">
        <v>469470</v>
      </c>
      <c r="N88" s="1">
        <v>469590</v>
      </c>
      <c r="O88" s="1">
        <v>469820</v>
      </c>
      <c r="P88" s="1">
        <v>470030</v>
      </c>
      <c r="Q88" s="1">
        <v>470230</v>
      </c>
      <c r="R88" s="1">
        <v>470390</v>
      </c>
      <c r="S88" s="1">
        <v>470580</v>
      </c>
      <c r="T88" s="1">
        <v>470750</v>
      </c>
      <c r="U88" s="1">
        <v>470990</v>
      </c>
      <c r="V88" s="1">
        <v>471170</v>
      </c>
      <c r="W88" s="1">
        <v>471390</v>
      </c>
      <c r="X88" s="1">
        <v>471560</v>
      </c>
      <c r="Y88" s="1">
        <v>471860</v>
      </c>
      <c r="Z88" s="1">
        <v>472150</v>
      </c>
      <c r="AA88" s="5">
        <f>AVERAGE(B88:Y88)</f>
        <v>469537.91666666669</v>
      </c>
      <c r="AB88" s="5">
        <f>(AA89-AA87)/2</f>
        <v>4843.5416666666861</v>
      </c>
      <c r="AC88" s="14">
        <f>AB88/(23+AB151)</f>
        <v>194.04534135737731</v>
      </c>
      <c r="AD88" s="5">
        <f>AA88-AA87</f>
        <v>4867.0833333333721</v>
      </c>
      <c r="AE88" s="1">
        <f>AD88-AD87</f>
        <v>-7.9166666666278616</v>
      </c>
      <c r="AG88" s="5">
        <f>Z88-Y88</f>
        <v>290</v>
      </c>
      <c r="AI88" s="1">
        <f>C88-B88</f>
        <v>210</v>
      </c>
      <c r="AJ88" s="1">
        <f>D88-C88</f>
        <v>210</v>
      </c>
      <c r="AK88" s="1">
        <f>E88-D88</f>
        <v>180</v>
      </c>
      <c r="AL88" s="1">
        <f>F88-E88</f>
        <v>180</v>
      </c>
      <c r="AM88" s="1">
        <f>G88-F88</f>
        <v>210</v>
      </c>
      <c r="AN88" s="1">
        <f>H88-G88</f>
        <v>200</v>
      </c>
      <c r="AO88" s="1">
        <f>I88-H88</f>
        <v>230</v>
      </c>
      <c r="AP88" s="1">
        <f>J88-I88</f>
        <v>140</v>
      </c>
      <c r="AQ88" s="1">
        <f>K88-J88</f>
        <v>200</v>
      </c>
      <c r="AR88" s="1">
        <f>L88-K88</f>
        <v>200</v>
      </c>
      <c r="AS88" s="1">
        <f>M88-L88</f>
        <v>220</v>
      </c>
      <c r="AT88" s="1">
        <f>N88-M88</f>
        <v>120</v>
      </c>
      <c r="AU88" s="1">
        <f>O88-N88</f>
        <v>230</v>
      </c>
      <c r="AV88" s="1">
        <f>P88-O88</f>
        <v>210</v>
      </c>
      <c r="AW88" s="1">
        <f>Q88-P88</f>
        <v>200</v>
      </c>
      <c r="AX88" s="1">
        <f>R88-Q88</f>
        <v>160</v>
      </c>
      <c r="AY88" s="1">
        <f>S88-R88</f>
        <v>190</v>
      </c>
      <c r="AZ88" s="1">
        <f>T88-S88</f>
        <v>170</v>
      </c>
      <c r="BA88" s="1">
        <f>U88-T88</f>
        <v>240</v>
      </c>
      <c r="BB88" s="1">
        <f>V88-U88</f>
        <v>180</v>
      </c>
      <c r="BC88" s="1">
        <f>W88-V88</f>
        <v>220</v>
      </c>
      <c r="BD88" s="1">
        <f>X88-W88</f>
        <v>170</v>
      </c>
      <c r="BE88" s="1">
        <f>Y88-X88</f>
        <v>300</v>
      </c>
      <c r="BF88" s="1">
        <f>Z88-Y88</f>
        <v>290</v>
      </c>
    </row>
    <row r="89" spans="1:58">
      <c r="A89" s="1">
        <v>87</v>
      </c>
      <c r="B89" s="1">
        <v>472150</v>
      </c>
      <c r="C89" s="1">
        <v>472330</v>
      </c>
      <c r="D89" s="1">
        <v>472540</v>
      </c>
      <c r="E89" s="1">
        <v>472720</v>
      </c>
      <c r="F89" s="1">
        <v>472870</v>
      </c>
      <c r="G89" s="1">
        <v>473080</v>
      </c>
      <c r="H89" s="1">
        <v>473240</v>
      </c>
      <c r="I89" s="1">
        <v>473440</v>
      </c>
      <c r="J89" s="1">
        <v>473670</v>
      </c>
      <c r="K89" s="1">
        <v>473910</v>
      </c>
      <c r="L89" s="1">
        <v>474100</v>
      </c>
      <c r="M89" s="1">
        <v>474270</v>
      </c>
      <c r="N89" s="1">
        <v>474490</v>
      </c>
      <c r="O89" s="1">
        <v>474740</v>
      </c>
      <c r="P89" s="1">
        <v>474870</v>
      </c>
      <c r="Q89" s="1">
        <v>475050</v>
      </c>
      <c r="R89" s="1">
        <v>475180</v>
      </c>
      <c r="S89" s="1">
        <v>475400</v>
      </c>
      <c r="T89" s="1">
        <v>475600</v>
      </c>
      <c r="U89" s="1">
        <v>475810</v>
      </c>
      <c r="V89" s="1">
        <v>475950</v>
      </c>
      <c r="W89" s="1">
        <v>476210</v>
      </c>
      <c r="X89" s="1">
        <v>476380</v>
      </c>
      <c r="Y89" s="1">
        <v>476590</v>
      </c>
      <c r="Z89" s="1">
        <v>477030</v>
      </c>
      <c r="AA89" s="5">
        <f>AVERAGE(B89:Y89)</f>
        <v>474357.91666666669</v>
      </c>
      <c r="AB89" s="5">
        <f>(AA90-AA88)/2</f>
        <v>4832.5</v>
      </c>
      <c r="AC89" s="14">
        <f>AB89/(23+AB151)</f>
        <v>193.60298241325245</v>
      </c>
      <c r="AD89" s="5">
        <f>AA89-AA88</f>
        <v>4820</v>
      </c>
      <c r="AE89" s="1">
        <f>AD89-AD88</f>
        <v>-47.083333333372138</v>
      </c>
      <c r="AG89" s="5">
        <f>Z89-Y89</f>
        <v>440</v>
      </c>
      <c r="AI89" s="1">
        <f>C89-B89</f>
        <v>180</v>
      </c>
      <c r="AJ89" s="1">
        <f>D89-C89</f>
        <v>210</v>
      </c>
      <c r="AK89" s="1">
        <f>E89-D89</f>
        <v>180</v>
      </c>
      <c r="AL89" s="1">
        <f>F89-E89</f>
        <v>150</v>
      </c>
      <c r="AM89" s="1">
        <f>G89-F89</f>
        <v>210</v>
      </c>
      <c r="AN89" s="1">
        <f>H89-G89</f>
        <v>160</v>
      </c>
      <c r="AO89" s="1">
        <f>I89-H89</f>
        <v>200</v>
      </c>
      <c r="AP89" s="1">
        <f>J89-I89</f>
        <v>230</v>
      </c>
      <c r="AQ89" s="1">
        <f>K89-J89</f>
        <v>240</v>
      </c>
      <c r="AR89" s="1">
        <f>L89-K89</f>
        <v>190</v>
      </c>
      <c r="AS89" s="1">
        <f>M89-L89</f>
        <v>170</v>
      </c>
      <c r="AT89" s="1">
        <f>N89-M89</f>
        <v>220</v>
      </c>
      <c r="AU89" s="1">
        <f>O89-N89</f>
        <v>250</v>
      </c>
      <c r="AV89" s="1">
        <f>P89-O89</f>
        <v>130</v>
      </c>
      <c r="AW89" s="1">
        <f>Q89-P89</f>
        <v>180</v>
      </c>
      <c r="AX89" s="1">
        <f>R89-Q89</f>
        <v>130</v>
      </c>
      <c r="AY89" s="1">
        <f>S89-R89</f>
        <v>220</v>
      </c>
      <c r="AZ89" s="1">
        <f>T89-S89</f>
        <v>200</v>
      </c>
      <c r="BA89" s="1">
        <f>U89-T89</f>
        <v>210</v>
      </c>
      <c r="BB89" s="1">
        <f>V89-U89</f>
        <v>140</v>
      </c>
      <c r="BC89" s="1">
        <f>W89-V89</f>
        <v>260</v>
      </c>
      <c r="BD89" s="1">
        <f>X89-W89</f>
        <v>170</v>
      </c>
      <c r="BE89" s="1">
        <f>Y89-X89</f>
        <v>210</v>
      </c>
      <c r="BF89" s="1">
        <f>Z89-Y89</f>
        <v>440</v>
      </c>
    </row>
    <row r="90" spans="1:58">
      <c r="A90" s="1">
        <v>88</v>
      </c>
      <c r="B90" s="1">
        <v>477030</v>
      </c>
      <c r="C90" s="1">
        <v>477200</v>
      </c>
      <c r="D90" s="1">
        <v>477370</v>
      </c>
      <c r="E90" s="1">
        <v>477570</v>
      </c>
      <c r="F90" s="1">
        <v>477740</v>
      </c>
      <c r="G90" s="1">
        <v>477940</v>
      </c>
      <c r="H90" s="1">
        <v>478130</v>
      </c>
      <c r="I90" s="1">
        <v>478340</v>
      </c>
      <c r="J90" s="1">
        <v>478550</v>
      </c>
      <c r="K90" s="1">
        <v>478670</v>
      </c>
      <c r="L90" s="1">
        <v>478910</v>
      </c>
      <c r="M90" s="1">
        <v>479110</v>
      </c>
      <c r="N90" s="1">
        <v>479320</v>
      </c>
      <c r="O90" s="1">
        <v>479520</v>
      </c>
      <c r="P90" s="1">
        <v>479680</v>
      </c>
      <c r="Q90" s="1">
        <v>479890</v>
      </c>
      <c r="R90" s="1">
        <v>480070</v>
      </c>
      <c r="S90" s="1">
        <v>480270</v>
      </c>
      <c r="T90" s="1">
        <v>480460</v>
      </c>
      <c r="U90" s="1">
        <v>480610</v>
      </c>
      <c r="V90" s="1">
        <v>480850</v>
      </c>
      <c r="W90" s="1">
        <v>481060</v>
      </c>
      <c r="X90" s="1">
        <v>481200</v>
      </c>
      <c r="Y90" s="1">
        <v>481380</v>
      </c>
      <c r="Z90" s="1">
        <v>481830</v>
      </c>
      <c r="AA90" s="5">
        <f>AVERAGE(B90:Y90)</f>
        <v>479202.91666666669</v>
      </c>
      <c r="AB90" s="5">
        <f>(AA91-AA89)/2</f>
        <v>4841.666666666657</v>
      </c>
      <c r="AC90" s="14">
        <f>AB90/(23+AB151)</f>
        <v>193.97022380082677</v>
      </c>
      <c r="AD90" s="5">
        <f>AA90-AA89</f>
        <v>4845</v>
      </c>
      <c r="AE90" s="1">
        <f>AD90-AD89</f>
        <v>25</v>
      </c>
      <c r="AG90" s="5">
        <f>Z90-Y90</f>
        <v>450</v>
      </c>
      <c r="AI90" s="1">
        <f>C90-B90</f>
        <v>170</v>
      </c>
      <c r="AJ90" s="1">
        <f>D90-C90</f>
        <v>170</v>
      </c>
      <c r="AK90" s="1">
        <f>E90-D90</f>
        <v>200</v>
      </c>
      <c r="AL90" s="1">
        <f>F90-E90</f>
        <v>170</v>
      </c>
      <c r="AM90" s="1">
        <f>G90-F90</f>
        <v>200</v>
      </c>
      <c r="AN90" s="1">
        <f>H90-G90</f>
        <v>190</v>
      </c>
      <c r="AO90" s="1">
        <f>I90-H90</f>
        <v>210</v>
      </c>
      <c r="AP90" s="1">
        <f>J90-I90</f>
        <v>210</v>
      </c>
      <c r="AQ90" s="1">
        <f>K90-J90</f>
        <v>120</v>
      </c>
      <c r="AR90" s="1">
        <f>L90-K90</f>
        <v>240</v>
      </c>
      <c r="AS90" s="1">
        <f>M90-L90</f>
        <v>200</v>
      </c>
      <c r="AT90" s="1">
        <f>N90-M90</f>
        <v>210</v>
      </c>
      <c r="AU90" s="1">
        <f>O90-N90</f>
        <v>200</v>
      </c>
      <c r="AV90" s="1">
        <f>P90-O90</f>
        <v>160</v>
      </c>
      <c r="AW90" s="1">
        <f>Q90-P90</f>
        <v>210</v>
      </c>
      <c r="AX90" s="1">
        <f>R90-Q90</f>
        <v>180</v>
      </c>
      <c r="AY90" s="1">
        <f>S90-R90</f>
        <v>200</v>
      </c>
      <c r="AZ90" s="1">
        <f>T90-S90</f>
        <v>190</v>
      </c>
      <c r="BA90" s="1">
        <f>U90-T90</f>
        <v>150</v>
      </c>
      <c r="BB90" s="1">
        <f>V90-U90</f>
        <v>240</v>
      </c>
      <c r="BC90" s="1">
        <f>W90-V90</f>
        <v>210</v>
      </c>
      <c r="BD90" s="1">
        <f>X90-W90</f>
        <v>140</v>
      </c>
      <c r="BE90" s="1">
        <f>Y90-X90</f>
        <v>180</v>
      </c>
      <c r="BF90" s="1">
        <f>Z90-Y90</f>
        <v>450</v>
      </c>
    </row>
    <row r="91" spans="1:58">
      <c r="A91" s="1">
        <v>89</v>
      </c>
      <c r="B91" s="1">
        <v>481830</v>
      </c>
      <c r="C91" s="1">
        <v>482030</v>
      </c>
      <c r="D91" s="1">
        <v>482190</v>
      </c>
      <c r="E91" s="1">
        <v>482390</v>
      </c>
      <c r="F91" s="1">
        <v>482580</v>
      </c>
      <c r="G91" s="1">
        <v>482780</v>
      </c>
      <c r="H91" s="1">
        <v>482950</v>
      </c>
      <c r="I91" s="1">
        <v>483200</v>
      </c>
      <c r="J91" s="1">
        <v>483380</v>
      </c>
      <c r="K91" s="1">
        <v>483520</v>
      </c>
      <c r="L91" s="1">
        <v>483730</v>
      </c>
      <c r="M91" s="1">
        <v>483950</v>
      </c>
      <c r="N91" s="1">
        <v>484190</v>
      </c>
      <c r="O91" s="1">
        <v>484360</v>
      </c>
      <c r="P91" s="1">
        <v>484530</v>
      </c>
      <c r="Q91" s="1">
        <v>484740</v>
      </c>
      <c r="R91" s="1">
        <v>484910</v>
      </c>
      <c r="S91" s="1">
        <v>485100</v>
      </c>
      <c r="T91" s="1">
        <v>485280</v>
      </c>
      <c r="U91" s="1">
        <v>485510</v>
      </c>
      <c r="V91" s="1">
        <v>485660</v>
      </c>
      <c r="W91" s="1">
        <v>485870</v>
      </c>
      <c r="X91" s="1">
        <v>486070</v>
      </c>
      <c r="Y91" s="1">
        <v>486240</v>
      </c>
      <c r="Z91" s="1">
        <v>486690</v>
      </c>
      <c r="AA91" s="5">
        <f>AVERAGE(B91:Y91)</f>
        <v>484041.25</v>
      </c>
      <c r="AB91" s="5">
        <f>(AA92-AA90)/2</f>
        <v>4849.5833333333139</v>
      </c>
      <c r="AC91" s="14">
        <f>AB91/(23+AB151)</f>
        <v>194.2873868173682</v>
      </c>
      <c r="AD91" s="5">
        <f>AA91-AA90</f>
        <v>4838.3333333333139</v>
      </c>
      <c r="AE91" s="1">
        <f>AD91-AD90</f>
        <v>-6.6666666666860692</v>
      </c>
      <c r="AG91" s="5">
        <f>Z91-Y91</f>
        <v>450</v>
      </c>
      <c r="AI91" s="1">
        <f>C91-B91</f>
        <v>200</v>
      </c>
      <c r="AJ91" s="1">
        <f>D91-C91</f>
        <v>160</v>
      </c>
      <c r="AK91" s="1">
        <f>E91-D91</f>
        <v>200</v>
      </c>
      <c r="AL91" s="1">
        <f>F91-E91</f>
        <v>190</v>
      </c>
      <c r="AM91" s="1">
        <f>G91-F91</f>
        <v>200</v>
      </c>
      <c r="AN91" s="1">
        <f>H91-G91</f>
        <v>170</v>
      </c>
      <c r="AO91" s="1">
        <f>I91-H91</f>
        <v>250</v>
      </c>
      <c r="AP91" s="1">
        <f>J91-I91</f>
        <v>180</v>
      </c>
      <c r="AQ91" s="1">
        <f>K91-J91</f>
        <v>140</v>
      </c>
      <c r="AR91" s="1">
        <f>L91-K91</f>
        <v>210</v>
      </c>
      <c r="AS91" s="1">
        <f>M91-L91</f>
        <v>220</v>
      </c>
      <c r="AT91" s="1">
        <f>N91-M91</f>
        <v>240</v>
      </c>
      <c r="AU91" s="1">
        <f>O91-N91</f>
        <v>170</v>
      </c>
      <c r="AV91" s="1">
        <f>P91-O91</f>
        <v>170</v>
      </c>
      <c r="AW91" s="1">
        <f>Q91-P91</f>
        <v>210</v>
      </c>
      <c r="AX91" s="1">
        <f>R91-Q91</f>
        <v>170</v>
      </c>
      <c r="AY91" s="1">
        <f>S91-R91</f>
        <v>190</v>
      </c>
      <c r="AZ91" s="1">
        <f>T91-S91</f>
        <v>180</v>
      </c>
      <c r="BA91" s="1">
        <f>U91-T91</f>
        <v>230</v>
      </c>
      <c r="BB91" s="1">
        <f>V91-U91</f>
        <v>150</v>
      </c>
      <c r="BC91" s="1">
        <f>W91-V91</f>
        <v>210</v>
      </c>
      <c r="BD91" s="1">
        <f>X91-W91</f>
        <v>200</v>
      </c>
      <c r="BE91" s="1">
        <f>Y91-X91</f>
        <v>170</v>
      </c>
      <c r="BF91" s="1">
        <f>Z91-Y91</f>
        <v>450</v>
      </c>
    </row>
    <row r="92" spans="1:58">
      <c r="A92" s="1">
        <v>90</v>
      </c>
      <c r="B92" s="1">
        <v>486690</v>
      </c>
      <c r="C92" s="1">
        <v>486890</v>
      </c>
      <c r="D92" s="1">
        <v>487070</v>
      </c>
      <c r="E92" s="1">
        <v>487280</v>
      </c>
      <c r="F92" s="1">
        <v>487460</v>
      </c>
      <c r="G92" s="1">
        <v>487640</v>
      </c>
      <c r="H92" s="1">
        <v>487840</v>
      </c>
      <c r="I92" s="1">
        <v>488030</v>
      </c>
      <c r="J92" s="1">
        <v>488230</v>
      </c>
      <c r="K92" s="1">
        <v>488380</v>
      </c>
      <c r="L92" s="1">
        <v>488540</v>
      </c>
      <c r="M92" s="1">
        <v>488790</v>
      </c>
      <c r="N92" s="1">
        <v>488970</v>
      </c>
      <c r="O92" s="1">
        <v>489210</v>
      </c>
      <c r="P92" s="1">
        <v>489400</v>
      </c>
      <c r="Q92" s="1">
        <v>489610</v>
      </c>
      <c r="R92" s="1">
        <v>489800</v>
      </c>
      <c r="S92" s="1">
        <v>489990</v>
      </c>
      <c r="T92" s="1">
        <v>490160</v>
      </c>
      <c r="U92" s="1">
        <v>490390</v>
      </c>
      <c r="V92" s="1">
        <v>490510</v>
      </c>
      <c r="W92" s="1">
        <v>490720</v>
      </c>
      <c r="X92" s="1">
        <v>490910</v>
      </c>
      <c r="Y92" s="1">
        <v>491140</v>
      </c>
      <c r="Z92" s="1">
        <v>491530</v>
      </c>
      <c r="AA92" s="5">
        <f>AVERAGE(B92:Y92)</f>
        <v>488902.08333333331</v>
      </c>
      <c r="AB92" s="5">
        <f>(AA93-AA91)/2</f>
        <v>4855.208333333343</v>
      </c>
      <c r="AC92" s="14">
        <f>AB92/(23+AB151)</f>
        <v>194.51273948701748</v>
      </c>
      <c r="AD92" s="5">
        <f>AA92-AA91</f>
        <v>4860.8333333333139</v>
      </c>
      <c r="AE92" s="1">
        <f>AD92-AD91</f>
        <v>22.5</v>
      </c>
      <c r="AG92" s="5">
        <f>Z92-Y92</f>
        <v>390</v>
      </c>
      <c r="AI92" s="1">
        <f>C92-B92</f>
        <v>200</v>
      </c>
      <c r="AJ92" s="1">
        <f>D92-C92</f>
        <v>180</v>
      </c>
      <c r="AK92" s="1">
        <f>E92-D92</f>
        <v>210</v>
      </c>
      <c r="AL92" s="1">
        <f>F92-E92</f>
        <v>180</v>
      </c>
      <c r="AM92" s="1">
        <f>G92-F92</f>
        <v>180</v>
      </c>
      <c r="AN92" s="1">
        <f>H92-G92</f>
        <v>200</v>
      </c>
      <c r="AO92" s="1">
        <f>I92-H92</f>
        <v>190</v>
      </c>
      <c r="AP92" s="1">
        <f>J92-I92</f>
        <v>200</v>
      </c>
      <c r="AQ92" s="1">
        <f>K92-J92</f>
        <v>150</v>
      </c>
      <c r="AR92" s="1">
        <f>L92-K92</f>
        <v>160</v>
      </c>
      <c r="AS92" s="1">
        <f>M92-L92</f>
        <v>250</v>
      </c>
      <c r="AT92" s="1">
        <f>N92-M92</f>
        <v>180</v>
      </c>
      <c r="AU92" s="1">
        <f>O92-N92</f>
        <v>240</v>
      </c>
      <c r="AV92" s="1">
        <f>P92-O92</f>
        <v>190</v>
      </c>
      <c r="AW92" s="1">
        <f>Q92-P92</f>
        <v>210</v>
      </c>
      <c r="AX92" s="1">
        <f>R92-Q92</f>
        <v>190</v>
      </c>
      <c r="AY92" s="1">
        <f>S92-R92</f>
        <v>190</v>
      </c>
      <c r="AZ92" s="1">
        <f>T92-S92</f>
        <v>170</v>
      </c>
      <c r="BA92" s="1">
        <f>U92-T92</f>
        <v>230</v>
      </c>
      <c r="BB92" s="1">
        <f>V92-U92</f>
        <v>120</v>
      </c>
      <c r="BC92" s="1">
        <f>W92-V92</f>
        <v>210</v>
      </c>
      <c r="BD92" s="1">
        <f>X92-W92</f>
        <v>190</v>
      </c>
      <c r="BE92" s="1">
        <f>Y92-X92</f>
        <v>230</v>
      </c>
      <c r="BF92" s="1">
        <f>Z92-Y92</f>
        <v>390</v>
      </c>
    </row>
    <row r="93" spans="1:58">
      <c r="A93" s="1">
        <v>91</v>
      </c>
      <c r="B93" s="1">
        <v>491530</v>
      </c>
      <c r="C93" s="1">
        <v>491710</v>
      </c>
      <c r="D93" s="1">
        <v>491920</v>
      </c>
      <c r="E93" s="1">
        <v>492110</v>
      </c>
      <c r="F93" s="1">
        <v>492310</v>
      </c>
      <c r="G93" s="1">
        <v>492550</v>
      </c>
      <c r="H93" s="1">
        <v>492730</v>
      </c>
      <c r="I93" s="1">
        <v>492900</v>
      </c>
      <c r="J93" s="1">
        <v>493090</v>
      </c>
      <c r="K93" s="1">
        <v>493230</v>
      </c>
      <c r="L93" s="1">
        <v>493430</v>
      </c>
      <c r="M93" s="1">
        <v>493600</v>
      </c>
      <c r="N93" s="1">
        <v>493830</v>
      </c>
      <c r="O93" s="1">
        <v>494070</v>
      </c>
      <c r="P93" s="1">
        <v>494190</v>
      </c>
      <c r="Q93" s="1">
        <v>494430</v>
      </c>
      <c r="R93" s="1">
        <v>494650</v>
      </c>
      <c r="S93" s="1">
        <v>494870</v>
      </c>
      <c r="T93" s="1">
        <v>495040</v>
      </c>
      <c r="U93" s="1">
        <v>495190</v>
      </c>
      <c r="V93" s="1">
        <v>495350</v>
      </c>
      <c r="W93" s="1">
        <v>495570</v>
      </c>
      <c r="X93" s="1">
        <v>495750</v>
      </c>
      <c r="Y93" s="1">
        <v>495990</v>
      </c>
      <c r="Z93" s="1">
        <v>496400</v>
      </c>
      <c r="AA93" s="5">
        <f>AVERAGE(B93:Y93)</f>
        <v>493751.66666666669</v>
      </c>
      <c r="AB93" s="5">
        <f>(AA94-AA92)/2</f>
        <v>4853.75</v>
      </c>
      <c r="AC93" s="14">
        <f>AB93/(23+AB151)</f>
        <v>194.45431472081202</v>
      </c>
      <c r="AD93" s="5">
        <f>AA93-AA92</f>
        <v>4849.5833333333721</v>
      </c>
      <c r="AE93" s="1">
        <f>AD93-AD92</f>
        <v>-11.249999999941792</v>
      </c>
      <c r="AG93" s="5">
        <f>Z93-Y93</f>
        <v>410</v>
      </c>
      <c r="AI93" s="1">
        <f>C93-B93</f>
        <v>180</v>
      </c>
      <c r="AJ93" s="1">
        <f>D93-C93</f>
        <v>210</v>
      </c>
      <c r="AK93" s="1">
        <f>E93-D93</f>
        <v>190</v>
      </c>
      <c r="AL93" s="1">
        <f>F93-E93</f>
        <v>200</v>
      </c>
      <c r="AM93" s="1">
        <f>G93-F93</f>
        <v>240</v>
      </c>
      <c r="AN93" s="1">
        <f>H93-G93</f>
        <v>180</v>
      </c>
      <c r="AO93" s="1">
        <f>I93-H93</f>
        <v>170</v>
      </c>
      <c r="AP93" s="1">
        <f>J93-I93</f>
        <v>190</v>
      </c>
      <c r="AQ93" s="1">
        <f>K93-J93</f>
        <v>140</v>
      </c>
      <c r="AR93" s="1">
        <f>L93-K93</f>
        <v>200</v>
      </c>
      <c r="AS93" s="1">
        <f>M93-L93</f>
        <v>170</v>
      </c>
      <c r="AT93" s="1">
        <f>N93-M93</f>
        <v>230</v>
      </c>
      <c r="AU93" s="1">
        <f>O93-N93</f>
        <v>240</v>
      </c>
      <c r="AV93" s="1">
        <f>P93-O93</f>
        <v>120</v>
      </c>
      <c r="AW93" s="1">
        <f>Q93-P93</f>
        <v>240</v>
      </c>
      <c r="AX93" s="1">
        <f>R93-Q93</f>
        <v>220</v>
      </c>
      <c r="AY93" s="1">
        <f>S93-R93</f>
        <v>220</v>
      </c>
      <c r="AZ93" s="1">
        <f>T93-S93</f>
        <v>170</v>
      </c>
      <c r="BA93" s="1">
        <f>U93-T93</f>
        <v>150</v>
      </c>
      <c r="BB93" s="1">
        <f>V93-U93</f>
        <v>160</v>
      </c>
      <c r="BC93" s="1">
        <f>W93-V93</f>
        <v>220</v>
      </c>
      <c r="BD93" s="1">
        <f>X93-W93</f>
        <v>180</v>
      </c>
      <c r="BE93" s="1">
        <f>Y93-X93</f>
        <v>240</v>
      </c>
      <c r="BF93" s="1">
        <f>Z93-Y93</f>
        <v>410</v>
      </c>
    </row>
    <row r="94" spans="1:58">
      <c r="A94" s="1">
        <v>92</v>
      </c>
      <c r="B94" s="1">
        <v>496400</v>
      </c>
      <c r="C94" s="1">
        <v>496580</v>
      </c>
      <c r="D94" s="1">
        <v>496840</v>
      </c>
      <c r="E94" s="1">
        <v>496990</v>
      </c>
      <c r="F94" s="1">
        <v>497160</v>
      </c>
      <c r="G94" s="1">
        <v>497340</v>
      </c>
      <c r="H94" s="1">
        <v>497520</v>
      </c>
      <c r="I94" s="1">
        <v>497770</v>
      </c>
      <c r="J94" s="1">
        <v>497950</v>
      </c>
      <c r="K94" s="1">
        <v>498100</v>
      </c>
      <c r="L94" s="1">
        <v>498290</v>
      </c>
      <c r="M94" s="1">
        <v>498500</v>
      </c>
      <c r="N94" s="1">
        <v>498700</v>
      </c>
      <c r="O94" s="1">
        <v>498920</v>
      </c>
      <c r="P94" s="1">
        <v>499110</v>
      </c>
      <c r="Q94" s="1">
        <v>499300</v>
      </c>
      <c r="R94" s="1">
        <v>499490</v>
      </c>
      <c r="S94" s="1">
        <v>499670</v>
      </c>
      <c r="T94" s="1">
        <v>499850</v>
      </c>
      <c r="U94" s="1">
        <v>500040</v>
      </c>
      <c r="V94" s="1">
        <v>500220</v>
      </c>
      <c r="W94" s="1">
        <v>500450</v>
      </c>
      <c r="X94" s="1">
        <v>500620</v>
      </c>
      <c r="Y94" s="1">
        <v>500820</v>
      </c>
      <c r="Z94" s="1">
        <v>501210</v>
      </c>
      <c r="AA94" s="5">
        <f>AVERAGE(B94:Y94)</f>
        <v>498609.58333333331</v>
      </c>
      <c r="AB94" s="5">
        <f>(AA95-AA93)/2</f>
        <v>4846.875</v>
      </c>
      <c r="AC94" s="14">
        <f>AB94/(23+AB151)</f>
        <v>194.17888368013098</v>
      </c>
      <c r="AD94" s="5">
        <f>AA94-AA93</f>
        <v>4857.9166666666279</v>
      </c>
      <c r="AE94" s="1">
        <f>AD94-AD93</f>
        <v>8.3333333332557231</v>
      </c>
      <c r="AG94" s="5">
        <f>Z94-Y94</f>
        <v>390</v>
      </c>
      <c r="AI94" s="1">
        <f>C94-B94</f>
        <v>180</v>
      </c>
      <c r="AJ94" s="1">
        <f>D94-C94</f>
        <v>260</v>
      </c>
      <c r="AK94" s="1">
        <f>E94-D94</f>
        <v>150</v>
      </c>
      <c r="AL94" s="1">
        <f>F94-E94</f>
        <v>170</v>
      </c>
      <c r="AM94" s="1">
        <f>G94-F94</f>
        <v>180</v>
      </c>
      <c r="AN94" s="1">
        <f>H94-G94</f>
        <v>180</v>
      </c>
      <c r="AO94" s="1">
        <f>I94-H94</f>
        <v>250</v>
      </c>
      <c r="AP94" s="1">
        <f>J94-I94</f>
        <v>180</v>
      </c>
      <c r="AQ94" s="1">
        <f>K94-J94</f>
        <v>150</v>
      </c>
      <c r="AR94" s="1">
        <f>L94-K94</f>
        <v>190</v>
      </c>
      <c r="AS94" s="1">
        <f>M94-L94</f>
        <v>210</v>
      </c>
      <c r="AT94" s="1">
        <f>N94-M94</f>
        <v>200</v>
      </c>
      <c r="AU94" s="1">
        <f>O94-N94</f>
        <v>220</v>
      </c>
      <c r="AV94" s="1">
        <f>P94-O94</f>
        <v>190</v>
      </c>
      <c r="AW94" s="1">
        <f>Q94-P94</f>
        <v>190</v>
      </c>
      <c r="AX94" s="1">
        <f>R94-Q94</f>
        <v>190</v>
      </c>
      <c r="AY94" s="1">
        <f>S94-R94</f>
        <v>180</v>
      </c>
      <c r="AZ94" s="1">
        <f>T94-S94</f>
        <v>180</v>
      </c>
      <c r="BA94" s="1">
        <f>U94-T94</f>
        <v>190</v>
      </c>
      <c r="BB94" s="1">
        <f>V94-U94</f>
        <v>180</v>
      </c>
      <c r="BC94" s="1">
        <f>W94-V94</f>
        <v>230</v>
      </c>
      <c r="BD94" s="1">
        <f>X94-W94</f>
        <v>170</v>
      </c>
      <c r="BE94" s="1">
        <f>Y94-X94</f>
        <v>200</v>
      </c>
      <c r="BF94" s="1">
        <f>Z94-Y94</f>
        <v>390</v>
      </c>
    </row>
    <row r="95" spans="1:58">
      <c r="A95" s="1">
        <v>93</v>
      </c>
      <c r="B95" s="1">
        <v>501210</v>
      </c>
      <c r="C95" s="1">
        <v>501400</v>
      </c>
      <c r="D95" s="1">
        <v>501630</v>
      </c>
      <c r="E95" s="1">
        <v>501810</v>
      </c>
      <c r="F95" s="1">
        <v>502010</v>
      </c>
      <c r="G95" s="1">
        <v>502190</v>
      </c>
      <c r="H95" s="1">
        <v>502430</v>
      </c>
      <c r="I95" s="1">
        <v>502640</v>
      </c>
      <c r="J95" s="1">
        <v>502760</v>
      </c>
      <c r="K95" s="1">
        <v>502940</v>
      </c>
      <c r="L95" s="1">
        <v>503130</v>
      </c>
      <c r="M95" s="1">
        <v>503320</v>
      </c>
      <c r="N95" s="1">
        <v>503510</v>
      </c>
      <c r="O95" s="1">
        <v>503730</v>
      </c>
      <c r="P95" s="1">
        <v>503940</v>
      </c>
      <c r="Q95" s="1">
        <v>504160</v>
      </c>
      <c r="R95" s="1">
        <v>504310</v>
      </c>
      <c r="S95" s="1">
        <v>504540</v>
      </c>
      <c r="T95" s="1">
        <v>504710</v>
      </c>
      <c r="U95" s="1">
        <v>504890</v>
      </c>
      <c r="V95" s="1">
        <v>505080</v>
      </c>
      <c r="W95" s="1">
        <v>505260</v>
      </c>
      <c r="X95" s="1">
        <v>505450</v>
      </c>
      <c r="Y95" s="1">
        <v>505640</v>
      </c>
      <c r="Z95" s="1">
        <v>506090</v>
      </c>
      <c r="AA95" s="5">
        <f>AVERAGE(B95:Y95)</f>
        <v>503445.41666666669</v>
      </c>
      <c r="AB95" s="5">
        <f>(AA96-AA94)/2</f>
        <v>4836.6666666666861</v>
      </c>
      <c r="AC95" s="14">
        <f>AB95/(23+AB151)</f>
        <v>193.76991031669627</v>
      </c>
      <c r="AD95" s="5">
        <f>AA95-AA94</f>
        <v>4835.8333333333721</v>
      </c>
      <c r="AE95" s="1">
        <f>AD95-AD94</f>
        <v>-22.083333333255723</v>
      </c>
      <c r="AG95" s="5">
        <f>Z95-Y95</f>
        <v>450</v>
      </c>
      <c r="AI95" s="1">
        <f>C95-B95</f>
        <v>190</v>
      </c>
      <c r="AJ95" s="1">
        <f>D95-C95</f>
        <v>230</v>
      </c>
      <c r="AK95" s="1">
        <f>E95-D95</f>
        <v>180</v>
      </c>
      <c r="AL95" s="1">
        <f>F95-E95</f>
        <v>200</v>
      </c>
      <c r="AM95" s="1">
        <f>G95-F95</f>
        <v>180</v>
      </c>
      <c r="AN95" s="1">
        <f>H95-G95</f>
        <v>240</v>
      </c>
      <c r="AO95" s="1">
        <f>I95-H95</f>
        <v>210</v>
      </c>
      <c r="AP95" s="1">
        <f>J95-I95</f>
        <v>120</v>
      </c>
      <c r="AQ95" s="1">
        <f>K95-J95</f>
        <v>180</v>
      </c>
      <c r="AR95" s="1">
        <f>L95-K95</f>
        <v>190</v>
      </c>
      <c r="AS95" s="1">
        <f>M95-L95</f>
        <v>190</v>
      </c>
      <c r="AT95" s="1">
        <f>N95-M95</f>
        <v>190</v>
      </c>
      <c r="AU95" s="1">
        <f>O95-N95</f>
        <v>220</v>
      </c>
      <c r="AV95" s="1">
        <f>P95-O95</f>
        <v>210</v>
      </c>
      <c r="AW95" s="1">
        <f>Q95-P95</f>
        <v>220</v>
      </c>
      <c r="AX95" s="1">
        <f>R95-Q95</f>
        <v>150</v>
      </c>
      <c r="AY95" s="1">
        <f>S95-R95</f>
        <v>230</v>
      </c>
      <c r="AZ95" s="1">
        <f>T95-S95</f>
        <v>170</v>
      </c>
      <c r="BA95" s="1">
        <f>U95-T95</f>
        <v>180</v>
      </c>
      <c r="BB95" s="1">
        <f>V95-U95</f>
        <v>190</v>
      </c>
      <c r="BC95" s="1">
        <f>W95-V95</f>
        <v>180</v>
      </c>
      <c r="BD95" s="1">
        <f>X95-W95</f>
        <v>190</v>
      </c>
      <c r="BE95" s="1">
        <f>Y95-X95</f>
        <v>190</v>
      </c>
      <c r="BF95" s="1">
        <f>Z95-Y95</f>
        <v>450</v>
      </c>
    </row>
    <row r="96" spans="1:58">
      <c r="A96" s="1">
        <v>94</v>
      </c>
      <c r="B96" s="1">
        <v>506090</v>
      </c>
      <c r="C96" s="1">
        <v>506260</v>
      </c>
      <c r="D96" s="1">
        <v>506460</v>
      </c>
      <c r="E96" s="1">
        <v>506620</v>
      </c>
      <c r="F96" s="1">
        <v>506820</v>
      </c>
      <c r="G96" s="1">
        <v>507040</v>
      </c>
      <c r="H96" s="1">
        <v>507240</v>
      </c>
      <c r="I96" s="1">
        <v>507440</v>
      </c>
      <c r="J96" s="1">
        <v>507620</v>
      </c>
      <c r="K96" s="1">
        <v>507790</v>
      </c>
      <c r="L96" s="1">
        <v>507950</v>
      </c>
      <c r="M96" s="1">
        <v>508140</v>
      </c>
      <c r="N96" s="1">
        <v>508310</v>
      </c>
      <c r="O96" s="1">
        <v>508570</v>
      </c>
      <c r="P96" s="1">
        <v>508750</v>
      </c>
      <c r="Q96" s="1">
        <v>508960</v>
      </c>
      <c r="R96" s="1">
        <v>509160</v>
      </c>
      <c r="S96" s="1">
        <v>509370</v>
      </c>
      <c r="T96" s="1">
        <v>509560</v>
      </c>
      <c r="U96" s="1">
        <v>509750</v>
      </c>
      <c r="V96" s="1">
        <v>509930</v>
      </c>
      <c r="W96" s="1">
        <v>510130</v>
      </c>
      <c r="X96" s="1">
        <v>510310</v>
      </c>
      <c r="Y96" s="1">
        <v>510520</v>
      </c>
      <c r="Z96" s="1">
        <v>510920</v>
      </c>
      <c r="AA96" s="5">
        <f>AVERAGE(B96:Y96)</f>
        <v>508282.91666666669</v>
      </c>
      <c r="AB96" s="5">
        <f>(AA97-AA95)/2</f>
        <v>4848.541666666657</v>
      </c>
      <c r="AC96" s="14">
        <f>AB96/(23+AB151)</f>
        <v>194.24565484150781</v>
      </c>
      <c r="AD96" s="5">
        <f>AA96-AA95</f>
        <v>4837.5</v>
      </c>
      <c r="AE96" s="1">
        <f>AD96-AD95</f>
        <v>1.6666666666278616</v>
      </c>
      <c r="AG96" s="5">
        <f>Z96-Y96</f>
        <v>400</v>
      </c>
      <c r="AI96" s="1">
        <f>C96-B96</f>
        <v>170</v>
      </c>
      <c r="AJ96" s="1">
        <f>D96-C96</f>
        <v>200</v>
      </c>
      <c r="AK96" s="1">
        <f>E96-D96</f>
        <v>160</v>
      </c>
      <c r="AL96" s="1">
        <f>F96-E96</f>
        <v>200</v>
      </c>
      <c r="AM96" s="1">
        <f>G96-F96</f>
        <v>220</v>
      </c>
      <c r="AN96" s="1">
        <f>H96-G96</f>
        <v>200</v>
      </c>
      <c r="AO96" s="1">
        <f>I96-H96</f>
        <v>200</v>
      </c>
      <c r="AP96" s="1">
        <f>J96-I96</f>
        <v>180</v>
      </c>
      <c r="AQ96" s="1">
        <f>K96-J96</f>
        <v>170</v>
      </c>
      <c r="AR96" s="1">
        <f>L96-K96</f>
        <v>160</v>
      </c>
      <c r="AS96" s="1">
        <f>M96-L96</f>
        <v>190</v>
      </c>
      <c r="AT96" s="1">
        <f>N96-M96</f>
        <v>170</v>
      </c>
      <c r="AU96" s="1">
        <f>O96-N96</f>
        <v>260</v>
      </c>
      <c r="AV96" s="1">
        <f>P96-O96</f>
        <v>180</v>
      </c>
      <c r="AW96" s="1">
        <f>Q96-P96</f>
        <v>210</v>
      </c>
      <c r="AX96" s="1">
        <f>R96-Q96</f>
        <v>200</v>
      </c>
      <c r="AY96" s="1">
        <f>S96-R96</f>
        <v>210</v>
      </c>
      <c r="AZ96" s="1">
        <f>T96-S96</f>
        <v>190</v>
      </c>
      <c r="BA96" s="1">
        <f>U96-T96</f>
        <v>190</v>
      </c>
      <c r="BB96" s="1">
        <f>V96-U96</f>
        <v>180</v>
      </c>
      <c r="BC96" s="1">
        <f>W96-V96</f>
        <v>200</v>
      </c>
      <c r="BD96" s="1">
        <f>X96-W96</f>
        <v>180</v>
      </c>
      <c r="BE96" s="1">
        <f>Y96-X96</f>
        <v>210</v>
      </c>
      <c r="BF96" s="1">
        <f>Z96-Y96</f>
        <v>400</v>
      </c>
    </row>
    <row r="97" spans="1:58">
      <c r="A97" s="1">
        <v>95</v>
      </c>
      <c r="B97" s="1">
        <v>510920</v>
      </c>
      <c r="C97" s="1">
        <v>511120</v>
      </c>
      <c r="D97" s="1">
        <v>511320</v>
      </c>
      <c r="E97" s="1">
        <v>511470</v>
      </c>
      <c r="F97" s="1">
        <v>511650</v>
      </c>
      <c r="G97" s="1">
        <v>511890</v>
      </c>
      <c r="H97" s="1">
        <v>512080</v>
      </c>
      <c r="I97" s="1">
        <v>512310</v>
      </c>
      <c r="J97" s="1">
        <v>512450</v>
      </c>
      <c r="K97" s="1">
        <v>512640</v>
      </c>
      <c r="L97" s="1">
        <v>512850</v>
      </c>
      <c r="M97" s="1">
        <v>513060</v>
      </c>
      <c r="N97" s="1">
        <v>513280</v>
      </c>
      <c r="O97" s="1">
        <v>513480</v>
      </c>
      <c r="P97" s="1">
        <v>513640</v>
      </c>
      <c r="Q97" s="1">
        <v>513830</v>
      </c>
      <c r="R97" s="1">
        <v>514010</v>
      </c>
      <c r="S97" s="1">
        <v>514170</v>
      </c>
      <c r="T97" s="1">
        <v>514360</v>
      </c>
      <c r="U97" s="1">
        <v>514560</v>
      </c>
      <c r="V97" s="1">
        <v>514790</v>
      </c>
      <c r="W97" s="1">
        <v>514960</v>
      </c>
      <c r="X97" s="1">
        <v>515200</v>
      </c>
      <c r="Y97" s="1">
        <v>515380</v>
      </c>
      <c r="Z97" s="1">
        <v>515790</v>
      </c>
      <c r="AA97" s="5">
        <f>AVERAGE(B97:Y97)</f>
        <v>513142.5</v>
      </c>
      <c r="AB97" s="5">
        <f>(AA98-AA96)/2</f>
        <v>4864.791666666657</v>
      </c>
      <c r="AC97" s="14">
        <f>AB97/(23+AB151)</f>
        <v>194.89667366493572</v>
      </c>
      <c r="AD97" s="5">
        <f>AA97-AA96</f>
        <v>4859.5833333333139</v>
      </c>
      <c r="AE97" s="1">
        <f>AD97-AD96</f>
        <v>22.083333333313931</v>
      </c>
      <c r="AG97" s="5">
        <f>Z97-Y97</f>
        <v>410</v>
      </c>
      <c r="AI97" s="1">
        <f>C97-B97</f>
        <v>200</v>
      </c>
      <c r="AJ97" s="1">
        <f>D97-C97</f>
        <v>200</v>
      </c>
      <c r="AK97" s="1">
        <f>E97-D97</f>
        <v>150</v>
      </c>
      <c r="AL97" s="1">
        <f>F97-E97</f>
        <v>180</v>
      </c>
      <c r="AM97" s="1">
        <f>G97-F97</f>
        <v>240</v>
      </c>
      <c r="AN97" s="1">
        <f>H97-G97</f>
        <v>190</v>
      </c>
      <c r="AO97" s="1">
        <f>I97-H97</f>
        <v>230</v>
      </c>
      <c r="AP97" s="1">
        <f>J97-I97</f>
        <v>140</v>
      </c>
      <c r="AQ97" s="1">
        <f>K97-J97</f>
        <v>190</v>
      </c>
      <c r="AR97" s="1">
        <f>L97-K97</f>
        <v>210</v>
      </c>
      <c r="AS97" s="1">
        <f>M97-L97</f>
        <v>210</v>
      </c>
      <c r="AT97" s="1">
        <f>N97-M97</f>
        <v>220</v>
      </c>
      <c r="AU97" s="1">
        <f>O97-N97</f>
        <v>200</v>
      </c>
      <c r="AV97" s="1">
        <f>P97-O97</f>
        <v>160</v>
      </c>
      <c r="AW97" s="1">
        <f>Q97-P97</f>
        <v>190</v>
      </c>
      <c r="AX97" s="1">
        <f>R97-Q97</f>
        <v>180</v>
      </c>
      <c r="AY97" s="1">
        <f>S97-R97</f>
        <v>160</v>
      </c>
      <c r="AZ97" s="1">
        <f>T97-S97</f>
        <v>190</v>
      </c>
      <c r="BA97" s="1">
        <f>U97-T97</f>
        <v>200</v>
      </c>
      <c r="BB97" s="1">
        <f>V97-U97</f>
        <v>230</v>
      </c>
      <c r="BC97" s="1">
        <f>W97-V97</f>
        <v>170</v>
      </c>
      <c r="BD97" s="1">
        <f>X97-W97</f>
        <v>240</v>
      </c>
      <c r="BE97" s="1">
        <f>Y97-X97</f>
        <v>180</v>
      </c>
      <c r="BF97" s="1">
        <f>Z97-Y97</f>
        <v>410</v>
      </c>
    </row>
    <row r="98" spans="1:58">
      <c r="A98" s="1">
        <v>96</v>
      </c>
      <c r="B98" s="1">
        <v>515790</v>
      </c>
      <c r="C98" s="1">
        <v>515940</v>
      </c>
      <c r="D98" s="1">
        <v>516170</v>
      </c>
      <c r="E98" s="1">
        <v>516380</v>
      </c>
      <c r="F98" s="1">
        <v>516540</v>
      </c>
      <c r="G98" s="1">
        <v>516730</v>
      </c>
      <c r="H98" s="1">
        <v>516920</v>
      </c>
      <c r="I98" s="1">
        <v>517140</v>
      </c>
      <c r="J98" s="1">
        <v>517320</v>
      </c>
      <c r="K98" s="1">
        <v>517490</v>
      </c>
      <c r="L98" s="1">
        <v>517710</v>
      </c>
      <c r="M98" s="1">
        <v>517930</v>
      </c>
      <c r="N98" s="1">
        <v>518130</v>
      </c>
      <c r="O98" s="1">
        <v>518340</v>
      </c>
      <c r="P98" s="1">
        <v>518530</v>
      </c>
      <c r="Q98" s="1">
        <v>518710</v>
      </c>
      <c r="R98" s="1">
        <v>518910</v>
      </c>
      <c r="S98" s="1">
        <v>519080</v>
      </c>
      <c r="T98" s="1">
        <v>519290</v>
      </c>
      <c r="U98" s="1">
        <v>519450</v>
      </c>
      <c r="V98" s="1">
        <v>519620</v>
      </c>
      <c r="W98" s="1">
        <v>519850</v>
      </c>
      <c r="X98" s="1">
        <v>520040</v>
      </c>
      <c r="Y98" s="1">
        <v>520290</v>
      </c>
      <c r="Z98" s="1">
        <v>520690</v>
      </c>
      <c r="AA98" s="5">
        <f>AVERAGE(B98:Y98)</f>
        <v>518012.5</v>
      </c>
      <c r="AB98" s="5">
        <f>(AA99-AA97)/2</f>
        <v>4868.958333333343</v>
      </c>
      <c r="AC98" s="14">
        <f>AB98/(23+AB151)</f>
        <v>195.06360156837954</v>
      </c>
      <c r="AD98" s="5">
        <f>AA98-AA97</f>
        <v>4870</v>
      </c>
      <c r="AE98" s="1">
        <f>AD98-AD97</f>
        <v>10.416666666686069</v>
      </c>
      <c r="AG98" s="5">
        <f>Z98-Y98</f>
        <v>400</v>
      </c>
      <c r="AI98" s="1">
        <f>C98-B98</f>
        <v>150</v>
      </c>
      <c r="AJ98" s="1">
        <f>D98-C98</f>
        <v>230</v>
      </c>
      <c r="AK98" s="1">
        <f>E98-D98</f>
        <v>210</v>
      </c>
      <c r="AL98" s="1">
        <f>F98-E98</f>
        <v>160</v>
      </c>
      <c r="AM98" s="1">
        <f>G98-F98</f>
        <v>190</v>
      </c>
      <c r="AN98" s="1">
        <f>H98-G98</f>
        <v>190</v>
      </c>
      <c r="AO98" s="1">
        <f>I98-H98</f>
        <v>220</v>
      </c>
      <c r="AP98" s="1">
        <f>J98-I98</f>
        <v>180</v>
      </c>
      <c r="AQ98" s="1">
        <f>K98-J98</f>
        <v>170</v>
      </c>
      <c r="AR98" s="1">
        <f>L98-K98</f>
        <v>220</v>
      </c>
      <c r="AS98" s="1">
        <f>M98-L98</f>
        <v>220</v>
      </c>
      <c r="AT98" s="1">
        <f>N98-M98</f>
        <v>200</v>
      </c>
      <c r="AU98" s="1">
        <f>O98-N98</f>
        <v>210</v>
      </c>
      <c r="AV98" s="1">
        <f>P98-O98</f>
        <v>190</v>
      </c>
      <c r="AW98" s="1">
        <f>Q98-P98</f>
        <v>180</v>
      </c>
      <c r="AX98" s="1">
        <f>R98-Q98</f>
        <v>200</v>
      </c>
      <c r="AY98" s="1">
        <f>S98-R98</f>
        <v>170</v>
      </c>
      <c r="AZ98" s="1">
        <f>T98-S98</f>
        <v>210</v>
      </c>
      <c r="BA98" s="1">
        <f>U98-T98</f>
        <v>160</v>
      </c>
      <c r="BB98" s="1">
        <f>V98-U98</f>
        <v>170</v>
      </c>
      <c r="BC98" s="1">
        <f>W98-V98</f>
        <v>230</v>
      </c>
      <c r="BD98" s="1">
        <f>X98-W98</f>
        <v>190</v>
      </c>
      <c r="BE98" s="1">
        <f>Y98-X98</f>
        <v>250</v>
      </c>
      <c r="BF98" s="1">
        <f>Z98-Y98</f>
        <v>400</v>
      </c>
    </row>
    <row r="99" spans="1:58">
      <c r="A99" s="1">
        <v>97</v>
      </c>
      <c r="B99" s="1">
        <v>520690</v>
      </c>
      <c r="C99" s="1">
        <v>520840</v>
      </c>
      <c r="D99" s="1">
        <v>521040</v>
      </c>
      <c r="E99" s="1">
        <v>521220</v>
      </c>
      <c r="F99" s="1">
        <v>521430</v>
      </c>
      <c r="G99" s="1">
        <v>521640</v>
      </c>
      <c r="H99" s="1">
        <v>521790</v>
      </c>
      <c r="I99" s="1">
        <v>522000</v>
      </c>
      <c r="J99" s="1">
        <v>522190</v>
      </c>
      <c r="K99" s="1">
        <v>522360</v>
      </c>
      <c r="L99" s="1">
        <v>522610</v>
      </c>
      <c r="M99" s="1">
        <v>522760</v>
      </c>
      <c r="N99" s="1">
        <v>523010</v>
      </c>
      <c r="O99" s="1">
        <v>523180</v>
      </c>
      <c r="P99" s="1">
        <v>523440</v>
      </c>
      <c r="Q99" s="1">
        <v>523560</v>
      </c>
      <c r="R99" s="1">
        <v>523760</v>
      </c>
      <c r="S99" s="1">
        <v>523920</v>
      </c>
      <c r="T99" s="1">
        <v>524080</v>
      </c>
      <c r="U99" s="1">
        <v>524320</v>
      </c>
      <c r="V99" s="1">
        <v>524540</v>
      </c>
      <c r="W99" s="1">
        <v>524750</v>
      </c>
      <c r="X99" s="1">
        <v>524890</v>
      </c>
      <c r="Y99" s="1">
        <v>525110</v>
      </c>
      <c r="Z99" s="1">
        <v>525490</v>
      </c>
      <c r="AA99" s="5">
        <f>AVERAGE(B99:Y99)</f>
        <v>522880.41666666669</v>
      </c>
      <c r="AB99" s="5">
        <f>(AA100-AA98)/2</f>
        <v>4860</v>
      </c>
      <c r="AC99" s="14">
        <f>AB99/(23+AB151)</f>
        <v>194.70470657597659</v>
      </c>
      <c r="AD99" s="5">
        <f>AA99-AA98</f>
        <v>4867.9166666666861</v>
      </c>
      <c r="AE99" s="1">
        <f>AD99-AD98</f>
        <v>-2.0833333333139308</v>
      </c>
      <c r="AG99" s="5">
        <f>Z99-Y99</f>
        <v>380</v>
      </c>
      <c r="AI99" s="1">
        <f>C99-B99</f>
        <v>150</v>
      </c>
      <c r="AJ99" s="1">
        <f>D99-C99</f>
        <v>200</v>
      </c>
      <c r="AK99" s="1">
        <f>E99-D99</f>
        <v>180</v>
      </c>
      <c r="AL99" s="1">
        <f>F99-E99</f>
        <v>210</v>
      </c>
      <c r="AM99" s="1">
        <f>G99-F99</f>
        <v>210</v>
      </c>
      <c r="AN99" s="1">
        <f>H99-G99</f>
        <v>150</v>
      </c>
      <c r="AO99" s="1">
        <f>I99-H99</f>
        <v>210</v>
      </c>
      <c r="AP99" s="1">
        <f>J99-I99</f>
        <v>190</v>
      </c>
      <c r="AQ99" s="1">
        <f>K99-J99</f>
        <v>170</v>
      </c>
      <c r="AR99" s="1">
        <f>L99-K99</f>
        <v>250</v>
      </c>
      <c r="AS99" s="1">
        <f>M99-L99</f>
        <v>150</v>
      </c>
      <c r="AT99" s="1">
        <f>N99-M99</f>
        <v>250</v>
      </c>
      <c r="AU99" s="1">
        <f>O99-N99</f>
        <v>170</v>
      </c>
      <c r="AV99" s="1">
        <f>P99-O99</f>
        <v>260</v>
      </c>
      <c r="AW99" s="1">
        <f>Q99-P99</f>
        <v>120</v>
      </c>
      <c r="AX99" s="1">
        <f>R99-Q99</f>
        <v>200</v>
      </c>
      <c r="AY99" s="1">
        <f>S99-R99</f>
        <v>160</v>
      </c>
      <c r="AZ99" s="1">
        <f>T99-S99</f>
        <v>160</v>
      </c>
      <c r="BA99" s="1">
        <f>U99-T99</f>
        <v>240</v>
      </c>
      <c r="BB99" s="1">
        <f>V99-U99</f>
        <v>220</v>
      </c>
      <c r="BC99" s="1">
        <f>W99-V99</f>
        <v>210</v>
      </c>
      <c r="BD99" s="1">
        <f>X99-W99</f>
        <v>140</v>
      </c>
      <c r="BE99" s="1">
        <f>Y99-X99</f>
        <v>220</v>
      </c>
      <c r="BF99" s="1">
        <f>Z99-Y99</f>
        <v>380</v>
      </c>
    </row>
    <row r="100" spans="1:58">
      <c r="A100" s="1">
        <v>98</v>
      </c>
      <c r="B100" s="1">
        <v>525490</v>
      </c>
      <c r="C100" s="1">
        <v>525720</v>
      </c>
      <c r="D100" s="1">
        <v>525890</v>
      </c>
      <c r="E100" s="1">
        <v>526120</v>
      </c>
      <c r="F100" s="1">
        <v>526290</v>
      </c>
      <c r="G100" s="1">
        <v>526450</v>
      </c>
      <c r="H100" s="1">
        <v>526650</v>
      </c>
      <c r="I100" s="1">
        <v>526850</v>
      </c>
      <c r="J100" s="1">
        <v>527040</v>
      </c>
      <c r="K100" s="1">
        <v>527230</v>
      </c>
      <c r="L100" s="1">
        <v>527450</v>
      </c>
      <c r="M100" s="1">
        <v>527640</v>
      </c>
      <c r="N100" s="1">
        <v>527830</v>
      </c>
      <c r="O100" s="1">
        <v>528030</v>
      </c>
      <c r="P100" s="1">
        <v>528190</v>
      </c>
      <c r="Q100" s="1">
        <v>528440</v>
      </c>
      <c r="R100" s="1">
        <v>528630</v>
      </c>
      <c r="S100" s="1">
        <v>528810</v>
      </c>
      <c r="T100" s="1">
        <v>528960</v>
      </c>
      <c r="U100" s="1">
        <v>529180</v>
      </c>
      <c r="V100" s="1">
        <v>529390</v>
      </c>
      <c r="W100" s="1">
        <v>529580</v>
      </c>
      <c r="X100" s="1">
        <v>529750</v>
      </c>
      <c r="Y100" s="1">
        <v>529970</v>
      </c>
      <c r="Z100" s="1">
        <v>530350</v>
      </c>
      <c r="AA100" s="5">
        <f>AVERAGE(B100:Y100)</f>
        <v>527732.5</v>
      </c>
      <c r="AB100" s="5">
        <f>(AA101-AA99)/2</f>
        <v>4847.708333333343</v>
      </c>
      <c r="AC100" s="14">
        <f>AB100/(23+AB151)</f>
        <v>194.21226926081997</v>
      </c>
      <c r="AD100" s="5">
        <f>AA100-AA99</f>
        <v>4852.0833333333139</v>
      </c>
      <c r="AE100" s="1">
        <f>AD100-AD99</f>
        <v>-15.833333333372138</v>
      </c>
      <c r="AG100" s="5">
        <f>Z100-Y100</f>
        <v>380</v>
      </c>
      <c r="AI100" s="1">
        <f>C100-B100</f>
        <v>230</v>
      </c>
      <c r="AJ100" s="1">
        <f>D100-C100</f>
        <v>170</v>
      </c>
      <c r="AK100" s="1">
        <f>E100-D100</f>
        <v>230</v>
      </c>
      <c r="AL100" s="1">
        <f>F100-E100</f>
        <v>170</v>
      </c>
      <c r="AM100" s="1">
        <f>G100-F100</f>
        <v>160</v>
      </c>
      <c r="AN100" s="1">
        <f>H100-G100</f>
        <v>200</v>
      </c>
      <c r="AO100" s="1">
        <f>I100-H100</f>
        <v>200</v>
      </c>
      <c r="AP100" s="1">
        <f>J100-I100</f>
        <v>190</v>
      </c>
      <c r="AQ100" s="1">
        <f>K100-J100</f>
        <v>190</v>
      </c>
      <c r="AR100" s="1">
        <f>L100-K100</f>
        <v>220</v>
      </c>
      <c r="AS100" s="1">
        <f>M100-L100</f>
        <v>190</v>
      </c>
      <c r="AT100" s="1">
        <f>N100-M100</f>
        <v>190</v>
      </c>
      <c r="AU100" s="1">
        <f>O100-N100</f>
        <v>200</v>
      </c>
      <c r="AV100" s="1">
        <f>P100-O100</f>
        <v>160</v>
      </c>
      <c r="AW100" s="1">
        <f>Q100-P100</f>
        <v>250</v>
      </c>
      <c r="AX100" s="1">
        <f>R100-Q100</f>
        <v>190</v>
      </c>
      <c r="AY100" s="1">
        <f>S100-R100</f>
        <v>180</v>
      </c>
      <c r="AZ100" s="1">
        <f>T100-S100</f>
        <v>150</v>
      </c>
      <c r="BA100" s="1">
        <f>U100-T100</f>
        <v>220</v>
      </c>
      <c r="BB100" s="1">
        <f>V100-U100</f>
        <v>210</v>
      </c>
      <c r="BC100" s="1">
        <f>W100-V100</f>
        <v>190</v>
      </c>
      <c r="BD100" s="1">
        <f>X100-W100</f>
        <v>170</v>
      </c>
      <c r="BE100" s="1">
        <f>Y100-X100</f>
        <v>220</v>
      </c>
      <c r="BF100" s="1">
        <f>Z100-Y100</f>
        <v>380</v>
      </c>
    </row>
    <row r="101" spans="1:58">
      <c r="A101" s="1">
        <v>99</v>
      </c>
      <c r="B101" s="1">
        <v>530350</v>
      </c>
      <c r="C101" s="1">
        <v>530540</v>
      </c>
      <c r="D101" s="1">
        <v>530740</v>
      </c>
      <c r="E101" s="1">
        <v>530960</v>
      </c>
      <c r="F101" s="1">
        <v>531140</v>
      </c>
      <c r="G101" s="1">
        <v>531290</v>
      </c>
      <c r="H101" s="1">
        <v>531480</v>
      </c>
      <c r="I101" s="1">
        <v>531670</v>
      </c>
      <c r="J101" s="1">
        <v>531910</v>
      </c>
      <c r="K101" s="1">
        <v>532080</v>
      </c>
      <c r="L101" s="1">
        <v>532280</v>
      </c>
      <c r="M101" s="1">
        <v>532460</v>
      </c>
      <c r="N101" s="1">
        <v>532670</v>
      </c>
      <c r="O101" s="1">
        <v>532900</v>
      </c>
      <c r="P101" s="1">
        <v>533070</v>
      </c>
      <c r="Q101" s="1">
        <v>533220</v>
      </c>
      <c r="R101" s="1">
        <v>533480</v>
      </c>
      <c r="S101" s="1">
        <v>533640</v>
      </c>
      <c r="T101" s="1">
        <v>533810</v>
      </c>
      <c r="U101" s="1">
        <v>534040</v>
      </c>
      <c r="V101" s="1">
        <v>534250</v>
      </c>
      <c r="W101" s="1">
        <v>534430</v>
      </c>
      <c r="X101" s="1">
        <v>534610</v>
      </c>
      <c r="Y101" s="1">
        <v>534800</v>
      </c>
      <c r="Z101" s="1">
        <v>535230</v>
      </c>
      <c r="AA101" s="5">
        <f>AVERAGE(B101:Y101)</f>
        <v>532575.83333333337</v>
      </c>
      <c r="AB101" s="5">
        <f>(AA102-AA100)/2</f>
        <v>4838.125</v>
      </c>
      <c r="AC101" s="14">
        <f>AB101/(23+AB151)</f>
        <v>193.82833508290057</v>
      </c>
      <c r="AD101" s="5">
        <f>AA101-AA100</f>
        <v>4843.3333333333721</v>
      </c>
      <c r="AE101" s="1">
        <f>AD101-AD100</f>
        <v>-8.7499999999417923</v>
      </c>
      <c r="AG101" s="5">
        <f>Z101-Y101</f>
        <v>430</v>
      </c>
      <c r="AI101" s="1">
        <f>C101-B101</f>
        <v>190</v>
      </c>
      <c r="AJ101" s="1">
        <f>D101-C101</f>
        <v>200</v>
      </c>
      <c r="AK101" s="1">
        <f>E101-D101</f>
        <v>220</v>
      </c>
      <c r="AL101" s="1">
        <f>F101-E101</f>
        <v>180</v>
      </c>
      <c r="AM101" s="1">
        <f>G101-F101</f>
        <v>150</v>
      </c>
      <c r="AN101" s="1">
        <f>H101-G101</f>
        <v>190</v>
      </c>
      <c r="AO101" s="1">
        <f>I101-H101</f>
        <v>190</v>
      </c>
      <c r="AP101" s="1">
        <f>J101-I101</f>
        <v>240</v>
      </c>
      <c r="AQ101" s="1">
        <f>K101-J101</f>
        <v>170</v>
      </c>
      <c r="AR101" s="1">
        <f>L101-K101</f>
        <v>200</v>
      </c>
      <c r="AS101" s="1">
        <f>M101-L101</f>
        <v>180</v>
      </c>
      <c r="AT101" s="1">
        <f>N101-M101</f>
        <v>210</v>
      </c>
      <c r="AU101" s="1">
        <f>O101-N101</f>
        <v>230</v>
      </c>
      <c r="AV101" s="1">
        <f>P101-O101</f>
        <v>170</v>
      </c>
      <c r="AW101" s="1">
        <f>Q101-P101</f>
        <v>150</v>
      </c>
      <c r="AX101" s="1">
        <f>R101-Q101</f>
        <v>260</v>
      </c>
      <c r="AY101" s="1">
        <f>S101-R101</f>
        <v>160</v>
      </c>
      <c r="AZ101" s="1">
        <f>T101-S101</f>
        <v>170</v>
      </c>
      <c r="BA101" s="1">
        <f>U101-T101</f>
        <v>230</v>
      </c>
      <c r="BB101" s="1">
        <f>V101-U101</f>
        <v>210</v>
      </c>
      <c r="BC101" s="1">
        <f>W101-V101</f>
        <v>180</v>
      </c>
      <c r="BD101" s="1">
        <f>X101-W101</f>
        <v>180</v>
      </c>
      <c r="BE101" s="1">
        <f>Y101-X101</f>
        <v>190</v>
      </c>
      <c r="BF101" s="1">
        <f>Z101-Y101</f>
        <v>430</v>
      </c>
    </row>
    <row r="102" spans="1:58">
      <c r="A102" s="1">
        <v>100</v>
      </c>
      <c r="B102" s="1">
        <v>535230</v>
      </c>
      <c r="C102" s="1">
        <v>535410</v>
      </c>
      <c r="D102" s="1">
        <v>535580</v>
      </c>
      <c r="E102" s="1">
        <v>535780</v>
      </c>
      <c r="F102" s="1">
        <v>535940</v>
      </c>
      <c r="G102" s="1">
        <v>536090</v>
      </c>
      <c r="H102" s="1">
        <v>536320</v>
      </c>
      <c r="I102" s="1">
        <v>536530</v>
      </c>
      <c r="J102" s="1">
        <v>536710</v>
      </c>
      <c r="K102" s="1">
        <v>536920</v>
      </c>
      <c r="L102" s="1">
        <v>537140</v>
      </c>
      <c r="M102" s="1">
        <v>537280</v>
      </c>
      <c r="N102" s="1">
        <v>537520</v>
      </c>
      <c r="O102" s="1">
        <v>537720</v>
      </c>
      <c r="P102" s="1">
        <v>537910</v>
      </c>
      <c r="Q102" s="1">
        <v>538060</v>
      </c>
      <c r="R102" s="1">
        <v>538270</v>
      </c>
      <c r="S102" s="1">
        <v>538490</v>
      </c>
      <c r="T102" s="1">
        <v>538650</v>
      </c>
      <c r="U102" s="1">
        <v>538880</v>
      </c>
      <c r="V102" s="1">
        <v>539060</v>
      </c>
      <c r="W102" s="1">
        <v>539240</v>
      </c>
      <c r="X102" s="1">
        <v>539430</v>
      </c>
      <c r="Y102" s="1">
        <v>539650</v>
      </c>
      <c r="Z102" s="1">
        <v>539980</v>
      </c>
      <c r="AA102" s="5">
        <f>AVERAGE(B102:Y102)</f>
        <v>537408.75</v>
      </c>
      <c r="AB102" s="5">
        <f>(AA103-AA101)/2</f>
        <v>4836.25</v>
      </c>
      <c r="AC102" s="14">
        <f>AB102/(23+AB151)</f>
        <v>193.75321752635119</v>
      </c>
      <c r="AD102" s="5">
        <f>AA102-AA101</f>
        <v>4832.9166666666279</v>
      </c>
      <c r="AE102" s="1">
        <f>AD102-AD101</f>
        <v>-10.416666666744277</v>
      </c>
      <c r="AG102" s="5">
        <f>Z102-Y102</f>
        <v>330</v>
      </c>
      <c r="AI102" s="1">
        <f>C102-B102</f>
        <v>180</v>
      </c>
      <c r="AJ102" s="1">
        <f>D102-C102</f>
        <v>170</v>
      </c>
      <c r="AK102" s="1">
        <f>E102-D102</f>
        <v>200</v>
      </c>
      <c r="AL102" s="1">
        <f>F102-E102</f>
        <v>160</v>
      </c>
      <c r="AM102" s="1">
        <f>G102-F102</f>
        <v>150</v>
      </c>
      <c r="AN102" s="1">
        <f>H102-G102</f>
        <v>230</v>
      </c>
      <c r="AO102" s="1">
        <f>I102-H102</f>
        <v>210</v>
      </c>
      <c r="AP102" s="1">
        <f>J102-I102</f>
        <v>180</v>
      </c>
      <c r="AQ102" s="1">
        <f>K102-J102</f>
        <v>210</v>
      </c>
      <c r="AR102" s="1">
        <f>L102-K102</f>
        <v>220</v>
      </c>
      <c r="AS102" s="1">
        <f>M102-L102</f>
        <v>140</v>
      </c>
      <c r="AT102" s="1">
        <f>N102-M102</f>
        <v>240</v>
      </c>
      <c r="AU102" s="1">
        <f>O102-N102</f>
        <v>200</v>
      </c>
      <c r="AV102" s="1">
        <f>P102-O102</f>
        <v>190</v>
      </c>
      <c r="AW102" s="1">
        <f>Q102-P102</f>
        <v>150</v>
      </c>
      <c r="AX102" s="1">
        <f>R102-Q102</f>
        <v>210</v>
      </c>
      <c r="AY102" s="1">
        <f>S102-R102</f>
        <v>220</v>
      </c>
      <c r="AZ102" s="1">
        <f>T102-S102</f>
        <v>160</v>
      </c>
      <c r="BA102" s="1">
        <f>U102-T102</f>
        <v>230</v>
      </c>
      <c r="BB102" s="1">
        <f>V102-U102</f>
        <v>180</v>
      </c>
      <c r="BC102" s="1">
        <f>W102-V102</f>
        <v>180</v>
      </c>
      <c r="BD102" s="1">
        <f>X102-W102</f>
        <v>190</v>
      </c>
      <c r="BE102" s="1">
        <f>Y102-X102</f>
        <v>220</v>
      </c>
      <c r="BF102" s="1">
        <f>Z102-Y102</f>
        <v>330</v>
      </c>
    </row>
    <row r="103" spans="1:58">
      <c r="A103" s="1">
        <v>101</v>
      </c>
      <c r="B103" s="1">
        <v>539980</v>
      </c>
      <c r="C103" s="1">
        <v>540240</v>
      </c>
      <c r="D103" s="1">
        <v>540390</v>
      </c>
      <c r="E103" s="1">
        <v>540640</v>
      </c>
      <c r="F103" s="1">
        <v>540770</v>
      </c>
      <c r="G103" s="1">
        <v>540960</v>
      </c>
      <c r="H103" s="1">
        <v>541140</v>
      </c>
      <c r="I103" s="1">
        <v>541350</v>
      </c>
      <c r="J103" s="1">
        <v>541540</v>
      </c>
      <c r="K103" s="1">
        <v>541800</v>
      </c>
      <c r="L103" s="1">
        <v>541960</v>
      </c>
      <c r="M103" s="1">
        <v>542160</v>
      </c>
      <c r="N103" s="1">
        <v>542340</v>
      </c>
      <c r="O103" s="1">
        <v>542550</v>
      </c>
      <c r="P103" s="1">
        <v>542740</v>
      </c>
      <c r="Q103" s="1">
        <v>542900</v>
      </c>
      <c r="R103" s="1">
        <v>543110</v>
      </c>
      <c r="S103" s="1">
        <v>543320</v>
      </c>
      <c r="T103" s="1">
        <v>543520</v>
      </c>
      <c r="U103" s="1">
        <v>543730</v>
      </c>
      <c r="V103" s="1">
        <v>543900</v>
      </c>
      <c r="W103" s="1">
        <v>544100</v>
      </c>
      <c r="X103" s="1">
        <v>544300</v>
      </c>
      <c r="Y103" s="1">
        <v>544520</v>
      </c>
      <c r="Z103" s="1">
        <v>544830</v>
      </c>
      <c r="AA103" s="5">
        <f>AVERAGE(B103:Y103)</f>
        <v>542248.33333333337</v>
      </c>
      <c r="AB103" s="5">
        <f>(AA104-AA102)/2</f>
        <v>4839.1666666666861</v>
      </c>
      <c r="AC103" s="14">
        <f>AB103/(23+AB151)</f>
        <v>193.87006705876212</v>
      </c>
      <c r="AD103" s="5">
        <f>AA103-AA102</f>
        <v>4839.5833333333721</v>
      </c>
      <c r="AE103" s="1">
        <f>AD103-AD102</f>
        <v>6.6666666667442769</v>
      </c>
      <c r="AG103" s="5">
        <f>Z103-Y103</f>
        <v>310</v>
      </c>
      <c r="AI103" s="1">
        <f>C103-B103</f>
        <v>260</v>
      </c>
      <c r="AJ103" s="1">
        <f>D103-C103</f>
        <v>150</v>
      </c>
      <c r="AK103" s="1">
        <f>E103-D103</f>
        <v>250</v>
      </c>
      <c r="AL103" s="1">
        <f>F103-E103</f>
        <v>130</v>
      </c>
      <c r="AM103" s="1">
        <f>G103-F103</f>
        <v>190</v>
      </c>
      <c r="AN103" s="1">
        <f>H103-G103</f>
        <v>180</v>
      </c>
      <c r="AO103" s="1">
        <f>I103-H103</f>
        <v>210</v>
      </c>
      <c r="AP103" s="1">
        <f>J103-I103</f>
        <v>190</v>
      </c>
      <c r="AQ103" s="1">
        <f>K103-J103</f>
        <v>260</v>
      </c>
      <c r="AR103" s="1">
        <f>L103-K103</f>
        <v>160</v>
      </c>
      <c r="AS103" s="1">
        <f>M103-L103</f>
        <v>200</v>
      </c>
      <c r="AT103" s="1">
        <f>N103-M103</f>
        <v>180</v>
      </c>
      <c r="AU103" s="1">
        <f>O103-N103</f>
        <v>210</v>
      </c>
      <c r="AV103" s="1">
        <f>P103-O103</f>
        <v>190</v>
      </c>
      <c r="AW103" s="1">
        <f>Q103-P103</f>
        <v>160</v>
      </c>
      <c r="AX103" s="1">
        <f>R103-Q103</f>
        <v>210</v>
      </c>
      <c r="AY103" s="1">
        <f>S103-R103</f>
        <v>210</v>
      </c>
      <c r="AZ103" s="1">
        <f>T103-S103</f>
        <v>200</v>
      </c>
      <c r="BA103" s="1">
        <f>U103-T103</f>
        <v>210</v>
      </c>
      <c r="BB103" s="1">
        <f>V103-U103</f>
        <v>170</v>
      </c>
      <c r="BC103" s="1">
        <f>W103-V103</f>
        <v>200</v>
      </c>
      <c r="BD103" s="1">
        <f>X103-W103</f>
        <v>200</v>
      </c>
      <c r="BE103" s="1">
        <f>Y103-X103</f>
        <v>220</v>
      </c>
      <c r="BF103" s="1">
        <f>Z103-Y103</f>
        <v>310</v>
      </c>
    </row>
    <row r="104" spans="1:58">
      <c r="A104" s="1">
        <v>102</v>
      </c>
      <c r="B104" s="1">
        <v>544830</v>
      </c>
      <c r="C104" s="1">
        <v>545040</v>
      </c>
      <c r="D104" s="1">
        <v>545200</v>
      </c>
      <c r="E104" s="1">
        <v>545490</v>
      </c>
      <c r="F104" s="1">
        <v>545610</v>
      </c>
      <c r="G104" s="1">
        <v>545810</v>
      </c>
      <c r="H104" s="1">
        <v>546010</v>
      </c>
      <c r="I104" s="1">
        <v>546250</v>
      </c>
      <c r="J104" s="1">
        <v>546460</v>
      </c>
      <c r="K104" s="1">
        <v>546650</v>
      </c>
      <c r="L104" s="1">
        <v>546790</v>
      </c>
      <c r="M104" s="1">
        <v>546990</v>
      </c>
      <c r="N104" s="1">
        <v>547170</v>
      </c>
      <c r="O104" s="1">
        <v>547350</v>
      </c>
      <c r="P104" s="1">
        <v>547540</v>
      </c>
      <c r="Q104" s="1">
        <v>547740</v>
      </c>
      <c r="R104" s="1">
        <v>547960</v>
      </c>
      <c r="S104" s="1">
        <v>548130</v>
      </c>
      <c r="T104" s="1">
        <v>548340</v>
      </c>
      <c r="U104" s="1">
        <v>548510</v>
      </c>
      <c r="V104" s="1">
        <v>548760</v>
      </c>
      <c r="W104" s="1">
        <v>548940</v>
      </c>
      <c r="X104" s="1">
        <v>549150</v>
      </c>
      <c r="Y104" s="1">
        <v>549370</v>
      </c>
      <c r="Z104" s="1">
        <v>549700</v>
      </c>
      <c r="AA104" s="5">
        <f>AVERAGE(B104:Y104)</f>
        <v>547087.08333333337</v>
      </c>
      <c r="AB104" s="5">
        <f>(AA105-AA103)/2</f>
        <v>4838.3333333333139</v>
      </c>
      <c r="AC104" s="14">
        <f>AB104/(23+AB151)</f>
        <v>193.83668147807194</v>
      </c>
      <c r="AD104" s="5">
        <f>AA104-AA103</f>
        <v>4838.75</v>
      </c>
      <c r="AE104" s="1">
        <f>AD104-AD103</f>
        <v>-0.83333333337213844</v>
      </c>
      <c r="AG104" s="5">
        <f>Z104-Y104</f>
        <v>330</v>
      </c>
      <c r="AI104" s="1">
        <f>C104-B104</f>
        <v>210</v>
      </c>
      <c r="AJ104" s="1">
        <f>D104-C104</f>
        <v>160</v>
      </c>
      <c r="AK104" s="1">
        <f>E104-D104</f>
        <v>290</v>
      </c>
      <c r="AL104" s="1">
        <f>F104-E104</f>
        <v>120</v>
      </c>
      <c r="AM104" s="1">
        <f>G104-F104</f>
        <v>200</v>
      </c>
      <c r="AN104" s="1">
        <f>H104-G104</f>
        <v>200</v>
      </c>
      <c r="AO104" s="1">
        <f>I104-H104</f>
        <v>240</v>
      </c>
      <c r="AP104" s="1">
        <f>J104-I104</f>
        <v>210</v>
      </c>
      <c r="AQ104" s="1">
        <f>K104-J104</f>
        <v>190</v>
      </c>
      <c r="AR104" s="1">
        <f>L104-K104</f>
        <v>140</v>
      </c>
      <c r="AS104" s="1">
        <f>M104-L104</f>
        <v>200</v>
      </c>
      <c r="AT104" s="1">
        <f>N104-M104</f>
        <v>180</v>
      </c>
      <c r="AU104" s="1">
        <f>O104-N104</f>
        <v>180</v>
      </c>
      <c r="AV104" s="1">
        <f>P104-O104</f>
        <v>190</v>
      </c>
      <c r="AW104" s="1">
        <f>Q104-P104</f>
        <v>200</v>
      </c>
      <c r="AX104" s="1">
        <f>R104-Q104</f>
        <v>220</v>
      </c>
      <c r="AY104" s="1">
        <f>S104-R104</f>
        <v>170</v>
      </c>
      <c r="AZ104" s="1">
        <f>T104-S104</f>
        <v>210</v>
      </c>
      <c r="BA104" s="1">
        <f>U104-T104</f>
        <v>170</v>
      </c>
      <c r="BB104" s="1">
        <f>V104-U104</f>
        <v>250</v>
      </c>
      <c r="BC104" s="1">
        <f>W104-V104</f>
        <v>180</v>
      </c>
      <c r="BD104" s="1">
        <f>X104-W104</f>
        <v>210</v>
      </c>
      <c r="BE104" s="1">
        <f>Y104-X104</f>
        <v>220</v>
      </c>
      <c r="BF104" s="1">
        <f>Z104-Y104</f>
        <v>330</v>
      </c>
    </row>
    <row r="105" spans="1:58">
      <c r="A105" s="1">
        <v>103</v>
      </c>
      <c r="B105" s="1">
        <v>549700</v>
      </c>
      <c r="C105" s="1">
        <v>549900</v>
      </c>
      <c r="D105" s="1">
        <v>550040</v>
      </c>
      <c r="E105" s="1">
        <v>550290</v>
      </c>
      <c r="F105" s="1">
        <v>550420</v>
      </c>
      <c r="G105" s="1">
        <v>550670</v>
      </c>
      <c r="H105" s="1">
        <v>550870</v>
      </c>
      <c r="I105" s="1">
        <v>551060</v>
      </c>
      <c r="J105" s="1">
        <v>551210</v>
      </c>
      <c r="K105" s="1">
        <v>551440</v>
      </c>
      <c r="L105" s="1">
        <v>551650</v>
      </c>
      <c r="M105" s="1">
        <v>551870</v>
      </c>
      <c r="N105" s="1">
        <v>552010</v>
      </c>
      <c r="O105" s="1">
        <v>552200</v>
      </c>
      <c r="P105" s="1">
        <v>552400</v>
      </c>
      <c r="Q105" s="1">
        <v>552560</v>
      </c>
      <c r="R105" s="1">
        <v>552760</v>
      </c>
      <c r="S105" s="1">
        <v>552970</v>
      </c>
      <c r="T105" s="1">
        <v>553220</v>
      </c>
      <c r="U105" s="1">
        <v>553440</v>
      </c>
      <c r="V105" s="1">
        <v>553560</v>
      </c>
      <c r="W105" s="1">
        <v>553750</v>
      </c>
      <c r="X105" s="1">
        <v>554000</v>
      </c>
      <c r="Y105" s="1">
        <v>554210</v>
      </c>
      <c r="Z105" s="1">
        <v>554470</v>
      </c>
      <c r="AA105" s="5">
        <f>AVERAGE(B105:Y105)</f>
        <v>551925</v>
      </c>
      <c r="AB105" s="5">
        <f>(AA106-AA104)/2</f>
        <v>4829.375</v>
      </c>
      <c r="AC105" s="14">
        <f>AB105/(23+AB151)</f>
        <v>193.47778648567015</v>
      </c>
      <c r="AD105" s="5">
        <f>AA105-AA104</f>
        <v>4837.9166666666279</v>
      </c>
      <c r="AE105" s="1">
        <f>AD105-AD104</f>
        <v>-0.83333333337213844</v>
      </c>
      <c r="AG105" s="5">
        <f>Z105-Y105</f>
        <v>260</v>
      </c>
      <c r="AI105" s="1">
        <f>C105-B105</f>
        <v>200</v>
      </c>
      <c r="AJ105" s="1">
        <f>D105-C105</f>
        <v>140</v>
      </c>
      <c r="AK105" s="1">
        <f>E105-D105</f>
        <v>250</v>
      </c>
      <c r="AL105" s="1">
        <f>F105-E105</f>
        <v>130</v>
      </c>
      <c r="AM105" s="1">
        <f>G105-F105</f>
        <v>250</v>
      </c>
      <c r="AN105" s="1">
        <f>H105-G105</f>
        <v>200</v>
      </c>
      <c r="AO105" s="1">
        <f>I105-H105</f>
        <v>190</v>
      </c>
      <c r="AP105" s="1">
        <f>J105-I105</f>
        <v>150</v>
      </c>
      <c r="AQ105" s="1">
        <f>K105-J105</f>
        <v>230</v>
      </c>
      <c r="AR105" s="1">
        <f>L105-K105</f>
        <v>210</v>
      </c>
      <c r="AS105" s="1">
        <f>M105-L105</f>
        <v>220</v>
      </c>
      <c r="AT105" s="1">
        <f>N105-M105</f>
        <v>140</v>
      </c>
      <c r="AU105" s="1">
        <f>O105-N105</f>
        <v>190</v>
      </c>
      <c r="AV105" s="1">
        <f>P105-O105</f>
        <v>200</v>
      </c>
      <c r="AW105" s="1">
        <f>Q105-P105</f>
        <v>160</v>
      </c>
      <c r="AX105" s="1">
        <f>R105-Q105</f>
        <v>200</v>
      </c>
      <c r="AY105" s="1">
        <f>S105-R105</f>
        <v>210</v>
      </c>
      <c r="AZ105" s="1">
        <f>T105-S105</f>
        <v>250</v>
      </c>
      <c r="BA105" s="1">
        <f>U105-T105</f>
        <v>220</v>
      </c>
      <c r="BB105" s="1">
        <f>V105-U105</f>
        <v>120</v>
      </c>
      <c r="BC105" s="1">
        <f>W105-V105</f>
        <v>190</v>
      </c>
      <c r="BD105" s="1">
        <f>X105-W105</f>
        <v>250</v>
      </c>
      <c r="BE105" s="1">
        <f>Y105-X105</f>
        <v>210</v>
      </c>
      <c r="BF105" s="1">
        <f>Z105-Y105</f>
        <v>260</v>
      </c>
    </row>
    <row r="106" spans="1:58">
      <c r="A106" s="1">
        <v>104</v>
      </c>
      <c r="B106" s="1">
        <v>554470</v>
      </c>
      <c r="C106" s="1">
        <v>554690</v>
      </c>
      <c r="D106" s="1">
        <v>554860</v>
      </c>
      <c r="E106" s="1">
        <v>555120</v>
      </c>
      <c r="F106" s="1">
        <v>555310</v>
      </c>
      <c r="G106" s="1">
        <v>555470</v>
      </c>
      <c r="H106" s="1">
        <v>555690</v>
      </c>
      <c r="I106" s="1">
        <v>555900</v>
      </c>
      <c r="J106" s="1">
        <v>556090</v>
      </c>
      <c r="K106" s="1">
        <v>556280</v>
      </c>
      <c r="L106" s="1">
        <v>556460</v>
      </c>
      <c r="M106" s="1">
        <v>556660</v>
      </c>
      <c r="N106" s="1">
        <v>556830</v>
      </c>
      <c r="O106" s="1">
        <v>557050</v>
      </c>
      <c r="P106" s="1">
        <v>557250</v>
      </c>
      <c r="Q106" s="1">
        <v>557400</v>
      </c>
      <c r="R106" s="1">
        <v>557570</v>
      </c>
      <c r="S106" s="1">
        <v>557780</v>
      </c>
      <c r="T106" s="1">
        <v>558010</v>
      </c>
      <c r="U106" s="1">
        <v>558230</v>
      </c>
      <c r="V106" s="1">
        <v>558410</v>
      </c>
      <c r="W106" s="1">
        <v>558580</v>
      </c>
      <c r="X106" s="1">
        <v>558790</v>
      </c>
      <c r="Y106" s="1">
        <v>559000</v>
      </c>
      <c r="Z106" s="1">
        <v>559380</v>
      </c>
      <c r="AA106" s="5">
        <f>AVERAGE(B106:Y106)</f>
        <v>556745.83333333337</v>
      </c>
      <c r="AB106" s="5">
        <f>(AA107-AA105)/2</f>
        <v>4832.7083333333139</v>
      </c>
      <c r="AC106" s="14">
        <f>AB106/(23+AB151)</f>
        <v>193.61132880842382</v>
      </c>
      <c r="AD106" s="5">
        <f>AA106-AA105</f>
        <v>4820.8333333333721</v>
      </c>
      <c r="AE106" s="1">
        <f>AD106-AD105</f>
        <v>-17.083333333255723</v>
      </c>
      <c r="AG106" s="5">
        <f>Z106-Y106</f>
        <v>380</v>
      </c>
      <c r="AI106" s="1">
        <f>C106-B106</f>
        <v>220</v>
      </c>
      <c r="AJ106" s="1">
        <f>D106-C106</f>
        <v>170</v>
      </c>
      <c r="AK106" s="1">
        <f>E106-D106</f>
        <v>260</v>
      </c>
      <c r="AL106" s="1">
        <f>F106-E106</f>
        <v>190</v>
      </c>
      <c r="AM106" s="1">
        <f>G106-F106</f>
        <v>160</v>
      </c>
      <c r="AN106" s="1">
        <f>H106-G106</f>
        <v>220</v>
      </c>
      <c r="AO106" s="1">
        <f>I106-H106</f>
        <v>210</v>
      </c>
      <c r="AP106" s="1">
        <f>J106-I106</f>
        <v>190</v>
      </c>
      <c r="AQ106" s="1">
        <f>K106-J106</f>
        <v>190</v>
      </c>
      <c r="AR106" s="1">
        <f>L106-K106</f>
        <v>180</v>
      </c>
      <c r="AS106" s="1">
        <f>M106-L106</f>
        <v>200</v>
      </c>
      <c r="AT106" s="1">
        <f>N106-M106</f>
        <v>170</v>
      </c>
      <c r="AU106" s="1">
        <f>O106-N106</f>
        <v>220</v>
      </c>
      <c r="AV106" s="1">
        <f>P106-O106</f>
        <v>200</v>
      </c>
      <c r="AW106" s="1">
        <f>Q106-P106</f>
        <v>150</v>
      </c>
      <c r="AX106" s="1">
        <f>R106-Q106</f>
        <v>170</v>
      </c>
      <c r="AY106" s="1">
        <f>S106-R106</f>
        <v>210</v>
      </c>
      <c r="AZ106" s="1">
        <f>T106-S106</f>
        <v>230</v>
      </c>
      <c r="BA106" s="1">
        <f>U106-T106</f>
        <v>220</v>
      </c>
      <c r="BB106" s="1">
        <f>V106-U106</f>
        <v>180</v>
      </c>
      <c r="BC106" s="1">
        <f>W106-V106</f>
        <v>170</v>
      </c>
      <c r="BD106" s="1">
        <f>X106-W106</f>
        <v>210</v>
      </c>
      <c r="BE106" s="1">
        <f>Y106-X106</f>
        <v>210</v>
      </c>
      <c r="BF106" s="1">
        <f>Z106-Y106</f>
        <v>380</v>
      </c>
    </row>
    <row r="107" spans="1:58">
      <c r="A107" s="1">
        <v>105</v>
      </c>
      <c r="B107" s="1">
        <v>559380</v>
      </c>
      <c r="C107" s="1">
        <v>559570</v>
      </c>
      <c r="D107" s="1">
        <v>559750</v>
      </c>
      <c r="E107" s="1">
        <v>559970</v>
      </c>
      <c r="F107" s="1">
        <v>560110</v>
      </c>
      <c r="G107" s="1">
        <v>560330</v>
      </c>
      <c r="H107" s="1">
        <v>560470</v>
      </c>
      <c r="I107" s="1">
        <v>560720</v>
      </c>
      <c r="J107" s="1">
        <v>560910</v>
      </c>
      <c r="K107" s="1">
        <v>561070</v>
      </c>
      <c r="L107" s="1">
        <v>561310</v>
      </c>
      <c r="M107" s="1">
        <v>561500</v>
      </c>
      <c r="N107" s="1">
        <v>561680</v>
      </c>
      <c r="O107" s="1">
        <v>561900</v>
      </c>
      <c r="P107" s="1">
        <v>562100</v>
      </c>
      <c r="Q107" s="1">
        <v>562280</v>
      </c>
      <c r="R107" s="1">
        <v>562430</v>
      </c>
      <c r="S107" s="1">
        <v>562680</v>
      </c>
      <c r="T107" s="1">
        <v>562840</v>
      </c>
      <c r="U107" s="1">
        <v>563010</v>
      </c>
      <c r="V107" s="1">
        <v>563270</v>
      </c>
      <c r="W107" s="1">
        <v>563430</v>
      </c>
      <c r="X107" s="1">
        <v>563620</v>
      </c>
      <c r="Y107" s="1">
        <v>563840</v>
      </c>
      <c r="Z107" s="1">
        <v>564200</v>
      </c>
      <c r="AA107" s="5">
        <f>AVERAGE(B107:Y107)</f>
        <v>561590.41666666663</v>
      </c>
      <c r="AB107" s="5">
        <f>(AA108-AA106)/2</f>
        <v>4852.7083333333139</v>
      </c>
      <c r="AC107" s="14">
        <f>AB107/(23+AB151)</f>
        <v>194.41258274495047</v>
      </c>
      <c r="AD107" s="5">
        <f>AA107-AA106</f>
        <v>4844.5833333332557</v>
      </c>
      <c r="AE107" s="1">
        <f>AD107-AD106</f>
        <v>23.749999999883585</v>
      </c>
      <c r="AG107" s="5">
        <f>Z107-Y107</f>
        <v>360</v>
      </c>
      <c r="AI107" s="1">
        <f>C107-B107</f>
        <v>190</v>
      </c>
      <c r="AJ107" s="1">
        <f>D107-C107</f>
        <v>180</v>
      </c>
      <c r="AK107" s="1">
        <f>E107-D107</f>
        <v>220</v>
      </c>
      <c r="AL107" s="1">
        <f>F107-E107</f>
        <v>140</v>
      </c>
      <c r="AM107" s="1">
        <f>G107-F107</f>
        <v>220</v>
      </c>
      <c r="AN107" s="1">
        <f>H107-G107</f>
        <v>140</v>
      </c>
      <c r="AO107" s="1">
        <f>I107-H107</f>
        <v>250</v>
      </c>
      <c r="AP107" s="1">
        <f>J107-I107</f>
        <v>190</v>
      </c>
      <c r="AQ107" s="1">
        <f>K107-J107</f>
        <v>160</v>
      </c>
      <c r="AR107" s="1">
        <f>L107-K107</f>
        <v>240</v>
      </c>
      <c r="AS107" s="1">
        <f>M107-L107</f>
        <v>190</v>
      </c>
      <c r="AT107" s="1">
        <f>N107-M107</f>
        <v>180</v>
      </c>
      <c r="AU107" s="1">
        <f>O107-N107</f>
        <v>220</v>
      </c>
      <c r="AV107" s="1">
        <f>P107-O107</f>
        <v>200</v>
      </c>
      <c r="AW107" s="1">
        <f>Q107-P107</f>
        <v>180</v>
      </c>
      <c r="AX107" s="1">
        <f>R107-Q107</f>
        <v>150</v>
      </c>
      <c r="AY107" s="1">
        <f>S107-R107</f>
        <v>250</v>
      </c>
      <c r="AZ107" s="1">
        <f>T107-S107</f>
        <v>160</v>
      </c>
      <c r="BA107" s="1">
        <f>U107-T107</f>
        <v>170</v>
      </c>
      <c r="BB107" s="1">
        <f>V107-U107</f>
        <v>260</v>
      </c>
      <c r="BC107" s="1">
        <f>W107-V107</f>
        <v>160</v>
      </c>
      <c r="BD107" s="1">
        <f>X107-W107</f>
        <v>190</v>
      </c>
      <c r="BE107" s="1">
        <f>Y107-X107</f>
        <v>220</v>
      </c>
      <c r="BF107" s="1">
        <f>Z107-Y107</f>
        <v>360</v>
      </c>
    </row>
    <row r="108" spans="1:58">
      <c r="A108" s="1">
        <v>106</v>
      </c>
      <c r="B108" s="1">
        <v>564200</v>
      </c>
      <c r="C108" s="1">
        <v>564380</v>
      </c>
      <c r="D108" s="1">
        <v>564620</v>
      </c>
      <c r="E108" s="1">
        <v>564790</v>
      </c>
      <c r="F108" s="1">
        <v>564990</v>
      </c>
      <c r="G108" s="1">
        <v>565210</v>
      </c>
      <c r="H108" s="1">
        <v>565390</v>
      </c>
      <c r="I108" s="1">
        <v>565550</v>
      </c>
      <c r="J108" s="1">
        <v>565740</v>
      </c>
      <c r="K108" s="1">
        <v>565970</v>
      </c>
      <c r="L108" s="1">
        <v>566150</v>
      </c>
      <c r="M108" s="1">
        <v>566370</v>
      </c>
      <c r="N108" s="1">
        <v>566540</v>
      </c>
      <c r="O108" s="1">
        <v>566760</v>
      </c>
      <c r="P108" s="1">
        <v>566970</v>
      </c>
      <c r="Q108" s="1">
        <v>567120</v>
      </c>
      <c r="R108" s="1">
        <v>567320</v>
      </c>
      <c r="S108" s="1">
        <v>567500</v>
      </c>
      <c r="T108" s="1">
        <v>567690</v>
      </c>
      <c r="U108" s="1">
        <v>567920</v>
      </c>
      <c r="V108" s="1">
        <v>568120</v>
      </c>
      <c r="W108" s="1">
        <v>568300</v>
      </c>
      <c r="X108" s="1">
        <v>568500</v>
      </c>
      <c r="Y108" s="1">
        <v>568730</v>
      </c>
      <c r="Z108" s="1">
        <v>569090</v>
      </c>
      <c r="AA108" s="5">
        <f>AVERAGE(B108:Y108)</f>
        <v>566451.25</v>
      </c>
      <c r="AB108" s="5">
        <f>(AA109-AA107)/2</f>
        <v>4856.25</v>
      </c>
      <c r="AC108" s="14">
        <f>AB108/(23+AB151)</f>
        <v>194.55447146287784</v>
      </c>
      <c r="AD108" s="5">
        <f>AA108-AA107</f>
        <v>4860.8333333333721</v>
      </c>
      <c r="AE108" s="1">
        <f>AD108-AD107</f>
        <v>16.250000000116415</v>
      </c>
      <c r="AG108" s="5">
        <f>Z108-Y108</f>
        <v>360</v>
      </c>
      <c r="AI108" s="1">
        <f>C108-B108</f>
        <v>180</v>
      </c>
      <c r="AJ108" s="1">
        <f>D108-C108</f>
        <v>240</v>
      </c>
      <c r="AK108" s="1">
        <f>E108-D108</f>
        <v>170</v>
      </c>
      <c r="AL108" s="1">
        <f>F108-E108</f>
        <v>200</v>
      </c>
      <c r="AM108" s="1">
        <f>G108-F108</f>
        <v>220</v>
      </c>
      <c r="AN108" s="1">
        <f>H108-G108</f>
        <v>180</v>
      </c>
      <c r="AO108" s="1">
        <f>I108-H108</f>
        <v>160</v>
      </c>
      <c r="AP108" s="1">
        <f>J108-I108</f>
        <v>190</v>
      </c>
      <c r="AQ108" s="1">
        <f>K108-J108</f>
        <v>230</v>
      </c>
      <c r="AR108" s="1">
        <f>L108-K108</f>
        <v>180</v>
      </c>
      <c r="AS108" s="1">
        <f>M108-L108</f>
        <v>220</v>
      </c>
      <c r="AT108" s="1">
        <f>N108-M108</f>
        <v>170</v>
      </c>
      <c r="AU108" s="1">
        <f>O108-N108</f>
        <v>220</v>
      </c>
      <c r="AV108" s="1">
        <f>P108-O108</f>
        <v>210</v>
      </c>
      <c r="AW108" s="1">
        <f>Q108-P108</f>
        <v>150</v>
      </c>
      <c r="AX108" s="1">
        <f>R108-Q108</f>
        <v>200</v>
      </c>
      <c r="AY108" s="1">
        <f>S108-R108</f>
        <v>180</v>
      </c>
      <c r="AZ108" s="1">
        <f>T108-S108</f>
        <v>190</v>
      </c>
      <c r="BA108" s="1">
        <f>U108-T108</f>
        <v>230</v>
      </c>
      <c r="BB108" s="1">
        <f>V108-U108</f>
        <v>200</v>
      </c>
      <c r="BC108" s="1">
        <f>W108-V108</f>
        <v>180</v>
      </c>
      <c r="BD108" s="1">
        <f>X108-W108</f>
        <v>200</v>
      </c>
      <c r="BE108" s="1">
        <f>Y108-X108</f>
        <v>230</v>
      </c>
      <c r="BF108" s="1">
        <f>Z108-Y108</f>
        <v>360</v>
      </c>
    </row>
    <row r="109" spans="1:58">
      <c r="A109" s="1">
        <v>107</v>
      </c>
      <c r="B109" s="1">
        <v>569090</v>
      </c>
      <c r="C109" s="1">
        <v>569300</v>
      </c>
      <c r="D109" s="1">
        <v>569430</v>
      </c>
      <c r="E109" s="1">
        <v>569640</v>
      </c>
      <c r="F109" s="1">
        <v>569850</v>
      </c>
      <c r="G109" s="1">
        <v>570030</v>
      </c>
      <c r="H109" s="1">
        <v>570200</v>
      </c>
      <c r="I109" s="1">
        <v>570420</v>
      </c>
      <c r="J109" s="1">
        <v>570620</v>
      </c>
      <c r="K109" s="1">
        <v>570820</v>
      </c>
      <c r="L109" s="1">
        <v>571020</v>
      </c>
      <c r="M109" s="1">
        <v>571220</v>
      </c>
      <c r="N109" s="1">
        <v>571410</v>
      </c>
      <c r="O109" s="1">
        <v>571600</v>
      </c>
      <c r="P109" s="1">
        <v>571800</v>
      </c>
      <c r="Q109" s="1">
        <v>571960</v>
      </c>
      <c r="R109" s="1">
        <v>572140</v>
      </c>
      <c r="S109" s="1">
        <v>572370</v>
      </c>
      <c r="T109" s="1">
        <v>572530</v>
      </c>
      <c r="U109" s="1">
        <v>572730</v>
      </c>
      <c r="V109" s="1">
        <v>572960</v>
      </c>
      <c r="W109" s="1">
        <v>573190</v>
      </c>
      <c r="X109" s="1">
        <v>573390</v>
      </c>
      <c r="Y109" s="1">
        <v>573550</v>
      </c>
      <c r="Z109" s="1">
        <v>573910</v>
      </c>
      <c r="AA109" s="5">
        <f>AVERAGE(B109:Y109)</f>
        <v>571302.91666666663</v>
      </c>
      <c r="AB109" s="5">
        <f>(AA110-AA108)/2</f>
        <v>4849.1666666666861</v>
      </c>
      <c r="AC109" s="14">
        <f>AB109/(23+AB151)</f>
        <v>194.27069402702543</v>
      </c>
      <c r="AD109" s="5">
        <f>AA109-AA108</f>
        <v>4851.6666666666279</v>
      </c>
      <c r="AE109" s="1">
        <f>AD109-AD108</f>
        <v>-9.1666666667442769</v>
      </c>
      <c r="AG109" s="5">
        <f>Z109-Y109</f>
        <v>360</v>
      </c>
      <c r="AI109" s="1">
        <f>C109-B109</f>
        <v>210</v>
      </c>
      <c r="AJ109" s="1">
        <f>D109-C109</f>
        <v>130</v>
      </c>
      <c r="AK109" s="1">
        <f>E109-D109</f>
        <v>210</v>
      </c>
      <c r="AL109" s="1">
        <f>F109-E109</f>
        <v>210</v>
      </c>
      <c r="AM109" s="1">
        <f>G109-F109</f>
        <v>180</v>
      </c>
      <c r="AN109" s="1">
        <f>H109-G109</f>
        <v>170</v>
      </c>
      <c r="AO109" s="1">
        <f>I109-H109</f>
        <v>220</v>
      </c>
      <c r="AP109" s="1">
        <f>J109-I109</f>
        <v>200</v>
      </c>
      <c r="AQ109" s="1">
        <f>K109-J109</f>
        <v>200</v>
      </c>
      <c r="AR109" s="1">
        <f>L109-K109</f>
        <v>200</v>
      </c>
      <c r="AS109" s="1">
        <f>M109-L109</f>
        <v>200</v>
      </c>
      <c r="AT109" s="1">
        <f>N109-M109</f>
        <v>190</v>
      </c>
      <c r="AU109" s="1">
        <f>O109-N109</f>
        <v>190</v>
      </c>
      <c r="AV109" s="1">
        <f>P109-O109</f>
        <v>200</v>
      </c>
      <c r="AW109" s="1">
        <f>Q109-P109</f>
        <v>160</v>
      </c>
      <c r="AX109" s="1">
        <f>R109-Q109</f>
        <v>180</v>
      </c>
      <c r="AY109" s="1">
        <f>S109-R109</f>
        <v>230</v>
      </c>
      <c r="AZ109" s="1">
        <f>T109-S109</f>
        <v>160</v>
      </c>
      <c r="BA109" s="1">
        <f>U109-T109</f>
        <v>200</v>
      </c>
      <c r="BB109" s="1">
        <f>V109-U109</f>
        <v>230</v>
      </c>
      <c r="BC109" s="1">
        <f>W109-V109</f>
        <v>230</v>
      </c>
      <c r="BD109" s="1">
        <f>X109-W109</f>
        <v>200</v>
      </c>
      <c r="BE109" s="1">
        <f>Y109-X109</f>
        <v>160</v>
      </c>
      <c r="BF109" s="1">
        <f>Z109-Y109</f>
        <v>360</v>
      </c>
    </row>
    <row r="110" spans="1:58">
      <c r="A110" s="1">
        <v>108</v>
      </c>
      <c r="B110" s="1">
        <v>573910</v>
      </c>
      <c r="C110" s="1">
        <v>574130</v>
      </c>
      <c r="D110" s="1">
        <v>574270</v>
      </c>
      <c r="E110" s="1">
        <v>574520</v>
      </c>
      <c r="F110" s="1">
        <v>574730</v>
      </c>
      <c r="G110" s="1">
        <v>574890</v>
      </c>
      <c r="H110" s="1">
        <v>575040</v>
      </c>
      <c r="I110" s="1">
        <v>575270</v>
      </c>
      <c r="J110" s="1">
        <v>575500</v>
      </c>
      <c r="K110" s="1">
        <v>575680</v>
      </c>
      <c r="L110" s="1">
        <v>575850</v>
      </c>
      <c r="M110" s="1">
        <v>576060</v>
      </c>
      <c r="N110" s="1">
        <v>576230</v>
      </c>
      <c r="O110" s="1">
        <v>576430</v>
      </c>
      <c r="P110" s="1">
        <v>576610</v>
      </c>
      <c r="Q110" s="1">
        <v>576830</v>
      </c>
      <c r="R110" s="1">
        <v>577030</v>
      </c>
      <c r="S110" s="1">
        <v>577240</v>
      </c>
      <c r="T110" s="1">
        <v>577440</v>
      </c>
      <c r="U110" s="1">
        <v>577580</v>
      </c>
      <c r="V110" s="1">
        <v>577800</v>
      </c>
      <c r="W110" s="1">
        <v>577960</v>
      </c>
      <c r="X110" s="1">
        <v>578190</v>
      </c>
      <c r="Y110" s="1">
        <v>578400</v>
      </c>
      <c r="Z110" s="1">
        <v>578750</v>
      </c>
      <c r="AA110" s="5">
        <f>AVERAGE(B110:Y110)</f>
        <v>576149.58333333337</v>
      </c>
      <c r="AB110" s="5">
        <f>(AA111-AA109)/2</f>
        <v>4847.9166666666861</v>
      </c>
      <c r="AC110" s="14">
        <f>AB110/(23+AB151)</f>
        <v>194.22061565599253</v>
      </c>
      <c r="AD110" s="5">
        <f>AA110-AA109</f>
        <v>4846.6666666667443</v>
      </c>
      <c r="AE110" s="1">
        <f>AD110-AD109</f>
        <v>-4.9999999998835847</v>
      </c>
      <c r="AG110" s="5">
        <f>Z110-Y110</f>
        <v>350</v>
      </c>
      <c r="AI110" s="1">
        <f>C110-B110</f>
        <v>220</v>
      </c>
      <c r="AJ110" s="1">
        <f>D110-C110</f>
        <v>140</v>
      </c>
      <c r="AK110" s="1">
        <f>E110-D110</f>
        <v>250</v>
      </c>
      <c r="AL110" s="1">
        <f>F110-E110</f>
        <v>210</v>
      </c>
      <c r="AM110" s="1">
        <f>G110-F110</f>
        <v>160</v>
      </c>
      <c r="AN110" s="1">
        <f>H110-G110</f>
        <v>150</v>
      </c>
      <c r="AO110" s="1">
        <f>I110-H110</f>
        <v>230</v>
      </c>
      <c r="AP110" s="1">
        <f>J110-I110</f>
        <v>230</v>
      </c>
      <c r="AQ110" s="1">
        <f>K110-J110</f>
        <v>180</v>
      </c>
      <c r="AR110" s="1">
        <f>L110-K110</f>
        <v>170</v>
      </c>
      <c r="AS110" s="1">
        <f>M110-L110</f>
        <v>210</v>
      </c>
      <c r="AT110" s="1">
        <f>N110-M110</f>
        <v>170</v>
      </c>
      <c r="AU110" s="1">
        <f>O110-N110</f>
        <v>200</v>
      </c>
      <c r="AV110" s="1">
        <f>P110-O110</f>
        <v>180</v>
      </c>
      <c r="AW110" s="1">
        <f>Q110-P110</f>
        <v>220</v>
      </c>
      <c r="AX110" s="1">
        <f>R110-Q110</f>
        <v>200</v>
      </c>
      <c r="AY110" s="1">
        <f>S110-R110</f>
        <v>210</v>
      </c>
      <c r="AZ110" s="1">
        <f>T110-S110</f>
        <v>200</v>
      </c>
      <c r="BA110" s="1">
        <f>U110-T110</f>
        <v>140</v>
      </c>
      <c r="BB110" s="1">
        <f>V110-U110</f>
        <v>220</v>
      </c>
      <c r="BC110" s="1">
        <f>W110-V110</f>
        <v>160</v>
      </c>
      <c r="BD110" s="1">
        <f>X110-W110</f>
        <v>230</v>
      </c>
      <c r="BE110" s="1">
        <f>Y110-X110</f>
        <v>210</v>
      </c>
      <c r="BF110" s="1">
        <f>Z110-Y110</f>
        <v>350</v>
      </c>
    </row>
    <row r="111" spans="1:58">
      <c r="A111" s="1">
        <v>109</v>
      </c>
      <c r="B111" s="1">
        <v>578750</v>
      </c>
      <c r="C111" s="1">
        <v>578960</v>
      </c>
      <c r="D111" s="1">
        <v>579190</v>
      </c>
      <c r="E111" s="1">
        <v>579380</v>
      </c>
      <c r="F111" s="1">
        <v>579550</v>
      </c>
      <c r="G111" s="1">
        <v>579720</v>
      </c>
      <c r="H111" s="1">
        <v>579920</v>
      </c>
      <c r="I111" s="1">
        <v>580110</v>
      </c>
      <c r="J111" s="1">
        <v>580280</v>
      </c>
      <c r="K111" s="1">
        <v>580500</v>
      </c>
      <c r="L111" s="1">
        <v>580710</v>
      </c>
      <c r="M111" s="1">
        <v>580890</v>
      </c>
      <c r="N111" s="1">
        <v>581080</v>
      </c>
      <c r="O111" s="1">
        <v>581320</v>
      </c>
      <c r="P111" s="1">
        <v>581470</v>
      </c>
      <c r="Q111" s="1">
        <v>581690</v>
      </c>
      <c r="R111" s="1">
        <v>581860</v>
      </c>
      <c r="S111" s="1">
        <v>582060</v>
      </c>
      <c r="T111" s="1">
        <v>582290</v>
      </c>
      <c r="U111" s="1">
        <v>582460</v>
      </c>
      <c r="V111" s="1">
        <v>582600</v>
      </c>
      <c r="W111" s="1">
        <v>582850</v>
      </c>
      <c r="X111" s="1">
        <v>583050</v>
      </c>
      <c r="Y111" s="1">
        <v>583280</v>
      </c>
      <c r="Z111" s="1">
        <v>583640</v>
      </c>
      <c r="AA111" s="5">
        <f>AVERAGE(B111:Y111)</f>
        <v>580998.75</v>
      </c>
      <c r="AB111" s="5">
        <f>(AA112-AA110)/2</f>
        <v>4852.2916666666279</v>
      </c>
      <c r="AC111" s="14">
        <f>AB111/(23+AB151)</f>
        <v>194.39588995460539</v>
      </c>
      <c r="AD111" s="5">
        <f>AA111-AA110</f>
        <v>4849.1666666666279</v>
      </c>
      <c r="AE111" s="1">
        <f>AD111-AD110</f>
        <v>2.4999999998835847</v>
      </c>
      <c r="AG111" s="5">
        <f>Z111-Y111</f>
        <v>360</v>
      </c>
      <c r="AI111" s="1">
        <f>C111-B111</f>
        <v>210</v>
      </c>
      <c r="AJ111" s="1">
        <f>D111-C111</f>
        <v>230</v>
      </c>
      <c r="AK111" s="1">
        <f>E111-D111</f>
        <v>190</v>
      </c>
      <c r="AL111" s="1">
        <f>F111-E111</f>
        <v>170</v>
      </c>
      <c r="AM111" s="1">
        <f>G111-F111</f>
        <v>170</v>
      </c>
      <c r="AN111" s="1">
        <f>H111-G111</f>
        <v>200</v>
      </c>
      <c r="AO111" s="1">
        <f>I111-H111</f>
        <v>190</v>
      </c>
      <c r="AP111" s="1">
        <f>J111-I111</f>
        <v>170</v>
      </c>
      <c r="AQ111" s="1">
        <f>K111-J111</f>
        <v>220</v>
      </c>
      <c r="AR111" s="1">
        <f>L111-K111</f>
        <v>210</v>
      </c>
      <c r="AS111" s="1">
        <f>M111-L111</f>
        <v>180</v>
      </c>
      <c r="AT111" s="1">
        <f>N111-M111</f>
        <v>190</v>
      </c>
      <c r="AU111" s="1">
        <f>O111-N111</f>
        <v>240</v>
      </c>
      <c r="AV111" s="1">
        <f>P111-O111</f>
        <v>150</v>
      </c>
      <c r="AW111" s="1">
        <f>Q111-P111</f>
        <v>220</v>
      </c>
      <c r="AX111" s="1">
        <f>R111-Q111</f>
        <v>170</v>
      </c>
      <c r="AY111" s="1">
        <f>S111-R111</f>
        <v>200</v>
      </c>
      <c r="AZ111" s="1">
        <f>T111-S111</f>
        <v>230</v>
      </c>
      <c r="BA111" s="1">
        <f>U111-T111</f>
        <v>170</v>
      </c>
      <c r="BB111" s="1">
        <f>V111-U111</f>
        <v>140</v>
      </c>
      <c r="BC111" s="1">
        <f>W111-V111</f>
        <v>250</v>
      </c>
      <c r="BD111" s="1">
        <f>X111-W111</f>
        <v>200</v>
      </c>
      <c r="BE111" s="1">
        <f>Y111-X111</f>
        <v>230</v>
      </c>
      <c r="BF111" s="1">
        <f>Z111-Y111</f>
        <v>360</v>
      </c>
    </row>
    <row r="112" spans="1:58">
      <c r="A112" s="1">
        <v>110</v>
      </c>
      <c r="B112" s="1">
        <v>583640</v>
      </c>
      <c r="C112" s="1">
        <v>583840</v>
      </c>
      <c r="D112" s="1">
        <v>584040</v>
      </c>
      <c r="E112" s="1">
        <v>584240</v>
      </c>
      <c r="F112" s="1">
        <v>584340</v>
      </c>
      <c r="G112" s="1">
        <v>584560</v>
      </c>
      <c r="H112" s="1">
        <v>584790</v>
      </c>
      <c r="I112" s="1">
        <v>584930</v>
      </c>
      <c r="J112" s="1">
        <v>585150</v>
      </c>
      <c r="K112" s="1">
        <v>585390</v>
      </c>
      <c r="L112" s="1">
        <v>585550</v>
      </c>
      <c r="M112" s="1">
        <v>585740</v>
      </c>
      <c r="N112" s="1">
        <v>585960</v>
      </c>
      <c r="O112" s="1">
        <v>586180</v>
      </c>
      <c r="P112" s="1">
        <v>586340</v>
      </c>
      <c r="Q112" s="1">
        <v>586530</v>
      </c>
      <c r="R112" s="1">
        <v>586750</v>
      </c>
      <c r="S112" s="1">
        <v>586920</v>
      </c>
      <c r="T112" s="1">
        <v>587100</v>
      </c>
      <c r="U112" s="1">
        <v>587290</v>
      </c>
      <c r="V112" s="1">
        <v>587490</v>
      </c>
      <c r="W112" s="1">
        <v>587710</v>
      </c>
      <c r="X112" s="1">
        <v>587900</v>
      </c>
      <c r="Y112" s="1">
        <v>588120</v>
      </c>
      <c r="Z112" s="1">
        <v>588480</v>
      </c>
      <c r="AA112" s="5">
        <f>AVERAGE(B112:Y112)</f>
        <v>585854.16666666663</v>
      </c>
      <c r="AB112" s="5">
        <f>(AA113-AA111)/2</f>
        <v>4866.25</v>
      </c>
      <c r="AC112" s="14">
        <f>AB112/(23+AB151)</f>
        <v>194.95509843114118</v>
      </c>
      <c r="AD112" s="5">
        <f>AA112-AA111</f>
        <v>4855.4166666666279</v>
      </c>
      <c r="AE112" s="1">
        <f>AD112-AD111</f>
        <v>6.25</v>
      </c>
      <c r="AG112" s="5">
        <f>Z112-Y112</f>
        <v>360</v>
      </c>
      <c r="AI112" s="1">
        <f>C112-B112</f>
        <v>200</v>
      </c>
      <c r="AJ112" s="1">
        <f>D112-C112</f>
        <v>200</v>
      </c>
      <c r="AK112" s="1">
        <f>E112-D112</f>
        <v>200</v>
      </c>
      <c r="AL112" s="1">
        <f>F112-E112</f>
        <v>100</v>
      </c>
      <c r="AM112" s="1">
        <f>G112-F112</f>
        <v>220</v>
      </c>
      <c r="AN112" s="1">
        <f>H112-G112</f>
        <v>230</v>
      </c>
      <c r="AO112" s="1">
        <f>I112-H112</f>
        <v>140</v>
      </c>
      <c r="AP112" s="1">
        <f>J112-I112</f>
        <v>220</v>
      </c>
      <c r="AQ112" s="1">
        <f>K112-J112</f>
        <v>240</v>
      </c>
      <c r="AR112" s="1">
        <f>L112-K112</f>
        <v>160</v>
      </c>
      <c r="AS112" s="1">
        <f>M112-L112</f>
        <v>190</v>
      </c>
      <c r="AT112" s="1">
        <f>N112-M112</f>
        <v>220</v>
      </c>
      <c r="AU112" s="1">
        <f>O112-N112</f>
        <v>220</v>
      </c>
      <c r="AV112" s="1">
        <f>P112-O112</f>
        <v>160</v>
      </c>
      <c r="AW112" s="1">
        <f>Q112-P112</f>
        <v>190</v>
      </c>
      <c r="AX112" s="1">
        <f>R112-Q112</f>
        <v>220</v>
      </c>
      <c r="AY112" s="1">
        <f>S112-R112</f>
        <v>170</v>
      </c>
      <c r="AZ112" s="1">
        <f>T112-S112</f>
        <v>180</v>
      </c>
      <c r="BA112" s="1">
        <f>U112-T112</f>
        <v>190</v>
      </c>
      <c r="BB112" s="1">
        <f>V112-U112</f>
        <v>200</v>
      </c>
      <c r="BC112" s="1">
        <f>W112-V112</f>
        <v>220</v>
      </c>
      <c r="BD112" s="1">
        <f>X112-W112</f>
        <v>190</v>
      </c>
      <c r="BE112" s="1">
        <f>Y112-X112</f>
        <v>220</v>
      </c>
      <c r="BF112" s="1">
        <f>Z112-Y112</f>
        <v>360</v>
      </c>
    </row>
    <row r="113" spans="1:58">
      <c r="A113" s="1">
        <v>111</v>
      </c>
      <c r="B113" s="1">
        <v>588480</v>
      </c>
      <c r="C113" s="1">
        <v>588680</v>
      </c>
      <c r="D113" s="1">
        <v>588860</v>
      </c>
      <c r="E113" s="1">
        <v>589070</v>
      </c>
      <c r="F113" s="1">
        <v>589310</v>
      </c>
      <c r="G113" s="1">
        <v>589490</v>
      </c>
      <c r="H113" s="1">
        <v>589650</v>
      </c>
      <c r="I113" s="1">
        <v>589840</v>
      </c>
      <c r="J113" s="1">
        <v>590030</v>
      </c>
      <c r="K113" s="1">
        <v>590240</v>
      </c>
      <c r="L113" s="1">
        <v>590440</v>
      </c>
      <c r="M113" s="1">
        <v>590620</v>
      </c>
      <c r="N113" s="1">
        <v>590830</v>
      </c>
      <c r="O113" s="1">
        <v>591000</v>
      </c>
      <c r="P113" s="1">
        <v>591150</v>
      </c>
      <c r="Q113" s="1">
        <v>591430</v>
      </c>
      <c r="R113" s="1">
        <v>591620</v>
      </c>
      <c r="S113" s="1">
        <v>591820</v>
      </c>
      <c r="T113" s="1">
        <v>592000</v>
      </c>
      <c r="U113" s="1">
        <v>592180</v>
      </c>
      <c r="V113" s="1">
        <v>592380</v>
      </c>
      <c r="W113" s="1">
        <v>592610</v>
      </c>
      <c r="X113" s="1">
        <v>592790</v>
      </c>
      <c r="Y113" s="1">
        <v>593030</v>
      </c>
      <c r="Z113" s="1">
        <v>593380</v>
      </c>
      <c r="AA113" s="5">
        <f>AVERAGE(B113:Y113)</f>
        <v>590731.25</v>
      </c>
      <c r="AB113" s="5">
        <f>(AA114-AA112)/2</f>
        <v>4865.8333333333721</v>
      </c>
      <c r="AC113" s="14">
        <f>AB113/(23+AB151)</f>
        <v>194.93840564079844</v>
      </c>
      <c r="AD113" s="5">
        <f>AA113-AA112</f>
        <v>4877.0833333333721</v>
      </c>
      <c r="AE113" s="1">
        <f>AD113-AD112</f>
        <v>21.666666666744277</v>
      </c>
      <c r="AG113" s="5">
        <f>Z113-Y113</f>
        <v>350</v>
      </c>
      <c r="AI113" s="1">
        <f>C113-B113</f>
        <v>200</v>
      </c>
      <c r="AJ113" s="1">
        <f>D113-C113</f>
        <v>180</v>
      </c>
      <c r="AK113" s="1">
        <f>E113-D113</f>
        <v>210</v>
      </c>
      <c r="AL113" s="1">
        <f>F113-E113</f>
        <v>240</v>
      </c>
      <c r="AM113" s="1">
        <f>G113-F113</f>
        <v>180</v>
      </c>
      <c r="AN113" s="1">
        <f>H113-G113</f>
        <v>160</v>
      </c>
      <c r="AO113" s="1">
        <f>I113-H113</f>
        <v>190</v>
      </c>
      <c r="AP113" s="1">
        <f>J113-I113</f>
        <v>190</v>
      </c>
      <c r="AQ113" s="1">
        <f>K113-J113</f>
        <v>210</v>
      </c>
      <c r="AR113" s="1">
        <f>L113-K113</f>
        <v>200</v>
      </c>
      <c r="AS113" s="1">
        <f>M113-L113</f>
        <v>180</v>
      </c>
      <c r="AT113" s="1">
        <f>N113-M113</f>
        <v>210</v>
      </c>
      <c r="AU113" s="1">
        <f>O113-N113</f>
        <v>170</v>
      </c>
      <c r="AV113" s="1">
        <f>P113-O113</f>
        <v>150</v>
      </c>
      <c r="AW113" s="1">
        <f>Q113-P113</f>
        <v>280</v>
      </c>
      <c r="AX113" s="1">
        <f>R113-Q113</f>
        <v>190</v>
      </c>
      <c r="AY113" s="1">
        <f>S113-R113</f>
        <v>200</v>
      </c>
      <c r="AZ113" s="1">
        <f>T113-S113</f>
        <v>180</v>
      </c>
      <c r="BA113" s="1">
        <f>U113-T113</f>
        <v>180</v>
      </c>
      <c r="BB113" s="1">
        <f>V113-U113</f>
        <v>200</v>
      </c>
      <c r="BC113" s="1">
        <f>W113-V113</f>
        <v>230</v>
      </c>
      <c r="BD113" s="1">
        <f>X113-W113</f>
        <v>180</v>
      </c>
      <c r="BE113" s="1">
        <f>Y113-X113</f>
        <v>240</v>
      </c>
      <c r="BF113" s="1">
        <f>Z113-Y113</f>
        <v>350</v>
      </c>
    </row>
    <row r="114" spans="1:58">
      <c r="A114" s="1">
        <v>112</v>
      </c>
      <c r="B114" s="1">
        <v>593380</v>
      </c>
      <c r="C114" s="1">
        <v>593580</v>
      </c>
      <c r="D114" s="1">
        <v>593730</v>
      </c>
      <c r="E114" s="1">
        <v>593920</v>
      </c>
      <c r="F114" s="1">
        <v>594140</v>
      </c>
      <c r="G114" s="1">
        <v>594370</v>
      </c>
      <c r="H114" s="1">
        <v>594520</v>
      </c>
      <c r="I114" s="1">
        <v>594740</v>
      </c>
      <c r="J114" s="1">
        <v>594940</v>
      </c>
      <c r="K114" s="1">
        <v>595100</v>
      </c>
      <c r="L114" s="1">
        <v>595180</v>
      </c>
      <c r="M114" s="1">
        <v>595470</v>
      </c>
      <c r="N114" s="1">
        <v>595690</v>
      </c>
      <c r="O114" s="1">
        <v>595920</v>
      </c>
      <c r="P114" s="1">
        <v>596070</v>
      </c>
      <c r="Q114" s="1">
        <v>596230</v>
      </c>
      <c r="R114" s="1">
        <v>596440</v>
      </c>
      <c r="S114" s="1">
        <v>596640</v>
      </c>
      <c r="T114" s="1">
        <v>596860</v>
      </c>
      <c r="U114" s="1">
        <v>597050</v>
      </c>
      <c r="V114" s="1">
        <v>597210</v>
      </c>
      <c r="W114" s="1">
        <v>597490</v>
      </c>
      <c r="X114" s="1">
        <v>597620</v>
      </c>
      <c r="Y114" s="1">
        <v>597770</v>
      </c>
      <c r="Z114" s="1">
        <v>598230</v>
      </c>
      <c r="AA114" s="5">
        <f>AVERAGE(B114:Y114)</f>
        <v>595585.83333333337</v>
      </c>
      <c r="AB114" s="5">
        <f>(AA115-AA113)/2</f>
        <v>4842.0833333333139</v>
      </c>
      <c r="AC114" s="14">
        <f>AB114/(23+AB151)</f>
        <v>193.98691659117068</v>
      </c>
      <c r="AD114" s="5">
        <f>AA114-AA113</f>
        <v>4854.5833333333721</v>
      </c>
      <c r="AE114" s="1">
        <f>AD114-AD113</f>
        <v>-22.5</v>
      </c>
      <c r="AG114" s="5">
        <f>Z114-Y114</f>
        <v>460</v>
      </c>
      <c r="AI114" s="1">
        <f>C114-B114</f>
        <v>200</v>
      </c>
      <c r="AJ114" s="1">
        <f>D114-C114</f>
        <v>150</v>
      </c>
      <c r="AK114" s="1">
        <f>E114-D114</f>
        <v>190</v>
      </c>
      <c r="AL114" s="1">
        <f>F114-E114</f>
        <v>220</v>
      </c>
      <c r="AM114" s="1">
        <f>G114-F114</f>
        <v>230</v>
      </c>
      <c r="AN114" s="1">
        <f>H114-G114</f>
        <v>150</v>
      </c>
      <c r="AO114" s="1">
        <f>I114-H114</f>
        <v>220</v>
      </c>
      <c r="AP114" s="1">
        <f>J114-I114</f>
        <v>200</v>
      </c>
      <c r="AQ114" s="1">
        <f>K114-J114</f>
        <v>160</v>
      </c>
      <c r="AR114" s="1">
        <f>L114-K114</f>
        <v>80</v>
      </c>
      <c r="AS114" s="1">
        <f>M114-L114</f>
        <v>290</v>
      </c>
      <c r="AT114" s="1">
        <f>N114-M114</f>
        <v>220</v>
      </c>
      <c r="AU114" s="1">
        <f>O114-N114</f>
        <v>230</v>
      </c>
      <c r="AV114" s="1">
        <f>P114-O114</f>
        <v>150</v>
      </c>
      <c r="AW114" s="1">
        <f>Q114-P114</f>
        <v>160</v>
      </c>
      <c r="AX114" s="1">
        <f>R114-Q114</f>
        <v>210</v>
      </c>
      <c r="AY114" s="1">
        <f>S114-R114</f>
        <v>200</v>
      </c>
      <c r="AZ114" s="1">
        <f>T114-S114</f>
        <v>220</v>
      </c>
      <c r="BA114" s="1">
        <f>U114-T114</f>
        <v>190</v>
      </c>
      <c r="BB114" s="1">
        <f>V114-U114</f>
        <v>160</v>
      </c>
      <c r="BC114" s="1">
        <f>W114-V114</f>
        <v>280</v>
      </c>
      <c r="BD114" s="1">
        <f>X114-W114</f>
        <v>130</v>
      </c>
      <c r="BE114" s="1">
        <f>Y114-X114</f>
        <v>150</v>
      </c>
      <c r="BF114" s="1">
        <f>Z114-Y114</f>
        <v>460</v>
      </c>
    </row>
    <row r="115" spans="1:58">
      <c r="A115" s="1">
        <v>113</v>
      </c>
      <c r="B115" s="1">
        <v>598230</v>
      </c>
      <c r="C115" s="1">
        <v>598410</v>
      </c>
      <c r="D115" s="1">
        <v>598580</v>
      </c>
      <c r="E115" s="1">
        <v>598770</v>
      </c>
      <c r="F115" s="1">
        <v>598960</v>
      </c>
      <c r="G115" s="1">
        <v>599180</v>
      </c>
      <c r="H115" s="1">
        <v>599400</v>
      </c>
      <c r="I115" s="1">
        <v>599610</v>
      </c>
      <c r="J115" s="1">
        <v>599740</v>
      </c>
      <c r="K115" s="1">
        <v>599910</v>
      </c>
      <c r="L115" s="1">
        <v>600180</v>
      </c>
      <c r="M115" s="1">
        <v>600360</v>
      </c>
      <c r="N115" s="1">
        <v>600550</v>
      </c>
      <c r="O115" s="1">
        <v>600720</v>
      </c>
      <c r="P115" s="1">
        <v>600890</v>
      </c>
      <c r="Q115" s="1">
        <v>601040</v>
      </c>
      <c r="R115" s="1">
        <v>601280</v>
      </c>
      <c r="S115" s="1">
        <v>601480</v>
      </c>
      <c r="T115" s="1">
        <v>601670</v>
      </c>
      <c r="U115" s="1">
        <v>601870</v>
      </c>
      <c r="V115" s="1">
        <v>602060</v>
      </c>
      <c r="W115" s="1">
        <v>602280</v>
      </c>
      <c r="X115" s="1">
        <v>602290</v>
      </c>
      <c r="Y115" s="1">
        <v>602510</v>
      </c>
      <c r="Z115" s="1">
        <v>603030</v>
      </c>
      <c r="AA115" s="5">
        <f>AVERAGE(B115:Y115)</f>
        <v>600415.41666666663</v>
      </c>
      <c r="AB115" s="5">
        <f>(AA116-AA114)/2</f>
        <v>4797.5</v>
      </c>
      <c r="AC115" s="14">
        <f>AB115/(23+AB151)</f>
        <v>192.20078802433082</v>
      </c>
      <c r="AD115" s="5">
        <f>AA115-AA114</f>
        <v>4829.5833333332557</v>
      </c>
      <c r="AE115" s="1">
        <f>AD115-AD114</f>
        <v>-25.000000000116415</v>
      </c>
      <c r="AG115" s="5">
        <f>Z115-Y115</f>
        <v>520</v>
      </c>
      <c r="AI115" s="1">
        <f>C115-B115</f>
        <v>180</v>
      </c>
      <c r="AJ115" s="1">
        <f>D115-C115</f>
        <v>170</v>
      </c>
      <c r="AK115" s="1">
        <f>E115-D115</f>
        <v>190</v>
      </c>
      <c r="AL115" s="1">
        <f>F115-E115</f>
        <v>190</v>
      </c>
      <c r="AM115" s="1">
        <f>G115-F115</f>
        <v>220</v>
      </c>
      <c r="AN115" s="1">
        <f>H115-G115</f>
        <v>220</v>
      </c>
      <c r="AO115" s="1">
        <f>I115-H115</f>
        <v>210</v>
      </c>
      <c r="AP115" s="1">
        <f>J115-I115</f>
        <v>130</v>
      </c>
      <c r="AQ115" s="1">
        <f>K115-J115</f>
        <v>170</v>
      </c>
      <c r="AR115" s="1">
        <f>L115-K115</f>
        <v>270</v>
      </c>
      <c r="AS115" s="1">
        <f>M115-L115</f>
        <v>180</v>
      </c>
      <c r="AT115" s="1">
        <f>N115-M115</f>
        <v>190</v>
      </c>
      <c r="AU115" s="1">
        <f>O115-N115</f>
        <v>170</v>
      </c>
      <c r="AV115" s="1">
        <f>P115-O115</f>
        <v>170</v>
      </c>
      <c r="AW115" s="1">
        <f>Q115-P115</f>
        <v>150</v>
      </c>
      <c r="AX115" s="1">
        <f>R115-Q115</f>
        <v>240</v>
      </c>
      <c r="AY115" s="1">
        <f>S115-R115</f>
        <v>200</v>
      </c>
      <c r="AZ115" s="1">
        <f>T115-S115</f>
        <v>190</v>
      </c>
      <c r="BA115" s="1">
        <f>U115-T115</f>
        <v>200</v>
      </c>
      <c r="BB115" s="1">
        <f>V115-U115</f>
        <v>190</v>
      </c>
      <c r="BC115" s="1">
        <f>W115-V115</f>
        <v>220</v>
      </c>
      <c r="BD115" s="1">
        <f>X115-W115</f>
        <v>10</v>
      </c>
      <c r="BE115" s="1">
        <f>Y115-X115</f>
        <v>220</v>
      </c>
      <c r="BF115" s="1">
        <f>Z115-Y115</f>
        <v>520</v>
      </c>
    </row>
    <row r="116" spans="1:58">
      <c r="A116" s="1">
        <v>114</v>
      </c>
      <c r="B116" s="1">
        <v>603030</v>
      </c>
      <c r="C116" s="1">
        <v>603270</v>
      </c>
      <c r="D116" s="1">
        <v>603450</v>
      </c>
      <c r="E116" s="1">
        <v>603600</v>
      </c>
      <c r="F116" s="1">
        <v>603770</v>
      </c>
      <c r="G116" s="1">
        <v>603980</v>
      </c>
      <c r="H116" s="1">
        <v>604150</v>
      </c>
      <c r="I116" s="1">
        <v>604310</v>
      </c>
      <c r="J116" s="1">
        <v>604540</v>
      </c>
      <c r="K116" s="1">
        <v>604550</v>
      </c>
      <c r="L116" s="1">
        <v>604690</v>
      </c>
      <c r="M116" s="1">
        <v>604900</v>
      </c>
      <c r="N116" s="1">
        <v>605310</v>
      </c>
      <c r="O116" s="1">
        <v>605530</v>
      </c>
      <c r="P116" s="1">
        <v>605740</v>
      </c>
      <c r="Q116" s="1">
        <v>605920</v>
      </c>
      <c r="R116" s="1">
        <v>606080</v>
      </c>
      <c r="S116" s="1">
        <v>606210</v>
      </c>
      <c r="T116" s="1">
        <v>606410</v>
      </c>
      <c r="U116" s="1">
        <v>606610</v>
      </c>
      <c r="V116" s="1">
        <v>606790</v>
      </c>
      <c r="W116" s="1">
        <v>606990</v>
      </c>
      <c r="X116" s="1">
        <v>607100</v>
      </c>
      <c r="Y116" s="1">
        <v>607410</v>
      </c>
      <c r="Z116" s="1">
        <v>607720</v>
      </c>
      <c r="AA116" s="5">
        <f>AVERAGE(B116:Y116)</f>
        <v>605180.83333333337</v>
      </c>
      <c r="AB116" s="5">
        <f>(AA117-AA115)/2</f>
        <v>4774.375</v>
      </c>
      <c r="AC116" s="14">
        <f>AB116/(23+AB151)</f>
        <v>191.27433816022187</v>
      </c>
      <c r="AD116" s="5">
        <f>AA116-AA115</f>
        <v>4765.4166666667443</v>
      </c>
      <c r="AE116" s="1">
        <f>AD116-AD115</f>
        <v>-64.166666666511446</v>
      </c>
      <c r="AG116" s="5">
        <f>Z116-Y116</f>
        <v>310</v>
      </c>
      <c r="AI116" s="1">
        <f>C116-B116</f>
        <v>240</v>
      </c>
      <c r="AJ116" s="1">
        <f>D116-C116</f>
        <v>180</v>
      </c>
      <c r="AK116" s="1">
        <f>E116-D116</f>
        <v>150</v>
      </c>
      <c r="AL116" s="1">
        <f>F116-E116</f>
        <v>170</v>
      </c>
      <c r="AM116" s="1">
        <f>G116-F116</f>
        <v>210</v>
      </c>
      <c r="AN116" s="1">
        <f>H116-G116</f>
        <v>170</v>
      </c>
      <c r="AO116" s="1">
        <f>I116-H116</f>
        <v>160</v>
      </c>
      <c r="AP116" s="1">
        <f>J116-I116</f>
        <v>230</v>
      </c>
      <c r="AQ116" s="1">
        <f>K116-J116</f>
        <v>10</v>
      </c>
      <c r="AR116" s="1">
        <f>L116-K116</f>
        <v>140</v>
      </c>
      <c r="AS116" s="1">
        <f>M116-L116</f>
        <v>210</v>
      </c>
      <c r="AT116" s="1">
        <f>N116-M116</f>
        <v>410</v>
      </c>
      <c r="AU116" s="1">
        <f>O116-N116</f>
        <v>220</v>
      </c>
      <c r="AV116" s="1">
        <f>P116-O116</f>
        <v>210</v>
      </c>
      <c r="AW116" s="1">
        <f>Q116-P116</f>
        <v>180</v>
      </c>
      <c r="AX116" s="1">
        <f>R116-Q116</f>
        <v>160</v>
      </c>
      <c r="AY116" s="1">
        <f>S116-R116</f>
        <v>130</v>
      </c>
      <c r="AZ116" s="1">
        <f>T116-S116</f>
        <v>200</v>
      </c>
      <c r="BA116" s="1">
        <f>U116-T116</f>
        <v>200</v>
      </c>
      <c r="BB116" s="1">
        <f>V116-U116</f>
        <v>180</v>
      </c>
      <c r="BC116" s="1">
        <f>W116-V116</f>
        <v>200</v>
      </c>
      <c r="BD116" s="1">
        <f>X116-W116</f>
        <v>110</v>
      </c>
      <c r="BE116" s="1">
        <f>Y116-X116</f>
        <v>310</v>
      </c>
      <c r="BF116" s="1">
        <f>Z116-Y116</f>
        <v>310</v>
      </c>
    </row>
    <row r="117" spans="1:58">
      <c r="A117" s="1">
        <v>115</v>
      </c>
      <c r="B117" s="1">
        <v>607720</v>
      </c>
      <c r="C117" s="1">
        <v>607920</v>
      </c>
      <c r="D117" s="1">
        <v>608170</v>
      </c>
      <c r="E117" s="1">
        <v>608340</v>
      </c>
      <c r="F117" s="1">
        <v>608560</v>
      </c>
      <c r="G117" s="1">
        <v>608760</v>
      </c>
      <c r="H117" s="1">
        <v>608950</v>
      </c>
      <c r="I117" s="1">
        <v>609080</v>
      </c>
      <c r="J117" s="1">
        <v>609330</v>
      </c>
      <c r="K117" s="1">
        <v>609520</v>
      </c>
      <c r="L117" s="1">
        <v>609710</v>
      </c>
      <c r="M117" s="1">
        <v>609830</v>
      </c>
      <c r="N117" s="1">
        <v>610080</v>
      </c>
      <c r="O117" s="1">
        <v>610220</v>
      </c>
      <c r="P117" s="1">
        <v>610440</v>
      </c>
      <c r="Q117" s="1">
        <v>610640</v>
      </c>
      <c r="R117" s="1">
        <v>610810</v>
      </c>
      <c r="S117" s="1">
        <v>611030</v>
      </c>
      <c r="T117" s="1">
        <v>611260</v>
      </c>
      <c r="U117" s="1">
        <v>611390</v>
      </c>
      <c r="V117" s="1">
        <v>611600</v>
      </c>
      <c r="W117" s="1">
        <v>611640</v>
      </c>
      <c r="X117" s="1">
        <v>611890</v>
      </c>
      <c r="Y117" s="1">
        <v>612250</v>
      </c>
      <c r="Z117" s="1">
        <v>612520</v>
      </c>
      <c r="AA117" s="5">
        <f>AVERAGE(B117:Y117)</f>
        <v>609964.16666666663</v>
      </c>
      <c r="AB117" s="5">
        <f>(AA118-AA116)/2</f>
        <v>4778.75</v>
      </c>
      <c r="AC117" s="14">
        <f>AB117/(23+AB151)</f>
        <v>191.44961245883707</v>
      </c>
      <c r="AD117" s="5">
        <f>AA117-AA116</f>
        <v>4783.3333333332557</v>
      </c>
      <c r="AE117" s="1">
        <f>AD117-AD116</f>
        <v>17.916666666511446</v>
      </c>
      <c r="AG117" s="5">
        <f>Z117-Y117</f>
        <v>270</v>
      </c>
      <c r="AI117" s="1">
        <f>C117-B117</f>
        <v>200</v>
      </c>
      <c r="AJ117" s="1">
        <f>D117-C117</f>
        <v>250</v>
      </c>
      <c r="AK117" s="1">
        <f>E117-D117</f>
        <v>170</v>
      </c>
      <c r="AL117" s="1">
        <f>F117-E117</f>
        <v>220</v>
      </c>
      <c r="AM117" s="1">
        <f>G117-F117</f>
        <v>200</v>
      </c>
      <c r="AN117" s="1">
        <f>H117-G117</f>
        <v>190</v>
      </c>
      <c r="AO117" s="1">
        <f>I117-H117</f>
        <v>130</v>
      </c>
      <c r="AP117" s="1">
        <f>J117-I117</f>
        <v>250</v>
      </c>
      <c r="AQ117" s="1">
        <f>K117-J117</f>
        <v>190</v>
      </c>
      <c r="AR117" s="1">
        <f>L117-K117</f>
        <v>190</v>
      </c>
      <c r="AS117" s="1">
        <f>M117-L117</f>
        <v>120</v>
      </c>
      <c r="AT117" s="1">
        <f>N117-M117</f>
        <v>250</v>
      </c>
      <c r="AU117" s="1">
        <f>O117-N117</f>
        <v>140</v>
      </c>
      <c r="AV117" s="1">
        <f>P117-O117</f>
        <v>220</v>
      </c>
      <c r="AW117" s="1">
        <f>Q117-P117</f>
        <v>200</v>
      </c>
      <c r="AX117" s="1">
        <f>R117-Q117</f>
        <v>170</v>
      </c>
      <c r="AY117" s="1">
        <f>S117-R117</f>
        <v>220</v>
      </c>
      <c r="AZ117" s="1">
        <f>T117-S117</f>
        <v>230</v>
      </c>
      <c r="BA117" s="1">
        <f>U117-T117</f>
        <v>130</v>
      </c>
      <c r="BB117" s="1">
        <f>V117-U117</f>
        <v>210</v>
      </c>
      <c r="BC117" s="1">
        <f>W117-V117</f>
        <v>40</v>
      </c>
      <c r="BD117" s="1">
        <f>X117-W117</f>
        <v>250</v>
      </c>
      <c r="BE117" s="1">
        <f>Y117-X117</f>
        <v>360</v>
      </c>
      <c r="BF117" s="1">
        <f>Z117-Y117</f>
        <v>270</v>
      </c>
    </row>
    <row r="118" spans="1:58">
      <c r="A118" s="1">
        <v>116</v>
      </c>
      <c r="B118" s="1">
        <v>612520</v>
      </c>
      <c r="C118" s="1">
        <v>612740</v>
      </c>
      <c r="D118" s="1">
        <v>612940</v>
      </c>
      <c r="E118" s="1">
        <v>613130</v>
      </c>
      <c r="F118" s="1">
        <v>613310</v>
      </c>
      <c r="G118" s="1">
        <v>613500</v>
      </c>
      <c r="H118" s="1">
        <v>613660</v>
      </c>
      <c r="I118" s="1">
        <v>613830</v>
      </c>
      <c r="J118" s="1">
        <v>614060</v>
      </c>
      <c r="K118" s="1">
        <v>614270</v>
      </c>
      <c r="L118" s="1">
        <v>614480</v>
      </c>
      <c r="M118" s="1">
        <v>614690</v>
      </c>
      <c r="N118" s="1">
        <v>614800</v>
      </c>
      <c r="O118" s="1">
        <v>615010</v>
      </c>
      <c r="P118" s="1">
        <v>615190</v>
      </c>
      <c r="Q118" s="1">
        <v>615420</v>
      </c>
      <c r="R118" s="1">
        <v>615600</v>
      </c>
      <c r="S118" s="1">
        <v>615790</v>
      </c>
      <c r="T118" s="1">
        <v>615950</v>
      </c>
      <c r="U118" s="1">
        <v>616200</v>
      </c>
      <c r="V118" s="1">
        <v>616350</v>
      </c>
      <c r="W118" s="1">
        <v>616540</v>
      </c>
      <c r="X118" s="1">
        <v>616740</v>
      </c>
      <c r="Y118" s="1">
        <v>617000</v>
      </c>
      <c r="Z118" s="1">
        <v>617350</v>
      </c>
      <c r="AA118" s="5">
        <f>AVERAGE(B118:Y118)</f>
        <v>614738.33333333337</v>
      </c>
      <c r="AB118" s="5">
        <f>(AA119-AA117)/2</f>
        <v>4781.25</v>
      </c>
      <c r="AC118" s="14">
        <f>AB118/(23+AB151)</f>
        <v>191.54976920090292</v>
      </c>
      <c r="AD118" s="5">
        <f>AA118-AA117</f>
        <v>4774.1666666667443</v>
      </c>
      <c r="AE118" s="1">
        <f>AD118-AD117</f>
        <v>-9.1666666665114462</v>
      </c>
      <c r="AG118" s="5">
        <f>Z118-Y118</f>
        <v>350</v>
      </c>
      <c r="AI118" s="1">
        <f>C118-B118</f>
        <v>220</v>
      </c>
      <c r="AJ118" s="1">
        <f>D118-C118</f>
        <v>200</v>
      </c>
      <c r="AK118" s="1">
        <f>E118-D118</f>
        <v>190</v>
      </c>
      <c r="AL118" s="1">
        <f>F118-E118</f>
        <v>180</v>
      </c>
      <c r="AM118" s="1">
        <f>G118-F118</f>
        <v>190</v>
      </c>
      <c r="AN118" s="1">
        <f>H118-G118</f>
        <v>160</v>
      </c>
      <c r="AO118" s="1">
        <f>I118-H118</f>
        <v>170</v>
      </c>
      <c r="AP118" s="1">
        <f>J118-I118</f>
        <v>230</v>
      </c>
      <c r="AQ118" s="1">
        <f>K118-J118</f>
        <v>210</v>
      </c>
      <c r="AR118" s="1">
        <f>L118-K118</f>
        <v>210</v>
      </c>
      <c r="AS118" s="1">
        <f>M118-L118</f>
        <v>210</v>
      </c>
      <c r="AT118" s="1">
        <f>N118-M118</f>
        <v>110</v>
      </c>
      <c r="AU118" s="1">
        <f>O118-N118</f>
        <v>210</v>
      </c>
      <c r="AV118" s="1">
        <f>P118-O118</f>
        <v>180</v>
      </c>
      <c r="AW118" s="1">
        <f>Q118-P118</f>
        <v>230</v>
      </c>
      <c r="AX118" s="1">
        <f>R118-Q118</f>
        <v>180</v>
      </c>
      <c r="AY118" s="1">
        <f>S118-R118</f>
        <v>190</v>
      </c>
      <c r="AZ118" s="1">
        <f>T118-S118</f>
        <v>160</v>
      </c>
      <c r="BA118" s="1">
        <f>U118-T118</f>
        <v>250</v>
      </c>
      <c r="BB118" s="1">
        <f>V118-U118</f>
        <v>150</v>
      </c>
      <c r="BC118" s="1">
        <f>W118-V118</f>
        <v>190</v>
      </c>
      <c r="BD118" s="1">
        <f>X118-W118</f>
        <v>200</v>
      </c>
      <c r="BE118" s="1">
        <f>Y118-X118</f>
        <v>260</v>
      </c>
      <c r="BF118" s="1">
        <f>Z118-Y118</f>
        <v>350</v>
      </c>
    </row>
    <row r="119" spans="1:58">
      <c r="A119" s="1">
        <v>117</v>
      </c>
      <c r="B119" s="1">
        <v>617350</v>
      </c>
      <c r="C119" s="1">
        <v>617550</v>
      </c>
      <c r="D119" s="1">
        <v>617760</v>
      </c>
      <c r="E119" s="1">
        <v>617930</v>
      </c>
      <c r="F119" s="1">
        <v>618120</v>
      </c>
      <c r="G119" s="1">
        <v>618290</v>
      </c>
      <c r="H119" s="1">
        <v>618490</v>
      </c>
      <c r="I119" s="1">
        <v>618650</v>
      </c>
      <c r="J119" s="1">
        <v>618800</v>
      </c>
      <c r="K119" s="1">
        <v>619030</v>
      </c>
      <c r="L119" s="1">
        <v>619240</v>
      </c>
      <c r="M119" s="1">
        <v>619420</v>
      </c>
      <c r="N119" s="1">
        <v>619620</v>
      </c>
      <c r="O119" s="1">
        <v>619810</v>
      </c>
      <c r="P119" s="1">
        <v>620020</v>
      </c>
      <c r="Q119" s="1">
        <v>620230</v>
      </c>
      <c r="R119" s="1">
        <v>620380</v>
      </c>
      <c r="S119" s="1">
        <v>620550</v>
      </c>
      <c r="T119" s="1">
        <v>620740</v>
      </c>
      <c r="U119" s="1">
        <v>620910</v>
      </c>
      <c r="V119" s="1">
        <v>621150</v>
      </c>
      <c r="W119" s="1">
        <v>621340</v>
      </c>
      <c r="X119" s="1">
        <v>621530</v>
      </c>
      <c r="Y119" s="1">
        <v>621730</v>
      </c>
      <c r="Z119" s="1">
        <v>622100</v>
      </c>
      <c r="AA119" s="5">
        <f>AVERAGE(B119:Y119)</f>
        <v>619526.66666666663</v>
      </c>
      <c r="AB119" s="5">
        <f>(AA120-AA118)/2</f>
        <v>4795.625</v>
      </c>
      <c r="AC119" s="14">
        <f>AB119/(23+AB151)</f>
        <v>192.12567046778145</v>
      </c>
      <c r="AD119" s="5">
        <f>AA119-AA118</f>
        <v>4788.3333333332557</v>
      </c>
      <c r="AE119" s="1">
        <f>AD119-AD118</f>
        <v>14.166666666511446</v>
      </c>
      <c r="AG119" s="5">
        <f>Z119-Y119</f>
        <v>370</v>
      </c>
      <c r="AI119" s="1">
        <f>C119-B119</f>
        <v>200</v>
      </c>
      <c r="AJ119" s="1">
        <f>D119-C119</f>
        <v>210</v>
      </c>
      <c r="AK119" s="1">
        <f>E119-D119</f>
        <v>170</v>
      </c>
      <c r="AL119" s="1">
        <f>F119-E119</f>
        <v>190</v>
      </c>
      <c r="AM119" s="1">
        <f>G119-F119</f>
        <v>170</v>
      </c>
      <c r="AN119" s="1">
        <f>H119-G119</f>
        <v>200</v>
      </c>
      <c r="AO119" s="1">
        <f>I119-H119</f>
        <v>160</v>
      </c>
      <c r="AP119" s="1">
        <f>J119-I119</f>
        <v>150</v>
      </c>
      <c r="AQ119" s="1">
        <f>K119-J119</f>
        <v>230</v>
      </c>
      <c r="AR119" s="1">
        <f>L119-K119</f>
        <v>210</v>
      </c>
      <c r="AS119" s="1">
        <f>M119-L119</f>
        <v>180</v>
      </c>
      <c r="AT119" s="1">
        <f>N119-M119</f>
        <v>200</v>
      </c>
      <c r="AU119" s="1">
        <f>O119-N119</f>
        <v>190</v>
      </c>
      <c r="AV119" s="1">
        <f>P119-O119</f>
        <v>210</v>
      </c>
      <c r="AW119" s="1">
        <f>Q119-P119</f>
        <v>210</v>
      </c>
      <c r="AX119" s="1">
        <f>R119-Q119</f>
        <v>150</v>
      </c>
      <c r="AY119" s="1">
        <f>S119-R119</f>
        <v>170</v>
      </c>
      <c r="AZ119" s="1">
        <f>T119-S119</f>
        <v>190</v>
      </c>
      <c r="BA119" s="1">
        <f>U119-T119</f>
        <v>170</v>
      </c>
      <c r="BB119" s="1">
        <f>V119-U119</f>
        <v>240</v>
      </c>
      <c r="BC119" s="1">
        <f>W119-V119</f>
        <v>190</v>
      </c>
      <c r="BD119" s="1">
        <f>X119-W119</f>
        <v>190</v>
      </c>
      <c r="BE119" s="1">
        <f>Y119-X119</f>
        <v>200</v>
      </c>
      <c r="BF119" s="1">
        <f>Z119-Y119</f>
        <v>370</v>
      </c>
    </row>
    <row r="120" spans="1:58">
      <c r="A120" s="1">
        <v>118</v>
      </c>
      <c r="B120" s="1">
        <v>622100</v>
      </c>
      <c r="C120" s="1">
        <v>622340</v>
      </c>
      <c r="D120" s="1">
        <v>622530</v>
      </c>
      <c r="E120" s="1">
        <v>622700</v>
      </c>
      <c r="F120" s="1">
        <v>622860</v>
      </c>
      <c r="G120" s="1">
        <v>623070</v>
      </c>
      <c r="H120" s="1">
        <v>623320</v>
      </c>
      <c r="I120" s="1">
        <v>623440</v>
      </c>
      <c r="J120" s="1">
        <v>623630</v>
      </c>
      <c r="K120" s="1">
        <v>623820</v>
      </c>
      <c r="L120" s="1">
        <v>624020</v>
      </c>
      <c r="M120" s="1">
        <v>624240</v>
      </c>
      <c r="N120" s="1">
        <v>624400</v>
      </c>
      <c r="O120" s="1">
        <v>624570</v>
      </c>
      <c r="P120" s="1">
        <v>624790</v>
      </c>
      <c r="Q120" s="1">
        <v>625010</v>
      </c>
      <c r="R120" s="1">
        <v>625180</v>
      </c>
      <c r="S120" s="1">
        <v>625420</v>
      </c>
      <c r="T120" s="1">
        <v>625610</v>
      </c>
      <c r="U120" s="1">
        <v>625800</v>
      </c>
      <c r="V120" s="1">
        <v>625980</v>
      </c>
      <c r="W120" s="1">
        <v>626150</v>
      </c>
      <c r="X120" s="1">
        <v>626350</v>
      </c>
      <c r="Y120" s="1">
        <v>626580</v>
      </c>
      <c r="Z120" s="1">
        <v>627010</v>
      </c>
      <c r="AA120" s="5">
        <f>AVERAGE(B120:Y120)</f>
        <v>624329.58333333337</v>
      </c>
      <c r="AB120" s="5">
        <f>(AA121-AA119)/2</f>
        <v>4808.3333333333721</v>
      </c>
      <c r="AC120" s="14">
        <f>AB120/(23+AB151)</f>
        <v>192.63480057328431</v>
      </c>
      <c r="AD120" s="5">
        <f>AA120-AA119</f>
        <v>4802.9166666667443</v>
      </c>
      <c r="AE120" s="1">
        <f>AD120-AD119</f>
        <v>14.583333333488554</v>
      </c>
      <c r="AG120" s="5">
        <f>Z120-Y120</f>
        <v>430</v>
      </c>
      <c r="AI120" s="1">
        <f>C120-B120</f>
        <v>240</v>
      </c>
      <c r="AJ120" s="1">
        <f>D120-C120</f>
        <v>190</v>
      </c>
      <c r="AK120" s="1">
        <f>E120-D120</f>
        <v>170</v>
      </c>
      <c r="AL120" s="1">
        <f>F120-E120</f>
        <v>160</v>
      </c>
      <c r="AM120" s="1">
        <f>G120-F120</f>
        <v>210</v>
      </c>
      <c r="AN120" s="1">
        <f>H120-G120</f>
        <v>250</v>
      </c>
      <c r="AO120" s="1">
        <f>I120-H120</f>
        <v>120</v>
      </c>
      <c r="AP120" s="1">
        <f>J120-I120</f>
        <v>190</v>
      </c>
      <c r="AQ120" s="1">
        <f>K120-J120</f>
        <v>190</v>
      </c>
      <c r="AR120" s="1">
        <f>L120-K120</f>
        <v>200</v>
      </c>
      <c r="AS120" s="1">
        <f>M120-L120</f>
        <v>220</v>
      </c>
      <c r="AT120" s="1">
        <f>N120-M120</f>
        <v>160</v>
      </c>
      <c r="AU120" s="1">
        <f>O120-N120</f>
        <v>170</v>
      </c>
      <c r="AV120" s="1">
        <f>P120-O120</f>
        <v>220</v>
      </c>
      <c r="AW120" s="1">
        <f>Q120-P120</f>
        <v>220</v>
      </c>
      <c r="AX120" s="1">
        <f>R120-Q120</f>
        <v>170</v>
      </c>
      <c r="AY120" s="1">
        <f>S120-R120</f>
        <v>240</v>
      </c>
      <c r="AZ120" s="1">
        <f>T120-S120</f>
        <v>190</v>
      </c>
      <c r="BA120" s="1">
        <f>U120-T120</f>
        <v>190</v>
      </c>
      <c r="BB120" s="1">
        <f>V120-U120</f>
        <v>180</v>
      </c>
      <c r="BC120" s="1">
        <f>W120-V120</f>
        <v>170</v>
      </c>
      <c r="BD120" s="1">
        <f>X120-W120</f>
        <v>200</v>
      </c>
      <c r="BE120" s="1">
        <f>Y120-X120</f>
        <v>230</v>
      </c>
      <c r="BF120" s="1">
        <f>Z120-Y120</f>
        <v>430</v>
      </c>
    </row>
    <row r="121" spans="1:58">
      <c r="A121" s="1">
        <v>119</v>
      </c>
      <c r="B121" s="1">
        <v>627010</v>
      </c>
      <c r="C121" s="1">
        <v>627140</v>
      </c>
      <c r="D121" s="1">
        <v>627340</v>
      </c>
      <c r="E121" s="1">
        <v>627500</v>
      </c>
      <c r="F121" s="1">
        <v>627710</v>
      </c>
      <c r="G121" s="1">
        <v>627880</v>
      </c>
      <c r="H121" s="1">
        <v>628060</v>
      </c>
      <c r="I121" s="1">
        <v>628280</v>
      </c>
      <c r="J121" s="1">
        <v>628470</v>
      </c>
      <c r="K121" s="1">
        <v>628650</v>
      </c>
      <c r="L121" s="1">
        <v>628860</v>
      </c>
      <c r="M121" s="1">
        <v>629040</v>
      </c>
      <c r="N121" s="1">
        <v>629230</v>
      </c>
      <c r="O121" s="1">
        <v>629450</v>
      </c>
      <c r="P121" s="1">
        <v>629610</v>
      </c>
      <c r="Q121" s="1">
        <v>629780</v>
      </c>
      <c r="R121" s="1">
        <v>629960</v>
      </c>
      <c r="S121" s="1">
        <v>630200</v>
      </c>
      <c r="T121" s="1">
        <v>630390</v>
      </c>
      <c r="U121" s="1">
        <v>630610</v>
      </c>
      <c r="V121" s="1">
        <v>630770</v>
      </c>
      <c r="W121" s="1">
        <v>630970</v>
      </c>
      <c r="X121" s="1">
        <v>631160</v>
      </c>
      <c r="Y121" s="1">
        <v>631370</v>
      </c>
      <c r="Z121" s="1">
        <v>631760</v>
      </c>
      <c r="AA121" s="5">
        <f>AVERAGE(B121:Y121)</f>
        <v>629143.33333333337</v>
      </c>
      <c r="AB121" s="5">
        <f>(AA122-AA120)/2</f>
        <v>4815.8333333333139</v>
      </c>
      <c r="AC121" s="14">
        <f>AB121/(23+AB151)</f>
        <v>192.93527079947947</v>
      </c>
      <c r="AD121" s="5">
        <f>AA121-AA120</f>
        <v>4813.75</v>
      </c>
      <c r="AE121" s="1">
        <f>AD121-AD120</f>
        <v>10.833333333255723</v>
      </c>
      <c r="AG121" s="5">
        <f>Z121-Y121</f>
        <v>390</v>
      </c>
      <c r="AI121" s="1">
        <f>C121-B121</f>
        <v>130</v>
      </c>
      <c r="AJ121" s="1">
        <f>D121-C121</f>
        <v>200</v>
      </c>
      <c r="AK121" s="1">
        <f>E121-D121</f>
        <v>160</v>
      </c>
      <c r="AL121" s="1">
        <f>F121-E121</f>
        <v>210</v>
      </c>
      <c r="AM121" s="1">
        <f>G121-F121</f>
        <v>170</v>
      </c>
      <c r="AN121" s="1">
        <f>H121-G121</f>
        <v>180</v>
      </c>
      <c r="AO121" s="1">
        <f>I121-H121</f>
        <v>220</v>
      </c>
      <c r="AP121" s="1">
        <f>J121-I121</f>
        <v>190</v>
      </c>
      <c r="AQ121" s="1">
        <f>K121-J121</f>
        <v>180</v>
      </c>
      <c r="AR121" s="1">
        <f>L121-K121</f>
        <v>210</v>
      </c>
      <c r="AS121" s="1">
        <f>M121-L121</f>
        <v>180</v>
      </c>
      <c r="AT121" s="1">
        <f>N121-M121</f>
        <v>190</v>
      </c>
      <c r="AU121" s="1">
        <f>O121-N121</f>
        <v>220</v>
      </c>
      <c r="AV121" s="1">
        <f>P121-O121</f>
        <v>160</v>
      </c>
      <c r="AW121" s="1">
        <f>Q121-P121</f>
        <v>170</v>
      </c>
      <c r="AX121" s="1">
        <f>R121-Q121</f>
        <v>180</v>
      </c>
      <c r="AY121" s="1">
        <f>S121-R121</f>
        <v>240</v>
      </c>
      <c r="AZ121" s="1">
        <f>T121-S121</f>
        <v>190</v>
      </c>
      <c r="BA121" s="1">
        <f>U121-T121</f>
        <v>220</v>
      </c>
      <c r="BB121" s="1">
        <f>V121-U121</f>
        <v>160</v>
      </c>
      <c r="BC121" s="1">
        <f>W121-V121</f>
        <v>200</v>
      </c>
      <c r="BD121" s="1">
        <f>X121-W121</f>
        <v>190</v>
      </c>
      <c r="BE121" s="1">
        <f>Y121-X121</f>
        <v>210</v>
      </c>
      <c r="BF121" s="1">
        <f>Z121-Y121</f>
        <v>390</v>
      </c>
    </row>
    <row r="122" spans="1:58">
      <c r="A122" s="1">
        <v>120</v>
      </c>
      <c r="B122" s="1">
        <v>631760</v>
      </c>
      <c r="C122" s="1">
        <v>631980</v>
      </c>
      <c r="D122" s="1">
        <v>632170</v>
      </c>
      <c r="E122" s="1">
        <v>632340</v>
      </c>
      <c r="F122" s="1">
        <v>632520</v>
      </c>
      <c r="G122" s="1">
        <v>632720</v>
      </c>
      <c r="H122" s="1">
        <v>632890</v>
      </c>
      <c r="I122" s="1">
        <v>633120</v>
      </c>
      <c r="J122" s="1">
        <v>633280</v>
      </c>
      <c r="K122" s="1">
        <v>633480</v>
      </c>
      <c r="L122" s="1">
        <v>633630</v>
      </c>
      <c r="M122" s="1">
        <v>633830</v>
      </c>
      <c r="N122" s="1">
        <v>634030</v>
      </c>
      <c r="O122" s="1">
        <v>634250</v>
      </c>
      <c r="P122" s="1">
        <v>634470</v>
      </c>
      <c r="Q122" s="1">
        <v>634670</v>
      </c>
      <c r="R122" s="1">
        <v>634860</v>
      </c>
      <c r="S122" s="1">
        <v>635050</v>
      </c>
      <c r="T122" s="1">
        <v>635190</v>
      </c>
      <c r="U122" s="1">
        <v>635350</v>
      </c>
      <c r="V122" s="1">
        <v>635570</v>
      </c>
      <c r="W122" s="1">
        <v>635770</v>
      </c>
      <c r="X122" s="1">
        <v>635970</v>
      </c>
      <c r="Y122" s="1">
        <v>636170</v>
      </c>
      <c r="Z122" s="1">
        <v>636560</v>
      </c>
      <c r="AA122" s="5">
        <f>AVERAGE(B122:Y122)</f>
        <v>633961.25</v>
      </c>
      <c r="AB122" s="5">
        <f>(AA123-AA121)/2</f>
        <v>4815</v>
      </c>
      <c r="AC122" s="14">
        <f>AB122/(23+AB151)</f>
        <v>192.90188521879162</v>
      </c>
      <c r="AD122" s="5">
        <f>AA122-AA121</f>
        <v>4817.9166666666279</v>
      </c>
      <c r="AE122" s="1">
        <f>AD122-AD121</f>
        <v>4.1666666666278616</v>
      </c>
      <c r="AG122" s="5">
        <f>Z122-Y122</f>
        <v>390</v>
      </c>
      <c r="AI122" s="1">
        <f>C122-B122</f>
        <v>220</v>
      </c>
      <c r="AJ122" s="1">
        <f>D122-C122</f>
        <v>190</v>
      </c>
      <c r="AK122" s="1">
        <f>E122-D122</f>
        <v>170</v>
      </c>
      <c r="AL122" s="1">
        <f>F122-E122</f>
        <v>180</v>
      </c>
      <c r="AM122" s="1">
        <f>G122-F122</f>
        <v>200</v>
      </c>
      <c r="AN122" s="1">
        <f>H122-G122</f>
        <v>170</v>
      </c>
      <c r="AO122" s="1">
        <f>I122-H122</f>
        <v>230</v>
      </c>
      <c r="AP122" s="1">
        <f>J122-I122</f>
        <v>160</v>
      </c>
      <c r="AQ122" s="1">
        <f>K122-J122</f>
        <v>200</v>
      </c>
      <c r="AR122" s="1">
        <f>L122-K122</f>
        <v>150</v>
      </c>
      <c r="AS122" s="1">
        <f>M122-L122</f>
        <v>200</v>
      </c>
      <c r="AT122" s="1">
        <f>N122-M122</f>
        <v>200</v>
      </c>
      <c r="AU122" s="1">
        <f>O122-N122</f>
        <v>220</v>
      </c>
      <c r="AV122" s="1">
        <f>P122-O122</f>
        <v>220</v>
      </c>
      <c r="AW122" s="1">
        <f>Q122-P122</f>
        <v>200</v>
      </c>
      <c r="AX122" s="1">
        <f>R122-Q122</f>
        <v>190</v>
      </c>
      <c r="AY122" s="1">
        <f>S122-R122</f>
        <v>190</v>
      </c>
      <c r="AZ122" s="1">
        <f>T122-S122</f>
        <v>140</v>
      </c>
      <c r="BA122" s="1">
        <f>U122-T122</f>
        <v>160</v>
      </c>
      <c r="BB122" s="1">
        <f>V122-U122</f>
        <v>220</v>
      </c>
      <c r="BC122" s="1">
        <f>W122-V122</f>
        <v>200</v>
      </c>
      <c r="BD122" s="1">
        <f>X122-W122</f>
        <v>200</v>
      </c>
      <c r="BE122" s="1">
        <f>Y122-X122</f>
        <v>200</v>
      </c>
      <c r="BF122" s="1">
        <f>Z122-Y122</f>
        <v>390</v>
      </c>
    </row>
    <row r="123" spans="1:58">
      <c r="A123" s="1">
        <v>121</v>
      </c>
      <c r="B123" s="1">
        <v>636560</v>
      </c>
      <c r="C123" s="1">
        <v>636740</v>
      </c>
      <c r="D123" s="1">
        <v>636970</v>
      </c>
      <c r="E123" s="1">
        <v>637170</v>
      </c>
      <c r="F123" s="1">
        <v>637340</v>
      </c>
      <c r="G123" s="1">
        <v>637520</v>
      </c>
      <c r="H123" s="1">
        <v>637750</v>
      </c>
      <c r="I123" s="1">
        <v>637920</v>
      </c>
      <c r="J123" s="1">
        <v>638110</v>
      </c>
      <c r="K123" s="1">
        <v>638270</v>
      </c>
      <c r="L123" s="1">
        <v>638450</v>
      </c>
      <c r="M123" s="1">
        <v>638640</v>
      </c>
      <c r="N123" s="1">
        <v>638870</v>
      </c>
      <c r="O123" s="1">
        <v>639040</v>
      </c>
      <c r="P123" s="1">
        <v>639280</v>
      </c>
      <c r="Q123" s="1">
        <v>639480</v>
      </c>
      <c r="R123" s="1">
        <v>639640</v>
      </c>
      <c r="S123" s="1">
        <v>639860</v>
      </c>
      <c r="T123" s="1">
        <v>640010</v>
      </c>
      <c r="U123" s="1">
        <v>640210</v>
      </c>
      <c r="V123" s="1">
        <v>640400</v>
      </c>
      <c r="W123" s="1">
        <v>640580</v>
      </c>
      <c r="X123" s="1">
        <v>640780</v>
      </c>
      <c r="Y123" s="1">
        <v>640970</v>
      </c>
      <c r="Z123" s="1">
        <v>641390</v>
      </c>
      <c r="AA123" s="5">
        <f>AVERAGE(B123:Y123)</f>
        <v>638773.33333333337</v>
      </c>
      <c r="AB123" s="5">
        <f>(AA124-AA122)/2</f>
        <v>4810.2083333333139</v>
      </c>
      <c r="AC123" s="14">
        <f>AB123/(23+AB151)</f>
        <v>192.70991812983135</v>
      </c>
      <c r="AD123" s="5">
        <f>AA123-AA122</f>
        <v>4812.0833333333721</v>
      </c>
      <c r="AE123" s="1">
        <f>AD123-AD122</f>
        <v>-5.8333333332557231</v>
      </c>
      <c r="AG123" s="5">
        <f>Z123-Y123</f>
        <v>420</v>
      </c>
      <c r="AI123" s="1">
        <f>C123-B123</f>
        <v>180</v>
      </c>
      <c r="AJ123" s="1">
        <f>D123-C123</f>
        <v>230</v>
      </c>
      <c r="AK123" s="1">
        <f>E123-D123</f>
        <v>200</v>
      </c>
      <c r="AL123" s="1">
        <f>F123-E123</f>
        <v>170</v>
      </c>
      <c r="AM123" s="1">
        <f>G123-F123</f>
        <v>180</v>
      </c>
      <c r="AN123" s="1">
        <f>H123-G123</f>
        <v>230</v>
      </c>
      <c r="AO123" s="1">
        <f>I123-H123</f>
        <v>170</v>
      </c>
      <c r="AP123" s="1">
        <f>J123-I123</f>
        <v>190</v>
      </c>
      <c r="AQ123" s="1">
        <f>K123-J123</f>
        <v>160</v>
      </c>
      <c r="AR123" s="1">
        <f>L123-K123</f>
        <v>180</v>
      </c>
      <c r="AS123" s="1">
        <f>M123-L123</f>
        <v>190</v>
      </c>
      <c r="AT123" s="1">
        <f>N123-M123</f>
        <v>230</v>
      </c>
      <c r="AU123" s="1">
        <f>O123-N123</f>
        <v>170</v>
      </c>
      <c r="AV123" s="1">
        <f>P123-O123</f>
        <v>240</v>
      </c>
      <c r="AW123" s="1">
        <f>Q123-P123</f>
        <v>200</v>
      </c>
      <c r="AX123" s="1">
        <f>R123-Q123</f>
        <v>160</v>
      </c>
      <c r="AY123" s="1">
        <f>S123-R123</f>
        <v>220</v>
      </c>
      <c r="AZ123" s="1">
        <f>T123-S123</f>
        <v>150</v>
      </c>
      <c r="BA123" s="1">
        <f>U123-T123</f>
        <v>200</v>
      </c>
      <c r="BB123" s="1">
        <f>V123-U123</f>
        <v>190</v>
      </c>
      <c r="BC123" s="1">
        <f>W123-V123</f>
        <v>180</v>
      </c>
      <c r="BD123" s="1">
        <f>X123-W123</f>
        <v>200</v>
      </c>
      <c r="BE123" s="1">
        <f>Y123-X123</f>
        <v>190</v>
      </c>
      <c r="BF123" s="1">
        <f>Z123-Y123</f>
        <v>420</v>
      </c>
    </row>
    <row r="124" spans="1:58">
      <c r="A124" s="1">
        <v>122</v>
      </c>
      <c r="B124" s="1">
        <v>641390</v>
      </c>
      <c r="C124" s="1">
        <v>641580</v>
      </c>
      <c r="D124" s="1">
        <v>641740</v>
      </c>
      <c r="E124" s="1">
        <v>641960</v>
      </c>
      <c r="F124" s="1">
        <v>642170</v>
      </c>
      <c r="G124" s="1">
        <v>642340</v>
      </c>
      <c r="H124" s="1">
        <v>642540</v>
      </c>
      <c r="I124" s="1">
        <v>642730</v>
      </c>
      <c r="J124" s="1">
        <v>642910</v>
      </c>
      <c r="K124" s="1">
        <v>643080</v>
      </c>
      <c r="L124" s="1">
        <v>643270</v>
      </c>
      <c r="M124" s="1">
        <v>643440</v>
      </c>
      <c r="N124" s="1">
        <v>643660</v>
      </c>
      <c r="O124" s="1">
        <v>643830</v>
      </c>
      <c r="P124" s="1">
        <v>644040</v>
      </c>
      <c r="Q124" s="1">
        <v>644280</v>
      </c>
      <c r="R124" s="1">
        <v>644470</v>
      </c>
      <c r="S124" s="1">
        <v>644650</v>
      </c>
      <c r="T124" s="1">
        <v>644850</v>
      </c>
      <c r="U124" s="1">
        <v>645020</v>
      </c>
      <c r="V124" s="1">
        <v>645190</v>
      </c>
      <c r="W124" s="1">
        <v>645420</v>
      </c>
      <c r="X124" s="1">
        <v>645580</v>
      </c>
      <c r="Y124" s="1">
        <v>645820</v>
      </c>
      <c r="Z124" s="1">
        <v>646210</v>
      </c>
      <c r="AA124" s="5">
        <f>AVERAGE(B124:Y124)</f>
        <v>643581.66666666663</v>
      </c>
      <c r="AB124" s="5">
        <f>(AA125-AA123)/2</f>
        <v>4818.75</v>
      </c>
      <c r="AC124" s="14">
        <f>AB124/(23+AB151)</f>
        <v>193.05212033189036</v>
      </c>
      <c r="AD124" s="5">
        <f>AA124-AA123</f>
        <v>4808.3333333332557</v>
      </c>
      <c r="AE124" s="1">
        <f>AD124-AD123</f>
        <v>-3.7500000001164153</v>
      </c>
      <c r="AG124" s="5">
        <f>Z124-Y124</f>
        <v>390</v>
      </c>
      <c r="AI124" s="1">
        <f>C124-B124</f>
        <v>190</v>
      </c>
      <c r="AJ124" s="1">
        <f>D124-C124</f>
        <v>160</v>
      </c>
      <c r="AK124" s="1">
        <f>E124-D124</f>
        <v>220</v>
      </c>
      <c r="AL124" s="1">
        <f>F124-E124</f>
        <v>210</v>
      </c>
      <c r="AM124" s="1">
        <f>G124-F124</f>
        <v>170</v>
      </c>
      <c r="AN124" s="1">
        <f>H124-G124</f>
        <v>200</v>
      </c>
      <c r="AO124" s="1">
        <f>I124-H124</f>
        <v>190</v>
      </c>
      <c r="AP124" s="1">
        <f>J124-I124</f>
        <v>180</v>
      </c>
      <c r="AQ124" s="1">
        <f>K124-J124</f>
        <v>170</v>
      </c>
      <c r="AR124" s="1">
        <f>L124-K124</f>
        <v>190</v>
      </c>
      <c r="AS124" s="1">
        <f>M124-L124</f>
        <v>170</v>
      </c>
      <c r="AT124" s="1">
        <f>N124-M124</f>
        <v>220</v>
      </c>
      <c r="AU124" s="1">
        <f>O124-N124</f>
        <v>170</v>
      </c>
      <c r="AV124" s="1">
        <f>P124-O124</f>
        <v>210</v>
      </c>
      <c r="AW124" s="1">
        <f>Q124-P124</f>
        <v>240</v>
      </c>
      <c r="AX124" s="1">
        <f>R124-Q124</f>
        <v>190</v>
      </c>
      <c r="AY124" s="1">
        <f>S124-R124</f>
        <v>180</v>
      </c>
      <c r="AZ124" s="1">
        <f>T124-S124</f>
        <v>200</v>
      </c>
      <c r="BA124" s="1">
        <f>U124-T124</f>
        <v>170</v>
      </c>
      <c r="BB124" s="1">
        <f>V124-U124</f>
        <v>170</v>
      </c>
      <c r="BC124" s="1">
        <f>W124-V124</f>
        <v>230</v>
      </c>
      <c r="BD124" s="1">
        <f>X124-W124</f>
        <v>160</v>
      </c>
      <c r="BE124" s="1">
        <f>Y124-X124</f>
        <v>240</v>
      </c>
      <c r="BF124" s="1">
        <f>Z124-Y124</f>
        <v>390</v>
      </c>
    </row>
    <row r="125" spans="1:58">
      <c r="A125" s="1">
        <v>123</v>
      </c>
      <c r="B125" s="1">
        <v>646210</v>
      </c>
      <c r="C125" s="1">
        <v>646410</v>
      </c>
      <c r="D125" s="1">
        <v>646550</v>
      </c>
      <c r="E125" s="1">
        <v>646750</v>
      </c>
      <c r="F125" s="1">
        <v>646950</v>
      </c>
      <c r="G125" s="1">
        <v>647170</v>
      </c>
      <c r="H125" s="1">
        <v>647350</v>
      </c>
      <c r="I125" s="1">
        <v>647590</v>
      </c>
      <c r="J125" s="1">
        <v>647730</v>
      </c>
      <c r="K125" s="1">
        <v>647900</v>
      </c>
      <c r="L125" s="1">
        <v>648100</v>
      </c>
      <c r="M125" s="1">
        <v>648330</v>
      </c>
      <c r="N125" s="1">
        <v>648500</v>
      </c>
      <c r="O125" s="1">
        <v>648720</v>
      </c>
      <c r="P125" s="1">
        <v>648930</v>
      </c>
      <c r="Q125" s="1">
        <v>649080</v>
      </c>
      <c r="R125" s="1">
        <v>649290</v>
      </c>
      <c r="S125" s="1">
        <v>649450</v>
      </c>
      <c r="T125" s="1">
        <v>649650</v>
      </c>
      <c r="U125" s="1">
        <v>649850</v>
      </c>
      <c r="V125" s="1">
        <v>650020</v>
      </c>
      <c r="W125" s="1">
        <v>650220</v>
      </c>
      <c r="X125" s="1">
        <v>650460</v>
      </c>
      <c r="Y125" s="1">
        <v>650650</v>
      </c>
      <c r="Z125" s="1">
        <v>651020</v>
      </c>
      <c r="AA125" s="5">
        <f>AVERAGE(B125:Y125)</f>
        <v>648410.83333333337</v>
      </c>
      <c r="AB125" s="5">
        <f>(AA126-AA124)/2</f>
        <v>4825.2083333333721</v>
      </c>
      <c r="AC125" s="14">
        <f>AB125/(23+AB151)</f>
        <v>193.31085858222866</v>
      </c>
      <c r="AD125" s="5">
        <f>AA125-AA124</f>
        <v>4829.1666666667443</v>
      </c>
      <c r="AE125" s="1">
        <f>AD125-AD124</f>
        <v>20.833333333488554</v>
      </c>
      <c r="AG125" s="5">
        <f>Z125-Y125</f>
        <v>370</v>
      </c>
      <c r="AI125" s="1">
        <f>C125-B125</f>
        <v>200</v>
      </c>
      <c r="AJ125" s="1">
        <f>D125-C125</f>
        <v>140</v>
      </c>
      <c r="AK125" s="1">
        <f>E125-D125</f>
        <v>200</v>
      </c>
      <c r="AL125" s="1">
        <f>F125-E125</f>
        <v>200</v>
      </c>
      <c r="AM125" s="1">
        <f>G125-F125</f>
        <v>220</v>
      </c>
      <c r="AN125" s="1">
        <f>H125-G125</f>
        <v>180</v>
      </c>
      <c r="AO125" s="1">
        <f>I125-H125</f>
        <v>240</v>
      </c>
      <c r="AP125" s="1">
        <f>J125-I125</f>
        <v>140</v>
      </c>
      <c r="AQ125" s="1">
        <f>K125-J125</f>
        <v>170</v>
      </c>
      <c r="AR125" s="1">
        <f>L125-K125</f>
        <v>200</v>
      </c>
      <c r="AS125" s="1">
        <f>M125-L125</f>
        <v>230</v>
      </c>
      <c r="AT125" s="1">
        <f>N125-M125</f>
        <v>170</v>
      </c>
      <c r="AU125" s="1">
        <f>O125-N125</f>
        <v>220</v>
      </c>
      <c r="AV125" s="1">
        <f>P125-O125</f>
        <v>210</v>
      </c>
      <c r="AW125" s="1">
        <f>Q125-P125</f>
        <v>150</v>
      </c>
      <c r="AX125" s="1">
        <f>R125-Q125</f>
        <v>210</v>
      </c>
      <c r="AY125" s="1">
        <f>S125-R125</f>
        <v>160</v>
      </c>
      <c r="AZ125" s="1">
        <f>T125-S125</f>
        <v>200</v>
      </c>
      <c r="BA125" s="1">
        <f>U125-T125</f>
        <v>200</v>
      </c>
      <c r="BB125" s="1">
        <f>V125-U125</f>
        <v>170</v>
      </c>
      <c r="BC125" s="1">
        <f>W125-V125</f>
        <v>200</v>
      </c>
      <c r="BD125" s="1">
        <f>X125-W125</f>
        <v>240</v>
      </c>
      <c r="BE125" s="1">
        <f>Y125-X125</f>
        <v>190</v>
      </c>
      <c r="BF125" s="1">
        <f>Z125-Y125</f>
        <v>370</v>
      </c>
    </row>
    <row r="126" spans="1:58">
      <c r="A126" s="1">
        <v>124</v>
      </c>
      <c r="B126" s="1">
        <v>651020</v>
      </c>
      <c r="C126" s="1">
        <v>651240</v>
      </c>
      <c r="D126" s="1">
        <v>651420</v>
      </c>
      <c r="E126" s="1">
        <v>651590</v>
      </c>
      <c r="F126" s="1">
        <v>651780</v>
      </c>
      <c r="G126" s="1">
        <v>652000</v>
      </c>
      <c r="H126" s="1">
        <v>652170</v>
      </c>
      <c r="I126" s="1">
        <v>652390</v>
      </c>
      <c r="J126" s="1">
        <v>652540</v>
      </c>
      <c r="K126" s="1">
        <v>652710</v>
      </c>
      <c r="L126" s="1">
        <v>652920</v>
      </c>
      <c r="M126" s="1">
        <v>653120</v>
      </c>
      <c r="N126" s="1">
        <v>653330</v>
      </c>
      <c r="O126" s="1">
        <v>653500</v>
      </c>
      <c r="P126" s="1">
        <v>653720</v>
      </c>
      <c r="Q126" s="1">
        <v>653910</v>
      </c>
      <c r="R126" s="1">
        <v>654110</v>
      </c>
      <c r="S126" s="1">
        <v>654310</v>
      </c>
      <c r="T126" s="1">
        <v>654500</v>
      </c>
      <c r="U126" s="1">
        <v>654680</v>
      </c>
      <c r="V126" s="1">
        <v>654850</v>
      </c>
      <c r="W126" s="1">
        <v>655060</v>
      </c>
      <c r="X126" s="1">
        <v>655230</v>
      </c>
      <c r="Y126" s="1">
        <v>655470</v>
      </c>
      <c r="Z126" s="1">
        <v>655850</v>
      </c>
      <c r="AA126" s="5">
        <f>AVERAGE(B126:Y126)</f>
        <v>653232.08333333337</v>
      </c>
      <c r="AB126" s="5">
        <f>(AA127-AA125)/2</f>
        <v>4826.4583333333139</v>
      </c>
      <c r="AC126" s="14">
        <f>AB126/(23+AB151)</f>
        <v>193.36093695325926</v>
      </c>
      <c r="AD126" s="5">
        <f>AA126-AA125</f>
        <v>4821.25</v>
      </c>
      <c r="AE126" s="1">
        <f>AD126-AD125</f>
        <v>-7.9166666667442769</v>
      </c>
      <c r="AG126" s="5">
        <f>Z126-Y126</f>
        <v>380</v>
      </c>
      <c r="AI126" s="1">
        <f>C126-B126</f>
        <v>220</v>
      </c>
      <c r="AJ126" s="1">
        <f>D126-C126</f>
        <v>180</v>
      </c>
      <c r="AK126" s="1">
        <f>E126-D126</f>
        <v>170</v>
      </c>
      <c r="AL126" s="1">
        <f>F126-E126</f>
        <v>190</v>
      </c>
      <c r="AM126" s="1">
        <f>G126-F126</f>
        <v>220</v>
      </c>
      <c r="AN126" s="1">
        <f>H126-G126</f>
        <v>170</v>
      </c>
      <c r="AO126" s="1">
        <f>I126-H126</f>
        <v>220</v>
      </c>
      <c r="AP126" s="1">
        <f>J126-I126</f>
        <v>150</v>
      </c>
      <c r="AQ126" s="1">
        <f>K126-J126</f>
        <v>170</v>
      </c>
      <c r="AR126" s="1">
        <f>L126-K126</f>
        <v>210</v>
      </c>
      <c r="AS126" s="1">
        <f>M126-L126</f>
        <v>200</v>
      </c>
      <c r="AT126" s="1">
        <f>N126-M126</f>
        <v>210</v>
      </c>
      <c r="AU126" s="1">
        <f>O126-N126</f>
        <v>170</v>
      </c>
      <c r="AV126" s="1">
        <f>P126-O126</f>
        <v>220</v>
      </c>
      <c r="AW126" s="1">
        <f>Q126-P126</f>
        <v>190</v>
      </c>
      <c r="AX126" s="1">
        <f>R126-Q126</f>
        <v>200</v>
      </c>
      <c r="AY126" s="1">
        <f>S126-R126</f>
        <v>200</v>
      </c>
      <c r="AZ126" s="1">
        <f>T126-S126</f>
        <v>190</v>
      </c>
      <c r="BA126" s="1">
        <f>U126-T126</f>
        <v>180</v>
      </c>
      <c r="BB126" s="1">
        <f>V126-U126</f>
        <v>170</v>
      </c>
      <c r="BC126" s="1">
        <f>W126-V126</f>
        <v>210</v>
      </c>
      <c r="BD126" s="1">
        <f>X126-W126</f>
        <v>170</v>
      </c>
      <c r="BE126" s="1">
        <f>Y126-X126</f>
        <v>240</v>
      </c>
      <c r="BF126" s="1">
        <f>Z126-Y126</f>
        <v>380</v>
      </c>
    </row>
    <row r="127" spans="1:58">
      <c r="A127" s="1">
        <v>125</v>
      </c>
      <c r="B127" s="1">
        <v>655850</v>
      </c>
      <c r="C127" s="1">
        <v>656010</v>
      </c>
      <c r="D127" s="1">
        <v>656250</v>
      </c>
      <c r="E127" s="1">
        <v>656410</v>
      </c>
      <c r="F127" s="1">
        <v>656620</v>
      </c>
      <c r="G127" s="1">
        <v>656830</v>
      </c>
      <c r="H127" s="1">
        <v>656970</v>
      </c>
      <c r="I127" s="1">
        <v>657180</v>
      </c>
      <c r="J127" s="1">
        <v>657380</v>
      </c>
      <c r="K127" s="1">
        <v>657560</v>
      </c>
      <c r="L127" s="1">
        <v>657800</v>
      </c>
      <c r="M127" s="1">
        <v>657980</v>
      </c>
      <c r="N127" s="1">
        <v>658150</v>
      </c>
      <c r="O127" s="1">
        <v>658370</v>
      </c>
      <c r="P127" s="1">
        <v>658570</v>
      </c>
      <c r="Q127" s="1">
        <v>658770</v>
      </c>
      <c r="R127" s="1">
        <v>658960</v>
      </c>
      <c r="S127" s="1">
        <v>659130</v>
      </c>
      <c r="T127" s="1">
        <v>659340</v>
      </c>
      <c r="U127" s="1">
        <v>659480</v>
      </c>
      <c r="V127" s="1">
        <v>659680</v>
      </c>
      <c r="W127" s="1">
        <v>659880</v>
      </c>
      <c r="X127" s="1">
        <v>660060</v>
      </c>
      <c r="Y127" s="1">
        <v>660300</v>
      </c>
      <c r="Z127" s="1">
        <v>660700</v>
      </c>
      <c r="AA127" s="5">
        <f>AVERAGE(B127:Y127)</f>
        <v>658063.75</v>
      </c>
      <c r="AB127" s="5">
        <f>(AA128-AA126)/2</f>
        <v>4837.0833333333139</v>
      </c>
      <c r="AC127" s="14">
        <f>AB127/(23+AB151)</f>
        <v>193.78660310703904</v>
      </c>
      <c r="AD127" s="5">
        <f>AA127-AA126</f>
        <v>4831.6666666666279</v>
      </c>
      <c r="AE127" s="1">
        <f>AD127-AD126</f>
        <v>10.416666666627862</v>
      </c>
      <c r="AG127" s="5">
        <f>Z127-Y127</f>
        <v>400</v>
      </c>
      <c r="AI127" s="1">
        <f>C127-B127</f>
        <v>160</v>
      </c>
      <c r="AJ127" s="1">
        <f>D127-C127</f>
        <v>240</v>
      </c>
      <c r="AK127" s="1">
        <f>E127-D127</f>
        <v>160</v>
      </c>
      <c r="AL127" s="1">
        <f>F127-E127</f>
        <v>210</v>
      </c>
      <c r="AM127" s="1">
        <f>G127-F127</f>
        <v>210</v>
      </c>
      <c r="AN127" s="1">
        <f>H127-G127</f>
        <v>140</v>
      </c>
      <c r="AO127" s="1">
        <f>I127-H127</f>
        <v>210</v>
      </c>
      <c r="AP127" s="1">
        <f>J127-I127</f>
        <v>200</v>
      </c>
      <c r="AQ127" s="1">
        <f>K127-J127</f>
        <v>180</v>
      </c>
      <c r="AR127" s="1">
        <f>L127-K127</f>
        <v>240</v>
      </c>
      <c r="AS127" s="1">
        <f>M127-L127</f>
        <v>180</v>
      </c>
      <c r="AT127" s="1">
        <f>N127-M127</f>
        <v>170</v>
      </c>
      <c r="AU127" s="1">
        <f>O127-N127</f>
        <v>220</v>
      </c>
      <c r="AV127" s="1">
        <f>P127-O127</f>
        <v>200</v>
      </c>
      <c r="AW127" s="1">
        <f>Q127-P127</f>
        <v>200</v>
      </c>
      <c r="AX127" s="1">
        <f>R127-Q127</f>
        <v>190</v>
      </c>
      <c r="AY127" s="1">
        <f>S127-R127</f>
        <v>170</v>
      </c>
      <c r="AZ127" s="1">
        <f>T127-S127</f>
        <v>210</v>
      </c>
      <c r="BA127" s="1">
        <f>U127-T127</f>
        <v>140</v>
      </c>
      <c r="BB127" s="1">
        <f>V127-U127</f>
        <v>200</v>
      </c>
      <c r="BC127" s="1">
        <f>W127-V127</f>
        <v>200</v>
      </c>
      <c r="BD127" s="1">
        <f>X127-W127</f>
        <v>180</v>
      </c>
      <c r="BE127" s="1">
        <f>Y127-X127</f>
        <v>240</v>
      </c>
      <c r="BF127" s="1">
        <f>Z127-Y127</f>
        <v>400</v>
      </c>
    </row>
    <row r="128" spans="1:58">
      <c r="A128" s="1">
        <v>126</v>
      </c>
      <c r="B128" s="1">
        <v>660700</v>
      </c>
      <c r="C128" s="1">
        <v>660870</v>
      </c>
      <c r="D128" s="1">
        <v>661090</v>
      </c>
      <c r="E128" s="1">
        <v>661280</v>
      </c>
      <c r="F128" s="1">
        <v>661470</v>
      </c>
      <c r="G128" s="1">
        <v>661660</v>
      </c>
      <c r="H128" s="1">
        <v>661820</v>
      </c>
      <c r="I128" s="1">
        <v>662050</v>
      </c>
      <c r="J128" s="1">
        <v>662240</v>
      </c>
      <c r="K128" s="1">
        <v>662380</v>
      </c>
      <c r="L128" s="1">
        <v>662620</v>
      </c>
      <c r="M128" s="1">
        <v>662790</v>
      </c>
      <c r="N128" s="1">
        <v>662960</v>
      </c>
      <c r="O128" s="1">
        <v>663200</v>
      </c>
      <c r="P128" s="1">
        <v>663420</v>
      </c>
      <c r="Q128" s="1">
        <v>663590</v>
      </c>
      <c r="R128" s="1">
        <v>663800</v>
      </c>
      <c r="S128" s="1">
        <v>663950</v>
      </c>
      <c r="T128" s="1">
        <v>664130</v>
      </c>
      <c r="U128" s="1">
        <v>664340</v>
      </c>
      <c r="V128" s="1">
        <v>664560</v>
      </c>
      <c r="W128" s="1">
        <v>664780</v>
      </c>
      <c r="X128" s="1">
        <v>664920</v>
      </c>
      <c r="Y128" s="1">
        <v>665130</v>
      </c>
      <c r="Z128" s="1">
        <v>665550</v>
      </c>
      <c r="AA128" s="5">
        <f>AVERAGE(B128:Y128)</f>
        <v>662906.25</v>
      </c>
      <c r="AB128" s="5">
        <f>(AA129-AA127)/2</f>
        <v>4839.1666666666861</v>
      </c>
      <c r="AC128" s="14">
        <f>AB128/(23+AB151)</f>
        <v>193.87006705876212</v>
      </c>
      <c r="AD128" s="5">
        <f>AA128-AA127</f>
        <v>4842.5</v>
      </c>
      <c r="AE128" s="1">
        <f>AD128-AD127</f>
        <v>10.833333333372138</v>
      </c>
      <c r="AG128" s="5">
        <f>Z128-Y128</f>
        <v>420</v>
      </c>
      <c r="AI128" s="1">
        <f>C128-B128</f>
        <v>170</v>
      </c>
      <c r="AJ128" s="1">
        <f>D128-C128</f>
        <v>220</v>
      </c>
      <c r="AK128" s="1">
        <f>E128-D128</f>
        <v>190</v>
      </c>
      <c r="AL128" s="1">
        <f>F128-E128</f>
        <v>190</v>
      </c>
      <c r="AM128" s="1">
        <f>G128-F128</f>
        <v>190</v>
      </c>
      <c r="AN128" s="1">
        <f>H128-G128</f>
        <v>160</v>
      </c>
      <c r="AO128" s="1">
        <f>I128-H128</f>
        <v>230</v>
      </c>
      <c r="AP128" s="1">
        <f>J128-I128</f>
        <v>190</v>
      </c>
      <c r="AQ128" s="1">
        <f>K128-J128</f>
        <v>140</v>
      </c>
      <c r="AR128" s="1">
        <f>L128-K128</f>
        <v>240</v>
      </c>
      <c r="AS128" s="1">
        <f>M128-L128</f>
        <v>170</v>
      </c>
      <c r="AT128" s="1">
        <f>N128-M128</f>
        <v>170</v>
      </c>
      <c r="AU128" s="1">
        <f>O128-N128</f>
        <v>240</v>
      </c>
      <c r="AV128" s="1">
        <f>P128-O128</f>
        <v>220</v>
      </c>
      <c r="AW128" s="1">
        <f>Q128-P128</f>
        <v>170</v>
      </c>
      <c r="AX128" s="1">
        <f>R128-Q128</f>
        <v>210</v>
      </c>
      <c r="AY128" s="1">
        <f>S128-R128</f>
        <v>150</v>
      </c>
      <c r="AZ128" s="1">
        <f>T128-S128</f>
        <v>180</v>
      </c>
      <c r="BA128" s="1">
        <f>U128-T128</f>
        <v>210</v>
      </c>
      <c r="BB128" s="1">
        <f>V128-U128</f>
        <v>220</v>
      </c>
      <c r="BC128" s="1">
        <f>W128-V128</f>
        <v>220</v>
      </c>
      <c r="BD128" s="1">
        <f>X128-W128</f>
        <v>140</v>
      </c>
      <c r="BE128" s="1">
        <f>Y128-X128</f>
        <v>210</v>
      </c>
      <c r="BF128" s="1">
        <f>Z128-Y128</f>
        <v>420</v>
      </c>
    </row>
    <row r="129" spans="1:58">
      <c r="A129" s="1">
        <v>127</v>
      </c>
      <c r="B129" s="1">
        <v>665550</v>
      </c>
      <c r="C129" s="1">
        <v>665700</v>
      </c>
      <c r="D129" s="1">
        <v>665910</v>
      </c>
      <c r="E129" s="1">
        <v>666150</v>
      </c>
      <c r="F129" s="1">
        <v>666360</v>
      </c>
      <c r="G129" s="1">
        <v>666520</v>
      </c>
      <c r="H129" s="1">
        <v>666640</v>
      </c>
      <c r="I129" s="1">
        <v>666840</v>
      </c>
      <c r="J129" s="1">
        <v>667000</v>
      </c>
      <c r="K129" s="1">
        <v>667230</v>
      </c>
      <c r="L129" s="1">
        <v>667430</v>
      </c>
      <c r="M129" s="1">
        <v>667590</v>
      </c>
      <c r="N129" s="1">
        <v>667840</v>
      </c>
      <c r="O129" s="1">
        <v>668040</v>
      </c>
      <c r="P129" s="1">
        <v>668220</v>
      </c>
      <c r="Q129" s="1">
        <v>668420</v>
      </c>
      <c r="R129" s="1">
        <v>668630</v>
      </c>
      <c r="S129" s="1">
        <v>668800</v>
      </c>
      <c r="T129" s="1">
        <v>669000</v>
      </c>
      <c r="U129" s="1">
        <v>669160</v>
      </c>
      <c r="V129" s="1">
        <v>669430</v>
      </c>
      <c r="W129" s="1">
        <v>669610</v>
      </c>
      <c r="X129" s="1">
        <v>669780</v>
      </c>
      <c r="Y129" s="1">
        <v>669960</v>
      </c>
      <c r="Z129" s="1">
        <v>670380</v>
      </c>
      <c r="AA129" s="5">
        <f>AVERAGE(B129:Y129)</f>
        <v>667742.08333333337</v>
      </c>
      <c r="AB129" s="5">
        <f>(AA130-AA128)/2</f>
        <v>4834.1666666666861</v>
      </c>
      <c r="AC129" s="14">
        <f>AB129/(23+AB151)</f>
        <v>193.66975357463045</v>
      </c>
      <c r="AD129" s="5">
        <f>AA129-AA128</f>
        <v>4835.8333333333721</v>
      </c>
      <c r="AE129" s="1">
        <f>AD129-AD128</f>
        <v>-6.6666666666278616</v>
      </c>
      <c r="AG129" s="5">
        <f>Z129-Y129</f>
        <v>420</v>
      </c>
      <c r="AI129" s="1">
        <f>C129-B129</f>
        <v>150</v>
      </c>
      <c r="AJ129" s="1">
        <f>D129-C129</f>
        <v>210</v>
      </c>
      <c r="AK129" s="1">
        <f>E129-D129</f>
        <v>240</v>
      </c>
      <c r="AL129" s="1">
        <f>F129-E129</f>
        <v>210</v>
      </c>
      <c r="AM129" s="1">
        <f>G129-F129</f>
        <v>160</v>
      </c>
      <c r="AN129" s="1">
        <f>H129-G129</f>
        <v>120</v>
      </c>
      <c r="AO129" s="1">
        <f>I129-H129</f>
        <v>200</v>
      </c>
      <c r="AP129" s="1">
        <f>J129-I129</f>
        <v>160</v>
      </c>
      <c r="AQ129" s="1">
        <f>K129-J129</f>
        <v>230</v>
      </c>
      <c r="AR129" s="1">
        <f>L129-K129</f>
        <v>200</v>
      </c>
      <c r="AS129" s="1">
        <f>M129-L129</f>
        <v>160</v>
      </c>
      <c r="AT129" s="1">
        <f>N129-M129</f>
        <v>250</v>
      </c>
      <c r="AU129" s="1">
        <f>O129-N129</f>
        <v>200</v>
      </c>
      <c r="AV129" s="1">
        <f>P129-O129</f>
        <v>180</v>
      </c>
      <c r="AW129" s="1">
        <f>Q129-P129</f>
        <v>200</v>
      </c>
      <c r="AX129" s="1">
        <f>R129-Q129</f>
        <v>210</v>
      </c>
      <c r="AY129" s="1">
        <f>S129-R129</f>
        <v>170</v>
      </c>
      <c r="AZ129" s="1">
        <f>T129-S129</f>
        <v>200</v>
      </c>
      <c r="BA129" s="1">
        <f>U129-T129</f>
        <v>160</v>
      </c>
      <c r="BB129" s="1">
        <f>V129-U129</f>
        <v>270</v>
      </c>
      <c r="BC129" s="1">
        <f>W129-V129</f>
        <v>180</v>
      </c>
      <c r="BD129" s="1">
        <f>X129-W129</f>
        <v>170</v>
      </c>
      <c r="BE129" s="1">
        <f>Y129-X129</f>
        <v>180</v>
      </c>
      <c r="BF129" s="1">
        <f>Z129-Y129</f>
        <v>420</v>
      </c>
    </row>
    <row r="130" spans="1:58">
      <c r="A130" s="1">
        <v>128</v>
      </c>
      <c r="B130" s="1">
        <v>670380</v>
      </c>
      <c r="C130" s="1">
        <v>670520</v>
      </c>
      <c r="D130" s="1">
        <v>670710</v>
      </c>
      <c r="E130" s="1">
        <v>670930</v>
      </c>
      <c r="F130" s="1">
        <v>671090</v>
      </c>
      <c r="G130" s="1">
        <v>671340</v>
      </c>
      <c r="H130" s="1">
        <v>671520</v>
      </c>
      <c r="I130" s="1">
        <v>671710</v>
      </c>
      <c r="J130" s="1">
        <v>671890</v>
      </c>
      <c r="K130" s="1">
        <v>672070</v>
      </c>
      <c r="L130" s="1">
        <v>672260</v>
      </c>
      <c r="M130" s="1">
        <v>672480</v>
      </c>
      <c r="N130" s="1">
        <v>672680</v>
      </c>
      <c r="O130" s="1">
        <v>672900</v>
      </c>
      <c r="P130" s="1">
        <v>673080</v>
      </c>
      <c r="Q130" s="1">
        <v>673250</v>
      </c>
      <c r="R130" s="1">
        <v>673490</v>
      </c>
      <c r="S130" s="1">
        <v>673640</v>
      </c>
      <c r="T130" s="1">
        <v>673860</v>
      </c>
      <c r="U130" s="1">
        <v>673990</v>
      </c>
      <c r="V130" s="1">
        <v>674200</v>
      </c>
      <c r="W130" s="1">
        <v>674390</v>
      </c>
      <c r="X130" s="1">
        <v>674620</v>
      </c>
      <c r="Y130" s="1">
        <v>674790</v>
      </c>
      <c r="Z130" s="1">
        <v>675210</v>
      </c>
      <c r="AA130" s="5">
        <f>AVERAGE(B130:Y130)</f>
        <v>672574.58333333337</v>
      </c>
      <c r="AB130" s="5">
        <f>(AA131-AA129)/2</f>
        <v>4833.3333333333139</v>
      </c>
      <c r="AC130" s="14">
        <f>AB130/(23+AB151)</f>
        <v>193.63636799394027</v>
      </c>
      <c r="AD130" s="5">
        <f>AA130-AA129</f>
        <v>4832.5</v>
      </c>
      <c r="AE130" s="1">
        <f>AD130-AD129</f>
        <v>-3.3333333333721384</v>
      </c>
      <c r="AG130" s="5">
        <f>Z130-Y130</f>
        <v>420</v>
      </c>
      <c r="AI130" s="1">
        <f>C130-B130</f>
        <v>140</v>
      </c>
      <c r="AJ130" s="1">
        <f>D130-C130</f>
        <v>190</v>
      </c>
      <c r="AK130" s="1">
        <f>E130-D130</f>
        <v>220</v>
      </c>
      <c r="AL130" s="1">
        <f>F130-E130</f>
        <v>160</v>
      </c>
      <c r="AM130" s="1">
        <f>G130-F130</f>
        <v>250</v>
      </c>
      <c r="AN130" s="1">
        <f>H130-G130</f>
        <v>180</v>
      </c>
      <c r="AO130" s="1">
        <f>I130-H130</f>
        <v>190</v>
      </c>
      <c r="AP130" s="1">
        <f>J130-I130</f>
        <v>180</v>
      </c>
      <c r="AQ130" s="1">
        <f>K130-J130</f>
        <v>180</v>
      </c>
      <c r="AR130" s="1">
        <f>L130-K130</f>
        <v>190</v>
      </c>
      <c r="AS130" s="1">
        <f>M130-L130</f>
        <v>220</v>
      </c>
      <c r="AT130" s="1">
        <f>N130-M130</f>
        <v>200</v>
      </c>
      <c r="AU130" s="1">
        <f>O130-N130</f>
        <v>220</v>
      </c>
      <c r="AV130" s="1">
        <f>P130-O130</f>
        <v>180</v>
      </c>
      <c r="AW130" s="1">
        <f>Q130-P130</f>
        <v>170</v>
      </c>
      <c r="AX130" s="1">
        <f>R130-Q130</f>
        <v>240</v>
      </c>
      <c r="AY130" s="1">
        <f>S130-R130</f>
        <v>150</v>
      </c>
      <c r="AZ130" s="1">
        <f>T130-S130</f>
        <v>220</v>
      </c>
      <c r="BA130" s="1">
        <f>U130-T130</f>
        <v>130</v>
      </c>
      <c r="BB130" s="1">
        <f>V130-U130</f>
        <v>210</v>
      </c>
      <c r="BC130" s="1">
        <f>W130-V130</f>
        <v>190</v>
      </c>
      <c r="BD130" s="1">
        <f>X130-W130</f>
        <v>230</v>
      </c>
      <c r="BE130" s="1">
        <f>Y130-X130</f>
        <v>170</v>
      </c>
      <c r="BF130" s="1">
        <f>Z130-Y130</f>
        <v>420</v>
      </c>
    </row>
    <row r="131" spans="1:58">
      <c r="A131" s="1">
        <v>129</v>
      </c>
      <c r="B131" s="1">
        <v>675210</v>
      </c>
      <c r="C131" s="1">
        <v>675400</v>
      </c>
      <c r="D131" s="1">
        <v>675560</v>
      </c>
      <c r="E131" s="1">
        <v>675710</v>
      </c>
      <c r="F131" s="1">
        <v>675900</v>
      </c>
      <c r="G131" s="1">
        <v>676150</v>
      </c>
      <c r="H131" s="1">
        <v>676350</v>
      </c>
      <c r="I131" s="1">
        <v>676570</v>
      </c>
      <c r="J131" s="1">
        <v>676750</v>
      </c>
      <c r="K131" s="1">
        <v>676940</v>
      </c>
      <c r="L131" s="1">
        <v>677090</v>
      </c>
      <c r="M131" s="1">
        <v>677300</v>
      </c>
      <c r="N131" s="1">
        <v>677510</v>
      </c>
      <c r="O131" s="1">
        <v>677690</v>
      </c>
      <c r="P131" s="1">
        <v>677860</v>
      </c>
      <c r="Q131" s="1">
        <v>678050</v>
      </c>
      <c r="R131" s="1">
        <v>678300</v>
      </c>
      <c r="S131" s="1">
        <v>678470</v>
      </c>
      <c r="T131" s="1">
        <v>678660</v>
      </c>
      <c r="U131" s="1">
        <v>678840</v>
      </c>
      <c r="V131" s="1">
        <v>679080</v>
      </c>
      <c r="W131" s="1">
        <v>679290</v>
      </c>
      <c r="X131" s="1">
        <v>679460</v>
      </c>
      <c r="Y131" s="1">
        <v>679670</v>
      </c>
      <c r="Z131" s="1">
        <v>680050</v>
      </c>
      <c r="AA131" s="5">
        <f>AVERAGE(B131:Y131)</f>
        <v>677408.75</v>
      </c>
      <c r="AB131" s="5">
        <f>(AA132-AA130)/2</f>
        <v>4836.4583333333139</v>
      </c>
      <c r="AC131" s="14">
        <f>AB131/(23+AB151)</f>
        <v>193.76156392152257</v>
      </c>
      <c r="AD131" s="5">
        <f>AA131-AA130</f>
        <v>4834.1666666666279</v>
      </c>
      <c r="AE131" s="1">
        <f>AD131-AD130</f>
        <v>1.6666666666278616</v>
      </c>
      <c r="AG131" s="5">
        <f>Z131-Y131</f>
        <v>380</v>
      </c>
      <c r="AI131" s="1">
        <f>C131-B131</f>
        <v>190</v>
      </c>
      <c r="AJ131" s="1">
        <f>D131-C131</f>
        <v>160</v>
      </c>
      <c r="AK131" s="1">
        <f>E131-D131</f>
        <v>150</v>
      </c>
      <c r="AL131" s="1">
        <f>F131-E131</f>
        <v>190</v>
      </c>
      <c r="AM131" s="1">
        <f>G131-F131</f>
        <v>250</v>
      </c>
      <c r="AN131" s="1">
        <f>H131-G131</f>
        <v>200</v>
      </c>
      <c r="AO131" s="1">
        <f>I131-H131</f>
        <v>220</v>
      </c>
      <c r="AP131" s="1">
        <f>J131-I131</f>
        <v>180</v>
      </c>
      <c r="AQ131" s="1">
        <f>K131-J131</f>
        <v>190</v>
      </c>
      <c r="AR131" s="1">
        <f>L131-K131</f>
        <v>150</v>
      </c>
      <c r="AS131" s="1">
        <f>M131-L131</f>
        <v>210</v>
      </c>
      <c r="AT131" s="1">
        <f>N131-M131</f>
        <v>210</v>
      </c>
      <c r="AU131" s="1">
        <f>O131-N131</f>
        <v>180</v>
      </c>
      <c r="AV131" s="1">
        <f>P131-O131</f>
        <v>170</v>
      </c>
      <c r="AW131" s="1">
        <f>Q131-P131</f>
        <v>190</v>
      </c>
      <c r="AX131" s="1">
        <f>R131-Q131</f>
        <v>250</v>
      </c>
      <c r="AY131" s="1">
        <f>S131-R131</f>
        <v>170</v>
      </c>
      <c r="AZ131" s="1">
        <f>T131-S131</f>
        <v>190</v>
      </c>
      <c r="BA131" s="1">
        <f>U131-T131</f>
        <v>180</v>
      </c>
      <c r="BB131" s="1">
        <f>V131-U131</f>
        <v>240</v>
      </c>
      <c r="BC131" s="1">
        <f>W131-V131</f>
        <v>210</v>
      </c>
      <c r="BD131" s="1">
        <f>X131-W131</f>
        <v>170</v>
      </c>
      <c r="BE131" s="1">
        <f>Y131-X131</f>
        <v>210</v>
      </c>
      <c r="BF131" s="1">
        <f>Z131-Y131</f>
        <v>380</v>
      </c>
    </row>
    <row r="132" spans="1:58">
      <c r="A132" s="1">
        <v>130</v>
      </c>
      <c r="B132" s="1">
        <v>680050</v>
      </c>
      <c r="C132" s="1">
        <v>680260</v>
      </c>
      <c r="D132" s="1">
        <v>680400</v>
      </c>
      <c r="E132" s="1">
        <v>680560</v>
      </c>
      <c r="F132" s="1">
        <v>680800</v>
      </c>
      <c r="G132" s="1">
        <v>680970</v>
      </c>
      <c r="H132" s="1">
        <v>681160</v>
      </c>
      <c r="I132" s="1">
        <v>681350</v>
      </c>
      <c r="J132" s="1">
        <v>681550</v>
      </c>
      <c r="K132" s="1">
        <v>681750</v>
      </c>
      <c r="L132" s="1">
        <v>681980</v>
      </c>
      <c r="M132" s="1">
        <v>682160</v>
      </c>
      <c r="N132" s="1">
        <v>682370</v>
      </c>
      <c r="O132" s="1">
        <v>682560</v>
      </c>
      <c r="P132" s="1">
        <v>682740</v>
      </c>
      <c r="Q132" s="1">
        <v>682910</v>
      </c>
      <c r="R132" s="1">
        <v>683110</v>
      </c>
      <c r="S132" s="1">
        <v>683300</v>
      </c>
      <c r="T132" s="1">
        <v>683500</v>
      </c>
      <c r="U132" s="1">
        <v>683680</v>
      </c>
      <c r="V132" s="1">
        <v>683900</v>
      </c>
      <c r="W132" s="1">
        <v>684100</v>
      </c>
      <c r="X132" s="1">
        <v>684290</v>
      </c>
      <c r="Y132" s="1">
        <v>684490</v>
      </c>
      <c r="Z132" s="1">
        <v>684860</v>
      </c>
      <c r="AA132" s="5">
        <f>AVERAGE(B132:Y132)</f>
        <v>682247.5</v>
      </c>
      <c r="AB132" s="5">
        <f>(AA133-AA131)/2</f>
        <v>4834.5833333333139</v>
      </c>
      <c r="AC132" s="14">
        <f>AB132/(23+AB151)</f>
        <v>193.68644636497319</v>
      </c>
      <c r="AD132" s="5">
        <f>AA132-AA131</f>
        <v>4838.75</v>
      </c>
      <c r="AE132" s="1">
        <f>AD132-AD131</f>
        <v>4.5833333333721384</v>
      </c>
      <c r="AG132" s="5">
        <f>Z132-Y132</f>
        <v>370</v>
      </c>
      <c r="AI132" s="1">
        <f>C132-B132</f>
        <v>210</v>
      </c>
      <c r="AJ132" s="1">
        <f>D132-C132</f>
        <v>140</v>
      </c>
      <c r="AK132" s="1">
        <f>E132-D132</f>
        <v>160</v>
      </c>
      <c r="AL132" s="1">
        <f>F132-E132</f>
        <v>240</v>
      </c>
      <c r="AM132" s="1">
        <f>G132-F132</f>
        <v>170</v>
      </c>
      <c r="AN132" s="1">
        <f>H132-G132</f>
        <v>190</v>
      </c>
      <c r="AO132" s="1">
        <f>I132-H132</f>
        <v>190</v>
      </c>
      <c r="AP132" s="1">
        <f>J132-I132</f>
        <v>200</v>
      </c>
      <c r="AQ132" s="1">
        <f>K132-J132</f>
        <v>200</v>
      </c>
      <c r="AR132" s="1">
        <f>L132-K132</f>
        <v>230</v>
      </c>
      <c r="AS132" s="1">
        <f>M132-L132</f>
        <v>180</v>
      </c>
      <c r="AT132" s="1">
        <f>N132-M132</f>
        <v>210</v>
      </c>
      <c r="AU132" s="1">
        <f>O132-N132</f>
        <v>190</v>
      </c>
      <c r="AV132" s="1">
        <f>P132-O132</f>
        <v>180</v>
      </c>
      <c r="AW132" s="1">
        <f>Q132-P132</f>
        <v>170</v>
      </c>
      <c r="AX132" s="1">
        <f>R132-Q132</f>
        <v>200</v>
      </c>
      <c r="AY132" s="1">
        <f>S132-R132</f>
        <v>190</v>
      </c>
      <c r="AZ132" s="1">
        <f>T132-S132</f>
        <v>200</v>
      </c>
      <c r="BA132" s="1">
        <f>U132-T132</f>
        <v>180</v>
      </c>
      <c r="BB132" s="1">
        <f>V132-U132</f>
        <v>220</v>
      </c>
      <c r="BC132" s="1">
        <f>W132-V132</f>
        <v>200</v>
      </c>
      <c r="BD132" s="1">
        <f>X132-W132</f>
        <v>190</v>
      </c>
      <c r="BE132" s="1">
        <f>Y132-X132</f>
        <v>200</v>
      </c>
      <c r="BF132" s="1">
        <f>Z132-Y132</f>
        <v>370</v>
      </c>
    </row>
    <row r="133" spans="1:58">
      <c r="A133" s="1">
        <v>131</v>
      </c>
      <c r="B133" s="1">
        <v>684860</v>
      </c>
      <c r="C133" s="1">
        <v>685060</v>
      </c>
      <c r="D133" s="1">
        <v>685230</v>
      </c>
      <c r="E133" s="1">
        <v>685490</v>
      </c>
      <c r="F133" s="1">
        <v>685630</v>
      </c>
      <c r="G133" s="1">
        <v>685800</v>
      </c>
      <c r="H133" s="1">
        <v>686020</v>
      </c>
      <c r="I133" s="1">
        <v>686190</v>
      </c>
      <c r="J133" s="1">
        <v>686370</v>
      </c>
      <c r="K133" s="1">
        <v>686600</v>
      </c>
      <c r="L133" s="1">
        <v>686790</v>
      </c>
      <c r="M133" s="1">
        <v>686970</v>
      </c>
      <c r="N133" s="1">
        <v>687200</v>
      </c>
      <c r="O133" s="1">
        <v>687350</v>
      </c>
      <c r="P133" s="1">
        <v>687580</v>
      </c>
      <c r="Q133" s="1">
        <v>687770</v>
      </c>
      <c r="R133" s="1">
        <v>687940</v>
      </c>
      <c r="S133" s="1">
        <v>688140</v>
      </c>
      <c r="T133" s="1">
        <v>688340</v>
      </c>
      <c r="U133" s="1">
        <v>688510</v>
      </c>
      <c r="V133" s="1">
        <v>688700</v>
      </c>
      <c r="W133" s="1">
        <v>688910</v>
      </c>
      <c r="X133" s="1">
        <v>689100</v>
      </c>
      <c r="Y133" s="1">
        <v>689320</v>
      </c>
      <c r="Z133" s="1">
        <v>689640</v>
      </c>
      <c r="AA133" s="5">
        <f>AVERAGE(B133:Y133)</f>
        <v>687077.91666666663</v>
      </c>
      <c r="AB133" s="5">
        <f>(AA134-AA132)/2</f>
        <v>4829.1666666666861</v>
      </c>
      <c r="AC133" s="14">
        <f>AB133/(23+AB151)</f>
        <v>193.46944009049878</v>
      </c>
      <c r="AD133" s="5">
        <f>AA133-AA132</f>
        <v>4830.4166666666279</v>
      </c>
      <c r="AE133" s="1">
        <f>AD133-AD132</f>
        <v>-8.3333333333721384</v>
      </c>
      <c r="AG133" s="5">
        <f>Z133-Y133</f>
        <v>320</v>
      </c>
      <c r="AI133" s="1">
        <f>C133-B133</f>
        <v>200</v>
      </c>
      <c r="AJ133" s="1">
        <f>D133-C133</f>
        <v>170</v>
      </c>
      <c r="AK133" s="1">
        <f>E133-D133</f>
        <v>260</v>
      </c>
      <c r="AL133" s="1">
        <f>F133-E133</f>
        <v>140</v>
      </c>
      <c r="AM133" s="1">
        <f>G133-F133</f>
        <v>170</v>
      </c>
      <c r="AN133" s="1">
        <f>H133-G133</f>
        <v>220</v>
      </c>
      <c r="AO133" s="1">
        <f>I133-H133</f>
        <v>170</v>
      </c>
      <c r="AP133" s="1">
        <f>J133-I133</f>
        <v>180</v>
      </c>
      <c r="AQ133" s="1">
        <f>K133-J133</f>
        <v>230</v>
      </c>
      <c r="AR133" s="1">
        <f>L133-K133</f>
        <v>190</v>
      </c>
      <c r="AS133" s="1">
        <f>M133-L133</f>
        <v>180</v>
      </c>
      <c r="AT133" s="1">
        <f>N133-M133</f>
        <v>230</v>
      </c>
      <c r="AU133" s="1">
        <f>O133-N133</f>
        <v>150</v>
      </c>
      <c r="AV133" s="1">
        <f>P133-O133</f>
        <v>230</v>
      </c>
      <c r="AW133" s="1">
        <f>Q133-P133</f>
        <v>190</v>
      </c>
      <c r="AX133" s="1">
        <f>R133-Q133</f>
        <v>170</v>
      </c>
      <c r="AY133" s="1">
        <f>S133-R133</f>
        <v>200</v>
      </c>
      <c r="AZ133" s="1">
        <f>T133-S133</f>
        <v>200</v>
      </c>
      <c r="BA133" s="1">
        <f>U133-T133</f>
        <v>170</v>
      </c>
      <c r="BB133" s="1">
        <f>V133-U133</f>
        <v>190</v>
      </c>
      <c r="BC133" s="1">
        <f>W133-V133</f>
        <v>210</v>
      </c>
      <c r="BD133" s="1">
        <f>X133-W133</f>
        <v>190</v>
      </c>
      <c r="BE133" s="1">
        <f>Y133-X133</f>
        <v>220</v>
      </c>
      <c r="BF133" s="1">
        <f>Z133-Y133</f>
        <v>320</v>
      </c>
    </row>
    <row r="134" spans="1:58">
      <c r="A134" s="1">
        <v>132</v>
      </c>
      <c r="B134" s="1">
        <v>689640</v>
      </c>
      <c r="C134" s="1">
        <v>689880</v>
      </c>
      <c r="D134" s="1">
        <v>690070</v>
      </c>
      <c r="E134" s="1">
        <v>690310</v>
      </c>
      <c r="F134" s="1">
        <v>690460</v>
      </c>
      <c r="G134" s="1">
        <v>690730</v>
      </c>
      <c r="H134" s="1">
        <v>690840</v>
      </c>
      <c r="I134" s="1">
        <v>691030</v>
      </c>
      <c r="J134" s="1">
        <v>691210</v>
      </c>
      <c r="K134" s="1">
        <v>691410</v>
      </c>
      <c r="L134" s="1">
        <v>691590</v>
      </c>
      <c r="M134" s="1">
        <v>691820</v>
      </c>
      <c r="N134" s="1">
        <v>691950</v>
      </c>
      <c r="O134" s="1">
        <v>692190</v>
      </c>
      <c r="P134" s="1">
        <v>692380</v>
      </c>
      <c r="Q134" s="1">
        <v>692610</v>
      </c>
      <c r="R134" s="1">
        <v>692760</v>
      </c>
      <c r="S134" s="1">
        <v>692980</v>
      </c>
      <c r="T134" s="1">
        <v>693150</v>
      </c>
      <c r="U134" s="1">
        <v>693330</v>
      </c>
      <c r="V134" s="1">
        <v>693540</v>
      </c>
      <c r="W134" s="1">
        <v>693770</v>
      </c>
      <c r="X134" s="1">
        <v>693940</v>
      </c>
      <c r="Y134" s="1">
        <v>694150</v>
      </c>
      <c r="Z134" s="1">
        <v>694520</v>
      </c>
      <c r="AA134" s="5">
        <f>AVERAGE(B134:Y134)</f>
        <v>691905.83333333337</v>
      </c>
      <c r="AB134" s="5">
        <f>(AA135-AA133)/2</f>
        <v>4834.1666666666861</v>
      </c>
      <c r="AC134" s="14">
        <f>AB134/(23+AB151)</f>
        <v>193.66975357463045</v>
      </c>
      <c r="AD134" s="5">
        <f>AA134-AA133</f>
        <v>4827.9166666667443</v>
      </c>
      <c r="AE134" s="1">
        <f>AD134-AD133</f>
        <v>-2.4999999998835847</v>
      </c>
      <c r="AG134" s="5">
        <f>Z134-Y134</f>
        <v>370</v>
      </c>
      <c r="AI134" s="1">
        <f>C134-B134</f>
        <v>240</v>
      </c>
      <c r="AJ134" s="1">
        <f>D134-C134</f>
        <v>190</v>
      </c>
      <c r="AK134" s="1">
        <f>E134-D134</f>
        <v>240</v>
      </c>
      <c r="AL134" s="1">
        <f>F134-E134</f>
        <v>150</v>
      </c>
      <c r="AM134" s="1">
        <f>G134-F134</f>
        <v>270</v>
      </c>
      <c r="AN134" s="1">
        <f>H134-G134</f>
        <v>110</v>
      </c>
      <c r="AO134" s="1">
        <f>I134-H134</f>
        <v>190</v>
      </c>
      <c r="AP134" s="1">
        <f>J134-I134</f>
        <v>180</v>
      </c>
      <c r="AQ134" s="1">
        <f>K134-J134</f>
        <v>200</v>
      </c>
      <c r="AR134" s="1">
        <f>L134-K134</f>
        <v>180</v>
      </c>
      <c r="AS134" s="1">
        <f>M134-L134</f>
        <v>230</v>
      </c>
      <c r="AT134" s="1">
        <f>N134-M134</f>
        <v>130</v>
      </c>
      <c r="AU134" s="1">
        <f>O134-N134</f>
        <v>240</v>
      </c>
      <c r="AV134" s="1">
        <f>P134-O134</f>
        <v>190</v>
      </c>
      <c r="AW134" s="1">
        <f>Q134-P134</f>
        <v>230</v>
      </c>
      <c r="AX134" s="1">
        <f>R134-Q134</f>
        <v>150</v>
      </c>
      <c r="AY134" s="1">
        <f>S134-R134</f>
        <v>220</v>
      </c>
      <c r="AZ134" s="1">
        <f>T134-S134</f>
        <v>170</v>
      </c>
      <c r="BA134" s="1">
        <f>U134-T134</f>
        <v>180</v>
      </c>
      <c r="BB134" s="1">
        <f>V134-U134</f>
        <v>210</v>
      </c>
      <c r="BC134" s="1">
        <f>W134-V134</f>
        <v>230</v>
      </c>
      <c r="BD134" s="1">
        <f>X134-W134</f>
        <v>170</v>
      </c>
      <c r="BE134" s="1">
        <f>Y134-X134</f>
        <v>210</v>
      </c>
      <c r="BF134" s="1">
        <f>Z134-Y134</f>
        <v>370</v>
      </c>
    </row>
    <row r="135" spans="1:58">
      <c r="A135" s="1">
        <v>133</v>
      </c>
      <c r="B135" s="1">
        <v>694520</v>
      </c>
      <c r="C135" s="1">
        <v>694700</v>
      </c>
      <c r="D135" s="1">
        <v>694940</v>
      </c>
      <c r="E135" s="1">
        <v>695150</v>
      </c>
      <c r="F135" s="1">
        <v>695240</v>
      </c>
      <c r="G135" s="1">
        <v>695480</v>
      </c>
      <c r="H135" s="1">
        <v>695680</v>
      </c>
      <c r="I135" s="1">
        <v>695910</v>
      </c>
      <c r="J135" s="1">
        <v>696090</v>
      </c>
      <c r="K135" s="1">
        <v>696250</v>
      </c>
      <c r="L135" s="1">
        <v>696480</v>
      </c>
      <c r="M135" s="1">
        <v>696670</v>
      </c>
      <c r="N135" s="1">
        <v>696840</v>
      </c>
      <c r="O135" s="1">
        <v>697030</v>
      </c>
      <c r="P135" s="1">
        <v>697240</v>
      </c>
      <c r="Q135" s="1">
        <v>697440</v>
      </c>
      <c r="R135" s="1">
        <v>697560</v>
      </c>
      <c r="S135" s="1">
        <v>697790</v>
      </c>
      <c r="T135" s="1">
        <v>697970</v>
      </c>
      <c r="U135" s="1">
        <v>698170</v>
      </c>
      <c r="V135" s="1">
        <v>698390</v>
      </c>
      <c r="W135" s="1">
        <v>698570</v>
      </c>
      <c r="X135" s="1">
        <v>698780</v>
      </c>
      <c r="Y135" s="1">
        <v>699020</v>
      </c>
      <c r="Z135" s="1">
        <v>699350</v>
      </c>
      <c r="AA135" s="5">
        <f>AVERAGE(B135:Y135)</f>
        <v>696746.25</v>
      </c>
      <c r="AB135" s="5">
        <f>(AA136-AA134)/2</f>
        <v>4837.9166666666279</v>
      </c>
      <c r="AC135" s="14">
        <f>AB135/(23+AB151)</f>
        <v>193.81998868772686</v>
      </c>
      <c r="AD135" s="5">
        <f>AA135-AA134</f>
        <v>4840.4166666666279</v>
      </c>
      <c r="AE135" s="1">
        <f>AD135-AD134</f>
        <v>12.499999999883585</v>
      </c>
      <c r="AG135" s="5">
        <f>Z135-Y135</f>
        <v>330</v>
      </c>
      <c r="AI135" s="1">
        <f>C135-B135</f>
        <v>180</v>
      </c>
      <c r="AJ135" s="1">
        <f>D135-C135</f>
        <v>240</v>
      </c>
      <c r="AK135" s="1">
        <f>E135-D135</f>
        <v>210</v>
      </c>
      <c r="AL135" s="1">
        <f>F135-E135</f>
        <v>90</v>
      </c>
      <c r="AM135" s="1">
        <f>G135-F135</f>
        <v>240</v>
      </c>
      <c r="AN135" s="1">
        <f>H135-G135</f>
        <v>200</v>
      </c>
      <c r="AO135" s="1">
        <f>I135-H135</f>
        <v>230</v>
      </c>
      <c r="AP135" s="1">
        <f>J135-I135</f>
        <v>180</v>
      </c>
      <c r="AQ135" s="1">
        <f>K135-J135</f>
        <v>160</v>
      </c>
      <c r="AR135" s="1">
        <f>L135-K135</f>
        <v>230</v>
      </c>
      <c r="AS135" s="1">
        <f>M135-L135</f>
        <v>190</v>
      </c>
      <c r="AT135" s="1">
        <f>N135-M135</f>
        <v>170</v>
      </c>
      <c r="AU135" s="1">
        <f>O135-N135</f>
        <v>190</v>
      </c>
      <c r="AV135" s="1">
        <f>P135-O135</f>
        <v>210</v>
      </c>
      <c r="AW135" s="1">
        <f>Q135-P135</f>
        <v>200</v>
      </c>
      <c r="AX135" s="1">
        <f>R135-Q135</f>
        <v>120</v>
      </c>
      <c r="AY135" s="1">
        <f>S135-R135</f>
        <v>230</v>
      </c>
      <c r="AZ135" s="1">
        <f>T135-S135</f>
        <v>180</v>
      </c>
      <c r="BA135" s="1">
        <f>U135-T135</f>
        <v>200</v>
      </c>
      <c r="BB135" s="1">
        <f>V135-U135</f>
        <v>220</v>
      </c>
      <c r="BC135" s="1">
        <f>W135-V135</f>
        <v>180</v>
      </c>
      <c r="BD135" s="1">
        <f>X135-W135</f>
        <v>210</v>
      </c>
      <c r="BE135" s="1">
        <f>Y135-X135</f>
        <v>240</v>
      </c>
      <c r="BF135" s="1">
        <f>Z135-Y135</f>
        <v>330</v>
      </c>
    </row>
    <row r="136" spans="1:58">
      <c r="A136" s="1">
        <v>134</v>
      </c>
      <c r="B136" s="1">
        <v>699350</v>
      </c>
      <c r="C136" s="1">
        <v>699540</v>
      </c>
      <c r="D136" s="1">
        <v>699740</v>
      </c>
      <c r="E136" s="1">
        <v>699980</v>
      </c>
      <c r="F136" s="1">
        <v>700130</v>
      </c>
      <c r="G136" s="1">
        <v>700330</v>
      </c>
      <c r="H136" s="1">
        <v>700510</v>
      </c>
      <c r="I136" s="1">
        <v>700760</v>
      </c>
      <c r="J136" s="1">
        <v>700890</v>
      </c>
      <c r="K136" s="1">
        <v>701070</v>
      </c>
      <c r="L136" s="1">
        <v>701300</v>
      </c>
      <c r="M136" s="1">
        <v>701470</v>
      </c>
      <c r="N136" s="1">
        <v>701680</v>
      </c>
      <c r="O136" s="1">
        <v>701870</v>
      </c>
      <c r="P136" s="1">
        <v>702090</v>
      </c>
      <c r="Q136" s="1">
        <v>702210</v>
      </c>
      <c r="R136" s="1">
        <v>702420</v>
      </c>
      <c r="S136" s="1">
        <v>702620</v>
      </c>
      <c r="T136" s="1">
        <v>702830</v>
      </c>
      <c r="U136" s="1">
        <v>703060</v>
      </c>
      <c r="V136" s="1">
        <v>703220</v>
      </c>
      <c r="W136" s="1">
        <v>703440</v>
      </c>
      <c r="X136" s="1">
        <v>703620</v>
      </c>
      <c r="Y136" s="1">
        <v>703830</v>
      </c>
      <c r="Z136" s="1">
        <v>704220</v>
      </c>
      <c r="AA136" s="5">
        <f>AVERAGE(B136:Y136)</f>
        <v>701581.66666666663</v>
      </c>
      <c r="AB136" s="5">
        <f>(AA137-AA135)/2</f>
        <v>4835.4166666666861</v>
      </c>
      <c r="AC136" s="14">
        <f>AB136/(23+AB151)</f>
        <v>193.71983194566337</v>
      </c>
      <c r="AD136" s="5">
        <f>AA136-AA135</f>
        <v>4835.4166666666279</v>
      </c>
      <c r="AE136" s="1">
        <f>AD136-AD135</f>
        <v>-5</v>
      </c>
      <c r="AG136" s="5">
        <f>Z136-Y136</f>
        <v>390</v>
      </c>
      <c r="AI136" s="1">
        <f>C136-B136</f>
        <v>190</v>
      </c>
      <c r="AJ136" s="1">
        <f>D136-C136</f>
        <v>200</v>
      </c>
      <c r="AK136" s="1">
        <f>E136-D136</f>
        <v>240</v>
      </c>
      <c r="AL136" s="1">
        <f>F136-E136</f>
        <v>150</v>
      </c>
      <c r="AM136" s="1">
        <f>G136-F136</f>
        <v>200</v>
      </c>
      <c r="AN136" s="1">
        <f>H136-G136</f>
        <v>180</v>
      </c>
      <c r="AO136" s="1">
        <f>I136-H136</f>
        <v>250</v>
      </c>
      <c r="AP136" s="1">
        <f>J136-I136</f>
        <v>130</v>
      </c>
      <c r="AQ136" s="1">
        <f>K136-J136</f>
        <v>180</v>
      </c>
      <c r="AR136" s="1">
        <f>L136-K136</f>
        <v>230</v>
      </c>
      <c r="AS136" s="1">
        <f>M136-L136</f>
        <v>170</v>
      </c>
      <c r="AT136" s="1">
        <f>N136-M136</f>
        <v>210</v>
      </c>
      <c r="AU136" s="1">
        <f>O136-N136</f>
        <v>190</v>
      </c>
      <c r="AV136" s="1">
        <f>P136-O136</f>
        <v>220</v>
      </c>
      <c r="AW136" s="1">
        <f>Q136-P136</f>
        <v>120</v>
      </c>
      <c r="AX136" s="1">
        <f>R136-Q136</f>
        <v>210</v>
      </c>
      <c r="AY136" s="1">
        <f>S136-R136</f>
        <v>200</v>
      </c>
      <c r="AZ136" s="1">
        <f>T136-S136</f>
        <v>210</v>
      </c>
      <c r="BA136" s="1">
        <f>U136-T136</f>
        <v>230</v>
      </c>
      <c r="BB136" s="1">
        <f>V136-U136</f>
        <v>160</v>
      </c>
      <c r="BC136" s="1">
        <f>W136-V136</f>
        <v>220</v>
      </c>
      <c r="BD136" s="1">
        <f>X136-W136</f>
        <v>180</v>
      </c>
      <c r="BE136" s="1">
        <f>Y136-X136</f>
        <v>210</v>
      </c>
      <c r="BF136" s="1">
        <f>Z136-Y136</f>
        <v>390</v>
      </c>
    </row>
    <row r="137" spans="1:58">
      <c r="A137" s="1">
        <v>135</v>
      </c>
      <c r="B137" s="1">
        <v>704220</v>
      </c>
      <c r="C137" s="1">
        <v>704400</v>
      </c>
      <c r="D137" s="1">
        <v>704560</v>
      </c>
      <c r="E137" s="1">
        <v>704730</v>
      </c>
      <c r="F137" s="1">
        <v>704960</v>
      </c>
      <c r="G137" s="1">
        <v>705170</v>
      </c>
      <c r="H137" s="1">
        <v>705330</v>
      </c>
      <c r="I137" s="1">
        <v>705560</v>
      </c>
      <c r="J137" s="1">
        <v>705750</v>
      </c>
      <c r="K137" s="1">
        <v>705920</v>
      </c>
      <c r="L137" s="1">
        <v>706110</v>
      </c>
      <c r="M137" s="1">
        <v>706310</v>
      </c>
      <c r="N137" s="1">
        <v>706540</v>
      </c>
      <c r="O137" s="1">
        <v>706700</v>
      </c>
      <c r="P137" s="1">
        <v>706900</v>
      </c>
      <c r="Q137" s="1">
        <v>707080</v>
      </c>
      <c r="R137" s="1">
        <v>707240</v>
      </c>
      <c r="S137" s="1">
        <v>707460</v>
      </c>
      <c r="T137" s="1">
        <v>707660</v>
      </c>
      <c r="U137" s="1">
        <v>707860</v>
      </c>
      <c r="V137" s="1">
        <v>708090</v>
      </c>
      <c r="W137" s="1">
        <v>708290</v>
      </c>
      <c r="X137" s="1">
        <v>708500</v>
      </c>
      <c r="Y137" s="1">
        <v>708670</v>
      </c>
      <c r="Z137" s="1">
        <v>709050</v>
      </c>
      <c r="AA137" s="5">
        <f>AVERAGE(B137:Y137)</f>
        <v>706417.08333333337</v>
      </c>
      <c r="AB137" s="5">
        <f>(AA138-AA136)/2</f>
        <v>4841.25</v>
      </c>
      <c r="AC137" s="14">
        <f>AB137/(23+AB151)</f>
        <v>193.95353101048286</v>
      </c>
      <c r="AD137" s="5">
        <f>AA137-AA136</f>
        <v>4835.4166666667443</v>
      </c>
      <c r="AE137" s="1">
        <f>AD137-AD136</f>
        <v>1.1641532182693481E-10</v>
      </c>
      <c r="AG137" s="5">
        <f>Z137-Y137</f>
        <v>380</v>
      </c>
      <c r="AI137" s="1">
        <f>C137-B137</f>
        <v>180</v>
      </c>
      <c r="AJ137" s="1">
        <f>D137-C137</f>
        <v>160</v>
      </c>
      <c r="AK137" s="1">
        <f>E137-D137</f>
        <v>170</v>
      </c>
      <c r="AL137" s="1">
        <f>F137-E137</f>
        <v>230</v>
      </c>
      <c r="AM137" s="1">
        <f>G137-F137</f>
        <v>210</v>
      </c>
      <c r="AN137" s="1">
        <f>H137-G137</f>
        <v>160</v>
      </c>
      <c r="AO137" s="1">
        <f>I137-H137</f>
        <v>230</v>
      </c>
      <c r="AP137" s="1">
        <f>J137-I137</f>
        <v>190</v>
      </c>
      <c r="AQ137" s="1">
        <f>K137-J137</f>
        <v>170</v>
      </c>
      <c r="AR137" s="1">
        <f>L137-K137</f>
        <v>190</v>
      </c>
      <c r="AS137" s="1">
        <f>M137-L137</f>
        <v>200</v>
      </c>
      <c r="AT137" s="1">
        <f>N137-M137</f>
        <v>230</v>
      </c>
      <c r="AU137" s="1">
        <f>O137-N137</f>
        <v>160</v>
      </c>
      <c r="AV137" s="1">
        <f>P137-O137</f>
        <v>200</v>
      </c>
      <c r="AW137" s="1">
        <f>Q137-P137</f>
        <v>180</v>
      </c>
      <c r="AX137" s="1">
        <f>R137-Q137</f>
        <v>160</v>
      </c>
      <c r="AY137" s="1">
        <f>S137-R137</f>
        <v>220</v>
      </c>
      <c r="AZ137" s="1">
        <f>T137-S137</f>
        <v>200</v>
      </c>
      <c r="BA137" s="1">
        <f>U137-T137</f>
        <v>200</v>
      </c>
      <c r="BB137" s="1">
        <f>V137-U137</f>
        <v>230</v>
      </c>
      <c r="BC137" s="1">
        <f>W137-V137</f>
        <v>200</v>
      </c>
      <c r="BD137" s="1">
        <f>X137-W137</f>
        <v>210</v>
      </c>
      <c r="BE137" s="1">
        <f>Y137-X137</f>
        <v>170</v>
      </c>
      <c r="BF137" s="1">
        <f>Z137-Y137</f>
        <v>380</v>
      </c>
    </row>
    <row r="138" spans="1:58">
      <c r="A138" s="1">
        <v>136</v>
      </c>
      <c r="B138" s="1">
        <v>709050</v>
      </c>
      <c r="C138" s="1">
        <v>709250</v>
      </c>
      <c r="D138" s="1">
        <v>709400</v>
      </c>
      <c r="E138" s="1">
        <v>709570</v>
      </c>
      <c r="F138" s="1">
        <v>709800</v>
      </c>
      <c r="G138" s="1">
        <v>709980</v>
      </c>
      <c r="H138" s="1">
        <v>710200</v>
      </c>
      <c r="I138" s="1">
        <v>710390</v>
      </c>
      <c r="J138" s="1">
        <v>710610</v>
      </c>
      <c r="K138" s="1">
        <v>710750</v>
      </c>
      <c r="L138" s="1">
        <v>710990</v>
      </c>
      <c r="M138" s="1">
        <v>711200</v>
      </c>
      <c r="N138" s="1">
        <v>711340</v>
      </c>
      <c r="O138" s="1">
        <v>711540</v>
      </c>
      <c r="P138" s="1">
        <v>711730</v>
      </c>
      <c r="Q138" s="1">
        <v>711920</v>
      </c>
      <c r="R138" s="1">
        <v>712120</v>
      </c>
      <c r="S138" s="1">
        <v>712350</v>
      </c>
      <c r="T138" s="1">
        <v>712540</v>
      </c>
      <c r="U138" s="1">
        <v>712690</v>
      </c>
      <c r="V138" s="1">
        <v>712930</v>
      </c>
      <c r="W138" s="1">
        <v>713110</v>
      </c>
      <c r="X138" s="1">
        <v>713310</v>
      </c>
      <c r="Y138" s="1">
        <v>713570</v>
      </c>
      <c r="Z138" s="1">
        <v>713900</v>
      </c>
      <c r="AA138" s="5">
        <f>AVERAGE(B138:Y138)</f>
        <v>711264.16666666663</v>
      </c>
      <c r="AB138" s="5">
        <f>(AA139-AA137)/2</f>
        <v>4848.3333333333139</v>
      </c>
      <c r="AC138" s="14">
        <f>AB138/(23+AB151)</f>
        <v>194.23730844633528</v>
      </c>
      <c r="AD138" s="5">
        <f>AA138-AA137</f>
        <v>4847.0833333332557</v>
      </c>
      <c r="AE138" s="1">
        <f>AD138-AD137</f>
        <v>11.666666666511446</v>
      </c>
      <c r="AG138" s="5">
        <f>Z138-Y138</f>
        <v>330</v>
      </c>
      <c r="AI138" s="1">
        <f>C138-B138</f>
        <v>200</v>
      </c>
      <c r="AJ138" s="1">
        <f>D138-C138</f>
        <v>150</v>
      </c>
      <c r="AK138" s="1">
        <f>E138-D138</f>
        <v>170</v>
      </c>
      <c r="AL138" s="1">
        <f>F138-E138</f>
        <v>230</v>
      </c>
      <c r="AM138" s="1">
        <f>G138-F138</f>
        <v>180</v>
      </c>
      <c r="AN138" s="1">
        <f>H138-G138</f>
        <v>220</v>
      </c>
      <c r="AO138" s="1">
        <f>I138-H138</f>
        <v>190</v>
      </c>
      <c r="AP138" s="1">
        <f>J138-I138</f>
        <v>220</v>
      </c>
      <c r="AQ138" s="1">
        <f>K138-J138</f>
        <v>140</v>
      </c>
      <c r="AR138" s="1">
        <f>L138-K138</f>
        <v>240</v>
      </c>
      <c r="AS138" s="1">
        <f>M138-L138</f>
        <v>210</v>
      </c>
      <c r="AT138" s="1">
        <f>N138-M138</f>
        <v>140</v>
      </c>
      <c r="AU138" s="1">
        <f>O138-N138</f>
        <v>200</v>
      </c>
      <c r="AV138" s="1">
        <f>P138-O138</f>
        <v>190</v>
      </c>
      <c r="AW138" s="1">
        <f>Q138-P138</f>
        <v>190</v>
      </c>
      <c r="AX138" s="1">
        <f>R138-Q138</f>
        <v>200</v>
      </c>
      <c r="AY138" s="1">
        <f>S138-R138</f>
        <v>230</v>
      </c>
      <c r="AZ138" s="1">
        <f>T138-S138</f>
        <v>190</v>
      </c>
      <c r="BA138" s="1">
        <f>U138-T138</f>
        <v>150</v>
      </c>
      <c r="BB138" s="1">
        <f>V138-U138</f>
        <v>240</v>
      </c>
      <c r="BC138" s="1">
        <f>W138-V138</f>
        <v>180</v>
      </c>
      <c r="BD138" s="1">
        <f>X138-W138</f>
        <v>200</v>
      </c>
      <c r="BE138" s="1">
        <f>Y138-X138</f>
        <v>260</v>
      </c>
      <c r="BF138" s="1">
        <f>Z138-Y138</f>
        <v>330</v>
      </c>
    </row>
    <row r="139" spans="1:58">
      <c r="A139" s="1">
        <v>137</v>
      </c>
      <c r="B139" s="1">
        <v>713900</v>
      </c>
      <c r="C139" s="1">
        <v>714080</v>
      </c>
      <c r="D139" s="1">
        <v>714250</v>
      </c>
      <c r="E139" s="1">
        <v>714460</v>
      </c>
      <c r="F139" s="1">
        <v>714640</v>
      </c>
      <c r="G139" s="1">
        <v>714840</v>
      </c>
      <c r="H139" s="1">
        <v>715060</v>
      </c>
      <c r="I139" s="1">
        <v>715210</v>
      </c>
      <c r="J139" s="1">
        <v>715420</v>
      </c>
      <c r="K139" s="1">
        <v>715620</v>
      </c>
      <c r="L139" s="1">
        <v>715820</v>
      </c>
      <c r="M139" s="1">
        <v>716050</v>
      </c>
      <c r="N139" s="1">
        <v>716210</v>
      </c>
      <c r="O139" s="1">
        <v>716420</v>
      </c>
      <c r="P139" s="1">
        <v>716610</v>
      </c>
      <c r="Q139" s="1">
        <v>716790</v>
      </c>
      <c r="R139" s="1">
        <v>716960</v>
      </c>
      <c r="S139" s="1">
        <v>717150</v>
      </c>
      <c r="T139" s="1">
        <v>717350</v>
      </c>
      <c r="U139" s="1">
        <v>717600</v>
      </c>
      <c r="V139" s="1">
        <v>717760</v>
      </c>
      <c r="W139" s="1">
        <v>717970</v>
      </c>
      <c r="X139" s="1">
        <v>718160</v>
      </c>
      <c r="Y139" s="1">
        <v>718400</v>
      </c>
      <c r="Z139" s="1">
        <v>718730</v>
      </c>
      <c r="AA139" s="5">
        <f>AVERAGE(B139:Y139)</f>
        <v>716113.75</v>
      </c>
      <c r="AB139" s="5">
        <f>(AA140-AA138)/2</f>
        <v>4849.7916666666861</v>
      </c>
      <c r="AC139" s="14">
        <f>AB139/(23+AB151)</f>
        <v>194.2957332125419</v>
      </c>
      <c r="AD139" s="5">
        <f>AA139-AA138</f>
        <v>4849.5833333333721</v>
      </c>
      <c r="AE139" s="1">
        <f>AD139-AD138</f>
        <v>2.5000000001164153</v>
      </c>
      <c r="AG139" s="5">
        <f>Z139-Y139</f>
        <v>330</v>
      </c>
      <c r="AI139" s="1">
        <f>C139-B139</f>
        <v>180</v>
      </c>
      <c r="AJ139" s="1">
        <f>D139-C139</f>
        <v>170</v>
      </c>
      <c r="AK139" s="1">
        <f>E139-D139</f>
        <v>210</v>
      </c>
      <c r="AL139" s="1">
        <f>F139-E139</f>
        <v>180</v>
      </c>
      <c r="AM139" s="1">
        <f>G139-F139</f>
        <v>200</v>
      </c>
      <c r="AN139" s="1">
        <f>H139-G139</f>
        <v>220</v>
      </c>
      <c r="AO139" s="1">
        <f>I139-H139</f>
        <v>150</v>
      </c>
      <c r="AP139" s="1">
        <f>J139-I139</f>
        <v>210</v>
      </c>
      <c r="AQ139" s="1">
        <f>K139-J139</f>
        <v>200</v>
      </c>
      <c r="AR139" s="1">
        <f>L139-K139</f>
        <v>200</v>
      </c>
      <c r="AS139" s="1">
        <f>M139-L139</f>
        <v>230</v>
      </c>
      <c r="AT139" s="1">
        <f>N139-M139</f>
        <v>160</v>
      </c>
      <c r="AU139" s="1">
        <f>O139-N139</f>
        <v>210</v>
      </c>
      <c r="AV139" s="1">
        <f>P139-O139</f>
        <v>190</v>
      </c>
      <c r="AW139" s="1">
        <f>Q139-P139</f>
        <v>180</v>
      </c>
      <c r="AX139" s="1">
        <f>R139-Q139</f>
        <v>170</v>
      </c>
      <c r="AY139" s="1">
        <f>S139-R139</f>
        <v>190</v>
      </c>
      <c r="AZ139" s="1">
        <f>T139-S139</f>
        <v>200</v>
      </c>
      <c r="BA139" s="1">
        <f>U139-T139</f>
        <v>250</v>
      </c>
      <c r="BB139" s="1">
        <f>V139-U139</f>
        <v>160</v>
      </c>
      <c r="BC139" s="1">
        <f>W139-V139</f>
        <v>210</v>
      </c>
      <c r="BD139" s="1">
        <f>X139-W139</f>
        <v>190</v>
      </c>
      <c r="BE139" s="1">
        <f>Y139-X139</f>
        <v>240</v>
      </c>
      <c r="BF139" s="1">
        <f>Z139-Y139</f>
        <v>330</v>
      </c>
    </row>
    <row r="140" spans="1:58">
      <c r="A140" s="1">
        <v>138</v>
      </c>
      <c r="B140" s="1">
        <v>718730</v>
      </c>
      <c r="C140" s="1">
        <v>718920</v>
      </c>
      <c r="D140" s="1">
        <v>719100</v>
      </c>
      <c r="E140" s="1">
        <v>719310</v>
      </c>
      <c r="F140" s="1">
        <v>719470</v>
      </c>
      <c r="G140" s="1">
        <v>719660</v>
      </c>
      <c r="H140" s="1">
        <v>719920</v>
      </c>
      <c r="I140" s="1">
        <v>720080</v>
      </c>
      <c r="J140" s="1">
        <v>720280</v>
      </c>
      <c r="K140" s="1">
        <v>720480</v>
      </c>
      <c r="L140" s="1">
        <v>720680</v>
      </c>
      <c r="M140" s="1">
        <v>720850</v>
      </c>
      <c r="N140" s="1">
        <v>721050</v>
      </c>
      <c r="O140" s="1">
        <v>721280</v>
      </c>
      <c r="P140" s="1">
        <v>721440</v>
      </c>
      <c r="Q140" s="1">
        <v>721640</v>
      </c>
      <c r="R140" s="1">
        <v>721850</v>
      </c>
      <c r="S140" s="1">
        <v>722000</v>
      </c>
      <c r="T140" s="1">
        <v>722220</v>
      </c>
      <c r="U140" s="1">
        <v>722450</v>
      </c>
      <c r="V140" s="1">
        <v>722670</v>
      </c>
      <c r="W140" s="1">
        <v>722840</v>
      </c>
      <c r="X140" s="1">
        <v>723010</v>
      </c>
      <c r="Y140" s="1">
        <v>723200</v>
      </c>
      <c r="Z140" s="1">
        <v>723570</v>
      </c>
      <c r="AA140" s="5">
        <f>AVERAGE(B140:Y140)</f>
        <v>720963.75</v>
      </c>
      <c r="AB140" s="5">
        <f>(AA141-AA139)/2</f>
        <v>4846.25</v>
      </c>
      <c r="AC140" s="14">
        <f>AB140/(23+AB151)</f>
        <v>194.15384449461453</v>
      </c>
      <c r="AD140" s="5">
        <f>AA140-AA139</f>
        <v>4850</v>
      </c>
      <c r="AE140" s="1">
        <f>AD140-AD139</f>
        <v>0.41666666662786156</v>
      </c>
      <c r="AG140" s="5">
        <f>Z140-Y140</f>
        <v>370</v>
      </c>
      <c r="AI140" s="1">
        <f>C140-B140</f>
        <v>190</v>
      </c>
      <c r="AJ140" s="1">
        <f>D140-C140</f>
        <v>180</v>
      </c>
      <c r="AK140" s="1">
        <f>E140-D140</f>
        <v>210</v>
      </c>
      <c r="AL140" s="1">
        <f>F140-E140</f>
        <v>160</v>
      </c>
      <c r="AM140" s="1">
        <f>G140-F140</f>
        <v>190</v>
      </c>
      <c r="AN140" s="1">
        <f>H140-G140</f>
        <v>260</v>
      </c>
      <c r="AO140" s="1">
        <f>I140-H140</f>
        <v>160</v>
      </c>
      <c r="AP140" s="1">
        <f>J140-I140</f>
        <v>200</v>
      </c>
      <c r="AQ140" s="1">
        <f>K140-J140</f>
        <v>200</v>
      </c>
      <c r="AR140" s="1">
        <f>L140-K140</f>
        <v>200</v>
      </c>
      <c r="AS140" s="1">
        <f>M140-L140</f>
        <v>170</v>
      </c>
      <c r="AT140" s="1">
        <f>N140-M140</f>
        <v>200</v>
      </c>
      <c r="AU140" s="1">
        <f>O140-N140</f>
        <v>230</v>
      </c>
      <c r="AV140" s="1">
        <f>P140-O140</f>
        <v>160</v>
      </c>
      <c r="AW140" s="1">
        <f>Q140-P140</f>
        <v>200</v>
      </c>
      <c r="AX140" s="1">
        <f>R140-Q140</f>
        <v>210</v>
      </c>
      <c r="AY140" s="1">
        <f>S140-R140</f>
        <v>150</v>
      </c>
      <c r="AZ140" s="1">
        <f>T140-S140</f>
        <v>220</v>
      </c>
      <c r="BA140" s="1">
        <f>U140-T140</f>
        <v>230</v>
      </c>
      <c r="BB140" s="1">
        <f>V140-U140</f>
        <v>220</v>
      </c>
      <c r="BC140" s="1">
        <f>W140-V140</f>
        <v>170</v>
      </c>
      <c r="BD140" s="1">
        <f>X140-W140</f>
        <v>170</v>
      </c>
      <c r="BE140" s="1">
        <f>Y140-X140</f>
        <v>190</v>
      </c>
      <c r="BF140" s="1">
        <f>Z140-Y140</f>
        <v>370</v>
      </c>
    </row>
    <row r="141" spans="1:58">
      <c r="A141" s="1">
        <v>139</v>
      </c>
      <c r="B141" s="1">
        <v>723570</v>
      </c>
      <c r="C141" s="1">
        <v>723760</v>
      </c>
      <c r="D141" s="1">
        <v>723990</v>
      </c>
      <c r="E141" s="1">
        <v>724190</v>
      </c>
      <c r="F141" s="1">
        <v>724320</v>
      </c>
      <c r="G141" s="1">
        <v>724590</v>
      </c>
      <c r="H141" s="1">
        <v>724730</v>
      </c>
      <c r="I141" s="1">
        <v>724930</v>
      </c>
      <c r="J141" s="1">
        <v>725130</v>
      </c>
      <c r="K141" s="1">
        <v>725320</v>
      </c>
      <c r="L141" s="1">
        <v>725460</v>
      </c>
      <c r="M141" s="1">
        <v>725670</v>
      </c>
      <c r="N141" s="1">
        <v>725910</v>
      </c>
      <c r="O141" s="1">
        <v>726110</v>
      </c>
      <c r="P141" s="1">
        <v>726230</v>
      </c>
      <c r="Q141" s="1">
        <v>726500</v>
      </c>
      <c r="R141" s="1">
        <v>726670</v>
      </c>
      <c r="S141" s="1">
        <v>726890</v>
      </c>
      <c r="T141" s="1">
        <v>727060</v>
      </c>
      <c r="U141" s="1">
        <v>727280</v>
      </c>
      <c r="V141" s="1">
        <v>727480</v>
      </c>
      <c r="W141" s="1">
        <v>727690</v>
      </c>
      <c r="X141" s="1">
        <v>727850</v>
      </c>
      <c r="Y141" s="1">
        <v>728020</v>
      </c>
      <c r="Z141" s="1">
        <v>728440</v>
      </c>
      <c r="AA141" s="5">
        <f>AVERAGE(B141:Y141)</f>
        <v>725806.25</v>
      </c>
      <c r="AB141" s="5">
        <f>(AA142-AA140)/2</f>
        <v>4842.5</v>
      </c>
      <c r="AC141" s="14">
        <f>AB141/(23+AB151)</f>
        <v>194.00360938151579</v>
      </c>
      <c r="AD141" s="5">
        <f>AA141-AA140</f>
        <v>4842.5</v>
      </c>
      <c r="AE141" s="1">
        <f>AD141-AD140</f>
        <v>-7.5</v>
      </c>
      <c r="AG141" s="5">
        <f>Z141-Y141</f>
        <v>420</v>
      </c>
      <c r="AI141" s="1">
        <f>C141-B141</f>
        <v>190</v>
      </c>
      <c r="AJ141" s="1">
        <f>D141-C141</f>
        <v>230</v>
      </c>
      <c r="AK141" s="1">
        <f>E141-D141</f>
        <v>200</v>
      </c>
      <c r="AL141" s="1">
        <f>F141-E141</f>
        <v>130</v>
      </c>
      <c r="AM141" s="1">
        <f>G141-F141</f>
        <v>270</v>
      </c>
      <c r="AN141" s="1">
        <f>H141-G141</f>
        <v>140</v>
      </c>
      <c r="AO141" s="1">
        <f>I141-H141</f>
        <v>200</v>
      </c>
      <c r="AP141" s="1">
        <f>J141-I141</f>
        <v>200</v>
      </c>
      <c r="AQ141" s="1">
        <f>K141-J141</f>
        <v>190</v>
      </c>
      <c r="AR141" s="1">
        <f>L141-K141</f>
        <v>140</v>
      </c>
      <c r="AS141" s="1">
        <f>M141-L141</f>
        <v>210</v>
      </c>
      <c r="AT141" s="1">
        <f>N141-M141</f>
        <v>240</v>
      </c>
      <c r="AU141" s="1">
        <f>O141-N141</f>
        <v>200</v>
      </c>
      <c r="AV141" s="1">
        <f>P141-O141</f>
        <v>120</v>
      </c>
      <c r="AW141" s="1">
        <f>Q141-P141</f>
        <v>270</v>
      </c>
      <c r="AX141" s="1">
        <f>R141-Q141</f>
        <v>170</v>
      </c>
      <c r="AY141" s="1">
        <f>S141-R141</f>
        <v>220</v>
      </c>
      <c r="AZ141" s="1">
        <f>T141-S141</f>
        <v>170</v>
      </c>
      <c r="BA141" s="1">
        <f>U141-T141</f>
        <v>220</v>
      </c>
      <c r="BB141" s="1">
        <f>V141-U141</f>
        <v>200</v>
      </c>
      <c r="BC141" s="1">
        <f>W141-V141</f>
        <v>210</v>
      </c>
      <c r="BD141" s="1">
        <f>X141-W141</f>
        <v>160</v>
      </c>
      <c r="BE141" s="1">
        <f>Y141-X141</f>
        <v>170</v>
      </c>
      <c r="BF141" s="1">
        <f>Z141-Y141</f>
        <v>420</v>
      </c>
    </row>
    <row r="142" spans="1:58">
      <c r="A142" s="1">
        <v>140</v>
      </c>
      <c r="B142" s="1">
        <v>728440</v>
      </c>
      <c r="C142" s="1">
        <v>728610</v>
      </c>
      <c r="D142" s="1">
        <v>728830</v>
      </c>
      <c r="E142" s="1">
        <v>729010</v>
      </c>
      <c r="F142" s="1">
        <v>729250</v>
      </c>
      <c r="G142" s="1">
        <v>729400</v>
      </c>
      <c r="H142" s="1">
        <v>729600</v>
      </c>
      <c r="I142" s="1">
        <v>729740</v>
      </c>
      <c r="J142" s="1">
        <v>730000</v>
      </c>
      <c r="K142" s="1">
        <v>730190</v>
      </c>
      <c r="L142" s="1">
        <v>730320</v>
      </c>
      <c r="M142" s="1">
        <v>730540</v>
      </c>
      <c r="N142" s="1">
        <v>730730</v>
      </c>
      <c r="O142" s="1">
        <v>730950</v>
      </c>
      <c r="P142" s="1">
        <v>731120</v>
      </c>
      <c r="Q142" s="1">
        <v>731280</v>
      </c>
      <c r="R142" s="1">
        <v>731490</v>
      </c>
      <c r="S142" s="1">
        <v>731740</v>
      </c>
      <c r="T142" s="1">
        <v>731930</v>
      </c>
      <c r="U142" s="1">
        <v>732090</v>
      </c>
      <c r="V142" s="1">
        <v>732290</v>
      </c>
      <c r="W142" s="1">
        <v>732440</v>
      </c>
      <c r="X142" s="1">
        <v>732660</v>
      </c>
      <c r="Y142" s="1">
        <v>732920</v>
      </c>
      <c r="Z142" s="1">
        <v>733250</v>
      </c>
      <c r="AA142" s="5">
        <f>AVERAGE(B142:Y142)</f>
        <v>730648.75</v>
      </c>
      <c r="AB142" s="5">
        <f>(AA143-AA141)/2</f>
        <v>4838.5416666666861</v>
      </c>
      <c r="AC142" s="14">
        <f>AB142/(23+AB151)</f>
        <v>193.84502787324564</v>
      </c>
      <c r="AD142" s="5">
        <f>AA142-AA141</f>
        <v>4842.5</v>
      </c>
      <c r="AE142" s="1">
        <f>AD142-AD141</f>
        <v>0</v>
      </c>
      <c r="AG142" s="5">
        <f>Z142-Y142</f>
        <v>330</v>
      </c>
      <c r="AI142" s="1">
        <f>C142-B142</f>
        <v>170</v>
      </c>
      <c r="AJ142" s="1">
        <f>D142-C142</f>
        <v>220</v>
      </c>
      <c r="AK142" s="1">
        <f>E142-D142</f>
        <v>180</v>
      </c>
      <c r="AL142" s="1">
        <f>F142-E142</f>
        <v>240</v>
      </c>
      <c r="AM142" s="1">
        <f>G142-F142</f>
        <v>150</v>
      </c>
      <c r="AN142" s="1">
        <f>H142-G142</f>
        <v>200</v>
      </c>
      <c r="AO142" s="1">
        <f>I142-H142</f>
        <v>140</v>
      </c>
      <c r="AP142" s="1">
        <f>J142-I142</f>
        <v>260</v>
      </c>
      <c r="AQ142" s="1">
        <f>K142-J142</f>
        <v>190</v>
      </c>
      <c r="AR142" s="1">
        <f>L142-K142</f>
        <v>130</v>
      </c>
      <c r="AS142" s="1">
        <f>M142-L142</f>
        <v>220</v>
      </c>
      <c r="AT142" s="1">
        <f>N142-M142</f>
        <v>190</v>
      </c>
      <c r="AU142" s="1">
        <f>O142-N142</f>
        <v>220</v>
      </c>
      <c r="AV142" s="1">
        <f>P142-O142</f>
        <v>170</v>
      </c>
      <c r="AW142" s="1">
        <f>Q142-P142</f>
        <v>160</v>
      </c>
      <c r="AX142" s="1">
        <f>R142-Q142</f>
        <v>210</v>
      </c>
      <c r="AY142" s="1">
        <f>S142-R142</f>
        <v>250</v>
      </c>
      <c r="AZ142" s="1">
        <f>T142-S142</f>
        <v>190</v>
      </c>
      <c r="BA142" s="1">
        <f>U142-T142</f>
        <v>160</v>
      </c>
      <c r="BB142" s="1">
        <f>V142-U142</f>
        <v>200</v>
      </c>
      <c r="BC142" s="1">
        <f>W142-V142</f>
        <v>150</v>
      </c>
      <c r="BD142" s="1">
        <f>X142-W142</f>
        <v>220</v>
      </c>
      <c r="BE142" s="1">
        <f>Y142-X142</f>
        <v>260</v>
      </c>
      <c r="BF142" s="1">
        <f>Z142-Y142</f>
        <v>330</v>
      </c>
    </row>
    <row r="143" spans="1:58">
      <c r="A143" s="1">
        <v>141</v>
      </c>
      <c r="B143" s="1">
        <v>733250</v>
      </c>
      <c r="C143" s="1">
        <v>733440</v>
      </c>
      <c r="D143" s="1">
        <v>733650</v>
      </c>
      <c r="E143" s="1">
        <v>733840</v>
      </c>
      <c r="F143" s="1">
        <v>734070</v>
      </c>
      <c r="G143" s="1">
        <v>734190</v>
      </c>
      <c r="H143" s="1">
        <v>734420</v>
      </c>
      <c r="I143" s="1">
        <v>734630</v>
      </c>
      <c r="J143" s="1">
        <v>734760</v>
      </c>
      <c r="K143" s="1">
        <v>734990</v>
      </c>
      <c r="L143" s="1">
        <v>735210</v>
      </c>
      <c r="M143" s="1">
        <v>735370</v>
      </c>
      <c r="N143" s="1">
        <v>735570</v>
      </c>
      <c r="O143" s="1">
        <v>735790</v>
      </c>
      <c r="P143" s="1">
        <v>735960</v>
      </c>
      <c r="Q143" s="1">
        <v>736180</v>
      </c>
      <c r="R143" s="1">
        <v>736350</v>
      </c>
      <c r="S143" s="1">
        <v>736490</v>
      </c>
      <c r="T143" s="1">
        <v>736740</v>
      </c>
      <c r="U143" s="1">
        <v>736940</v>
      </c>
      <c r="V143" s="1">
        <v>737130</v>
      </c>
      <c r="W143" s="1">
        <v>737340</v>
      </c>
      <c r="X143" s="1">
        <v>737540</v>
      </c>
      <c r="Y143" s="1">
        <v>737750</v>
      </c>
      <c r="Z143" s="1">
        <v>738120</v>
      </c>
      <c r="AA143" s="5">
        <f>AVERAGE(B143:Y143)</f>
        <v>735483.33333333337</v>
      </c>
      <c r="AB143" s="5">
        <f>(AA144-AA142)/2</f>
        <v>4841.6666666666861</v>
      </c>
      <c r="AC143" s="14">
        <f>AB143/(23+AB151)</f>
        <v>193.97022380082794</v>
      </c>
      <c r="AD143" s="5">
        <f>AA143-AA142</f>
        <v>4834.5833333333721</v>
      </c>
      <c r="AE143" s="1">
        <f>AD143-AD142</f>
        <v>-7.9166666666278616</v>
      </c>
      <c r="AG143" s="5">
        <f>Z143-Y143</f>
        <v>370</v>
      </c>
      <c r="AI143" s="1">
        <f>C143-B143</f>
        <v>190</v>
      </c>
      <c r="AJ143" s="1">
        <f>D143-C143</f>
        <v>210</v>
      </c>
      <c r="AK143" s="1">
        <f>E143-D143</f>
        <v>190</v>
      </c>
      <c r="AL143" s="1">
        <f>F143-E143</f>
        <v>230</v>
      </c>
      <c r="AM143" s="1">
        <f>G143-F143</f>
        <v>120</v>
      </c>
      <c r="AN143" s="1">
        <f>H143-G143</f>
        <v>230</v>
      </c>
      <c r="AO143" s="1">
        <f>I143-H143</f>
        <v>210</v>
      </c>
      <c r="AP143" s="1">
        <f>J143-I143</f>
        <v>130</v>
      </c>
      <c r="AQ143" s="1">
        <f>K143-J143</f>
        <v>230</v>
      </c>
      <c r="AR143" s="1">
        <f>L143-K143</f>
        <v>220</v>
      </c>
      <c r="AS143" s="1">
        <f>M143-L143</f>
        <v>160</v>
      </c>
      <c r="AT143" s="1">
        <f>N143-M143</f>
        <v>200</v>
      </c>
      <c r="AU143" s="1">
        <f>O143-N143</f>
        <v>220</v>
      </c>
      <c r="AV143" s="1">
        <f>P143-O143</f>
        <v>170</v>
      </c>
      <c r="AW143" s="1">
        <f>Q143-P143</f>
        <v>220</v>
      </c>
      <c r="AX143" s="1">
        <f>R143-Q143</f>
        <v>170</v>
      </c>
      <c r="AY143" s="1">
        <f>S143-R143</f>
        <v>140</v>
      </c>
      <c r="AZ143" s="1">
        <f>T143-S143</f>
        <v>250</v>
      </c>
      <c r="BA143" s="1">
        <f>U143-T143</f>
        <v>200</v>
      </c>
      <c r="BB143" s="1">
        <f>V143-U143</f>
        <v>190</v>
      </c>
      <c r="BC143" s="1">
        <f>W143-V143</f>
        <v>210</v>
      </c>
      <c r="BD143" s="1">
        <f>X143-W143</f>
        <v>200</v>
      </c>
      <c r="BE143" s="1">
        <f>Y143-X143</f>
        <v>210</v>
      </c>
      <c r="BF143" s="1">
        <f>Z143-Y143</f>
        <v>370</v>
      </c>
    </row>
    <row r="144" spans="1:58">
      <c r="A144" s="1">
        <v>142</v>
      </c>
      <c r="B144" s="1">
        <v>738120</v>
      </c>
      <c r="C144" s="1">
        <v>738310</v>
      </c>
      <c r="D144" s="1">
        <v>738500</v>
      </c>
      <c r="E144" s="1">
        <v>738680</v>
      </c>
      <c r="F144" s="1">
        <v>738840</v>
      </c>
      <c r="G144" s="1">
        <v>739050</v>
      </c>
      <c r="H144" s="1">
        <v>739240</v>
      </c>
      <c r="I144" s="1">
        <v>739460</v>
      </c>
      <c r="J144" s="1">
        <v>739640</v>
      </c>
      <c r="K144" s="1">
        <v>739870</v>
      </c>
      <c r="L144" s="1">
        <v>740020</v>
      </c>
      <c r="M144" s="1">
        <v>740240</v>
      </c>
      <c r="N144" s="1">
        <v>740450</v>
      </c>
      <c r="O144" s="1">
        <v>740630</v>
      </c>
      <c r="P144" s="1">
        <v>740830</v>
      </c>
      <c r="Q144" s="1">
        <v>741040</v>
      </c>
      <c r="R144" s="1">
        <v>741200</v>
      </c>
      <c r="S144" s="1">
        <v>741420</v>
      </c>
      <c r="T144" s="1">
        <v>741580</v>
      </c>
      <c r="U144" s="1">
        <v>741770</v>
      </c>
      <c r="V144" s="1">
        <v>741940</v>
      </c>
      <c r="W144" s="1">
        <v>742170</v>
      </c>
      <c r="X144" s="1">
        <v>742360</v>
      </c>
      <c r="Y144" s="1">
        <v>742610</v>
      </c>
      <c r="Z144" s="1">
        <v>742960</v>
      </c>
      <c r="AA144" s="5">
        <f>AVERAGE(B144:Y144)</f>
        <v>740332.08333333337</v>
      </c>
      <c r="AB144" s="5">
        <f>(AA145-AA143)/2</f>
        <v>4848.125</v>
      </c>
      <c r="AC144" s="14">
        <f>AB144/(23+AB151)</f>
        <v>194.2289620511639</v>
      </c>
      <c r="AD144" s="5">
        <f>AA144-AA143</f>
        <v>4848.75</v>
      </c>
      <c r="AE144" s="1">
        <f>AD144-AD143</f>
        <v>14.166666666627862</v>
      </c>
      <c r="AG144" s="5">
        <f>Z144-Y144</f>
        <v>350</v>
      </c>
      <c r="AI144" s="1">
        <f>C144-B144</f>
        <v>190</v>
      </c>
      <c r="AJ144" s="1">
        <f>D144-C144</f>
        <v>190</v>
      </c>
      <c r="AK144" s="1">
        <f>E144-D144</f>
        <v>180</v>
      </c>
      <c r="AL144" s="1">
        <f>F144-E144</f>
        <v>160</v>
      </c>
      <c r="AM144" s="1">
        <f>G144-F144</f>
        <v>210</v>
      </c>
      <c r="AN144" s="1">
        <f>H144-G144</f>
        <v>190</v>
      </c>
      <c r="AO144" s="1">
        <f>I144-H144</f>
        <v>220</v>
      </c>
      <c r="AP144" s="1">
        <f>J144-I144</f>
        <v>180</v>
      </c>
      <c r="AQ144" s="1">
        <f>K144-J144</f>
        <v>230</v>
      </c>
      <c r="AR144" s="1">
        <f>L144-K144</f>
        <v>150</v>
      </c>
      <c r="AS144" s="1">
        <f>M144-L144</f>
        <v>220</v>
      </c>
      <c r="AT144" s="1">
        <f>N144-M144</f>
        <v>210</v>
      </c>
      <c r="AU144" s="1">
        <f>O144-N144</f>
        <v>180</v>
      </c>
      <c r="AV144" s="1">
        <f>P144-O144</f>
        <v>200</v>
      </c>
      <c r="AW144" s="1">
        <f>Q144-P144</f>
        <v>210</v>
      </c>
      <c r="AX144" s="1">
        <f>R144-Q144</f>
        <v>160</v>
      </c>
      <c r="AY144" s="1">
        <f>S144-R144</f>
        <v>220</v>
      </c>
      <c r="AZ144" s="1">
        <f>T144-S144</f>
        <v>160</v>
      </c>
      <c r="BA144" s="1">
        <f>U144-T144</f>
        <v>190</v>
      </c>
      <c r="BB144" s="1">
        <f>V144-U144</f>
        <v>170</v>
      </c>
      <c r="BC144" s="1">
        <f>W144-V144</f>
        <v>230</v>
      </c>
      <c r="BD144" s="1">
        <f>X144-W144</f>
        <v>190</v>
      </c>
      <c r="BE144" s="1">
        <f>Y144-X144</f>
        <v>250</v>
      </c>
      <c r="BF144" s="1">
        <f>Z144-Y144</f>
        <v>350</v>
      </c>
    </row>
    <row r="145" spans="1:58">
      <c r="A145" s="1">
        <v>143</v>
      </c>
      <c r="B145" s="1">
        <v>742960</v>
      </c>
      <c r="C145" s="1">
        <v>743200</v>
      </c>
      <c r="D145" s="1">
        <v>743380</v>
      </c>
      <c r="E145" s="1">
        <v>743560</v>
      </c>
      <c r="F145" s="1">
        <v>743740</v>
      </c>
      <c r="G145" s="1">
        <v>743910</v>
      </c>
      <c r="H145" s="1">
        <v>744120</v>
      </c>
      <c r="I145" s="1">
        <v>744310</v>
      </c>
      <c r="J145" s="1">
        <v>744470</v>
      </c>
      <c r="K145" s="1">
        <v>744660</v>
      </c>
      <c r="L145" s="1">
        <v>744860</v>
      </c>
      <c r="M145" s="1">
        <v>745090</v>
      </c>
      <c r="N145" s="1">
        <v>745260</v>
      </c>
      <c r="O145" s="1">
        <v>745500</v>
      </c>
      <c r="P145" s="1">
        <v>745690</v>
      </c>
      <c r="Q145" s="1">
        <v>745860</v>
      </c>
      <c r="R145" s="1">
        <v>746050</v>
      </c>
      <c r="S145" s="1">
        <v>746260</v>
      </c>
      <c r="T145" s="1">
        <v>746430</v>
      </c>
      <c r="U145" s="1">
        <v>746620</v>
      </c>
      <c r="V145" s="1">
        <v>746780</v>
      </c>
      <c r="W145" s="1">
        <v>746970</v>
      </c>
      <c r="X145" s="1">
        <v>747190</v>
      </c>
      <c r="Y145" s="1">
        <v>747440</v>
      </c>
      <c r="Z145" s="1">
        <v>747830</v>
      </c>
      <c r="AA145" s="5">
        <f>AVERAGE(B145:Y145)</f>
        <v>745179.58333333337</v>
      </c>
      <c r="AB145" s="5">
        <f>(AA146-AA144)/2</f>
        <v>4843.9583333333139</v>
      </c>
      <c r="AC145" s="14">
        <f>AB145/(23+AB151)</f>
        <v>194.06203414772006</v>
      </c>
      <c r="AD145" s="5">
        <f>AA145-AA144</f>
        <v>4847.5</v>
      </c>
      <c r="AE145" s="1">
        <f>AD145-AD144</f>
        <v>-1.25</v>
      </c>
      <c r="AG145" s="5">
        <f>Z145-Y145</f>
        <v>390</v>
      </c>
      <c r="AI145" s="1">
        <f>C145-B145</f>
        <v>240</v>
      </c>
      <c r="AJ145" s="1">
        <f>D145-C145</f>
        <v>180</v>
      </c>
      <c r="AK145" s="1">
        <f>E145-D145</f>
        <v>180</v>
      </c>
      <c r="AL145" s="1">
        <f>F145-E145</f>
        <v>180</v>
      </c>
      <c r="AM145" s="1">
        <f>G145-F145</f>
        <v>170</v>
      </c>
      <c r="AN145" s="1">
        <f>H145-G145</f>
        <v>210</v>
      </c>
      <c r="AO145" s="1">
        <f>I145-H145</f>
        <v>190</v>
      </c>
      <c r="AP145" s="1">
        <f>J145-I145</f>
        <v>160</v>
      </c>
      <c r="AQ145" s="1">
        <f>K145-J145</f>
        <v>190</v>
      </c>
      <c r="AR145" s="1">
        <f>L145-K145</f>
        <v>200</v>
      </c>
      <c r="AS145" s="1">
        <f>M145-L145</f>
        <v>230</v>
      </c>
      <c r="AT145" s="1">
        <f>N145-M145</f>
        <v>170</v>
      </c>
      <c r="AU145" s="1">
        <f>O145-N145</f>
        <v>240</v>
      </c>
      <c r="AV145" s="1">
        <f>P145-O145</f>
        <v>190</v>
      </c>
      <c r="AW145" s="1">
        <f>Q145-P145</f>
        <v>170</v>
      </c>
      <c r="AX145" s="1">
        <f>R145-Q145</f>
        <v>190</v>
      </c>
      <c r="AY145" s="1">
        <f>S145-R145</f>
        <v>210</v>
      </c>
      <c r="AZ145" s="1">
        <f>T145-S145</f>
        <v>170</v>
      </c>
      <c r="BA145" s="1">
        <f>U145-T145</f>
        <v>190</v>
      </c>
      <c r="BB145" s="1">
        <f>V145-U145</f>
        <v>160</v>
      </c>
      <c r="BC145" s="1">
        <f>W145-V145</f>
        <v>190</v>
      </c>
      <c r="BD145" s="1">
        <f>X145-W145</f>
        <v>220</v>
      </c>
      <c r="BE145" s="1">
        <f>Y145-X145</f>
        <v>250</v>
      </c>
      <c r="BF145" s="1">
        <f>Z145-Y145</f>
        <v>390</v>
      </c>
    </row>
    <row r="146" spans="1:58">
      <c r="A146" s="1">
        <v>144</v>
      </c>
      <c r="B146" s="1">
        <v>747830</v>
      </c>
      <c r="C146" s="1">
        <v>747990</v>
      </c>
      <c r="D146" s="1">
        <v>748200</v>
      </c>
      <c r="E146" s="1">
        <v>748410</v>
      </c>
      <c r="F146" s="1">
        <v>748600</v>
      </c>
      <c r="G146" s="1">
        <v>748760</v>
      </c>
      <c r="H146" s="1">
        <v>748960</v>
      </c>
      <c r="I146" s="1">
        <v>749190</v>
      </c>
      <c r="J146" s="1">
        <v>749310</v>
      </c>
      <c r="K146" s="1">
        <v>749510</v>
      </c>
      <c r="L146" s="1">
        <v>749670</v>
      </c>
      <c r="M146" s="1">
        <v>749880</v>
      </c>
      <c r="N146" s="1">
        <v>750090</v>
      </c>
      <c r="O146" s="1">
        <v>750340</v>
      </c>
      <c r="P146" s="1">
        <v>750530</v>
      </c>
      <c r="Q146" s="1">
        <v>750720</v>
      </c>
      <c r="R146" s="1">
        <v>750870</v>
      </c>
      <c r="S146" s="1">
        <v>751080</v>
      </c>
      <c r="T146" s="1">
        <v>751270</v>
      </c>
      <c r="U146" s="1">
        <v>751490</v>
      </c>
      <c r="V146" s="1">
        <v>751680</v>
      </c>
      <c r="W146" s="1">
        <v>751800</v>
      </c>
      <c r="X146" s="1">
        <v>752040</v>
      </c>
      <c r="Y146" s="1">
        <v>752260</v>
      </c>
      <c r="Z146" s="1">
        <v>752700</v>
      </c>
      <c r="AA146" s="5">
        <f>AVERAGE(B146:Y146)</f>
        <v>750020</v>
      </c>
      <c r="AB146" s="5">
        <f>(AA147-AA145)/2</f>
        <v>4842.0833333333139</v>
      </c>
      <c r="AC146" s="14">
        <f>AB146/(23+AB151)</f>
        <v>193.98691659117068</v>
      </c>
      <c r="AD146" s="5">
        <f>AA146-AA145</f>
        <v>4840.4166666666279</v>
      </c>
      <c r="AE146" s="1">
        <f>AD146-AD145</f>
        <v>-7.0833333333721384</v>
      </c>
      <c r="AG146" s="5">
        <f>Z146-Y146</f>
        <v>440</v>
      </c>
      <c r="AI146" s="1">
        <f>C146-B146</f>
        <v>160</v>
      </c>
      <c r="AJ146" s="1">
        <f>D146-C146</f>
        <v>210</v>
      </c>
      <c r="AK146" s="1">
        <f>E146-D146</f>
        <v>210</v>
      </c>
      <c r="AL146" s="1">
        <f>F146-E146</f>
        <v>190</v>
      </c>
      <c r="AM146" s="1">
        <f>G146-F146</f>
        <v>160</v>
      </c>
      <c r="AN146" s="1">
        <f>H146-G146</f>
        <v>200</v>
      </c>
      <c r="AO146" s="1">
        <f>I146-H146</f>
        <v>230</v>
      </c>
      <c r="AP146" s="1">
        <f>J146-I146</f>
        <v>120</v>
      </c>
      <c r="AQ146" s="1">
        <f>K146-J146</f>
        <v>200</v>
      </c>
      <c r="AR146" s="1">
        <f>L146-K146</f>
        <v>160</v>
      </c>
      <c r="AS146" s="1">
        <f>M146-L146</f>
        <v>210</v>
      </c>
      <c r="AT146" s="1">
        <f>N146-M146</f>
        <v>210</v>
      </c>
      <c r="AU146" s="1">
        <f>O146-N146</f>
        <v>250</v>
      </c>
      <c r="AV146" s="1">
        <f>P146-O146</f>
        <v>190</v>
      </c>
      <c r="AW146" s="1">
        <f>Q146-P146</f>
        <v>190</v>
      </c>
      <c r="AX146" s="1">
        <f>R146-Q146</f>
        <v>150</v>
      </c>
      <c r="AY146" s="1">
        <f>S146-R146</f>
        <v>210</v>
      </c>
      <c r="AZ146" s="1">
        <f>T146-S146</f>
        <v>190</v>
      </c>
      <c r="BA146" s="1">
        <f>U146-T146</f>
        <v>220</v>
      </c>
      <c r="BB146" s="1">
        <f>V146-U146</f>
        <v>190</v>
      </c>
      <c r="BC146" s="1">
        <f>W146-V146</f>
        <v>120</v>
      </c>
      <c r="BD146" s="1">
        <f>X146-W146</f>
        <v>240</v>
      </c>
      <c r="BE146" s="1">
        <f>Y146-X146</f>
        <v>220</v>
      </c>
      <c r="BF146" s="1">
        <f>Z146-Y146</f>
        <v>440</v>
      </c>
    </row>
    <row r="147" spans="1:58">
      <c r="A147" s="1">
        <v>145</v>
      </c>
      <c r="B147" s="1">
        <v>752700</v>
      </c>
      <c r="C147" s="1">
        <v>752850</v>
      </c>
      <c r="D147" s="1">
        <v>753070</v>
      </c>
      <c r="E147" s="1">
        <v>753260</v>
      </c>
      <c r="F147" s="1">
        <v>753430</v>
      </c>
      <c r="G147" s="1">
        <v>753600</v>
      </c>
      <c r="H147" s="1">
        <v>753830</v>
      </c>
      <c r="I147" s="1">
        <v>753980</v>
      </c>
      <c r="J147" s="1">
        <v>754120</v>
      </c>
      <c r="K147" s="1">
        <v>754310</v>
      </c>
      <c r="L147" s="1">
        <v>754540</v>
      </c>
      <c r="M147" s="1">
        <v>754750</v>
      </c>
      <c r="N147" s="1">
        <v>754990</v>
      </c>
      <c r="O147" s="1">
        <v>755150</v>
      </c>
      <c r="P147" s="1">
        <v>755360</v>
      </c>
      <c r="Q147" s="1">
        <v>755570</v>
      </c>
      <c r="R147" s="1">
        <v>755720</v>
      </c>
      <c r="S147" s="1">
        <v>755960</v>
      </c>
      <c r="T147" s="1">
        <v>756120</v>
      </c>
      <c r="U147" s="1">
        <v>756300</v>
      </c>
      <c r="V147" s="1">
        <v>756480</v>
      </c>
      <c r="W147" s="1">
        <v>756680</v>
      </c>
      <c r="X147" s="1">
        <v>756850</v>
      </c>
      <c r="Y147" s="1">
        <v>757110</v>
      </c>
      <c r="Z147" s="1">
        <v>757490</v>
      </c>
      <c r="AA147" s="5">
        <f>AVERAGE(B147:Y147)</f>
        <v>754863.75</v>
      </c>
      <c r="AB147" s="5">
        <f>(AA148-AA146)/2</f>
        <v>4822.0833333333139</v>
      </c>
      <c r="AC147" s="14">
        <f>AB147/(23+AB151)</f>
        <v>193.18566265464403</v>
      </c>
      <c r="AD147" s="5">
        <f>AA147-AA146</f>
        <v>4843.75</v>
      </c>
      <c r="AE147" s="1">
        <f>AD147-AD146</f>
        <v>3.3333333333721384</v>
      </c>
      <c r="AG147" s="5">
        <f>Z147-Y147</f>
        <v>380</v>
      </c>
      <c r="AI147" s="1">
        <f>C147-B147</f>
        <v>150</v>
      </c>
      <c r="AJ147" s="1">
        <f>D147-C147</f>
        <v>220</v>
      </c>
      <c r="AK147" s="1">
        <f>E147-D147</f>
        <v>190</v>
      </c>
      <c r="AL147" s="1">
        <f>F147-E147</f>
        <v>170</v>
      </c>
      <c r="AM147" s="1">
        <f>G147-F147</f>
        <v>170</v>
      </c>
      <c r="AN147" s="1">
        <f>H147-G147</f>
        <v>230</v>
      </c>
      <c r="AO147" s="1">
        <f>I147-H147</f>
        <v>150</v>
      </c>
      <c r="AP147" s="1">
        <f>J147-I147</f>
        <v>140</v>
      </c>
      <c r="AQ147" s="1">
        <f>K147-J147</f>
        <v>190</v>
      </c>
      <c r="AR147" s="1">
        <f>L147-K147</f>
        <v>230</v>
      </c>
      <c r="AS147" s="1">
        <f>M147-L147</f>
        <v>210</v>
      </c>
      <c r="AT147" s="1">
        <f>N147-M147</f>
        <v>240</v>
      </c>
      <c r="AU147" s="1">
        <f>O147-N147</f>
        <v>160</v>
      </c>
      <c r="AV147" s="1">
        <f>P147-O147</f>
        <v>210</v>
      </c>
      <c r="AW147" s="1">
        <f>Q147-P147</f>
        <v>210</v>
      </c>
      <c r="AX147" s="1">
        <f>R147-Q147</f>
        <v>150</v>
      </c>
      <c r="AY147" s="1">
        <f>S147-R147</f>
        <v>240</v>
      </c>
      <c r="AZ147" s="1">
        <f>T147-S147</f>
        <v>160</v>
      </c>
      <c r="BA147" s="1">
        <f>U147-T147</f>
        <v>180</v>
      </c>
      <c r="BB147" s="1">
        <f>V147-U147</f>
        <v>180</v>
      </c>
      <c r="BC147" s="1">
        <f>W147-V147</f>
        <v>200</v>
      </c>
      <c r="BD147" s="1">
        <f>X147-W147</f>
        <v>170</v>
      </c>
      <c r="BE147" s="1">
        <f>Y147-X147</f>
        <v>260</v>
      </c>
      <c r="BF147" s="1">
        <f>Z147-Y147</f>
        <v>380</v>
      </c>
    </row>
    <row r="148" spans="1:58">
      <c r="A148" s="1">
        <v>146</v>
      </c>
      <c r="B148" s="1">
        <v>757490</v>
      </c>
      <c r="C148" s="1">
        <v>757680</v>
      </c>
      <c r="D148" s="1">
        <v>757860</v>
      </c>
      <c r="E148" s="1">
        <v>758090</v>
      </c>
      <c r="F148" s="1">
        <v>758280</v>
      </c>
      <c r="G148" s="1">
        <v>758460</v>
      </c>
      <c r="H148" s="1">
        <v>758620</v>
      </c>
      <c r="I148" s="1">
        <v>758780</v>
      </c>
      <c r="J148" s="1">
        <v>758980</v>
      </c>
      <c r="K148" s="1">
        <v>759190</v>
      </c>
      <c r="L148" s="1">
        <v>759320</v>
      </c>
      <c r="M148" s="1">
        <v>759540</v>
      </c>
      <c r="N148" s="1">
        <v>759770</v>
      </c>
      <c r="O148" s="1">
        <v>759950</v>
      </c>
      <c r="P148" s="1">
        <v>760160</v>
      </c>
      <c r="Q148" s="1">
        <v>760340</v>
      </c>
      <c r="R148" s="1">
        <v>760530</v>
      </c>
      <c r="S148" s="1">
        <v>760710</v>
      </c>
      <c r="T148" s="1">
        <v>760910</v>
      </c>
      <c r="U148" s="1">
        <v>761060</v>
      </c>
      <c r="V148" s="1">
        <v>761250</v>
      </c>
      <c r="W148" s="1">
        <v>761450</v>
      </c>
      <c r="X148" s="1">
        <v>761630</v>
      </c>
      <c r="Y148" s="1">
        <v>761890</v>
      </c>
      <c r="AA148" s="5">
        <f>AVERAGE(B148:Y148)</f>
        <v>759664.16666666663</v>
      </c>
    </row>
    <row r="150" spans="1:58">
      <c r="B150" s="1">
        <f>AVERAGE(B4:B147)</f>
        <v>406739.72222222225</v>
      </c>
      <c r="C150" s="1">
        <f>AVERAGE(C4:C147)</f>
        <v>406934.16666666669</v>
      </c>
      <c r="D150" s="1">
        <f>AVERAGE(D4:D147)</f>
        <v>407123.33333333331</v>
      </c>
      <c r="E150" s="1">
        <f>AVERAGE(E4:E147)</f>
        <v>407321.94444444444</v>
      </c>
      <c r="F150" s="1">
        <f>AVERAGE(F4:F147)</f>
        <v>407505.13888888888</v>
      </c>
      <c r="G150" s="1">
        <f>AVERAGE(G4:G147)</f>
        <v>407702.63888888888</v>
      </c>
      <c r="H150" s="1">
        <f>AVERAGE(H4:H147)</f>
        <v>407888.33333333331</v>
      </c>
      <c r="I150" s="1">
        <f>AVERAGE(I4:I147)</f>
        <v>408088.61111111112</v>
      </c>
      <c r="J150" s="1">
        <f>AVERAGE(J4:J147)</f>
        <v>408273.75</v>
      </c>
      <c r="K150" s="1">
        <f>AVERAGE(K4:K147)</f>
        <v>408464.02777777775</v>
      </c>
      <c r="L150" s="1">
        <f>AVERAGE(L4:L147)</f>
        <v>408652.43055555556</v>
      </c>
      <c r="M150" s="1">
        <f>AVERAGE(M4:M147)</f>
        <v>408851.59722222225</v>
      </c>
      <c r="N150" s="1">
        <f>AVERAGE(N4:N147)</f>
        <v>409044.79166666669</v>
      </c>
      <c r="O150" s="1">
        <f>AVERAGE(O4:O147)</f>
        <v>409246.73611111112</v>
      </c>
      <c r="P150" s="1">
        <f>AVERAGE(P4:P147)</f>
        <v>409436.66666666669</v>
      </c>
      <c r="Q150" s="1">
        <f>AVERAGE(Q4:Q147)</f>
        <v>409632.22222222225</v>
      </c>
      <c r="R150" s="1">
        <f>AVERAGE(R4:R147)</f>
        <v>409819.30555555556</v>
      </c>
      <c r="S150" s="1">
        <f>AVERAGE(S4:S147)</f>
        <v>410015.27777777775</v>
      </c>
      <c r="T150" s="1">
        <f>AVERAGE(T4:T147)</f>
        <v>410205.83333333331</v>
      </c>
      <c r="U150" s="1">
        <f>AVERAGE(U4:U147)</f>
        <v>410398.75</v>
      </c>
      <c r="V150" s="1">
        <f>AVERAGE(V4:V147)</f>
        <v>410589.30555555556</v>
      </c>
      <c r="W150" s="1">
        <f>AVERAGE(W4:W147)</f>
        <v>410788.125</v>
      </c>
      <c r="X150" s="1">
        <f>AVERAGE(X4:X147)</f>
        <v>410976.45833333331</v>
      </c>
      <c r="Y150" s="1">
        <f>AVERAGE(Y4:Y147)</f>
        <v>411189.58333333331</v>
      </c>
      <c r="Z150" s="1">
        <f>AVERAGE(Z4:Z147)</f>
        <v>411568.95833333331</v>
      </c>
      <c r="AC150" s="14">
        <f>MIN(AC4:AC147)</f>
        <v>189.78033342440651</v>
      </c>
      <c r="AD150" s="5">
        <f>AVERAGE(AD4:AD147)</f>
        <v>4829.0277777777774</v>
      </c>
      <c r="AE150" s="1">
        <f>AVERAGE(AE5:AE147)</f>
        <v>0.57983682983681284</v>
      </c>
      <c r="AG150" s="5">
        <f>AVERAGE(AG4:AG146)</f>
        <v>379.37062937062939</v>
      </c>
      <c r="AI150" s="1">
        <f>AVERAGE(AI4:AI147)</f>
        <v>194.44444444444446</v>
      </c>
      <c r="AJ150" s="1">
        <f>AVERAGE(AJ4:AJ147)</f>
        <v>189.16666666666666</v>
      </c>
      <c r="AK150" s="1">
        <f>AVERAGE(AK4:AK147)</f>
        <v>198.61111111111111</v>
      </c>
      <c r="AL150" s="1">
        <f>AVERAGE(AL4:AL147)</f>
        <v>183.19444444444446</v>
      </c>
      <c r="AM150" s="1">
        <f>AVERAGE(AM4:AM147)</f>
        <v>197.5</v>
      </c>
      <c r="AN150" s="1">
        <f>AVERAGE(AN4:AN147)</f>
        <v>185.69444444444446</v>
      </c>
      <c r="AO150" s="1">
        <f>AVERAGE(AO4:AO147)</f>
        <v>200.27777777777777</v>
      </c>
      <c r="AP150" s="1">
        <f>AVERAGE(AP4:AP147)</f>
        <v>185.13888888888889</v>
      </c>
      <c r="AQ150" s="1">
        <f>AVERAGE(AQ4:AQ147)</f>
        <v>190.27777777777777</v>
      </c>
      <c r="AR150" s="1">
        <f>AVERAGE(AR4:AR147)</f>
        <v>188.40277777777777</v>
      </c>
      <c r="AS150" s="1">
        <f>AVERAGE(AS4:AS147)</f>
        <v>199.16666666666666</v>
      </c>
      <c r="AT150" s="1">
        <f>AVERAGE(AT4:AT147)</f>
        <v>193.19444444444446</v>
      </c>
      <c r="AU150" s="1">
        <f>AVERAGE(AU4:AU147)</f>
        <v>201.94444444444446</v>
      </c>
      <c r="AV150" s="1">
        <f>AVERAGE(AV4:AV147)</f>
        <v>189.93055555555554</v>
      </c>
      <c r="AW150" s="1">
        <f>AVERAGE(AW4:AW147)</f>
        <v>195.55555555555554</v>
      </c>
      <c r="AX150" s="1">
        <f>AVERAGE(AX4:AX147)</f>
        <v>187.08333333333334</v>
      </c>
      <c r="AY150" s="1">
        <f>AVERAGE(AY4:AY147)</f>
        <v>195.97222222222223</v>
      </c>
      <c r="AZ150" s="1">
        <f>AVERAGE(AZ4:AZ147)</f>
        <v>190.55555555555554</v>
      </c>
      <c r="BA150" s="1">
        <f>AVERAGE(BA4:BA147)</f>
        <v>192.91666666666666</v>
      </c>
      <c r="BB150" s="1">
        <f>AVERAGE(BB4:BB147)</f>
        <v>190.55555555555554</v>
      </c>
      <c r="BC150" s="1">
        <f>AVERAGE(BC4:BC147)</f>
        <v>198.81944444444446</v>
      </c>
      <c r="BD150" s="1">
        <f>AVERAGE(BD4:BD147)</f>
        <v>188.33333333333334</v>
      </c>
      <c r="BE150" s="1">
        <f>AVERAGE(BE4:BE147)</f>
        <v>213.125</v>
      </c>
      <c r="BF150" s="1">
        <f>AVERAGE(BF4:BF147)</f>
        <v>379.375</v>
      </c>
    </row>
    <row r="151" spans="1:58">
      <c r="C151" s="1">
        <f>C150-B150</f>
        <v>194.44444444443798</v>
      </c>
      <c r="D151" s="1">
        <f>D150-C150</f>
        <v>189.16666666662786</v>
      </c>
      <c r="E151" s="1">
        <f>E150-D150</f>
        <v>198.61111111112405</v>
      </c>
      <c r="F151" s="1">
        <f>F150-E150</f>
        <v>183.19444444443798</v>
      </c>
      <c r="G151" s="1">
        <f>G150-F150</f>
        <v>197.5</v>
      </c>
      <c r="H151" s="1">
        <f>H150-G150</f>
        <v>185.69444444443798</v>
      </c>
      <c r="I151" s="1">
        <f>I150-H150</f>
        <v>200.27777777781012</v>
      </c>
      <c r="J151" s="1">
        <f>J150-I150</f>
        <v>185.13888888887595</v>
      </c>
      <c r="K151" s="1">
        <f>K150-J150</f>
        <v>190.27777777775191</v>
      </c>
      <c r="L151" s="1">
        <f>L150-K150</f>
        <v>188.40277777781012</v>
      </c>
      <c r="M151" s="1">
        <f>M150-L150</f>
        <v>199.16666666668607</v>
      </c>
      <c r="N151" s="1">
        <f>N150-M150</f>
        <v>193.19444444443798</v>
      </c>
      <c r="O151" s="1">
        <f>O150-N150</f>
        <v>201.94444444443798</v>
      </c>
      <c r="P151" s="1">
        <f>P150-O150</f>
        <v>189.93055555556202</v>
      </c>
      <c r="Q151" s="1">
        <f>Q150-P150</f>
        <v>195.55555555556202</v>
      </c>
      <c r="R151" s="1">
        <f>R150-Q150</f>
        <v>187.08333333331393</v>
      </c>
      <c r="S151" s="1">
        <f>S150-R150</f>
        <v>195.97222222218988</v>
      </c>
      <c r="T151" s="1">
        <f>T150-S150</f>
        <v>190.55555555556202</v>
      </c>
      <c r="U151" s="1">
        <f>U150-T150</f>
        <v>192.91666666668607</v>
      </c>
      <c r="V151" s="1">
        <f>V150-U150</f>
        <v>190.55555555556202</v>
      </c>
      <c r="W151" s="1">
        <f>W150-V150</f>
        <v>198.81944444443798</v>
      </c>
      <c r="X151" s="1">
        <f>X150-W150</f>
        <v>188.33333333331393</v>
      </c>
      <c r="Y151" s="1">
        <f>Y150-X150</f>
        <v>213.125</v>
      </c>
      <c r="Z151" s="1">
        <f>Z150-Y150</f>
        <v>379.375</v>
      </c>
      <c r="AA151" s="5">
        <f>AVERAGE(C151:Y151)</f>
        <v>193.47222222222027</v>
      </c>
      <c r="AB151" s="16">
        <f>Z151/AA151</f>
        <v>1.9608758076094959</v>
      </c>
      <c r="AC151" s="14">
        <f>MAX(AC4:AC147)</f>
        <v>195.83981631938858</v>
      </c>
      <c r="AD151" s="5">
        <f>STDEV(AD4:AD147)</f>
        <v>31.100946002712767</v>
      </c>
      <c r="AE151" s="1">
        <f>STDEV(AE5:AE147)</f>
        <v>15.693650826502326</v>
      </c>
      <c r="AG151" s="5">
        <f>STDEV(AG4:AG146)</f>
        <v>44.313492416694956</v>
      </c>
      <c r="AI151" s="1">
        <f>STDEV(AI4:AI147)</f>
        <v>28.204492470055161</v>
      </c>
      <c r="AJ151" s="1">
        <f>STDEV(AJ4:AJ147)</f>
        <v>28.346013890783716</v>
      </c>
      <c r="AK151" s="1">
        <f>STDEV(AK4:AK147)</f>
        <v>28.569902279134851</v>
      </c>
      <c r="AL151" s="1">
        <f>STDEV(AL4:AL147)</f>
        <v>34.309426578372815</v>
      </c>
      <c r="AM151" s="1">
        <f>STDEV(AM4:AM147)</f>
        <v>30.577197958037864</v>
      </c>
      <c r="AN151" s="1">
        <f>STDEV(AN4:AN147)</f>
        <v>32.444741140302391</v>
      </c>
      <c r="AO151" s="1">
        <f>STDEV(AO4:AO147)</f>
        <v>32.017137990412664</v>
      </c>
      <c r="AP151" s="1">
        <f>STDEV(AP4:AP147)</f>
        <v>30.679623795596235</v>
      </c>
      <c r="AQ151" s="1">
        <f>STDEV(AQ4:AQ147)</f>
        <v>30.769716390884195</v>
      </c>
      <c r="AR151" s="1">
        <f>STDEV(AR4:AR147)</f>
        <v>33.567866636884617</v>
      </c>
      <c r="AS151" s="1">
        <f>STDEV(AS4:AS147)</f>
        <v>29.577443683069955</v>
      </c>
      <c r="AT151" s="1">
        <f>STDEV(AT4:AT147)</f>
        <v>40.028884287618858</v>
      </c>
      <c r="AU151" s="1">
        <f>STDEV(AU4:AU147)</f>
        <v>27.792381553520659</v>
      </c>
      <c r="AV151" s="1">
        <f>STDEV(AV4:AV147)</f>
        <v>28.591566260484299</v>
      </c>
      <c r="AW151" s="1">
        <f>STDEV(AW4:AW147)</f>
        <v>30.377065736606717</v>
      </c>
      <c r="AX151" s="1">
        <f>STDEV(AX4:AX147)</f>
        <v>28.453741135664124</v>
      </c>
      <c r="AY151" s="1">
        <f>STDEV(AY4:AY147)</f>
        <v>28.830816953669679</v>
      </c>
      <c r="AZ151" s="1">
        <f>STDEV(AZ4:AZ147)</f>
        <v>29.083380921809084</v>
      </c>
      <c r="BA151" s="1">
        <f>STDEV(BA4:BA147)</f>
        <v>29.205684857096365</v>
      </c>
      <c r="BB151" s="1">
        <f>STDEV(BB4:BB147)</f>
        <v>28.229275528996485</v>
      </c>
      <c r="BC151" s="1">
        <f>STDEV(BC4:BC147)</f>
        <v>29.999919062309928</v>
      </c>
      <c r="BD151" s="1">
        <f>STDEV(BD4:BD147)</f>
        <v>32.430668382693746</v>
      </c>
      <c r="BE151" s="1">
        <f>STDEV(BE4:BE147)</f>
        <v>31.098057187534415</v>
      </c>
      <c r="BF151" s="1">
        <f>STDEV(BF4:BF147)</f>
        <v>44.158309452540117</v>
      </c>
    </row>
    <row r="153" spans="1:58">
      <c r="AI153" s="1">
        <f>COUNTIF(AI4:BE147,"&lt;125")</f>
        <v>46</v>
      </c>
    </row>
  </sheetData>
  <mergeCells count="2">
    <mergeCell ref="AB1:AB2"/>
    <mergeCell ref="AD1:AD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0"/>
  <dimension ref="A1:CF157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12.75"/>
  <cols>
    <col min="1" max="1" width="8.85546875" style="1" bestFit="1" customWidth="1"/>
    <col min="2" max="3" width="5" style="1" bestFit="1" customWidth="1"/>
    <col min="4" max="4" width="5.5703125" style="1" bestFit="1" customWidth="1"/>
    <col min="5" max="5" width="5" style="1" bestFit="1" customWidth="1"/>
    <col min="6" max="25" width="5.5703125" style="1" bestFit="1" customWidth="1"/>
    <col min="26" max="26" width="9.140625" style="1"/>
    <col min="27" max="27" width="4.5703125" style="1" bestFit="1" customWidth="1"/>
    <col min="28" max="28" width="3.5703125" style="1" bestFit="1" customWidth="1"/>
    <col min="29" max="29" width="9.140625" style="1"/>
    <col min="30" max="53" width="2.42578125" style="1" bestFit="1" customWidth="1"/>
    <col min="54" max="54" width="9.5703125" style="1" bestFit="1" customWidth="1"/>
    <col min="55" max="56" width="5" style="1" bestFit="1" customWidth="1"/>
    <col min="57" max="58" width="5.5703125" style="1" bestFit="1" customWidth="1"/>
    <col min="59" max="59" width="5" style="1" bestFit="1" customWidth="1"/>
    <col min="60" max="66" width="5.5703125" style="1" bestFit="1" customWidth="1"/>
    <col min="67" max="68" width="5" style="1" bestFit="1" customWidth="1"/>
    <col min="69" max="71" width="5.5703125" style="1" bestFit="1" customWidth="1"/>
    <col min="72" max="72" width="5" style="1" bestFit="1" customWidth="1"/>
    <col min="73" max="78" width="5.5703125" style="1" bestFit="1" customWidth="1"/>
    <col min="79" max="79" width="9.140625" style="1"/>
    <col min="80" max="80" width="4.7109375" style="1" bestFit="1" customWidth="1"/>
    <col min="81" max="81" width="3.7109375" style="1" bestFit="1" customWidth="1"/>
    <col min="82" max="82" width="3.5703125" style="1" bestFit="1" customWidth="1"/>
    <col min="83" max="83" width="3.7109375" style="1" bestFit="1" customWidth="1"/>
    <col min="84" max="84" width="3.5703125" style="1" bestFit="1" customWidth="1"/>
    <col min="85" max="16384" width="9.140625" style="1"/>
  </cols>
  <sheetData>
    <row r="1" spans="1:84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 t="s">
        <v>45</v>
      </c>
      <c r="L1" s="11" t="s">
        <v>46</v>
      </c>
      <c r="M1" s="11" t="s">
        <v>47</v>
      </c>
      <c r="N1" s="17">
        <v>1</v>
      </c>
      <c r="O1" s="17">
        <v>2</v>
      </c>
      <c r="P1" s="17">
        <v>3</v>
      </c>
      <c r="Q1" s="17">
        <v>4</v>
      </c>
      <c r="R1" s="17">
        <v>5</v>
      </c>
      <c r="S1" s="17">
        <v>6</v>
      </c>
      <c r="T1" s="17">
        <v>7</v>
      </c>
      <c r="U1" s="17">
        <v>8</v>
      </c>
      <c r="V1" s="17">
        <v>9</v>
      </c>
      <c r="W1" s="17" t="s">
        <v>45</v>
      </c>
      <c r="X1" s="17" t="s">
        <v>46</v>
      </c>
      <c r="Y1" s="17" t="s">
        <v>47</v>
      </c>
      <c r="BC1" s="11">
        <v>1</v>
      </c>
      <c r="BD1" s="11">
        <v>2</v>
      </c>
      <c r="BE1" s="11">
        <v>3</v>
      </c>
      <c r="BF1" s="11">
        <v>4</v>
      </c>
      <c r="BG1" s="11">
        <v>5</v>
      </c>
      <c r="BH1" s="11">
        <v>6</v>
      </c>
      <c r="BI1" s="11">
        <v>7</v>
      </c>
      <c r="BJ1" s="11">
        <v>8</v>
      </c>
      <c r="BK1" s="11">
        <v>9</v>
      </c>
      <c r="BL1" s="11" t="s">
        <v>45</v>
      </c>
      <c r="BM1" s="11" t="s">
        <v>46</v>
      </c>
      <c r="BN1" s="11" t="s">
        <v>47</v>
      </c>
      <c r="BO1" s="17">
        <v>1</v>
      </c>
      <c r="BP1" s="17">
        <v>2</v>
      </c>
      <c r="BQ1" s="17">
        <v>3</v>
      </c>
      <c r="BR1" s="17">
        <v>4</v>
      </c>
      <c r="BS1" s="17">
        <v>5</v>
      </c>
      <c r="BT1" s="17">
        <v>6</v>
      </c>
      <c r="BU1" s="17">
        <v>7</v>
      </c>
      <c r="BV1" s="17">
        <v>8</v>
      </c>
      <c r="BW1" s="17">
        <v>9</v>
      </c>
      <c r="BX1" s="17" t="s">
        <v>45</v>
      </c>
      <c r="BY1" s="17" t="s">
        <v>46</v>
      </c>
      <c r="BZ1" s="17" t="s">
        <v>47</v>
      </c>
      <c r="CB1" s="1" t="s">
        <v>74</v>
      </c>
      <c r="CC1" s="1" t="s">
        <v>75</v>
      </c>
      <c r="CD1" s="1" t="s">
        <v>76</v>
      </c>
      <c r="CE1" s="1" t="s">
        <v>77</v>
      </c>
      <c r="CF1" s="1" t="s">
        <v>78</v>
      </c>
    </row>
    <row r="4" spans="1:84">
      <c r="A4" s="1">
        <v>1</v>
      </c>
      <c r="B4" s="1">
        <f>'Team A 1'!B4-'Team A 1'!$AA4-('Team A 1'!B$2- 12.5)*'Team A 1'!$AC4</f>
        <v>22.977628904766334</v>
      </c>
      <c r="C4" s="1">
        <f>'Team A 1'!C4-'Team A 1'!$AA4-('Team A 1'!C$2- 12.5)*'Team A 1'!$AC4</f>
        <v>12.754936536235846</v>
      </c>
      <c r="D4" s="1">
        <f>'Team A 1'!D4-'Team A 1'!$AA4-('Team A 1'!D$2- 12.5)*'Team A 1'!$AC4</f>
        <v>32.53224416770513</v>
      </c>
      <c r="E4" s="1">
        <f>'Team A 1'!E4-'Team A 1'!$AA4-('Team A 1'!E$2- 12.5)*'Team A 1'!$AC4</f>
        <v>22.309551799174642</v>
      </c>
      <c r="F4" s="1">
        <f>'Team A 1'!F4-'Team A 1'!$AA4-('Team A 1'!F$2- 12.5)*'Team A 1'!$AC4</f>
        <v>32.086859430643926</v>
      </c>
      <c r="G4" s="1">
        <f>'Team A 1'!G4-'Team A 1'!$AA4-('Team A 1'!G$2- 12.5)*'Team A 1'!$AC4</f>
        <v>51.864167062113438</v>
      </c>
      <c r="H4" s="1">
        <f>'Team A 1'!H4-'Team A 1'!$AA4-('Team A 1'!H$2- 12.5)*'Team A 1'!$AC4</f>
        <v>11.641474693582722</v>
      </c>
      <c r="I4" s="1">
        <f>'Team A 1'!I4-'Team A 1'!$AA4-('Team A 1'!I$2- 12.5)*'Team A 1'!$AC4</f>
        <v>31.418782325052121</v>
      </c>
      <c r="J4" s="1">
        <f>'Team A 1'!J4-'Team A 1'!$AA4-('Team A 1'!J$2- 12.5)*'Team A 1'!$AC4</f>
        <v>11.196089956521405</v>
      </c>
      <c r="K4" s="1">
        <f>'Team A 1'!K4-'Team A 1'!$AA4-('Team A 1'!K$2- 12.5)*'Team A 1'!$AC4</f>
        <v>-19.026602412009197</v>
      </c>
      <c r="L4" s="1">
        <f>'Team A 1'!L4-'Team A 1'!$AA4-('Team A 1'!L$2- 12.5)*'Team A 1'!$AC4</f>
        <v>-49.249294780539799</v>
      </c>
      <c r="M4" s="1">
        <f>'Team A 1'!M4-'Team A 1'!$AA4-('Team A 1'!M$2- 12.5)*'Team A 1'!$AC4</f>
        <v>-9.4719871490704435</v>
      </c>
      <c r="N4" s="1">
        <f>'Team A 1'!N4-'Team A 1'!$AA4-('Team A 1'!N$2- 12.5)*'Team A 1'!$AC4</f>
        <v>-29.694679517601074</v>
      </c>
      <c r="O4" s="1">
        <f>'Team A 1'!O4-'Team A 1'!$AA4-('Team A 1'!O$2- 12.5)*'Team A 1'!$AC4</f>
        <v>-49.917371886131718</v>
      </c>
      <c r="P4" s="1">
        <f>'Team A 1'!P4-'Team A 1'!$AA4-('Team A 1'!P$2- 12.5)*'Team A 1'!$AC4</f>
        <v>9.8599357453376797</v>
      </c>
      <c r="Q4" s="1">
        <f>'Team A 1'!Q4-'Team A 1'!$AA4-('Team A 1'!Q$2- 12.5)*'Team A 1'!$AC4</f>
        <v>19.637243376807078</v>
      </c>
      <c r="R4" s="1">
        <f>'Team A 1'!R4-'Team A 1'!$AA4-('Team A 1'!R$2- 12.5)*'Team A 1'!$AC4</f>
        <v>49.414551008276362</v>
      </c>
      <c r="S4" s="1">
        <f>'Team A 1'!S4-'Team A 1'!$AA4-('Team A 1'!S$2- 12.5)*'Team A 1'!$AC4</f>
        <v>29.19185863974576</v>
      </c>
      <c r="T4" s="1">
        <f>'Team A 1'!T4-'Team A 1'!$AA4-('Team A 1'!T$2- 12.5)*'Team A 1'!$AC4</f>
        <v>-1.0308337287849554</v>
      </c>
      <c r="U4" s="1">
        <f>'Team A 1'!U4-'Team A 1'!$AA4-('Team A 1'!U$2- 12.5)*'Team A 1'!$AC4</f>
        <v>-51.253526097315444</v>
      </c>
      <c r="V4" s="1">
        <f>'Team A 1'!V4-'Team A 1'!$AA4-('Team A 1'!V$2- 12.5)*'Team A 1'!$AC4</f>
        <v>-31.476218465846159</v>
      </c>
      <c r="W4" s="1">
        <f>'Team A 1'!W4-'Team A 1'!$AA4-('Team A 1'!W$2- 12.5)*'Team A 1'!$AC4</f>
        <v>-51.698910834376647</v>
      </c>
      <c r="X4" s="1">
        <f>'Team A 1'!X4-'Team A 1'!$AA4-('Team A 1'!X$2- 12.5)*'Team A 1'!$AC4</f>
        <v>-41.921603202907363</v>
      </c>
      <c r="Y4" s="1">
        <f>'Team A 1'!Y4-'Team A 1'!$AA4-('Team A 1'!Y$2- 12.5)*'Team A 1'!$AC4</f>
        <v>-2.1442955714378513</v>
      </c>
      <c r="AB4" s="1">
        <f>STDEV(B4:Y4)</f>
        <v>33.163151275859526</v>
      </c>
      <c r="AD4" s="5">
        <v>2</v>
      </c>
      <c r="AE4" s="5">
        <v>1</v>
      </c>
      <c r="AF4" s="5">
        <v>4</v>
      </c>
      <c r="AG4" s="5">
        <v>3</v>
      </c>
      <c r="AH4" s="5">
        <v>6</v>
      </c>
      <c r="AI4" s="5">
        <v>5</v>
      </c>
      <c r="AJ4" s="5">
        <v>8</v>
      </c>
      <c r="AK4" s="5">
        <v>7</v>
      </c>
      <c r="AL4" s="5" t="s">
        <v>45</v>
      </c>
      <c r="AM4" s="5">
        <v>9</v>
      </c>
      <c r="AN4" s="5" t="s">
        <v>47</v>
      </c>
      <c r="AO4" s="5" t="s">
        <v>46</v>
      </c>
      <c r="AP4" s="5">
        <v>1</v>
      </c>
      <c r="AQ4" s="5">
        <v>2</v>
      </c>
      <c r="AR4" s="5">
        <v>4</v>
      </c>
      <c r="AS4" s="5">
        <v>6</v>
      </c>
      <c r="AT4" s="5">
        <v>3</v>
      </c>
      <c r="AU4" s="5">
        <v>8</v>
      </c>
      <c r="AV4" s="5">
        <v>5</v>
      </c>
      <c r="AW4" s="5" t="s">
        <v>45</v>
      </c>
      <c r="AX4" s="5">
        <v>7</v>
      </c>
      <c r="AY4" s="5" t="s">
        <v>47</v>
      </c>
      <c r="AZ4" s="5">
        <v>9</v>
      </c>
      <c r="BA4" s="5" t="s">
        <v>46</v>
      </c>
      <c r="BB4" s="5"/>
      <c r="BC4" s="1">
        <f ca="1">OFFSET(A4,0, 2) -0</f>
        <v>12.754936536235846</v>
      </c>
      <c r="BD4" s="1">
        <f ca="1">OFFSET(A4,0, 1) -0</f>
        <v>22.977628904766334</v>
      </c>
      <c r="BE4" s="1">
        <f ca="1">OFFSET(A4,0, 4) -0</f>
        <v>22.309551799174642</v>
      </c>
      <c r="BF4" s="1">
        <f ca="1">OFFSET(A4,0, 3) -0</f>
        <v>32.53224416770513</v>
      </c>
      <c r="BG4" s="1">
        <f ca="1">OFFSET(A4,0, 6) -0</f>
        <v>51.864167062113438</v>
      </c>
      <c r="BH4" s="1">
        <f ca="1">OFFSET(A4,0, 5) -0</f>
        <v>32.086859430643926</v>
      </c>
      <c r="BI4" s="1">
        <f ca="1">OFFSET(A4,0, 8) -0</f>
        <v>31.418782325052121</v>
      </c>
      <c r="BJ4" s="1">
        <f ca="1">OFFSET(A4,0, 7) -0</f>
        <v>11.641474693582722</v>
      </c>
      <c r="BK4" s="1">
        <f ca="1">OFFSET(A4,0, 10) -0</f>
        <v>-19.026602412009197</v>
      </c>
      <c r="BL4" s="1">
        <f ca="1">OFFSET(A4,0, 9) -0</f>
        <v>11.196089956521405</v>
      </c>
      <c r="BM4" s="1">
        <f ca="1">OFFSET(A4,0, 12) -0</f>
        <v>-9.4719871490704435</v>
      </c>
      <c r="BN4" s="1">
        <f ca="1">OFFSET(A4,0, 11) -0</f>
        <v>-49.249294780539799</v>
      </c>
      <c r="BO4" s="1">
        <f ca="1">OFFSET(A4,0, 13) -0</f>
        <v>-29.694679517601074</v>
      </c>
      <c r="BP4" s="1">
        <f ca="1">OFFSET(A4,0, 14) -0</f>
        <v>-49.917371886131718</v>
      </c>
      <c r="BQ4" s="1">
        <f ca="1">OFFSET(A4,0, 17) -0</f>
        <v>49.414551008276362</v>
      </c>
      <c r="BR4" s="1">
        <f ca="1">OFFSET(A4,0, 15) -0</f>
        <v>9.8599357453376797</v>
      </c>
      <c r="BS4" s="1">
        <f ca="1">OFFSET(A4,0, 19) -0</f>
        <v>-1.0308337287849554</v>
      </c>
      <c r="BT4" s="1">
        <f ca="1">OFFSET(A4,0, 16) -0</f>
        <v>19.637243376807078</v>
      </c>
      <c r="BU4" s="1">
        <f ca="1">OFFSET(A4,0, 21) -0</f>
        <v>-31.476218465846159</v>
      </c>
      <c r="BV4" s="1">
        <f ca="1">OFFSET(A4,0, 18) -0</f>
        <v>29.19185863974576</v>
      </c>
      <c r="BW4" s="1">
        <f ca="1">OFFSET(A4,0, 23) -0</f>
        <v>-41.921603202907363</v>
      </c>
      <c r="BX4" s="1">
        <f ca="1">OFFSET(A4,0, 20) -0</f>
        <v>-51.253526097315444</v>
      </c>
      <c r="BY4" s="1">
        <f ca="1">OFFSET(A4,0, 24) -0</f>
        <v>-2.1442955714378513</v>
      </c>
      <c r="BZ4" s="1">
        <f ca="1">OFFSET(A4,0, 22) -0</f>
        <v>-51.698910834376647</v>
      </c>
      <c r="CB4" s="1">
        <f>COUNTIF(B4,"&lt;-67")</f>
        <v>0</v>
      </c>
      <c r="CC4" s="1">
        <f ca="1">COUNTIF(BC4:BN4,"&lt;-48")</f>
        <v>1</v>
      </c>
      <c r="CD4" s="1">
        <f ca="1">COUNTIF(BC4:BN4,"&gt;+48")</f>
        <v>1</v>
      </c>
      <c r="CE4" s="1">
        <f ca="1">COUNTIF(BO4:BZ4,"&lt;-48")</f>
        <v>3</v>
      </c>
      <c r="CF4" s="1">
        <f ca="1">COUNTIF(BO4:BZ4,"&gt;+48")</f>
        <v>1</v>
      </c>
    </row>
    <row r="5" spans="1:84">
      <c r="A5" s="1">
        <v>2</v>
      </c>
      <c r="B5" s="1">
        <f>'Team A 1'!B5-'Team A 1'!$AA5-('Team A 1'!B$2- 12.5)*'Team A 1'!$AC5</f>
        <v>22.473834380674816</v>
      </c>
      <c r="C5" s="1">
        <f>'Team A 1'!C5-'Team A 1'!$AA5-('Team A 1'!C$2- 12.5)*'Team A 1'!$AC5</f>
        <v>42.693500956268281</v>
      </c>
      <c r="D5" s="1">
        <f>'Team A 1'!D5-'Team A 1'!$AA5-('Team A 1'!D$2- 12.5)*'Team A 1'!$AC5</f>
        <v>22.913167531861745</v>
      </c>
      <c r="E5" s="1">
        <f>'Team A 1'!E5-'Team A 1'!$AA5-('Team A 1'!E$2- 12.5)*'Team A 1'!$AC5</f>
        <v>43.13283410745521</v>
      </c>
      <c r="F5" s="1">
        <f>'Team A 1'!F5-'Team A 1'!$AA5-('Team A 1'!F$2- 12.5)*'Team A 1'!$AC5</f>
        <v>13.352500683048902</v>
      </c>
      <c r="G5" s="1">
        <f>'Team A 1'!G5-'Team A 1'!$AA5-('Team A 1'!G$2- 12.5)*'Team A 1'!$AC5</f>
        <v>13.572167258642367</v>
      </c>
      <c r="H5" s="1">
        <f>'Team A 1'!H5-'Team A 1'!$AA5-('Team A 1'!H$2- 12.5)*'Team A 1'!$AC5</f>
        <v>13.791833834235831</v>
      </c>
      <c r="I5" s="1">
        <f>'Team A 1'!I5-'Team A 1'!$AA5-('Team A 1'!I$2- 12.5)*'Team A 1'!$AC5</f>
        <v>14.011500409829296</v>
      </c>
      <c r="J5" s="1">
        <f>'Team A 1'!J5-'Team A 1'!$AA5-('Team A 1'!J$2- 12.5)*'Team A 1'!$AC5</f>
        <v>24.23116698542276</v>
      </c>
      <c r="K5" s="1">
        <f>'Team A 1'!K5-'Team A 1'!$AA5-('Team A 1'!K$2- 12.5)*'Team A 1'!$AC5</f>
        <v>-35.549166438983718</v>
      </c>
      <c r="L5" s="1">
        <f>'Team A 1'!L5-'Team A 1'!$AA5-('Team A 1'!L$2- 12.5)*'Team A 1'!$AC5</f>
        <v>4.6705001366097463</v>
      </c>
      <c r="M5" s="1">
        <f>'Team A 1'!M5-'Team A 1'!$AA5-('Team A 1'!M$2- 12.5)*'Team A 1'!$AC5</f>
        <v>-65.109833287796747</v>
      </c>
      <c r="N5" s="1">
        <f>'Team A 1'!N5-'Team A 1'!$AA5-('Team A 1'!N$2- 12.5)*'Team A 1'!$AC5</f>
        <v>25.109833287796747</v>
      </c>
      <c r="O5" s="1">
        <f>'Team A 1'!O5-'Team A 1'!$AA5-('Team A 1'!O$2- 12.5)*'Team A 1'!$AC5</f>
        <v>55.329499863390254</v>
      </c>
      <c r="P5" s="1">
        <f>'Team A 1'!P5-'Team A 1'!$AA5-('Team A 1'!P$2- 12.5)*'Team A 1'!$AC5</f>
        <v>25.549166438983718</v>
      </c>
      <c r="Q5" s="1">
        <f>'Team A 1'!Q5-'Team A 1'!$AA5-('Team A 1'!Q$2- 12.5)*'Team A 1'!$AC5</f>
        <v>-14.23116698542276</v>
      </c>
      <c r="R5" s="1">
        <f>'Team A 1'!R5-'Team A 1'!$AA5-('Team A 1'!R$2- 12.5)*'Team A 1'!$AC5</f>
        <v>25.988499590170704</v>
      </c>
      <c r="S5" s="1">
        <f>'Team A 1'!S5-'Team A 1'!$AA5-('Team A 1'!S$2- 12.5)*'Team A 1'!$AC5</f>
        <v>-13.791833834235831</v>
      </c>
      <c r="T5" s="1">
        <f>'Team A 1'!T5-'Team A 1'!$AA5-('Team A 1'!T$2- 12.5)*'Team A 1'!$AC5</f>
        <v>-63.572167258642367</v>
      </c>
      <c r="U5" s="1">
        <f>'Team A 1'!U5-'Team A 1'!$AA5-('Team A 1'!U$2- 12.5)*'Team A 1'!$AC5</f>
        <v>-53.352500683048902</v>
      </c>
      <c r="V5" s="1">
        <f>'Team A 1'!V5-'Team A 1'!$AA5-('Team A 1'!V$2- 12.5)*'Team A 1'!$AC5</f>
        <v>-23.13283410745521</v>
      </c>
      <c r="W5" s="1">
        <f>'Team A 1'!W5-'Team A 1'!$AA5-('Team A 1'!W$2- 12.5)*'Team A 1'!$AC5</f>
        <v>-52.913167531861745</v>
      </c>
      <c r="X5" s="1">
        <f>'Team A 1'!X5-'Team A 1'!$AA5-('Team A 1'!X$2- 12.5)*'Team A 1'!$AC5</f>
        <v>-12.693500956268281</v>
      </c>
      <c r="Y5" s="1">
        <f>'Team A 1'!Y5-'Team A 1'!$AA5-('Team A 1'!Y$2- 12.5)*'Team A 1'!$AC5</f>
        <v>-12.473834380674816</v>
      </c>
      <c r="AB5" s="1">
        <f>STDEV(B5:Y5)</f>
        <v>34.594930546545591</v>
      </c>
      <c r="AD5" s="5">
        <v>2</v>
      </c>
      <c r="AE5" s="5">
        <v>1</v>
      </c>
      <c r="AF5" s="5">
        <v>6</v>
      </c>
      <c r="AG5" s="5">
        <v>4</v>
      </c>
      <c r="AH5" s="5">
        <v>8</v>
      </c>
      <c r="AI5" s="5">
        <v>3</v>
      </c>
      <c r="AJ5" s="5" t="s">
        <v>45</v>
      </c>
      <c r="AK5" s="5">
        <v>5</v>
      </c>
      <c r="AL5" s="5" t="s">
        <v>47</v>
      </c>
      <c r="AM5" s="5">
        <v>7</v>
      </c>
      <c r="AN5" s="5" t="s">
        <v>46</v>
      </c>
      <c r="AO5" s="5">
        <v>9</v>
      </c>
      <c r="AP5" s="5">
        <v>2</v>
      </c>
      <c r="AQ5" s="5">
        <v>6</v>
      </c>
      <c r="AR5" s="5">
        <v>1</v>
      </c>
      <c r="AS5" s="5">
        <v>4</v>
      </c>
      <c r="AT5" s="5">
        <v>3</v>
      </c>
      <c r="AU5" s="5">
        <v>8</v>
      </c>
      <c r="AV5" s="5">
        <v>5</v>
      </c>
      <c r="AW5" s="5" t="s">
        <v>45</v>
      </c>
      <c r="AX5" s="5">
        <v>7</v>
      </c>
      <c r="AY5" s="5" t="s">
        <v>47</v>
      </c>
      <c r="AZ5" s="5">
        <v>9</v>
      </c>
      <c r="BA5" s="5" t="s">
        <v>46</v>
      </c>
      <c r="BB5" s="5"/>
      <c r="BC5" s="1">
        <f ca="1">OFFSET(A5,0, 2) -0</f>
        <v>42.693500956268281</v>
      </c>
      <c r="BD5" s="1">
        <f ca="1">OFFSET(A5,0, 1) -0</f>
        <v>22.473834380674816</v>
      </c>
      <c r="BE5" s="1">
        <f ca="1">OFFSET(A5,0, 6) -0</f>
        <v>13.572167258642367</v>
      </c>
      <c r="BF5" s="1">
        <f ca="1">OFFSET(A5,0, 4) -0</f>
        <v>43.13283410745521</v>
      </c>
      <c r="BG5" s="1">
        <f ca="1">OFFSET(A5,0, 8) -0</f>
        <v>14.011500409829296</v>
      </c>
      <c r="BH5" s="1">
        <f ca="1">OFFSET(A5,0, 3) -0</f>
        <v>22.913167531861745</v>
      </c>
      <c r="BI5" s="1">
        <f ca="1">OFFSET(A5,0, 10) -0</f>
        <v>-35.549166438983718</v>
      </c>
      <c r="BJ5" s="1">
        <f ca="1">OFFSET(A5,0, 5) -0</f>
        <v>13.352500683048902</v>
      </c>
      <c r="BK5" s="1">
        <f ca="1">OFFSET(A5,0, 12) -0</f>
        <v>-65.109833287796747</v>
      </c>
      <c r="BL5" s="1">
        <f ca="1">OFFSET(A5,0, 7) -0</f>
        <v>13.791833834235831</v>
      </c>
      <c r="BM5" s="1">
        <f ca="1">OFFSET(A5,0, 11) -0</f>
        <v>4.6705001366097463</v>
      </c>
      <c r="BN5" s="1">
        <f ca="1">OFFSET(A5,0, 9) -0</f>
        <v>24.23116698542276</v>
      </c>
      <c r="BO5" s="1">
        <f ca="1">OFFSET(A5,0, 15) -0</f>
        <v>25.549166438983718</v>
      </c>
      <c r="BP5" s="1">
        <f ca="1">OFFSET(A5,0, 13) -0</f>
        <v>25.109833287796747</v>
      </c>
      <c r="BQ5" s="1">
        <f ca="1">OFFSET(A5,0, 17) -0</f>
        <v>25.988499590170704</v>
      </c>
      <c r="BR5" s="1">
        <f ca="1">OFFSET(A5,0, 16) -0</f>
        <v>-14.23116698542276</v>
      </c>
      <c r="BS5" s="1">
        <f ca="1">OFFSET(A5,0, 19) -0</f>
        <v>-63.572167258642367</v>
      </c>
      <c r="BT5" s="1">
        <f ca="1">OFFSET(A5,0, 14) -0</f>
        <v>55.329499863390254</v>
      </c>
      <c r="BU5" s="1">
        <f ca="1">OFFSET(A5,0, 21) -0</f>
        <v>-23.13283410745521</v>
      </c>
      <c r="BV5" s="1">
        <f ca="1">OFFSET(A5,0, 18) -0</f>
        <v>-13.791833834235831</v>
      </c>
      <c r="BW5" s="1">
        <f ca="1">OFFSET(A5,0, 23) -0</f>
        <v>-12.693500956268281</v>
      </c>
      <c r="BX5" s="1">
        <f ca="1">OFFSET(A5,0, 20) -0</f>
        <v>-53.352500683048902</v>
      </c>
      <c r="BY5" s="1">
        <f ca="1">OFFSET(A5,0, 24) -0</f>
        <v>-12.473834380674816</v>
      </c>
      <c r="BZ5" s="1">
        <f ca="1">OFFSET(A5,0, 22) -0</f>
        <v>-52.913167531861745</v>
      </c>
      <c r="CB5" s="1">
        <f>COUNTIF(B5,"&lt;-67")</f>
        <v>0</v>
      </c>
      <c r="CC5" s="1">
        <f ca="1">COUNTIF(BC5:BN5,"&lt;-47")</f>
        <v>1</v>
      </c>
      <c r="CD5" s="1">
        <f ca="1">COUNTIF(BC5:BN5,"&gt;+47")</f>
        <v>0</v>
      </c>
      <c r="CE5" s="1">
        <f ca="1">COUNTIF(BO5:BZ5,"&lt;-47")</f>
        <v>3</v>
      </c>
      <c r="CF5" s="1">
        <f ca="1">COUNTIF(BO5:BZ5,"&gt;+47")</f>
        <v>1</v>
      </c>
    </row>
    <row r="6" spans="1:84">
      <c r="A6" s="1">
        <v>3</v>
      </c>
      <c r="B6" s="1">
        <f>'Team A 1'!B6-'Team A 1'!$AA6-('Team A 1'!B$2- 12.5)*'Team A 1'!$AC6</f>
        <v>-28.693465605425445</v>
      </c>
      <c r="C6" s="1">
        <f>'Team A 1'!C6-'Team A 1'!$AA6-('Team A 1'!C$2- 12.5)*'Team A 1'!$AC6</f>
        <v>0.86683575156826009</v>
      </c>
      <c r="D6" s="1">
        <f>'Team A 1'!D6-'Team A 1'!$AA6-('Team A 1'!D$2- 12.5)*'Team A 1'!$AC6</f>
        <v>10.427137108561737</v>
      </c>
      <c r="E6" s="1">
        <f>'Team A 1'!E6-'Team A 1'!$AA6-('Team A 1'!E$2- 12.5)*'Team A 1'!$AC6</f>
        <v>9.9874384655552149</v>
      </c>
      <c r="F6" s="1">
        <f>'Team A 1'!F6-'Team A 1'!$AA6-('Team A 1'!F$2- 12.5)*'Team A 1'!$AC6</f>
        <v>19.547739822548692</v>
      </c>
      <c r="G6" s="1">
        <f>'Team A 1'!G6-'Team A 1'!$AA6-('Team A 1'!G$2- 12.5)*'Team A 1'!$AC6</f>
        <v>39.10804117954217</v>
      </c>
      <c r="H6" s="1">
        <f>'Team A 1'!H6-'Team A 1'!$AA6-('Team A 1'!H$2- 12.5)*'Team A 1'!$AC6</f>
        <v>28.668342536535647</v>
      </c>
      <c r="I6" s="1">
        <f>'Team A 1'!I6-'Team A 1'!$AA6-('Team A 1'!I$2- 12.5)*'Team A 1'!$AC6</f>
        <v>-1.7713561064707619</v>
      </c>
      <c r="J6" s="1">
        <f>'Team A 1'!J6-'Team A 1'!$AA6-('Team A 1'!J$2- 12.5)*'Team A 1'!$AC6</f>
        <v>-22.211054749477285</v>
      </c>
      <c r="K6" s="1">
        <f>'Team A 1'!K6-'Team A 1'!$AA6-('Team A 1'!K$2- 12.5)*'Team A 1'!$AC6</f>
        <v>-42.65075339248375</v>
      </c>
      <c r="L6" s="1">
        <f>'Team A 1'!L6-'Team A 1'!$AA6-('Team A 1'!L$2- 12.5)*'Team A 1'!$AC6</f>
        <v>-23.090452035490273</v>
      </c>
      <c r="M6" s="1">
        <f>'Team A 1'!M6-'Team A 1'!$AA6-('Team A 1'!M$2- 12.5)*'Team A 1'!$AC6</f>
        <v>-13.530150678496753</v>
      </c>
      <c r="N6" s="1">
        <f>'Team A 1'!N6-'Team A 1'!$AA6-('Team A 1'!N$2- 12.5)*'Team A 1'!$AC6</f>
        <v>16.030150678496753</v>
      </c>
      <c r="O6" s="1">
        <f>'Team A 1'!O6-'Team A 1'!$AA6-('Team A 1'!O$2- 12.5)*'Team A 1'!$AC6</f>
        <v>25.590452035490273</v>
      </c>
      <c r="P6" s="1">
        <f>'Team A 1'!P6-'Team A 1'!$AA6-('Team A 1'!P$2- 12.5)*'Team A 1'!$AC6</f>
        <v>25.15075339248375</v>
      </c>
      <c r="Q6" s="1">
        <f>'Team A 1'!Q6-'Team A 1'!$AA6-('Team A 1'!Q$2- 12.5)*'Team A 1'!$AC6</f>
        <v>-5.2889452505227155</v>
      </c>
      <c r="R6" s="1">
        <f>'Team A 1'!R6-'Team A 1'!$AA6-('Team A 1'!R$2- 12.5)*'Team A 1'!$AC6</f>
        <v>-5.7286438935292381</v>
      </c>
      <c r="S6" s="1">
        <f>'Team A 1'!S6-'Team A 1'!$AA6-('Team A 1'!S$2- 12.5)*'Team A 1'!$AC6</f>
        <v>-26.168342536535647</v>
      </c>
      <c r="T6" s="1">
        <f>'Team A 1'!T6-'Team A 1'!$AA6-('Team A 1'!T$2- 12.5)*'Team A 1'!$AC6</f>
        <v>43.39195882045783</v>
      </c>
      <c r="U6" s="1">
        <f>'Team A 1'!U6-'Team A 1'!$AA6-('Team A 1'!U$2- 12.5)*'Team A 1'!$AC6</f>
        <v>-7.0477398225486922</v>
      </c>
      <c r="V6" s="1">
        <f>'Team A 1'!V6-'Team A 1'!$AA6-('Team A 1'!V$2- 12.5)*'Team A 1'!$AC6</f>
        <v>-7.4874384655552149</v>
      </c>
      <c r="W6" s="1">
        <f>'Team A 1'!W6-'Team A 1'!$AA6-('Team A 1'!W$2- 12.5)*'Team A 1'!$AC6</f>
        <v>22.072862891438263</v>
      </c>
      <c r="X6" s="1">
        <f>'Team A 1'!X6-'Team A 1'!$AA6-('Team A 1'!X$2- 12.5)*'Team A 1'!$AC6</f>
        <v>-38.36683575156826</v>
      </c>
      <c r="Y6" s="1">
        <f>'Team A 1'!Y6-'Team A 1'!$AA6-('Team A 1'!Y$2- 12.5)*'Team A 1'!$AC6</f>
        <v>-18.806534394574555</v>
      </c>
      <c r="AB6" s="1">
        <f>STDEV(B6:Y6)</f>
        <v>24.12758850054821</v>
      </c>
      <c r="AD6" s="5">
        <v>6</v>
      </c>
      <c r="AE6" s="5">
        <v>2</v>
      </c>
      <c r="AF6" s="5">
        <v>4</v>
      </c>
      <c r="AG6" s="5">
        <v>1</v>
      </c>
      <c r="AH6" s="5">
        <v>8</v>
      </c>
      <c r="AI6" s="5">
        <v>3</v>
      </c>
      <c r="AJ6" s="5" t="s">
        <v>45</v>
      </c>
      <c r="AK6" s="5">
        <v>5</v>
      </c>
      <c r="AL6" s="5" t="s">
        <v>47</v>
      </c>
      <c r="AM6" s="5">
        <v>7</v>
      </c>
      <c r="AN6" s="5" t="s">
        <v>46</v>
      </c>
      <c r="AO6" s="5">
        <v>9</v>
      </c>
      <c r="AP6" s="5">
        <v>6</v>
      </c>
      <c r="AQ6" s="5">
        <v>2</v>
      </c>
      <c r="AR6" s="5">
        <v>1</v>
      </c>
      <c r="AS6" s="5">
        <v>4</v>
      </c>
      <c r="AT6" s="5">
        <v>8</v>
      </c>
      <c r="AU6" s="5" t="s">
        <v>45</v>
      </c>
      <c r="AV6" s="5">
        <v>3</v>
      </c>
      <c r="AW6" s="5" t="s">
        <v>47</v>
      </c>
      <c r="AX6" s="5">
        <v>5</v>
      </c>
      <c r="AY6" s="5" t="s">
        <v>46</v>
      </c>
      <c r="AZ6" s="5">
        <v>7</v>
      </c>
      <c r="BA6" s="5">
        <v>9</v>
      </c>
      <c r="BB6" s="5"/>
      <c r="BC6" s="1">
        <f ca="1">OFFSET(A6,0, 4) -0</f>
        <v>9.9874384655552149</v>
      </c>
      <c r="BD6" s="1">
        <f ca="1">OFFSET(A6,0, 2) -0</f>
        <v>0.86683575156826009</v>
      </c>
      <c r="BE6" s="1">
        <f ca="1">OFFSET(A6,0, 6) -0</f>
        <v>39.10804117954217</v>
      </c>
      <c r="BF6" s="1">
        <f ca="1">OFFSET(A6,0, 3) -0</f>
        <v>10.427137108561737</v>
      </c>
      <c r="BG6" s="1">
        <f ca="1">OFFSET(A6,0, 8) -0</f>
        <v>-1.7713561064707619</v>
      </c>
      <c r="BH6" s="1">
        <f ca="1">OFFSET(A6,0, 1) -0</f>
        <v>-28.693465605425445</v>
      </c>
      <c r="BI6" s="1">
        <f ca="1">OFFSET(A6,0, 10) -0</f>
        <v>-42.65075339248375</v>
      </c>
      <c r="BJ6" s="1">
        <f ca="1">OFFSET(A6,0, 5) -0</f>
        <v>19.547739822548692</v>
      </c>
      <c r="BK6" s="1">
        <f ca="1">OFFSET(A6,0, 12) -0</f>
        <v>-13.530150678496753</v>
      </c>
      <c r="BL6" s="1">
        <f ca="1">OFFSET(A6,0, 7) -0</f>
        <v>28.668342536535647</v>
      </c>
      <c r="BM6" s="1">
        <f ca="1">OFFSET(A6,0, 11) -0</f>
        <v>-23.090452035490273</v>
      </c>
      <c r="BN6" s="1">
        <f ca="1">OFFSET(A6,0, 9) -0</f>
        <v>-22.211054749477285</v>
      </c>
      <c r="BO6" s="1">
        <f ca="1">OFFSET(A6,0, 15) -0</f>
        <v>25.15075339248375</v>
      </c>
      <c r="BP6" s="1">
        <f ca="1">OFFSET(A6,0, 14) -0</f>
        <v>25.590452035490273</v>
      </c>
      <c r="BQ6" s="1">
        <f ca="1">OFFSET(A6,0, 19) -0</f>
        <v>43.39195882045783</v>
      </c>
      <c r="BR6" s="1">
        <f ca="1">OFFSET(A6,0, 16) -0</f>
        <v>-5.2889452505227155</v>
      </c>
      <c r="BS6" s="1">
        <f ca="1">OFFSET(A6,0, 21) -0</f>
        <v>-7.4874384655552149</v>
      </c>
      <c r="BT6" s="1">
        <f ca="1">OFFSET(A6,0, 13) -0</f>
        <v>16.030150678496753</v>
      </c>
      <c r="BU6" s="1">
        <f ca="1">OFFSET(A6,0, 23) -0</f>
        <v>-38.36683575156826</v>
      </c>
      <c r="BV6" s="1">
        <f ca="1">OFFSET(A6,0, 17) -0</f>
        <v>-5.7286438935292381</v>
      </c>
      <c r="BW6" s="1">
        <f ca="1">OFFSET(A6,0, 24) -0</f>
        <v>-18.806534394574555</v>
      </c>
      <c r="BX6" s="1">
        <f ca="1">OFFSET(A6,0, 18) -0</f>
        <v>-26.168342536535647</v>
      </c>
      <c r="BY6" s="1">
        <f ca="1">OFFSET(A6,0, 22) -0</f>
        <v>22.072862891438263</v>
      </c>
      <c r="BZ6" s="1">
        <f ca="1">OFFSET(A6,0, 20) -0</f>
        <v>-7.0477398225486922</v>
      </c>
      <c r="CB6" s="1">
        <f>COUNTIF(B6,"&lt;-67")</f>
        <v>0</v>
      </c>
      <c r="CC6" s="1">
        <f ca="1">COUNTIF(BC6:BN6,"&lt;-48")</f>
        <v>0</v>
      </c>
      <c r="CD6" s="1">
        <f ca="1">COUNTIF(BC6:BN6,"&gt;+48")</f>
        <v>0</v>
      </c>
      <c r="CE6" s="1">
        <f ca="1">COUNTIF(BO6:BZ6,"&lt;-48")</f>
        <v>0</v>
      </c>
      <c r="CF6" s="1">
        <f ca="1">COUNTIF(BO6:BZ6,"&gt;+48")</f>
        <v>0</v>
      </c>
    </row>
    <row r="7" spans="1:84">
      <c r="A7" s="1">
        <v>4</v>
      </c>
      <c r="B7" s="1">
        <f>'Team A 1'!B7-'Team A 1'!$AA7-('Team A 1'!B$2- 12.5)*'Team A 1'!$AC7</f>
        <v>51.035818797545744</v>
      </c>
      <c r="C7" s="1">
        <f>'Team A 1'!C7-'Team A 1'!$AA7-('Team A 1'!C$2- 12.5)*'Team A 1'!$AC7</f>
        <v>19.89502296007845</v>
      </c>
      <c r="D7" s="1">
        <f>'Team A 1'!D7-'Team A 1'!$AA7-('Team A 1'!D$2- 12.5)*'Team A 1'!$AC7</f>
        <v>68.754227122611155</v>
      </c>
      <c r="E7" s="1">
        <f>'Team A 1'!E7-'Team A 1'!$AA7-('Team A 1'!E$2- 12.5)*'Team A 1'!$AC7</f>
        <v>47.613431285143861</v>
      </c>
      <c r="F7" s="1">
        <f>'Team A 1'!F7-'Team A 1'!$AA7-('Team A 1'!F$2- 12.5)*'Team A 1'!$AC7</f>
        <v>-3.527364552323661</v>
      </c>
      <c r="G7" s="1">
        <f>'Team A 1'!G7-'Team A 1'!$AA7-('Team A 1'!G$2- 12.5)*'Team A 1'!$AC7</f>
        <v>-74.668160389790955</v>
      </c>
      <c r="H7" s="1">
        <f>'Team A 1'!H7-'Team A 1'!$AA7-('Team A 1'!H$2- 12.5)*'Team A 1'!$AC7</f>
        <v>-15.80895622725825</v>
      </c>
      <c r="I7" s="1">
        <f>'Team A 1'!I7-'Team A 1'!$AA7-('Team A 1'!I$2- 12.5)*'Team A 1'!$AC7</f>
        <v>3.0502479352744558</v>
      </c>
      <c r="J7" s="1">
        <f>'Team A 1'!J7-'Team A 1'!$AA7-('Team A 1'!J$2- 12.5)*'Team A 1'!$AC7</f>
        <v>-28.090547902192839</v>
      </c>
      <c r="K7" s="1">
        <f>'Team A 1'!K7-'Team A 1'!$AA7-('Team A 1'!K$2- 12.5)*'Team A 1'!$AC7</f>
        <v>-39.23134373966019</v>
      </c>
      <c r="L7" s="1">
        <f>'Team A 1'!L7-'Team A 1'!$AA7-('Team A 1'!L$2- 12.5)*'Team A 1'!$AC7</f>
        <v>-10.372139577127484</v>
      </c>
      <c r="M7" s="1">
        <f>'Team A 1'!M7-'Team A 1'!$AA7-('Team A 1'!M$2- 12.5)*'Team A 1'!$AC7</f>
        <v>18.487064585405179</v>
      </c>
      <c r="N7" s="1">
        <f>'Team A 1'!N7-'Team A 1'!$AA7-('Team A 1'!N$2- 12.5)*'Team A 1'!$AC7</f>
        <v>47.346268747937856</v>
      </c>
      <c r="O7" s="1">
        <f>'Team A 1'!O7-'Team A 1'!$AA7-('Team A 1'!O$2- 12.5)*'Team A 1'!$AC7</f>
        <v>16.205472910470519</v>
      </c>
      <c r="P7" s="1">
        <f>'Team A 1'!P7-'Team A 1'!$AA7-('Team A 1'!P$2- 12.5)*'Team A 1'!$AC7</f>
        <v>45.064677073003224</v>
      </c>
      <c r="Q7" s="1">
        <f>'Team A 1'!Q7-'Team A 1'!$AA7-('Team A 1'!Q$2- 12.5)*'Team A 1'!$AC7</f>
        <v>-16.076118764464127</v>
      </c>
      <c r="R7" s="1">
        <f>'Team A 1'!R7-'Team A 1'!$AA7-('Team A 1'!R$2- 12.5)*'Team A 1'!$AC7</f>
        <v>22.783085398068579</v>
      </c>
      <c r="S7" s="1">
        <f>'Team A 1'!S7-'Team A 1'!$AA7-('Team A 1'!S$2- 12.5)*'Team A 1'!$AC7</f>
        <v>-8.3577104393987156</v>
      </c>
      <c r="T7" s="1">
        <f>'Team A 1'!T7-'Team A 1'!$AA7-('Team A 1'!T$2- 12.5)*'Team A 1'!$AC7</f>
        <v>-19.49850627686601</v>
      </c>
      <c r="U7" s="1">
        <f>'Team A 1'!U7-'Team A 1'!$AA7-('Team A 1'!U$2- 12.5)*'Team A 1'!$AC7</f>
        <v>-40.639302114333304</v>
      </c>
      <c r="V7" s="1">
        <f>'Team A 1'!V7-'Team A 1'!$AA7-('Team A 1'!V$2- 12.5)*'Team A 1'!$AC7</f>
        <v>-51.780097951800826</v>
      </c>
      <c r="W7" s="1">
        <f>'Team A 1'!W7-'Team A 1'!$AA7-('Team A 1'!W$2- 12.5)*'Team A 1'!$AC7</f>
        <v>7.0791062107318794</v>
      </c>
      <c r="X7" s="1">
        <f>'Team A 1'!X7-'Team A 1'!$AA7-('Team A 1'!X$2- 12.5)*'Team A 1'!$AC7</f>
        <v>-24.061689626735415</v>
      </c>
      <c r="Y7" s="1">
        <f>'Team A 1'!Y7-'Team A 1'!$AA7-('Team A 1'!Y$2- 12.5)*'Team A 1'!$AC7</f>
        <v>-15.202485464202709</v>
      </c>
      <c r="AB7" s="1">
        <f>STDEV(B7:Y7)</f>
        <v>35.85888640051423</v>
      </c>
      <c r="AD7" s="5">
        <v>2</v>
      </c>
      <c r="AE7" s="5">
        <v>6</v>
      </c>
      <c r="AF7" s="5">
        <v>4</v>
      </c>
      <c r="AG7" s="5">
        <v>1</v>
      </c>
      <c r="AH7" s="5" t="s">
        <v>45</v>
      </c>
      <c r="AI7" s="5">
        <v>8</v>
      </c>
      <c r="AJ7" s="5" t="s">
        <v>47</v>
      </c>
      <c r="AK7" s="5">
        <v>3</v>
      </c>
      <c r="AL7" s="5" t="s">
        <v>46</v>
      </c>
      <c r="AM7" s="5">
        <v>5</v>
      </c>
      <c r="AN7" s="5">
        <v>9</v>
      </c>
      <c r="AO7" s="5">
        <v>7</v>
      </c>
      <c r="AP7" s="5">
        <v>6</v>
      </c>
      <c r="AQ7" s="5">
        <v>2</v>
      </c>
      <c r="AR7" s="5">
        <v>4</v>
      </c>
      <c r="AS7" s="5" t="s">
        <v>45</v>
      </c>
      <c r="AT7" s="5">
        <v>1</v>
      </c>
      <c r="AU7" s="5">
        <v>8</v>
      </c>
      <c r="AV7" s="5">
        <v>3</v>
      </c>
      <c r="AW7" s="5" t="s">
        <v>47</v>
      </c>
      <c r="AX7" s="5">
        <v>5</v>
      </c>
      <c r="AY7" s="5" t="s">
        <v>46</v>
      </c>
      <c r="AZ7" s="5">
        <v>7</v>
      </c>
      <c r="BA7" s="5">
        <v>9</v>
      </c>
      <c r="BB7" s="5"/>
      <c r="BC7" s="1">
        <f ca="1">OFFSET(A7,0, 4) -0</f>
        <v>47.613431285143861</v>
      </c>
      <c r="BD7" s="1">
        <f ca="1">OFFSET(A7,0, 1) -0</f>
        <v>51.035818797545744</v>
      </c>
      <c r="BE7" s="1">
        <f ca="1">OFFSET(A7,0, 8) -0</f>
        <v>3.0502479352744558</v>
      </c>
      <c r="BF7" s="1">
        <f ca="1">OFFSET(A7,0, 3) -0</f>
        <v>68.754227122611155</v>
      </c>
      <c r="BG7" s="1">
        <f ca="1">OFFSET(A7,0, 10) -0</f>
        <v>-39.23134373966019</v>
      </c>
      <c r="BH7" s="1">
        <f ca="1">OFFSET(A7,0, 2) -0</f>
        <v>19.89502296007845</v>
      </c>
      <c r="BI7" s="1">
        <f ca="1">OFFSET(A7,0, 12) -0</f>
        <v>18.487064585405179</v>
      </c>
      <c r="BJ7" s="1">
        <f ca="1">OFFSET(A7,0, 6) -0</f>
        <v>-74.668160389790955</v>
      </c>
      <c r="BK7" s="1">
        <f ca="1">OFFSET(A7,0, 11) -0</f>
        <v>-10.372139577127484</v>
      </c>
      <c r="BL7" s="1">
        <f ca="1">OFFSET(A7,0, 5) -0</f>
        <v>-3.527364552323661</v>
      </c>
      <c r="BM7" s="1">
        <f ca="1">OFFSET(A7,0, 9) -0</f>
        <v>-28.090547902192839</v>
      </c>
      <c r="BN7" s="1">
        <f ca="1">OFFSET(A7,0, 7) -0</f>
        <v>-15.80895622725825</v>
      </c>
      <c r="BO7" s="1">
        <f ca="1">OFFSET(A7,0, 17) -0</f>
        <v>22.783085398068579</v>
      </c>
      <c r="BP7" s="1">
        <f ca="1">OFFSET(A7,0, 14) -0</f>
        <v>16.205472910470519</v>
      </c>
      <c r="BQ7" s="1">
        <f ca="1">OFFSET(A7,0, 19) -0</f>
        <v>-19.49850627686601</v>
      </c>
      <c r="BR7" s="1">
        <f ca="1">OFFSET(A7,0, 15) -0</f>
        <v>45.064677073003224</v>
      </c>
      <c r="BS7" s="1">
        <f ca="1">OFFSET(A7,0, 21) -0</f>
        <v>-51.780097951800826</v>
      </c>
      <c r="BT7" s="1">
        <f ca="1">OFFSET(A7,0, 13) -0</f>
        <v>47.346268747937856</v>
      </c>
      <c r="BU7" s="1">
        <f ca="1">OFFSET(A7,0, 23) -0</f>
        <v>-24.061689626735415</v>
      </c>
      <c r="BV7" s="1">
        <f ca="1">OFFSET(A7,0, 18) -0</f>
        <v>-8.3577104393987156</v>
      </c>
      <c r="BW7" s="1">
        <f ca="1">OFFSET(A7,0, 24) -0</f>
        <v>-15.202485464202709</v>
      </c>
      <c r="BX7" s="1">
        <f ca="1">OFFSET(A7,0, 16) -0</f>
        <v>-16.076118764464127</v>
      </c>
      <c r="BY7" s="1">
        <f ca="1">OFFSET(A7,0, 22) -0</f>
        <v>7.0791062107318794</v>
      </c>
      <c r="BZ7" s="1">
        <f ca="1">OFFSET(A7,0, 20) -0</f>
        <v>-40.639302114333304</v>
      </c>
      <c r="CB7" s="1">
        <f>COUNTIF(B7,"&lt;-68")</f>
        <v>0</v>
      </c>
      <c r="CC7" s="1">
        <f ca="1">COUNTIF(BC7:BN7,"&lt;-48")</f>
        <v>1</v>
      </c>
      <c r="CD7" s="1">
        <f ca="1">COUNTIF(BC7:BN7,"&gt;+48")</f>
        <v>2</v>
      </c>
      <c r="CE7" s="1">
        <f ca="1">COUNTIF(BO7:BZ7,"&lt;-48")</f>
        <v>1</v>
      </c>
      <c r="CF7" s="1">
        <f ca="1">COUNTIF(BO7:BZ7,"&gt;+48")</f>
        <v>0</v>
      </c>
    </row>
    <row r="8" spans="1:84">
      <c r="A8" s="1">
        <v>5</v>
      </c>
      <c r="B8" s="1">
        <f>'Team A 1'!B8-'Team A 1'!$AA8-('Team A 1'!B$2- 12.5)*'Team A 1'!$AC8</f>
        <v>4.2926175445691115</v>
      </c>
      <c r="C8" s="1">
        <f>'Team A 1'!C8-'Team A 1'!$AA8-('Team A 1'!C$2- 12.5)*'Team A 1'!$AC8</f>
        <v>52.542534859534271</v>
      </c>
      <c r="D8" s="1">
        <f>'Team A 1'!D8-'Team A 1'!$AA8-('Team A 1'!D$2- 12.5)*'Team A 1'!$AC8</f>
        <v>10.792452174499886</v>
      </c>
      <c r="E8" s="1">
        <f>'Team A 1'!E8-'Team A 1'!$AA8-('Team A 1'!E$2- 12.5)*'Team A 1'!$AC8</f>
        <v>39.042369489465273</v>
      </c>
      <c r="F8" s="1">
        <f>'Team A 1'!F8-'Team A 1'!$AA8-('Team A 1'!F$2- 12.5)*'Team A 1'!$AC8</f>
        <v>-32.70771319556934</v>
      </c>
      <c r="G8" s="1">
        <f>'Team A 1'!G8-'Team A 1'!$AA8-('Team A 1'!G$2- 12.5)*'Team A 1'!$AC8</f>
        <v>-4.4577958806039533</v>
      </c>
      <c r="H8" s="1">
        <f>'Team A 1'!H8-'Team A 1'!$AA8-('Team A 1'!H$2- 12.5)*'Team A 1'!$AC8</f>
        <v>3.7921214343616612</v>
      </c>
      <c r="I8" s="1">
        <f>'Team A 1'!I8-'Team A 1'!$AA8-('Team A 1'!I$2- 12.5)*'Team A 1'!$AC8</f>
        <v>2.0420387493270482</v>
      </c>
      <c r="J8" s="1">
        <f>'Team A 1'!J8-'Team A 1'!$AA8-('Team A 1'!J$2- 12.5)*'Team A 1'!$AC8</f>
        <v>0.29195606429243526</v>
      </c>
      <c r="K8" s="1">
        <f>'Team A 1'!K8-'Team A 1'!$AA8-('Team A 1'!K$2- 12.5)*'Team A 1'!$AC8</f>
        <v>-31.458126620742064</v>
      </c>
      <c r="L8" s="1">
        <f>'Team A 1'!L8-'Team A 1'!$AA8-('Team A 1'!L$2- 12.5)*'Team A 1'!$AC8</f>
        <v>-23.208209305776677</v>
      </c>
      <c r="M8" s="1">
        <f>'Team A 1'!M8-'Team A 1'!$AA8-('Team A 1'!M$2- 12.5)*'Team A 1'!$AC8</f>
        <v>5.0417080091887954</v>
      </c>
      <c r="N8" s="1">
        <f>'Team A 1'!N8-'Team A 1'!$AA8-('Team A 1'!N$2- 12.5)*'Team A 1'!$AC8</f>
        <v>43.291625324154239</v>
      </c>
      <c r="O8" s="1">
        <f>'Team A 1'!O8-'Team A 1'!$AA8-('Team A 1'!O$2- 12.5)*'Team A 1'!$AC8</f>
        <v>51.541542639119712</v>
      </c>
      <c r="P8" s="1">
        <f>'Team A 1'!P8-'Team A 1'!$AA8-('Team A 1'!P$2- 12.5)*'Team A 1'!$AC8</f>
        <v>-0.20854004591490138</v>
      </c>
      <c r="Q8" s="1">
        <f>'Team A 1'!Q8-'Team A 1'!$AA8-('Team A 1'!Q$2- 12.5)*'Team A 1'!$AC8</f>
        <v>-11.958622730949401</v>
      </c>
      <c r="R8" s="1">
        <f>'Team A 1'!R8-'Team A 1'!$AA8-('Team A 1'!R$2- 12.5)*'Team A 1'!$AC8</f>
        <v>6.2912945840159864</v>
      </c>
      <c r="S8" s="1">
        <f>'Team A 1'!S8-'Team A 1'!$AA8-('Team A 1'!S$2- 12.5)*'Team A 1'!$AC8</f>
        <v>-25.458788101018627</v>
      </c>
      <c r="T8" s="1">
        <f>'Team A 1'!T8-'Team A 1'!$AA8-('Team A 1'!T$2- 12.5)*'Team A 1'!$AC8</f>
        <v>-27.208870786053012</v>
      </c>
      <c r="U8" s="1">
        <f>'Team A 1'!U8-'Team A 1'!$AA8-('Team A 1'!U$2- 12.5)*'Team A 1'!$AC8</f>
        <v>1.0410465289123749</v>
      </c>
      <c r="V8" s="1">
        <f>'Team A 1'!V8-'Team A 1'!$AA8-('Team A 1'!V$2- 12.5)*'Team A 1'!$AC8</f>
        <v>-30.709036156122238</v>
      </c>
      <c r="W8" s="1">
        <f>'Team A 1'!W8-'Team A 1'!$AA8-('Team A 1'!W$2- 12.5)*'Team A 1'!$AC8</f>
        <v>7.540881158843149</v>
      </c>
      <c r="X8" s="1">
        <f>'Team A 1'!X8-'Team A 1'!$AA8-('Team A 1'!X$2- 12.5)*'Team A 1'!$AC8</f>
        <v>-24.209201526191237</v>
      </c>
      <c r="Y8" s="1">
        <f>'Team A 1'!Y8-'Team A 1'!$AA8-('Team A 1'!Y$2- 12.5)*'Team A 1'!$AC8</f>
        <v>-15.959284211226077</v>
      </c>
      <c r="AB8" s="1">
        <f>STDEV(B8:Y8)</f>
        <v>25.559361231409476</v>
      </c>
      <c r="AD8" s="5">
        <v>2</v>
      </c>
      <c r="AE8" s="5">
        <v>6</v>
      </c>
      <c r="AF8" s="5" t="s">
        <v>45</v>
      </c>
      <c r="AG8" s="5">
        <v>4</v>
      </c>
      <c r="AH8" s="5">
        <v>8</v>
      </c>
      <c r="AI8" s="5">
        <v>1</v>
      </c>
      <c r="AJ8" s="5" t="s">
        <v>47</v>
      </c>
      <c r="AK8" s="5">
        <v>3</v>
      </c>
      <c r="AL8" s="5" t="s">
        <v>46</v>
      </c>
      <c r="AM8" s="5">
        <v>5</v>
      </c>
      <c r="AN8" s="5">
        <v>9</v>
      </c>
      <c r="AO8" s="5">
        <v>7</v>
      </c>
      <c r="AP8" s="5">
        <v>2</v>
      </c>
      <c r="AQ8" s="5" t="s">
        <v>45</v>
      </c>
      <c r="AR8" s="5">
        <v>6</v>
      </c>
      <c r="AS8" s="5">
        <v>4</v>
      </c>
      <c r="AT8" s="5">
        <v>1</v>
      </c>
      <c r="AU8" s="5">
        <v>8</v>
      </c>
      <c r="AV8" s="5" t="s">
        <v>47</v>
      </c>
      <c r="AW8" s="5" t="s">
        <v>46</v>
      </c>
      <c r="AX8" s="5">
        <v>3</v>
      </c>
      <c r="AY8" s="5">
        <v>9</v>
      </c>
      <c r="AZ8" s="5">
        <v>5</v>
      </c>
      <c r="BA8" s="5">
        <v>7</v>
      </c>
      <c r="BB8" s="5"/>
      <c r="BC8" s="1">
        <f ca="1">OFFSET(A8,0, 6) -0</f>
        <v>-4.4577958806039533</v>
      </c>
      <c r="BD8" s="1">
        <f ca="1">OFFSET(A8,0, 1) -0</f>
        <v>4.2926175445691115</v>
      </c>
      <c r="BE8" s="1">
        <f ca="1">OFFSET(A8,0, 8) -0</f>
        <v>2.0420387493270482</v>
      </c>
      <c r="BF8" s="1">
        <f ca="1">OFFSET(A8,0, 4) -0</f>
        <v>39.042369489465273</v>
      </c>
      <c r="BG8" s="1">
        <f ca="1">OFFSET(A8,0, 10) -0</f>
        <v>-31.458126620742064</v>
      </c>
      <c r="BH8" s="1">
        <f ca="1">OFFSET(A8,0, 2) -0</f>
        <v>52.542534859534271</v>
      </c>
      <c r="BI8" s="1">
        <f ca="1">OFFSET(A8,0, 12) -0</f>
        <v>5.0417080091887954</v>
      </c>
      <c r="BJ8" s="1">
        <f ca="1">OFFSET(A8,0, 5) -0</f>
        <v>-32.70771319556934</v>
      </c>
      <c r="BK8" s="1">
        <f ca="1">OFFSET(A8,0, 11) -0</f>
        <v>-23.208209305776677</v>
      </c>
      <c r="BL8" s="1">
        <f ca="1">OFFSET(A8,0, 3) -0</f>
        <v>10.792452174499886</v>
      </c>
      <c r="BM8" s="1">
        <f ca="1">OFFSET(A8,0, 9) -0</f>
        <v>0.29195606429243526</v>
      </c>
      <c r="BN8" s="1">
        <f ca="1">OFFSET(A8,0, 7) -0</f>
        <v>3.7921214343616612</v>
      </c>
      <c r="BO8" s="1">
        <f ca="1">OFFSET(A8,0, 17) -0</f>
        <v>6.2912945840159864</v>
      </c>
      <c r="BP8" s="1">
        <f ca="1">OFFSET(A8,0, 13) -0</f>
        <v>43.291625324154239</v>
      </c>
      <c r="BQ8" s="1">
        <f ca="1">OFFSET(A8,0, 21) -0</f>
        <v>-30.709036156122238</v>
      </c>
      <c r="BR8" s="1">
        <f ca="1">OFFSET(A8,0, 16) -0</f>
        <v>-11.958622730949401</v>
      </c>
      <c r="BS8" s="1">
        <f ca="1">OFFSET(A8,0, 23) -0</f>
        <v>-24.209201526191237</v>
      </c>
      <c r="BT8" s="1">
        <f ca="1">OFFSET(A8,0, 15) -0</f>
        <v>-0.20854004591490138</v>
      </c>
      <c r="BU8" s="1">
        <f ca="1">OFFSET(A8,0, 24) -0</f>
        <v>-15.959284211226077</v>
      </c>
      <c r="BV8" s="1">
        <f ca="1">OFFSET(A8,0, 18) -0</f>
        <v>-25.458788101018627</v>
      </c>
      <c r="BW8" s="1">
        <f ca="1">OFFSET(A8,0, 22) -0</f>
        <v>7.540881158843149</v>
      </c>
      <c r="BX8" s="1">
        <f ca="1">OFFSET(A8,0, 14) -0</f>
        <v>51.541542639119712</v>
      </c>
      <c r="BY8" s="1">
        <f ca="1">OFFSET(A8,0, 20) -0</f>
        <v>1.0410465289123749</v>
      </c>
      <c r="BZ8" s="1">
        <f ca="1">OFFSET(A8,0, 19) -0</f>
        <v>-27.208870786053012</v>
      </c>
      <c r="CB8" s="1">
        <f>COUNTIF(B8,"&lt;-68")</f>
        <v>0</v>
      </c>
      <c r="CC8" s="1">
        <f ca="1">COUNTIF(BC8:BN8,"&lt;-48")</f>
        <v>0</v>
      </c>
      <c r="CD8" s="1">
        <f ca="1">COUNTIF(BC8:BN8,"&gt;+48")</f>
        <v>1</v>
      </c>
      <c r="CE8" s="1">
        <f ca="1">COUNTIF(BO8:BZ8,"&lt;-48")</f>
        <v>0</v>
      </c>
      <c r="CF8" s="1">
        <f ca="1">COUNTIF(BO8:BZ8,"&gt;+48")</f>
        <v>1</v>
      </c>
    </row>
    <row r="9" spans="1:84">
      <c r="A9" s="1">
        <v>6</v>
      </c>
      <c r="B9" s="1">
        <f>'Team A 1'!B9-'Team A 1'!$AA9-('Team A 1'!B$2- 12.5)*'Team A 1'!$AC9</f>
        <v>69.189992234802048</v>
      </c>
      <c r="C9" s="1">
        <f>'Team A 1'!C9-'Team A 1'!$AA9-('Team A 1'!C$2- 12.5)*'Team A 1'!$AC9</f>
        <v>37.122746533225381</v>
      </c>
      <c r="D9" s="1">
        <f>'Team A 1'!D9-'Team A 1'!$AA9-('Team A 1'!D$2- 12.5)*'Team A 1'!$AC9</f>
        <v>35.055500831648715</v>
      </c>
      <c r="E9" s="1">
        <f>'Team A 1'!E9-'Team A 1'!$AA9-('Team A 1'!E$2- 12.5)*'Team A 1'!$AC9</f>
        <v>92.988255130072275</v>
      </c>
      <c r="F9" s="1">
        <f>'Team A 1'!F9-'Team A 1'!$AA9-('Team A 1'!F$2- 12.5)*'Team A 1'!$AC9</f>
        <v>10.921009428495609</v>
      </c>
      <c r="G9" s="1">
        <f>'Team A 1'!G9-'Team A 1'!$AA9-('Team A 1'!G$2- 12.5)*'Team A 1'!$AC9</f>
        <v>28.853763726919169</v>
      </c>
      <c r="H9" s="1">
        <f>'Team A 1'!H9-'Team A 1'!$AA9-('Team A 1'!H$2- 12.5)*'Team A 1'!$AC9</f>
        <v>-63.213481974657498</v>
      </c>
      <c r="I9" s="1">
        <f>'Team A 1'!I9-'Team A 1'!$AA9-('Team A 1'!I$2- 12.5)*'Team A 1'!$AC9</f>
        <v>-15.280727676233937</v>
      </c>
      <c r="J9" s="1">
        <f>'Team A 1'!J9-'Team A 1'!$AA9-('Team A 1'!J$2- 12.5)*'Team A 1'!$AC9</f>
        <v>-27.347973377810604</v>
      </c>
      <c r="K9" s="1">
        <f>'Team A 1'!K9-'Team A 1'!$AA9-('Team A 1'!K$2- 12.5)*'Team A 1'!$AC9</f>
        <v>-49.4152190793871</v>
      </c>
      <c r="L9" s="1">
        <f>'Team A 1'!L9-'Team A 1'!$AA9-('Team A 1'!L$2- 12.5)*'Team A 1'!$AC9</f>
        <v>18.517535219036347</v>
      </c>
      <c r="M9" s="1">
        <f>'Team A 1'!M9-'Team A 1'!$AA9-('Team A 1'!M$2- 12.5)*'Team A 1'!$AC9</f>
        <v>-3.5497104825402062</v>
      </c>
      <c r="N9" s="1">
        <f>'Team A 1'!N9-'Team A 1'!$AA9-('Team A 1'!N$2- 12.5)*'Team A 1'!$AC9</f>
        <v>34.383043815883241</v>
      </c>
      <c r="O9" s="1">
        <f>'Team A 1'!O9-'Team A 1'!$AA9-('Team A 1'!O$2- 12.5)*'Team A 1'!$AC9</f>
        <v>12.315798114306688</v>
      </c>
      <c r="P9" s="1">
        <f>'Team A 1'!P9-'Team A 1'!$AA9-('Team A 1'!P$2- 12.5)*'Team A 1'!$AC9</f>
        <v>20.248552412730135</v>
      </c>
      <c r="Q9" s="1">
        <f>'Team A 1'!Q9-'Team A 1'!$AA9-('Team A 1'!Q$2- 12.5)*'Team A 1'!$AC9</f>
        <v>8.1813067111536384</v>
      </c>
      <c r="R9" s="1">
        <f>'Team A 1'!R9-'Team A 1'!$AA9-('Team A 1'!R$2- 12.5)*'Team A 1'!$AC9</f>
        <v>-23.885938990423028</v>
      </c>
      <c r="S9" s="1">
        <f>'Team A 1'!S9-'Team A 1'!$AA9-('Team A 1'!S$2- 12.5)*'Team A 1'!$AC9</f>
        <v>-15.953184691999468</v>
      </c>
      <c r="T9" s="1">
        <f>'Team A 1'!T9-'Team A 1'!$AA9-('Team A 1'!T$2- 12.5)*'Team A 1'!$AC9</f>
        <v>-18.020430393576135</v>
      </c>
      <c r="U9" s="1">
        <f>'Team A 1'!U9-'Team A 1'!$AA9-('Team A 1'!U$2- 12.5)*'Team A 1'!$AC9</f>
        <v>-30.087676095152574</v>
      </c>
      <c r="V9" s="1">
        <f>'Team A 1'!V9-'Team A 1'!$AA9-('Team A 1'!V$2- 12.5)*'Team A 1'!$AC9</f>
        <v>-32.154921796729241</v>
      </c>
      <c r="W9" s="1">
        <f>'Team A 1'!W9-'Team A 1'!$AA9-('Team A 1'!W$2- 12.5)*'Team A 1'!$AC9</f>
        <v>-24.22216749830568</v>
      </c>
      <c r="X9" s="1">
        <f>'Team A 1'!X9-'Team A 1'!$AA9-('Team A 1'!X$2- 12.5)*'Team A 1'!$AC9</f>
        <v>-46.289413199882347</v>
      </c>
      <c r="Y9" s="1">
        <f>'Team A 1'!Y9-'Team A 1'!$AA9-('Team A 1'!Y$2- 12.5)*'Team A 1'!$AC9</f>
        <v>-18.356658901459014</v>
      </c>
      <c r="AB9" s="1">
        <f>STDEV(B9:Y9)</f>
        <v>37.725421539382346</v>
      </c>
      <c r="AD9" s="5" t="s">
        <v>45</v>
      </c>
      <c r="AE9" s="5">
        <v>2</v>
      </c>
      <c r="AF9" s="5">
        <v>4</v>
      </c>
      <c r="AG9" s="5">
        <v>6</v>
      </c>
      <c r="AH9" s="5">
        <v>8</v>
      </c>
      <c r="AI9" s="5">
        <v>1</v>
      </c>
      <c r="AJ9" s="5" t="s">
        <v>46</v>
      </c>
      <c r="AK9" s="5" t="s">
        <v>47</v>
      </c>
      <c r="AL9" s="5">
        <v>9</v>
      </c>
      <c r="AM9" s="5">
        <v>3</v>
      </c>
      <c r="AN9" s="5">
        <v>7</v>
      </c>
      <c r="AO9" s="5">
        <v>5</v>
      </c>
      <c r="AP9" s="5">
        <v>2</v>
      </c>
      <c r="AQ9" s="5" t="s">
        <v>45</v>
      </c>
      <c r="AR9" s="5">
        <v>6</v>
      </c>
      <c r="AS9" s="5">
        <v>4</v>
      </c>
      <c r="AT9" s="5">
        <v>8</v>
      </c>
      <c r="AU9" s="5" t="s">
        <v>46</v>
      </c>
      <c r="AV9" s="5">
        <v>1</v>
      </c>
      <c r="AW9" s="5" t="s">
        <v>47</v>
      </c>
      <c r="AX9" s="5">
        <v>3</v>
      </c>
      <c r="AY9" s="5">
        <v>9</v>
      </c>
      <c r="AZ9" s="5">
        <v>5</v>
      </c>
      <c r="BA9" s="5">
        <v>7</v>
      </c>
      <c r="BB9" s="5"/>
      <c r="BC9" s="1">
        <f ca="1">OFFSET(A9,0, 6) -0</f>
        <v>28.853763726919169</v>
      </c>
      <c r="BD9" s="1">
        <f ca="1">OFFSET(A9,0, 2) -0</f>
        <v>37.122746533225381</v>
      </c>
      <c r="BE9" s="1">
        <f ca="1">OFFSET(A9,0, 10) -0</f>
        <v>-49.4152190793871</v>
      </c>
      <c r="BF9" s="1">
        <f ca="1">OFFSET(A9,0, 3) -0</f>
        <v>35.055500831648715</v>
      </c>
      <c r="BG9" s="1">
        <f ca="1">OFFSET(A9,0, 12) -0</f>
        <v>-3.5497104825402062</v>
      </c>
      <c r="BH9" s="1">
        <f ca="1">OFFSET(A9,0, 4) -0</f>
        <v>92.988255130072275</v>
      </c>
      <c r="BI9" s="1">
        <f ca="1">OFFSET(A9,0, 11) -0</f>
        <v>18.517535219036347</v>
      </c>
      <c r="BJ9" s="1">
        <f ca="1">OFFSET(A9,0, 5) -0</f>
        <v>10.921009428495609</v>
      </c>
      <c r="BK9" s="1">
        <f ca="1">OFFSET(A9,0, 9) -0</f>
        <v>-27.347973377810604</v>
      </c>
      <c r="BL9" s="1">
        <f ca="1">OFFSET(A9,0, 1) -0</f>
        <v>69.189992234802048</v>
      </c>
      <c r="BM9" s="1">
        <f ca="1">OFFSET(A9,0, 7) -0</f>
        <v>-63.213481974657498</v>
      </c>
      <c r="BN9" s="1">
        <f ca="1">OFFSET(A9,0, 8) -0</f>
        <v>-15.280727676233937</v>
      </c>
      <c r="BO9" s="1">
        <f ca="1">OFFSET(A9,0, 19) -0</f>
        <v>-18.020430393576135</v>
      </c>
      <c r="BP9" s="1">
        <f ca="1">OFFSET(A9,0, 13) -0</f>
        <v>34.383043815883241</v>
      </c>
      <c r="BQ9" s="1">
        <f ca="1">OFFSET(A9,0, 21) -0</f>
        <v>-32.154921796729241</v>
      </c>
      <c r="BR9" s="1">
        <f ca="1">OFFSET(A9,0, 16) -0</f>
        <v>8.1813067111536384</v>
      </c>
      <c r="BS9" s="1">
        <f ca="1">OFFSET(A9,0, 23) -0</f>
        <v>-46.289413199882347</v>
      </c>
      <c r="BT9" s="1">
        <f ca="1">OFFSET(A9,0, 15) -0</f>
        <v>20.248552412730135</v>
      </c>
      <c r="BU9" s="1">
        <f ca="1">OFFSET(A9,0, 24) -0</f>
        <v>-18.356658901459014</v>
      </c>
      <c r="BV9" s="1">
        <f ca="1">OFFSET(A9,0, 17) -0</f>
        <v>-23.885938990423028</v>
      </c>
      <c r="BW9" s="1">
        <f ca="1">OFFSET(A9,0, 22) -0</f>
        <v>-24.22216749830568</v>
      </c>
      <c r="BX9" s="1">
        <f ca="1">OFFSET(A9,0, 14) -0</f>
        <v>12.315798114306688</v>
      </c>
      <c r="BY9" s="1">
        <f ca="1">OFFSET(A9,0, 18) -0</f>
        <v>-15.953184691999468</v>
      </c>
      <c r="BZ9" s="1">
        <f ca="1">OFFSET(A9,0, 20) -0</f>
        <v>-30.087676095152574</v>
      </c>
      <c r="CB9" s="1">
        <f>COUNTIF(B9,"&lt;-68")</f>
        <v>0</v>
      </c>
      <c r="CC9" s="1">
        <f ca="1">COUNTIF(BC9:BN9,"&lt;-48")</f>
        <v>2</v>
      </c>
      <c r="CD9" s="1">
        <f ca="1">COUNTIF(BC9:BN9,"&gt;+48")</f>
        <v>2</v>
      </c>
      <c r="CE9" s="1">
        <f ca="1">COUNTIF(BO9:BZ9,"&lt;-48")</f>
        <v>0</v>
      </c>
      <c r="CF9" s="1">
        <f ca="1">COUNTIF(BO9:BZ9,"&gt;+48")</f>
        <v>0</v>
      </c>
    </row>
    <row r="10" spans="1:84">
      <c r="A10" s="1">
        <v>7</v>
      </c>
      <c r="B10" s="1">
        <f>'Team A 1'!B10-'Team A 1'!$AA10-('Team A 1'!B$2- 12.5)*'Team A 1'!$AC10</f>
        <v>34.99944876643076</v>
      </c>
      <c r="C10" s="1">
        <f>'Team A 1'!C10-'Team A 1'!$AA10-('Team A 1'!C$2- 12.5)*'Team A 1'!$AC10</f>
        <v>43.332830033117489</v>
      </c>
      <c r="D10" s="1">
        <f>'Team A 1'!D10-'Team A 1'!$AA10-('Team A 1'!D$2- 12.5)*'Team A 1'!$AC10</f>
        <v>21.666211299804218</v>
      </c>
      <c r="E10" s="1">
        <f>'Team A 1'!E10-'Team A 1'!$AA10-('Team A 1'!E$2- 12.5)*'Team A 1'!$AC10</f>
        <v>39.999592566490946</v>
      </c>
      <c r="F10" s="1">
        <f>'Team A 1'!F10-'Team A 1'!$AA10-('Team A 1'!F$2- 12.5)*'Team A 1'!$AC10</f>
        <v>-11.667026166822097</v>
      </c>
      <c r="G10" s="1">
        <f>'Team A 1'!G10-'Team A 1'!$AA10-('Team A 1'!G$2- 12.5)*'Team A 1'!$AC10</f>
        <v>-63.333644900135369</v>
      </c>
      <c r="H10" s="1">
        <f>'Team A 1'!H10-'Team A 1'!$AA10-('Team A 1'!H$2- 12.5)*'Team A 1'!$AC10</f>
        <v>-5.0002636334486397</v>
      </c>
      <c r="I10" s="1">
        <f>'Team A 1'!I10-'Team A 1'!$AA10-('Team A 1'!I$2- 12.5)*'Team A 1'!$AC10</f>
        <v>3.3331176332380892</v>
      </c>
      <c r="J10" s="1">
        <f>'Team A 1'!J10-'Team A 1'!$AA10-('Team A 1'!J$2- 12.5)*'Team A 1'!$AC10</f>
        <v>1.666498899924818</v>
      </c>
      <c r="K10" s="1">
        <f>'Team A 1'!K10-'Team A 1'!$AA10-('Team A 1'!K$2- 12.5)*'Team A 1'!$AC10</f>
        <v>-30.000119833388396</v>
      </c>
      <c r="L10" s="1">
        <f>'Team A 1'!L10-'Team A 1'!$AA10-('Team A 1'!L$2- 12.5)*'Team A 1'!$AC10</f>
        <v>28.333261433298333</v>
      </c>
      <c r="M10" s="1">
        <f>'Team A 1'!M10-'Team A 1'!$AA10-('Team A 1'!M$2- 12.5)*'Team A 1'!$AC10</f>
        <v>26.666642699985104</v>
      </c>
      <c r="N10" s="1">
        <f>'Team A 1'!N10-'Team A 1'!$AA10-('Team A 1'!N$2- 12.5)*'Team A 1'!$AC10</f>
        <v>-4.9999760333281387</v>
      </c>
      <c r="O10" s="1">
        <f>'Team A 1'!O10-'Team A 1'!$AA10-('Team A 1'!O$2- 12.5)*'Team A 1'!$AC10</f>
        <v>-16.666594766641367</v>
      </c>
      <c r="P10" s="1">
        <f>'Team A 1'!P10-'Team A 1'!$AA10-('Team A 1'!P$2- 12.5)*'Team A 1'!$AC10</f>
        <v>21.666786500045362</v>
      </c>
      <c r="Q10" s="1">
        <f>'Team A 1'!Q10-'Team A 1'!$AA10-('Team A 1'!Q$2- 12.5)*'Team A 1'!$AC10</f>
        <v>-9.9998322332678526</v>
      </c>
      <c r="R10" s="1">
        <f>'Team A 1'!R10-'Team A 1'!$AA10-('Team A 1'!R$2- 12.5)*'Team A 1'!$AC10</f>
        <v>-21.666450966581124</v>
      </c>
      <c r="S10" s="1">
        <f>'Team A 1'!S10-'Team A 1'!$AA10-('Team A 1'!S$2- 12.5)*'Team A 1'!$AC10</f>
        <v>-53.333069699894395</v>
      </c>
      <c r="T10" s="1">
        <f>'Team A 1'!T10-'Team A 1'!$AA10-('Team A 1'!T$2- 12.5)*'Team A 1'!$AC10</f>
        <v>-4.9996884332076661</v>
      </c>
      <c r="U10" s="1">
        <f>'Team A 1'!U10-'Team A 1'!$AA10-('Team A 1'!U$2- 12.5)*'Team A 1'!$AC10</f>
        <v>-16.666307166520937</v>
      </c>
      <c r="V10" s="1">
        <f>'Team A 1'!V10-'Team A 1'!$AA10-('Team A 1'!V$2- 12.5)*'Team A 1'!$AC10</f>
        <v>-28.332925899833981</v>
      </c>
      <c r="W10" s="1">
        <f>'Team A 1'!W10-'Team A 1'!$AA10-('Team A 1'!W$2- 12.5)*'Team A 1'!$AC10</f>
        <v>30.000455366852748</v>
      </c>
      <c r="X10" s="1">
        <f>'Team A 1'!X10-'Team A 1'!$AA10-('Team A 1'!X$2- 12.5)*'Team A 1'!$AC10</f>
        <v>-11.666163366460523</v>
      </c>
      <c r="Y10" s="1">
        <f>'Team A 1'!Y10-'Team A 1'!$AA10-('Team A 1'!Y$2- 12.5)*'Team A 1'!$AC10</f>
        <v>26.667217900226206</v>
      </c>
      <c r="AB10" s="1">
        <f>STDEV(B10:Y10)</f>
        <v>28.598415458228924</v>
      </c>
      <c r="AD10" s="5" t="s">
        <v>45</v>
      </c>
      <c r="AE10" s="5">
        <v>2</v>
      </c>
      <c r="AF10" s="5">
        <v>4</v>
      </c>
      <c r="AG10" s="5">
        <v>6</v>
      </c>
      <c r="AH10" s="5" t="s">
        <v>46</v>
      </c>
      <c r="AI10" s="5">
        <v>8</v>
      </c>
      <c r="AJ10" s="5" t="s">
        <v>47</v>
      </c>
      <c r="AK10" s="5">
        <v>1</v>
      </c>
      <c r="AL10" s="5">
        <v>9</v>
      </c>
      <c r="AM10" s="5">
        <v>3</v>
      </c>
      <c r="AN10" s="5">
        <v>7</v>
      </c>
      <c r="AO10" s="5">
        <v>5</v>
      </c>
      <c r="AP10" s="5" t="s">
        <v>45</v>
      </c>
      <c r="AQ10" s="5">
        <v>4</v>
      </c>
      <c r="AR10" s="5">
        <v>2</v>
      </c>
      <c r="AS10" s="5" t="s">
        <v>46</v>
      </c>
      <c r="AT10" s="5">
        <v>6</v>
      </c>
      <c r="AU10" s="5">
        <v>8</v>
      </c>
      <c r="AV10" s="5">
        <v>1</v>
      </c>
      <c r="AW10" s="5" t="s">
        <v>47</v>
      </c>
      <c r="AX10" s="5">
        <v>9</v>
      </c>
      <c r="AY10" s="5">
        <v>7</v>
      </c>
      <c r="AZ10" s="5">
        <v>3</v>
      </c>
      <c r="BA10" s="5">
        <v>5</v>
      </c>
      <c r="BB10" s="5"/>
      <c r="BC10" s="1">
        <f ca="1">OFFSET(A10,0, 8) -0</f>
        <v>3.3331176332380892</v>
      </c>
      <c r="BD10" s="1">
        <f ca="1">OFFSET(A10,0, 2) -0</f>
        <v>43.332830033117489</v>
      </c>
      <c r="BE10" s="1">
        <f ca="1">OFFSET(A10,0, 10) -0</f>
        <v>-30.000119833388396</v>
      </c>
      <c r="BF10" s="1">
        <f ca="1">OFFSET(A10,0, 3) -0</f>
        <v>21.666211299804218</v>
      </c>
      <c r="BG10" s="1">
        <f ca="1">OFFSET(A10,0, 12) -0</f>
        <v>26.666642699985104</v>
      </c>
      <c r="BH10" s="1">
        <f ca="1">OFFSET(A10,0, 4) -0</f>
        <v>39.999592566490946</v>
      </c>
      <c r="BI10" s="1">
        <f ca="1">OFFSET(A10,0, 11) -0</f>
        <v>28.333261433298333</v>
      </c>
      <c r="BJ10" s="1">
        <f ca="1">OFFSET(A10,0, 6) -0</f>
        <v>-63.333644900135369</v>
      </c>
      <c r="BK10" s="1">
        <f ca="1">OFFSET(A10,0, 9) -0</f>
        <v>1.666498899924818</v>
      </c>
      <c r="BL10" s="1">
        <f ca="1">OFFSET(A10,0, 1) -0</f>
        <v>34.99944876643076</v>
      </c>
      <c r="BM10" s="1">
        <f ca="1">OFFSET(A10,0, 5) -0</f>
        <v>-11.667026166822097</v>
      </c>
      <c r="BN10" s="1">
        <f ca="1">OFFSET(A10,0, 7) -0</f>
        <v>-5.0002636334486397</v>
      </c>
      <c r="BO10" s="1">
        <f ca="1">OFFSET(A10,0, 19) -0</f>
        <v>-4.9996884332076661</v>
      </c>
      <c r="BP10" s="1">
        <f ca="1">OFFSET(A10,0, 15) -0</f>
        <v>21.666786500045362</v>
      </c>
      <c r="BQ10" s="1">
        <f ca="1">OFFSET(A10,0, 23) -0</f>
        <v>-11.666163366460523</v>
      </c>
      <c r="BR10" s="1">
        <f ca="1">OFFSET(A10,0, 14) -0</f>
        <v>-16.666594766641367</v>
      </c>
      <c r="BS10" s="1">
        <f ca="1">OFFSET(A10,0, 24) -0</f>
        <v>26.667217900226206</v>
      </c>
      <c r="BT10" s="1">
        <f ca="1">OFFSET(A10,0, 17) -0</f>
        <v>-21.666450966581124</v>
      </c>
      <c r="BU10" s="1">
        <f ca="1">OFFSET(A10,0, 22) -0</f>
        <v>30.000455366852748</v>
      </c>
      <c r="BV10" s="1">
        <f ca="1">OFFSET(A10,0, 18) -0</f>
        <v>-53.333069699894395</v>
      </c>
      <c r="BW10" s="1">
        <f ca="1">OFFSET(A10,0, 21) -0</f>
        <v>-28.332925899833981</v>
      </c>
      <c r="BX10" s="1">
        <f ca="1">OFFSET(A10,0, 13) -0</f>
        <v>-4.9999760333281387</v>
      </c>
      <c r="BY10" s="1">
        <f ca="1">OFFSET(A10,0, 16) -0</f>
        <v>-9.9998322332678526</v>
      </c>
      <c r="BZ10" s="1">
        <f ca="1">OFFSET(A10,0, 20) -0</f>
        <v>-16.666307166520937</v>
      </c>
      <c r="CB10" s="1">
        <f>COUNTIF(B10,"&lt;-68")</f>
        <v>0</v>
      </c>
      <c r="CC10" s="1">
        <f ca="1">COUNTIF(BC10:BN10,"&lt;-48")</f>
        <v>1</v>
      </c>
      <c r="CD10" s="1">
        <f ca="1">COUNTIF(BC10:BN10,"&gt;+48")</f>
        <v>0</v>
      </c>
      <c r="CE10" s="1">
        <f ca="1">COUNTIF(BO10:BZ10,"&lt;-48")</f>
        <v>1</v>
      </c>
      <c r="CF10" s="1">
        <f ca="1">COUNTIF(BO10:BZ10,"&gt;+48")</f>
        <v>0</v>
      </c>
    </row>
    <row r="11" spans="1:84">
      <c r="A11" s="1">
        <v>8</v>
      </c>
      <c r="B11" s="1">
        <f>'Team A 1'!B11-'Team A 1'!$AA11-('Team A 1'!B$2- 12.5)*'Team A 1'!$AC11</f>
        <v>24.425761421310654</v>
      </c>
      <c r="C11" s="1">
        <f>'Team A 1'!C11-'Team A 1'!$AA11-('Team A 1'!C$2- 12.5)*'Team A 1'!$AC11</f>
        <v>42.917724196268864</v>
      </c>
      <c r="D11" s="1">
        <f>'Team A 1'!D11-'Team A 1'!$AA11-('Team A 1'!D$2- 12.5)*'Team A 1'!$AC11</f>
        <v>1.4096869712268472</v>
      </c>
      <c r="E11" s="1">
        <f>'Team A 1'!E11-'Team A 1'!$AA11-('Team A 1'!E$2- 12.5)*'Team A 1'!$AC11</f>
        <v>-9.8350253815169708E-2</v>
      </c>
      <c r="F11" s="1">
        <f>'Team A 1'!F11-'Team A 1'!$AA11-('Team A 1'!F$2- 12.5)*'Team A 1'!$AC11</f>
        <v>-51.606387478856959</v>
      </c>
      <c r="G11" s="1">
        <f>'Team A 1'!G11-'Team A 1'!$AA11-('Team A 1'!G$2- 12.5)*'Team A 1'!$AC11</f>
        <v>-23.114424703898976</v>
      </c>
      <c r="H11" s="1">
        <f>'Team A 1'!H11-'Team A 1'!$AA11-('Team A 1'!H$2- 12.5)*'Team A 1'!$AC11</f>
        <v>-14.622461928940993</v>
      </c>
      <c r="I11" s="1">
        <f>'Team A 1'!I11-'Team A 1'!$AA11-('Team A 1'!I$2- 12.5)*'Team A 1'!$AC11</f>
        <v>23.869500846017218</v>
      </c>
      <c r="J11" s="1">
        <f>'Team A 1'!J11-'Team A 1'!$AA11-('Team A 1'!J$2- 12.5)*'Team A 1'!$AC11</f>
        <v>42.361463620975201</v>
      </c>
      <c r="K11" s="1">
        <f>'Team A 1'!K11-'Team A 1'!$AA11-('Team A 1'!K$2- 12.5)*'Team A 1'!$AC11</f>
        <v>10.853426395933297</v>
      </c>
      <c r="L11" s="1">
        <f>'Team A 1'!L11-'Team A 1'!$AA11-('Team A 1'!L$2- 12.5)*'Team A 1'!$AC11</f>
        <v>-20.654610829108606</v>
      </c>
      <c r="M11" s="1">
        <f>'Team A 1'!M11-'Team A 1'!$AA11-('Team A 1'!M$2- 12.5)*'Team A 1'!$AC11</f>
        <v>-22.162648054150552</v>
      </c>
      <c r="N11" s="1">
        <f>'Team A 1'!N11-'Team A 1'!$AA11-('Team A 1'!N$2- 12.5)*'Team A 1'!$AC11</f>
        <v>16.329314720807517</v>
      </c>
      <c r="O11" s="1">
        <f>'Team A 1'!O11-'Team A 1'!$AA11-('Team A 1'!O$2- 12.5)*'Team A 1'!$AC11</f>
        <v>-15.178722504234429</v>
      </c>
      <c r="P11" s="1">
        <f>'Team A 1'!P11-'Team A 1'!$AA11-('Team A 1'!P$2- 12.5)*'Team A 1'!$AC11</f>
        <v>13.313240270723668</v>
      </c>
      <c r="Q11" s="1">
        <f>'Team A 1'!Q11-'Team A 1'!$AA11-('Team A 1'!Q$2- 12.5)*'Team A 1'!$AC11</f>
        <v>-18.194796954318235</v>
      </c>
      <c r="R11" s="1">
        <f>'Team A 1'!R11-'Team A 1'!$AA11-('Team A 1'!R$2- 12.5)*'Team A 1'!$AC11</f>
        <v>0.29716582063974784</v>
      </c>
      <c r="S11" s="1">
        <f>'Team A 1'!S11-'Team A 1'!$AA11-('Team A 1'!S$2- 12.5)*'Team A 1'!$AC11</f>
        <v>-21.210871404402042</v>
      </c>
      <c r="T11" s="1">
        <f>'Team A 1'!T11-'Team A 1'!$AA11-('Team A 1'!T$2- 12.5)*'Team A 1'!$AC11</f>
        <v>17.281091370555941</v>
      </c>
      <c r="U11" s="1">
        <f>'Team A 1'!U11-'Team A 1'!$AA11-('Team A 1'!U$2- 12.5)*'Team A 1'!$AC11</f>
        <v>-4.2269458544860754</v>
      </c>
      <c r="V11" s="1">
        <f>'Team A 1'!V11-'Team A 1'!$AA11-('Team A 1'!V$2- 12.5)*'Team A 1'!$AC11</f>
        <v>14.265016920472135</v>
      </c>
      <c r="W11" s="1">
        <f>'Team A 1'!W11-'Team A 1'!$AA11-('Team A 1'!W$2- 12.5)*'Team A 1'!$AC11</f>
        <v>2.7569796954301182</v>
      </c>
      <c r="X11" s="1">
        <f>'Team A 1'!X11-'Team A 1'!$AA11-('Team A 1'!X$2- 12.5)*'Team A 1'!$AC11</f>
        <v>-8.7510575296118986</v>
      </c>
      <c r="Y11" s="1">
        <f>'Team A 1'!Y11-'Team A 1'!$AA11-('Team A 1'!Y$2- 12.5)*'Team A 1'!$AC11</f>
        <v>-10.259094754653688</v>
      </c>
      <c r="AB11" s="1">
        <f>STDEV(B11:Y11)</f>
        <v>22.2792990726814</v>
      </c>
      <c r="AD11" s="5">
        <v>4</v>
      </c>
      <c r="AE11" s="5" t="s">
        <v>45</v>
      </c>
      <c r="AF11" s="5" t="s">
        <v>46</v>
      </c>
      <c r="AG11" s="5">
        <v>2</v>
      </c>
      <c r="AH11" s="5">
        <v>8</v>
      </c>
      <c r="AI11" s="5">
        <v>6</v>
      </c>
      <c r="AJ11" s="5" t="s">
        <v>47</v>
      </c>
      <c r="AK11" s="5">
        <v>1</v>
      </c>
      <c r="AL11" s="5">
        <v>7</v>
      </c>
      <c r="AM11" s="5">
        <v>9</v>
      </c>
      <c r="AN11" s="5">
        <v>5</v>
      </c>
      <c r="AO11" s="5">
        <v>3</v>
      </c>
      <c r="AP11" s="5" t="s">
        <v>45</v>
      </c>
      <c r="AQ11" s="5">
        <v>4</v>
      </c>
      <c r="AR11" s="5">
        <v>2</v>
      </c>
      <c r="AS11" s="5" t="s">
        <v>46</v>
      </c>
      <c r="AT11" s="5">
        <v>6</v>
      </c>
      <c r="AU11" s="5">
        <v>8</v>
      </c>
      <c r="AV11" s="5" t="s">
        <v>47</v>
      </c>
      <c r="AW11" s="5">
        <v>7</v>
      </c>
      <c r="AX11" s="5">
        <v>1</v>
      </c>
      <c r="AY11" s="5">
        <v>9</v>
      </c>
      <c r="AZ11" s="5">
        <v>3</v>
      </c>
      <c r="BA11" s="5">
        <v>5</v>
      </c>
      <c r="BB11" s="5"/>
      <c r="BC11" s="1">
        <f ca="1">OFFSET(A11,0, 8) -0</f>
        <v>23.869500846017218</v>
      </c>
      <c r="BD11" s="1">
        <f ca="1">OFFSET(A11,0, 4) -0</f>
        <v>-9.8350253815169708E-2</v>
      </c>
      <c r="BE11" s="1">
        <f ca="1">OFFSET(A11,0, 12) -0</f>
        <v>-22.162648054150552</v>
      </c>
      <c r="BF11" s="1">
        <f ca="1">OFFSET(A11,0, 1) -0</f>
        <v>24.425761421310654</v>
      </c>
      <c r="BG11" s="1">
        <f ca="1">OFFSET(A11,0, 11) -0</f>
        <v>-20.654610829108606</v>
      </c>
      <c r="BH11" s="1">
        <f ca="1">OFFSET(A11,0, 6) -0</f>
        <v>-23.114424703898976</v>
      </c>
      <c r="BI11" s="1">
        <f ca="1">OFFSET(A11,0, 9) -0</f>
        <v>42.361463620975201</v>
      </c>
      <c r="BJ11" s="1">
        <f ca="1">OFFSET(A11,0, 5) -0</f>
        <v>-51.606387478856959</v>
      </c>
      <c r="BK11" s="1">
        <f ca="1">OFFSET(A11,0, 10) -0</f>
        <v>10.853426395933297</v>
      </c>
      <c r="BL11" s="1">
        <f ca="1">OFFSET(A11,0, 2) -0</f>
        <v>42.917724196268864</v>
      </c>
      <c r="BM11" s="1">
        <f ca="1">OFFSET(A11,0, 3) -0</f>
        <v>1.4096869712268472</v>
      </c>
      <c r="BN11" s="1">
        <f ca="1">OFFSET(A11,0, 7) -0</f>
        <v>-14.622461928940993</v>
      </c>
      <c r="BO11" s="1">
        <f ca="1">OFFSET(A11,0, 21) -0</f>
        <v>14.265016920472135</v>
      </c>
      <c r="BP11" s="1">
        <f ca="1">OFFSET(A11,0, 15) -0</f>
        <v>13.313240270723668</v>
      </c>
      <c r="BQ11" s="1">
        <f ca="1">OFFSET(A11,0, 23) -0</f>
        <v>-8.7510575296118986</v>
      </c>
      <c r="BR11" s="1">
        <f ca="1">OFFSET(A11,0, 14) -0</f>
        <v>-15.178722504234429</v>
      </c>
      <c r="BS11" s="1">
        <f ca="1">OFFSET(A11,0, 24) -0</f>
        <v>-10.259094754653688</v>
      </c>
      <c r="BT11" s="1">
        <f ca="1">OFFSET(A11,0, 17) -0</f>
        <v>0.29716582063974784</v>
      </c>
      <c r="BU11" s="1">
        <f ca="1">OFFSET(A11,0, 20) -0</f>
        <v>-4.2269458544860754</v>
      </c>
      <c r="BV11" s="1">
        <f ca="1">OFFSET(A11,0, 18) -0</f>
        <v>-21.210871404402042</v>
      </c>
      <c r="BW11" s="1">
        <f ca="1">OFFSET(A11,0, 22) -0</f>
        <v>2.7569796954301182</v>
      </c>
      <c r="BX11" s="1">
        <f ca="1">OFFSET(A11,0, 13) -0</f>
        <v>16.329314720807517</v>
      </c>
      <c r="BY11" s="1">
        <f ca="1">OFFSET(A11,0, 16) -0</f>
        <v>-18.194796954318235</v>
      </c>
      <c r="BZ11" s="1">
        <f ca="1">OFFSET(A11,0, 19) -0</f>
        <v>17.281091370555941</v>
      </c>
      <c r="CB11" s="1">
        <f>COUNTIF(B11,"&lt;-68")</f>
        <v>0</v>
      </c>
      <c r="CC11" s="1">
        <f ca="1">COUNTIF(BC11:BN11,"&lt;-48")</f>
        <v>1</v>
      </c>
      <c r="CD11" s="1">
        <f ca="1">COUNTIF(BC11:BN11,"&gt;+48")</f>
        <v>0</v>
      </c>
      <c r="CE11" s="1">
        <f ca="1">COUNTIF(BO11:BZ11,"&lt;-48")</f>
        <v>0</v>
      </c>
      <c r="CF11" s="1">
        <f ca="1">COUNTIF(BO11:BZ11,"&gt;+48")</f>
        <v>0</v>
      </c>
    </row>
    <row r="12" spans="1:84">
      <c r="A12" s="1">
        <v>9</v>
      </c>
      <c r="B12" s="1">
        <f>'Team A 1'!B12-'Team A 1'!$AA12-('Team A 1'!B$2- 12.5)*'Team A 1'!$AC12</f>
        <v>-55.801152078149698</v>
      </c>
      <c r="C12" s="1">
        <f>'Team A 1'!C12-'Team A 1'!$AA12-('Team A 1'!C$2- 12.5)*'Team A 1'!$AC12</f>
        <v>42.565614769225931</v>
      </c>
      <c r="D12" s="1">
        <f>'Team A 1'!D12-'Team A 1'!$AA12-('Team A 1'!D$2- 12.5)*'Team A 1'!$AC12</f>
        <v>20.932381616601788</v>
      </c>
      <c r="E12" s="1">
        <f>'Team A 1'!E12-'Team A 1'!$AA12-('Team A 1'!E$2- 12.5)*'Team A 1'!$AC12</f>
        <v>19.299148463977417</v>
      </c>
      <c r="F12" s="1">
        <f>'Team A 1'!F12-'Team A 1'!$AA12-('Team A 1'!F$2- 12.5)*'Team A 1'!$AC12</f>
        <v>-32.334084688646726</v>
      </c>
      <c r="G12" s="1">
        <f>'Team A 1'!G12-'Team A 1'!$AA12-('Team A 1'!G$2- 12.5)*'Team A 1'!$AC12</f>
        <v>-3.9673178412710968</v>
      </c>
      <c r="H12" s="1">
        <f>'Team A 1'!H12-'Team A 1'!$AA12-('Team A 1'!H$2- 12.5)*'Team A 1'!$AC12</f>
        <v>-25.60055099389524</v>
      </c>
      <c r="I12" s="1">
        <f>'Team A 1'!I12-'Team A 1'!$AA12-('Team A 1'!I$2- 12.5)*'Team A 1'!$AC12</f>
        <v>32.766215853480503</v>
      </c>
      <c r="J12" s="1">
        <f>'Team A 1'!J12-'Team A 1'!$AA12-('Team A 1'!J$2- 12.5)*'Team A 1'!$AC12</f>
        <v>-8.8670172991436402</v>
      </c>
      <c r="K12" s="1">
        <f>'Team A 1'!K12-'Team A 1'!$AA12-('Team A 1'!K$2- 12.5)*'Team A 1'!$AC12</f>
        <v>19.499749548232103</v>
      </c>
      <c r="L12" s="1">
        <f>'Team A 1'!L12-'Team A 1'!$AA12-('Team A 1'!L$2- 12.5)*'Team A 1'!$AC12</f>
        <v>-2.1334836043921541</v>
      </c>
      <c r="M12" s="1">
        <f>'Team A 1'!M12-'Team A 1'!$AA12-('Team A 1'!M$2- 12.5)*'Team A 1'!$AC12</f>
        <v>6.2332832429836316</v>
      </c>
      <c r="N12" s="1">
        <f>'Team A 1'!N12-'Team A 1'!$AA12-('Team A 1'!N$2- 12.5)*'Team A 1'!$AC12</f>
        <v>4.600050090359403</v>
      </c>
      <c r="O12" s="1">
        <f>'Team A 1'!O12-'Team A 1'!$AA12-('Team A 1'!O$2- 12.5)*'Team A 1'!$AC12</f>
        <v>-37.033183062264811</v>
      </c>
      <c r="P12" s="1">
        <f>'Team A 1'!P12-'Team A 1'!$AA12-('Team A 1'!P$2- 12.5)*'Team A 1'!$AC12</f>
        <v>-8.6664162148890682</v>
      </c>
      <c r="Q12" s="1">
        <f>'Team A 1'!Q12-'Team A 1'!$AA12-('Team A 1'!Q$2- 12.5)*'Team A 1'!$AC12</f>
        <v>19.700350632486675</v>
      </c>
      <c r="R12" s="1">
        <f>'Team A 1'!R12-'Team A 1'!$AA12-('Team A 1'!R$2- 12.5)*'Team A 1'!$AC12</f>
        <v>8.0671174798625316</v>
      </c>
      <c r="S12" s="1">
        <f>'Team A 1'!S12-'Team A 1'!$AA12-('Team A 1'!S$2- 12.5)*'Team A 1'!$AC12</f>
        <v>6.4338843272382746</v>
      </c>
      <c r="T12" s="1">
        <f>'Team A 1'!T12-'Team A 1'!$AA12-('Team A 1'!T$2- 12.5)*'Team A 1'!$AC12</f>
        <v>24.800651174614131</v>
      </c>
      <c r="U12" s="1">
        <f>'Team A 1'!U12-'Team A 1'!$AA12-('Team A 1'!U$2- 12.5)*'Team A 1'!$AC12</f>
        <v>-6.8325819780102393</v>
      </c>
      <c r="V12" s="1">
        <f>'Team A 1'!V12-'Team A 1'!$AA12-('Team A 1'!V$2- 12.5)*'Team A 1'!$AC12</f>
        <v>1.5341848693656175</v>
      </c>
      <c r="W12" s="1">
        <f>'Team A 1'!W12-'Team A 1'!$AA12-('Team A 1'!W$2- 12.5)*'Team A 1'!$AC12</f>
        <v>-10.099048283258753</v>
      </c>
      <c r="X12" s="1">
        <f>'Team A 1'!X12-'Team A 1'!$AA12-('Team A 1'!X$2- 12.5)*'Team A 1'!$AC12</f>
        <v>-1.7322814358828964</v>
      </c>
      <c r="Y12" s="1">
        <f>'Team A 1'!Y12-'Team A 1'!$AA12-('Team A 1'!Y$2- 12.5)*'Team A 1'!$AC12</f>
        <v>-13.365514588507267</v>
      </c>
      <c r="AB12" s="1">
        <f>STDEV(B12:Y12)</f>
        <v>22.783267240453288</v>
      </c>
      <c r="AD12" s="5">
        <v>4</v>
      </c>
      <c r="AE12" s="5" t="s">
        <v>45</v>
      </c>
      <c r="AF12" s="5" t="s">
        <v>46</v>
      </c>
      <c r="AG12" s="5">
        <v>2</v>
      </c>
      <c r="AH12" s="5">
        <v>8</v>
      </c>
      <c r="AI12" s="5">
        <v>6</v>
      </c>
      <c r="AJ12" s="5">
        <v>7</v>
      </c>
      <c r="AK12" s="5" t="s">
        <v>47</v>
      </c>
      <c r="AL12" s="5">
        <v>9</v>
      </c>
      <c r="AM12" s="5">
        <v>1</v>
      </c>
      <c r="AN12" s="5">
        <v>5</v>
      </c>
      <c r="AO12" s="5">
        <v>3</v>
      </c>
      <c r="AP12" s="5">
        <v>4</v>
      </c>
      <c r="AQ12" s="5" t="s">
        <v>46</v>
      </c>
      <c r="AR12" s="5" t="s">
        <v>45</v>
      </c>
      <c r="AS12" s="5">
        <v>8</v>
      </c>
      <c r="AT12" s="5">
        <v>2</v>
      </c>
      <c r="AU12" s="5">
        <v>7</v>
      </c>
      <c r="AV12" s="5">
        <v>6</v>
      </c>
      <c r="AW12" s="5" t="s">
        <v>47</v>
      </c>
      <c r="AX12" s="5">
        <v>1</v>
      </c>
      <c r="AY12" s="5">
        <v>9</v>
      </c>
      <c r="AZ12" s="5">
        <v>3</v>
      </c>
      <c r="BA12" s="5">
        <v>5</v>
      </c>
      <c r="BB12" s="5"/>
      <c r="BC12" s="1">
        <f ca="1">OFFSET(A12,0, 10) -0</f>
        <v>19.499749548232103</v>
      </c>
      <c r="BD12" s="1">
        <f ca="1">OFFSET(A12,0, 4) -0</f>
        <v>19.299148463977417</v>
      </c>
      <c r="BE12" s="1">
        <f ca="1">OFFSET(A12,0, 12) -0</f>
        <v>6.2332832429836316</v>
      </c>
      <c r="BF12" s="1">
        <f ca="1">OFFSET(A12,0, 1) -0</f>
        <v>-55.801152078149698</v>
      </c>
      <c r="BG12" s="1">
        <f ca="1">OFFSET(A12,0, 11) -0</f>
        <v>-2.1334836043921541</v>
      </c>
      <c r="BH12" s="1">
        <f ca="1">OFFSET(A12,0, 6) -0</f>
        <v>-3.9673178412710968</v>
      </c>
      <c r="BI12" s="1">
        <f ca="1">OFFSET(A12,0, 7) -0</f>
        <v>-25.60055099389524</v>
      </c>
      <c r="BJ12" s="1">
        <f ca="1">OFFSET(A12,0, 5) -0</f>
        <v>-32.334084688646726</v>
      </c>
      <c r="BK12" s="1">
        <f ca="1">OFFSET(A12,0, 9) -0</f>
        <v>-8.8670172991436402</v>
      </c>
      <c r="BL12" s="1">
        <f ca="1">OFFSET(A12,0, 2) -0</f>
        <v>42.565614769225931</v>
      </c>
      <c r="BM12" s="1">
        <f ca="1">OFFSET(A12,0, 3) -0</f>
        <v>20.932381616601788</v>
      </c>
      <c r="BN12" s="1">
        <f ca="1">OFFSET(A12,0, 8) -0</f>
        <v>32.766215853480503</v>
      </c>
      <c r="BO12" s="1">
        <f ca="1">OFFSET(A12,0, 21) -0</f>
        <v>1.5341848693656175</v>
      </c>
      <c r="BP12" s="1">
        <f ca="1">OFFSET(A12,0, 17) -0</f>
        <v>8.0671174798625316</v>
      </c>
      <c r="BQ12" s="1">
        <f ca="1">OFFSET(A12,0, 23) -0</f>
        <v>-1.7322814358828964</v>
      </c>
      <c r="BR12" s="1">
        <f ca="1">OFFSET(A12,0, 13) -0</f>
        <v>4.600050090359403</v>
      </c>
      <c r="BS12" s="1">
        <f ca="1">OFFSET(A12,0, 24) -0</f>
        <v>-13.365514588507267</v>
      </c>
      <c r="BT12" s="1">
        <f ca="1">OFFSET(A12,0, 19) -0</f>
        <v>24.800651174614131</v>
      </c>
      <c r="BU12" s="1">
        <f ca="1">OFFSET(A12,0, 18) -0</f>
        <v>6.4338843272382746</v>
      </c>
      <c r="BV12" s="1">
        <f ca="1">OFFSET(A12,0, 16) -0</f>
        <v>19.700350632486675</v>
      </c>
      <c r="BW12" s="1">
        <f ca="1">OFFSET(A12,0, 22) -0</f>
        <v>-10.099048283258753</v>
      </c>
      <c r="BX12" s="1">
        <f ca="1">OFFSET(A12,0, 15) -0</f>
        <v>-8.6664162148890682</v>
      </c>
      <c r="BY12" s="1">
        <f ca="1">OFFSET(A12,0, 14) -0</f>
        <v>-37.033183062264811</v>
      </c>
      <c r="BZ12" s="1">
        <f ca="1">OFFSET(A12,0, 20) -0</f>
        <v>-6.8325819780102393</v>
      </c>
      <c r="CB12" s="1">
        <f>COUNTIF(B12,"&lt;-68")</f>
        <v>0</v>
      </c>
      <c r="CC12" s="1">
        <f ca="1">COUNTIF(BC12:BN12,"&lt;-48")</f>
        <v>1</v>
      </c>
      <c r="CD12" s="1">
        <f ca="1">COUNTIF(BC12:BN12,"&gt;+48")</f>
        <v>0</v>
      </c>
      <c r="CE12" s="1">
        <f ca="1">COUNTIF(BO12:BZ12,"&lt;-48")</f>
        <v>0</v>
      </c>
      <c r="CF12" s="1">
        <f ca="1">COUNTIF(BO12:BZ12,"&gt;+48")</f>
        <v>0</v>
      </c>
    </row>
    <row r="13" spans="1:84">
      <c r="A13" s="1">
        <v>10</v>
      </c>
      <c r="B13" s="1">
        <f>'Team A 1'!B13-'Team A 1'!$AA13-('Team A 1'!B$2- 12.5)*'Team A 1'!$AC13</f>
        <v>-0.51320144470719242</v>
      </c>
      <c r="C13" s="1">
        <f>'Team A 1'!C13-'Team A 1'!$AA13-('Team A 1'!C$2- 12.5)*'Team A 1'!$AC13</f>
        <v>-2.1714737828481248</v>
      </c>
      <c r="D13" s="1">
        <f>'Team A 1'!D13-'Team A 1'!$AA13-('Team A 1'!D$2- 12.5)*'Team A 1'!$AC13</f>
        <v>-3.8297461209890571</v>
      </c>
      <c r="E13" s="1">
        <f>'Team A 1'!E13-'Team A 1'!$AA13-('Team A 1'!E$2- 12.5)*'Team A 1'!$AC13</f>
        <v>14.511981540870011</v>
      </c>
      <c r="F13" s="1">
        <f>'Team A 1'!F13-'Team A 1'!$AA13-('Team A 1'!F$2- 12.5)*'Team A 1'!$AC13</f>
        <v>-47.146290797271149</v>
      </c>
      <c r="G13" s="1">
        <f>'Team A 1'!G13-'Team A 1'!$AA13-('Team A 1'!G$2- 12.5)*'Team A 1'!$AC13</f>
        <v>-18.804563135412081</v>
      </c>
      <c r="H13" s="1">
        <f>'Team A 1'!H13-'Team A 1'!$AA13-('Team A 1'!H$2- 12.5)*'Team A 1'!$AC13</f>
        <v>9.5371645264469862</v>
      </c>
      <c r="I13" s="1">
        <f>'Team A 1'!I13-'Team A 1'!$AA13-('Team A 1'!I$2- 12.5)*'Team A 1'!$AC13</f>
        <v>17.87889218830594</v>
      </c>
      <c r="J13" s="1">
        <f>'Team A 1'!J13-'Team A 1'!$AA13-('Team A 1'!J$2- 12.5)*'Team A 1'!$AC13</f>
        <v>-3.7793801498349922</v>
      </c>
      <c r="K13" s="1">
        <f>'Team A 1'!K13-'Team A 1'!$AA13-('Team A 1'!K$2- 12.5)*'Team A 1'!$AC13</f>
        <v>54.562347512023962</v>
      </c>
      <c r="L13" s="1">
        <f>'Team A 1'!L13-'Team A 1'!$AA13-('Team A 1'!L$2- 12.5)*'Team A 1'!$AC13</f>
        <v>22.904075173883029</v>
      </c>
      <c r="M13" s="1">
        <f>'Team A 1'!M13-'Team A 1'!$AA13-('Team A 1'!M$2- 12.5)*'Team A 1'!$AC13</f>
        <v>-8.7541971642579881</v>
      </c>
      <c r="N13" s="1">
        <f>'Team A 1'!N13-'Team A 1'!$AA13-('Team A 1'!N$2- 12.5)*'Team A 1'!$AC13</f>
        <v>-0.41246950239897728</v>
      </c>
      <c r="O13" s="1">
        <f>'Team A 1'!O13-'Team A 1'!$AA13-('Team A 1'!O$2- 12.5)*'Team A 1'!$AC13</f>
        <v>-22.070741840539995</v>
      </c>
      <c r="P13" s="1">
        <f>'Team A 1'!P13-'Team A 1'!$AA13-('Team A 1'!P$2- 12.5)*'Team A 1'!$AC13</f>
        <v>-13.729014178680927</v>
      </c>
      <c r="Q13" s="1">
        <f>'Team A 1'!Q13-'Team A 1'!$AA13-('Team A 1'!Q$2- 12.5)*'Team A 1'!$AC13</f>
        <v>-15.387286516821973</v>
      </c>
      <c r="R13" s="1">
        <f>'Team A 1'!R13-'Team A 1'!$AA13-('Team A 1'!R$2- 12.5)*'Team A 1'!$AC13</f>
        <v>-7.0455588549629056</v>
      </c>
      <c r="S13" s="1">
        <f>'Team A 1'!S13-'Team A 1'!$AA13-('Team A 1'!S$2- 12.5)*'Team A 1'!$AC13</f>
        <v>1.2961688068960484</v>
      </c>
      <c r="T13" s="1">
        <f>'Team A 1'!T13-'Team A 1'!$AA13-('Team A 1'!T$2- 12.5)*'Team A 1'!$AC13</f>
        <v>29.637896468755116</v>
      </c>
      <c r="U13" s="1">
        <f>'Team A 1'!U13-'Team A 1'!$AA13-('Team A 1'!U$2- 12.5)*'Team A 1'!$AC13</f>
        <v>-2.0203758693858163</v>
      </c>
      <c r="V13" s="1">
        <f>'Team A 1'!V13-'Team A 1'!$AA13-('Team A 1'!V$2- 12.5)*'Team A 1'!$AC13</f>
        <v>-3.678648207526976</v>
      </c>
      <c r="W13" s="1">
        <f>'Team A 1'!W13-'Team A 1'!$AA13-('Team A 1'!W$2- 12.5)*'Team A 1'!$AC13</f>
        <v>-15.336920545667908</v>
      </c>
      <c r="X13" s="1">
        <f>'Team A 1'!X13-'Team A 1'!$AA13-('Team A 1'!X$2- 12.5)*'Team A 1'!$AC13</f>
        <v>-6.9951928838088406</v>
      </c>
      <c r="Y13" s="1">
        <f>'Team A 1'!Y13-'Team A 1'!$AA13-('Team A 1'!Y$2- 12.5)*'Team A 1'!$AC13</f>
        <v>21.346534778050227</v>
      </c>
      <c r="AB13" s="1">
        <f>STDEV(B13:Y13)</f>
        <v>20.226452542423775</v>
      </c>
      <c r="AD13" s="5" t="s">
        <v>46</v>
      </c>
      <c r="AE13" s="5">
        <v>4</v>
      </c>
      <c r="AF13" s="5">
        <v>8</v>
      </c>
      <c r="AG13" s="5" t="s">
        <v>45</v>
      </c>
      <c r="AH13" s="5">
        <v>7</v>
      </c>
      <c r="AI13" s="5">
        <v>2</v>
      </c>
      <c r="AJ13" s="5" t="s">
        <v>47</v>
      </c>
      <c r="AK13" s="5">
        <v>6</v>
      </c>
      <c r="AL13" s="5">
        <v>9</v>
      </c>
      <c r="AM13" s="5">
        <v>1</v>
      </c>
      <c r="AN13" s="5">
        <v>5</v>
      </c>
      <c r="AO13" s="5">
        <v>3</v>
      </c>
      <c r="AP13" s="5">
        <v>4</v>
      </c>
      <c r="AQ13" s="5" t="s">
        <v>46</v>
      </c>
      <c r="AR13" s="5" t="s">
        <v>45</v>
      </c>
      <c r="AS13" s="5">
        <v>8</v>
      </c>
      <c r="AT13" s="5">
        <v>2</v>
      </c>
      <c r="AU13" s="5">
        <v>7</v>
      </c>
      <c r="AV13" s="5">
        <v>6</v>
      </c>
      <c r="AW13" s="5" t="s">
        <v>47</v>
      </c>
      <c r="AX13" s="5">
        <v>9</v>
      </c>
      <c r="AY13" s="5">
        <v>5</v>
      </c>
      <c r="AZ13" s="5">
        <v>1</v>
      </c>
      <c r="BA13" s="5">
        <v>3</v>
      </c>
      <c r="BB13" s="5"/>
      <c r="BC13" s="1">
        <f ca="1">OFFSET(A13,0, 10) -0</f>
        <v>54.562347512023962</v>
      </c>
      <c r="BD13" s="1">
        <f ca="1">OFFSET(A13,0, 6) -0</f>
        <v>-18.804563135412081</v>
      </c>
      <c r="BE13" s="1">
        <f ca="1">OFFSET(A13,0, 12) -0</f>
        <v>-8.7541971642579881</v>
      </c>
      <c r="BF13" s="1">
        <f ca="1">OFFSET(A13,0, 2) -0</f>
        <v>-2.1714737828481248</v>
      </c>
      <c r="BG13" s="1">
        <f ca="1">OFFSET(A13,0, 11) -0</f>
        <v>22.904075173883029</v>
      </c>
      <c r="BH13" s="1">
        <f ca="1">OFFSET(A13,0, 8) -0</f>
        <v>17.87889218830594</v>
      </c>
      <c r="BI13" s="1">
        <f ca="1">OFFSET(A13,0, 5) -0</f>
        <v>-47.146290797271149</v>
      </c>
      <c r="BJ13" s="1">
        <f ca="1">OFFSET(A13,0, 3) -0</f>
        <v>-3.8297461209890571</v>
      </c>
      <c r="BK13" s="1">
        <f ca="1">OFFSET(A13,0, 9) -0</f>
        <v>-3.7793801498349922</v>
      </c>
      <c r="BL13" s="1">
        <f ca="1">OFFSET(A13,0, 4) -0</f>
        <v>14.511981540870011</v>
      </c>
      <c r="BM13" s="1">
        <f ca="1">OFFSET(A13,0, 1) -0</f>
        <v>-0.51320144470719242</v>
      </c>
      <c r="BN13" s="1">
        <f ca="1">OFFSET(A13,0, 7) -0</f>
        <v>9.5371645264469862</v>
      </c>
      <c r="BO13" s="1">
        <f ca="1">OFFSET(A13,0, 23) -0</f>
        <v>-6.9951928838088406</v>
      </c>
      <c r="BP13" s="1">
        <f ca="1">OFFSET(A13,0, 17) -0</f>
        <v>-7.0455588549629056</v>
      </c>
      <c r="BQ13" s="1">
        <f ca="1">OFFSET(A13,0, 24) -0</f>
        <v>21.346534778050227</v>
      </c>
      <c r="BR13" s="1">
        <f ca="1">OFFSET(A13,0, 13) -0</f>
        <v>-0.41246950239897728</v>
      </c>
      <c r="BS13" s="1">
        <f ca="1">OFFSET(A13,0, 22) -0</f>
        <v>-15.336920545667908</v>
      </c>
      <c r="BT13" s="1">
        <f ca="1">OFFSET(A13,0, 19) -0</f>
        <v>29.637896468755116</v>
      </c>
      <c r="BU13" s="1">
        <f ca="1">OFFSET(A13,0, 18) -0</f>
        <v>1.2961688068960484</v>
      </c>
      <c r="BV13" s="1">
        <f ca="1">OFFSET(A13,0, 16) -0</f>
        <v>-15.387286516821973</v>
      </c>
      <c r="BW13" s="1">
        <f ca="1">OFFSET(A13,0, 21) -0</f>
        <v>-3.678648207526976</v>
      </c>
      <c r="BX13" s="1">
        <f ca="1">OFFSET(A13,0, 15) -0</f>
        <v>-13.729014178680927</v>
      </c>
      <c r="BY13" s="1">
        <f ca="1">OFFSET(A13,0, 14) -0</f>
        <v>-22.070741840539995</v>
      </c>
      <c r="BZ13" s="1">
        <f ca="1">OFFSET(A13,0, 20) -0</f>
        <v>-2.0203758693858163</v>
      </c>
      <c r="CB13" s="1">
        <f>COUNTIF(B13,"&lt;-68")</f>
        <v>0</v>
      </c>
      <c r="CC13" s="1">
        <f ca="1">COUNTIF(BC13:BN13,"&lt;-48")</f>
        <v>0</v>
      </c>
      <c r="CD13" s="1">
        <f ca="1">COUNTIF(BC13:BN13,"&gt;+48")</f>
        <v>1</v>
      </c>
      <c r="CE13" s="1">
        <f ca="1">COUNTIF(BO13:BZ13,"&lt;-48")</f>
        <v>0</v>
      </c>
      <c r="CF13" s="1">
        <f ca="1">COUNTIF(BO13:BZ13,"&gt;+48")</f>
        <v>0</v>
      </c>
    </row>
    <row r="14" spans="1:84">
      <c r="A14" s="1">
        <v>11</v>
      </c>
      <c r="B14" s="1">
        <f>'Team A 1'!B14-'Team A 1'!$AA14-('Team A 1'!B$2- 12.5)*'Team A 1'!$AC14</f>
        <v>14.074559732148828</v>
      </c>
      <c r="C14" s="1">
        <f>'Team A 1'!C14-'Team A 1'!$AA14-('Team A 1'!C$2- 12.5)*'Team A 1'!$AC14</f>
        <v>12.63329366848393</v>
      </c>
      <c r="D14" s="1">
        <f>'Team A 1'!D14-'Team A 1'!$AA14-('Team A 1'!D$2- 12.5)*'Team A 1'!$AC14</f>
        <v>-28.807972395181423</v>
      </c>
      <c r="E14" s="1">
        <f>'Team A 1'!E14-'Team A 1'!$AA14-('Team A 1'!E$2- 12.5)*'Team A 1'!$AC14</f>
        <v>-10.249238458846321</v>
      </c>
      <c r="F14" s="1">
        <f>'Team A 1'!F14-'Team A 1'!$AA14-('Team A 1'!F$2- 12.5)*'Team A 1'!$AC14</f>
        <v>-1.6905045225116737</v>
      </c>
      <c r="G14" s="1">
        <f>'Team A 1'!G14-'Team A 1'!$AA14-('Team A 1'!G$2- 12.5)*'Team A 1'!$AC14</f>
        <v>16.868229413823428</v>
      </c>
      <c r="H14" s="1">
        <f>'Team A 1'!H14-'Team A 1'!$AA14-('Team A 1'!H$2- 12.5)*'Team A 1'!$AC14</f>
        <v>5.4269633501580756</v>
      </c>
      <c r="I14" s="1">
        <f>'Team A 1'!I14-'Team A 1'!$AA14-('Team A 1'!I$2- 12.5)*'Team A 1'!$AC14</f>
        <v>13.985697286493064</v>
      </c>
      <c r="J14" s="1">
        <f>'Team A 1'!J14-'Team A 1'!$AA14-('Team A 1'!J$2- 12.5)*'Team A 1'!$AC14</f>
        <v>2.5444312228279387</v>
      </c>
      <c r="K14" s="1">
        <f>'Team A 1'!K14-'Team A 1'!$AA14-('Team A 1'!K$2- 12.5)*'Team A 1'!$AC14</f>
        <v>-8.8968348408371867</v>
      </c>
      <c r="L14" s="1">
        <f>'Team A 1'!L14-'Team A 1'!$AA14-('Team A 1'!L$2- 12.5)*'Team A 1'!$AC14</f>
        <v>-50.338100904502312</v>
      </c>
      <c r="M14" s="1">
        <f>'Team A 1'!M14-'Team A 1'!$AA14-('Team A 1'!M$2- 12.5)*'Team A 1'!$AC14</f>
        <v>-1.7793669681674373</v>
      </c>
      <c r="N14" s="1">
        <f>'Team A 1'!N14-'Team A 1'!$AA14-('Team A 1'!N$2- 12.5)*'Team A 1'!$AC14</f>
        <v>-13.220633031832563</v>
      </c>
      <c r="O14" s="1">
        <f>'Team A 1'!O14-'Team A 1'!$AA14-('Team A 1'!O$2- 12.5)*'Team A 1'!$AC14</f>
        <v>-14.661899095497688</v>
      </c>
      <c r="P14" s="1">
        <f>'Team A 1'!P14-'Team A 1'!$AA14-('Team A 1'!P$2- 12.5)*'Team A 1'!$AC14</f>
        <v>-26.103165159162813</v>
      </c>
      <c r="Q14" s="1">
        <f>'Team A 1'!Q14-'Team A 1'!$AA14-('Team A 1'!Q$2- 12.5)*'Team A 1'!$AC14</f>
        <v>32.455568777172061</v>
      </c>
      <c r="R14" s="1">
        <f>'Team A 1'!R14-'Team A 1'!$AA14-('Team A 1'!R$2- 12.5)*'Team A 1'!$AC14</f>
        <v>21.014302713506936</v>
      </c>
      <c r="S14" s="1">
        <f>'Team A 1'!S14-'Team A 1'!$AA14-('Team A 1'!S$2- 12.5)*'Team A 1'!$AC14</f>
        <v>9.5730366498419244</v>
      </c>
      <c r="T14" s="1">
        <f>'Team A 1'!T14-'Team A 1'!$AA14-('Team A 1'!T$2- 12.5)*'Team A 1'!$AC14</f>
        <v>8.1317705861765717</v>
      </c>
      <c r="U14" s="1">
        <f>'Team A 1'!U14-'Team A 1'!$AA14-('Team A 1'!U$2- 12.5)*'Team A 1'!$AC14</f>
        <v>-23.309495477488326</v>
      </c>
      <c r="V14" s="1">
        <f>'Team A 1'!V14-'Team A 1'!$AA14-('Team A 1'!V$2- 12.5)*'Team A 1'!$AC14</f>
        <v>25.249238458846321</v>
      </c>
      <c r="W14" s="1">
        <f>'Team A 1'!W14-'Team A 1'!$AA14-('Team A 1'!W$2- 12.5)*'Team A 1'!$AC14</f>
        <v>13.807972395181423</v>
      </c>
      <c r="X14" s="1">
        <f>'Team A 1'!X14-'Team A 1'!$AA14-('Team A 1'!X$2- 12.5)*'Team A 1'!$AC14</f>
        <v>2.3667063315160703</v>
      </c>
      <c r="Y14" s="1">
        <f>'Team A 1'!Y14-'Team A 1'!$AA14-('Team A 1'!Y$2- 12.5)*'Team A 1'!$AC14</f>
        <v>0.92544026785117239</v>
      </c>
      <c r="AB14" s="1">
        <f>STDEV(B14:Y14)</f>
        <v>19.257572406929064</v>
      </c>
      <c r="AD14" s="5" t="s">
        <v>46</v>
      </c>
      <c r="AE14" s="5">
        <v>4</v>
      </c>
      <c r="AF14" s="5">
        <v>8</v>
      </c>
      <c r="AG14" s="5" t="s">
        <v>45</v>
      </c>
      <c r="AH14" s="5">
        <v>7</v>
      </c>
      <c r="AI14" s="5">
        <v>2</v>
      </c>
      <c r="AJ14" s="5" t="s">
        <v>47</v>
      </c>
      <c r="AK14" s="5">
        <v>6</v>
      </c>
      <c r="AL14" s="5">
        <v>5</v>
      </c>
      <c r="AM14" s="5">
        <v>9</v>
      </c>
      <c r="AN14" s="5">
        <v>3</v>
      </c>
      <c r="AO14" s="5">
        <v>1</v>
      </c>
      <c r="AP14" s="5" t="s">
        <v>46</v>
      </c>
      <c r="AQ14" s="5">
        <v>8</v>
      </c>
      <c r="AR14" s="5">
        <v>4</v>
      </c>
      <c r="AS14" s="5">
        <v>7</v>
      </c>
      <c r="AT14" s="5" t="s">
        <v>45</v>
      </c>
      <c r="AU14" s="5" t="s">
        <v>47</v>
      </c>
      <c r="AV14" s="5">
        <v>2</v>
      </c>
      <c r="AW14" s="5">
        <v>5</v>
      </c>
      <c r="AX14" s="5">
        <v>6</v>
      </c>
      <c r="AY14" s="5">
        <v>9</v>
      </c>
      <c r="AZ14" s="5">
        <v>1</v>
      </c>
      <c r="BA14" s="5">
        <v>3</v>
      </c>
      <c r="BB14" s="5"/>
      <c r="BC14" s="1">
        <f ca="1">OFFSET(A14,0, 12) -0</f>
        <v>-1.7793669681674373</v>
      </c>
      <c r="BD14" s="1">
        <f ca="1">OFFSET(A14,0, 6) -0</f>
        <v>16.868229413823428</v>
      </c>
      <c r="BE14" s="1">
        <f ca="1">OFFSET(A14,0, 11) -0</f>
        <v>-50.338100904502312</v>
      </c>
      <c r="BF14" s="1">
        <f ca="1">OFFSET(A14,0, 2) -0</f>
        <v>12.63329366848393</v>
      </c>
      <c r="BG14" s="1">
        <f ca="1">OFFSET(A14,0, 9) -0</f>
        <v>2.5444312228279387</v>
      </c>
      <c r="BH14" s="1">
        <f ca="1">OFFSET(A14,0, 8) -0</f>
        <v>13.985697286493064</v>
      </c>
      <c r="BI14" s="1">
        <f ca="1">OFFSET(A14,0, 5) -0</f>
        <v>-1.6905045225116737</v>
      </c>
      <c r="BJ14" s="1">
        <f ca="1">OFFSET(A14,0, 3) -0</f>
        <v>-28.807972395181423</v>
      </c>
      <c r="BK14" s="1">
        <f ca="1">OFFSET(A14,0, 10) -0</f>
        <v>-8.8968348408371867</v>
      </c>
      <c r="BL14" s="1">
        <f ca="1">OFFSET(A14,0, 4) -0</f>
        <v>-10.249238458846321</v>
      </c>
      <c r="BM14" s="1">
        <f ca="1">OFFSET(A14,0, 1) -0</f>
        <v>14.074559732148828</v>
      </c>
      <c r="BN14" s="1">
        <f ca="1">OFFSET(A14,0, 7) -0</f>
        <v>5.4269633501580756</v>
      </c>
      <c r="BO14" s="1">
        <f ca="1">OFFSET(A14,0, 23) -0</f>
        <v>2.3667063315160703</v>
      </c>
      <c r="BP14" s="1">
        <f ca="1">OFFSET(A14,0, 19) -0</f>
        <v>8.1317705861765717</v>
      </c>
      <c r="BQ14" s="1">
        <f ca="1">OFFSET(A14,0, 24) -0</f>
        <v>0.92544026785117239</v>
      </c>
      <c r="BR14" s="1">
        <f ca="1">OFFSET(A14,0, 15) -0</f>
        <v>-26.103165159162813</v>
      </c>
      <c r="BS14" s="1">
        <f ca="1">OFFSET(A14,0, 20) -0</f>
        <v>-23.309495477488326</v>
      </c>
      <c r="BT14" s="1">
        <f ca="1">OFFSET(A14,0, 21) -0</f>
        <v>25.249238458846321</v>
      </c>
      <c r="BU14" s="1">
        <f ca="1">OFFSET(A14,0, 16) -0</f>
        <v>32.455568777172061</v>
      </c>
      <c r="BV14" s="1">
        <f ca="1">OFFSET(A14,0, 14) -0</f>
        <v>-14.661899095497688</v>
      </c>
      <c r="BW14" s="1">
        <f ca="1">OFFSET(A14,0, 22) -0</f>
        <v>13.807972395181423</v>
      </c>
      <c r="BX14" s="1">
        <f ca="1">OFFSET(A14,0, 17) -0</f>
        <v>21.014302713506936</v>
      </c>
      <c r="BY14" s="1">
        <f ca="1">OFFSET(A14,0, 13) -0</f>
        <v>-13.220633031832563</v>
      </c>
      <c r="BZ14" s="1">
        <f ca="1">OFFSET(A14,0, 18) -0</f>
        <v>9.5730366498419244</v>
      </c>
      <c r="CB14" s="1">
        <f>COUNTIF(B14,"&lt;-68")</f>
        <v>0</v>
      </c>
      <c r="CC14" s="1">
        <f ca="1">COUNTIF(BC14:BN14,"&lt;-48")</f>
        <v>1</v>
      </c>
      <c r="CD14" s="1">
        <f ca="1">COUNTIF(BC14:BN14,"&gt;+48")</f>
        <v>0</v>
      </c>
      <c r="CE14" s="1">
        <f ca="1">COUNTIF(BO14:BZ14,"&lt;-48")</f>
        <v>0</v>
      </c>
      <c r="CF14" s="1">
        <f ca="1">COUNTIF(BO14:BZ14,"&gt;+48")</f>
        <v>0</v>
      </c>
    </row>
    <row r="15" spans="1:84">
      <c r="A15" s="1">
        <v>12</v>
      </c>
      <c r="B15" s="1">
        <f>'Team A 1'!B15-'Team A 1'!$AA15-('Team A 1'!B$2- 12.5)*'Team A 1'!$AC15</f>
        <v>-64.123415802675936</v>
      </c>
      <c r="C15" s="1">
        <f>'Team A 1'!C15-'Team A 1'!$AA15-('Team A 1'!C$2- 12.5)*'Team A 1'!$AC15</f>
        <v>-45.214133269110334</v>
      </c>
      <c r="D15" s="1">
        <f>'Team A 1'!D15-'Team A 1'!$AA15-('Team A 1'!D$2- 12.5)*'Team A 1'!$AC15</f>
        <v>-16.304850735544733</v>
      </c>
      <c r="E15" s="1">
        <f>'Team A 1'!E15-'Team A 1'!$AA15-('Team A 1'!E$2- 12.5)*'Team A 1'!$AC15</f>
        <v>2.6044317980208689</v>
      </c>
      <c r="F15" s="1">
        <f>'Team A 1'!F15-'Team A 1'!$AA15-('Team A 1'!F$2- 12.5)*'Team A 1'!$AC15</f>
        <v>-8.4862856684135295</v>
      </c>
      <c r="G15" s="1">
        <f>'Team A 1'!G15-'Team A 1'!$AA15-('Team A 1'!G$2- 12.5)*'Team A 1'!$AC15</f>
        <v>30.422996865152072</v>
      </c>
      <c r="H15" s="1">
        <f>'Team A 1'!H15-'Team A 1'!$AA15-('Team A 1'!H$2- 12.5)*'Team A 1'!$AC15</f>
        <v>-30.667720601282326</v>
      </c>
      <c r="I15" s="1">
        <f>'Team A 1'!I15-'Team A 1'!$AA15-('Team A 1'!I$2- 12.5)*'Team A 1'!$AC15</f>
        <v>8.2415619322832754</v>
      </c>
      <c r="J15" s="1">
        <f>'Team A 1'!J15-'Team A 1'!$AA15-('Team A 1'!J$2- 12.5)*'Team A 1'!$AC15</f>
        <v>7.150844465848877</v>
      </c>
      <c r="K15" s="1">
        <f>'Team A 1'!K15-'Team A 1'!$AA15-('Team A 1'!K$2- 12.5)*'Team A 1'!$AC15</f>
        <v>26.060126999414479</v>
      </c>
      <c r="L15" s="1">
        <f>'Team A 1'!L15-'Team A 1'!$AA15-('Team A 1'!L$2- 12.5)*'Team A 1'!$AC15</f>
        <v>34.96940953298008</v>
      </c>
      <c r="M15" s="1">
        <f>'Team A 1'!M15-'Team A 1'!$AA15-('Team A 1'!M$2- 12.5)*'Team A 1'!$AC15</f>
        <v>43.878692066545682</v>
      </c>
      <c r="N15" s="1">
        <f>'Team A 1'!N15-'Team A 1'!$AA15-('Team A 1'!N$2- 12.5)*'Team A 1'!$AC15</f>
        <v>-7.2120253998887165</v>
      </c>
      <c r="O15" s="1">
        <f>'Team A 1'!O15-'Team A 1'!$AA15-('Team A 1'!O$2- 12.5)*'Team A 1'!$AC15</f>
        <v>-8.3027428663231149</v>
      </c>
      <c r="P15" s="1">
        <f>'Team A 1'!P15-'Team A 1'!$AA15-('Team A 1'!P$2- 12.5)*'Team A 1'!$AC15</f>
        <v>-29.393460332757513</v>
      </c>
      <c r="Q15" s="1">
        <f>'Team A 1'!Q15-'Team A 1'!$AA15-('Team A 1'!Q$2- 12.5)*'Team A 1'!$AC15</f>
        <v>-10.484177799191912</v>
      </c>
      <c r="R15" s="1">
        <f>'Team A 1'!R15-'Team A 1'!$AA15-('Team A 1'!R$2- 12.5)*'Team A 1'!$AC15</f>
        <v>18.42510473437369</v>
      </c>
      <c r="S15" s="1">
        <f>'Team A 1'!S15-'Team A 1'!$AA15-('Team A 1'!S$2- 12.5)*'Team A 1'!$AC15</f>
        <v>-2.6656127320607084</v>
      </c>
      <c r="T15" s="1">
        <f>'Team A 1'!T15-'Team A 1'!$AA15-('Team A 1'!T$2- 12.5)*'Team A 1'!$AC15</f>
        <v>16.243669801504893</v>
      </c>
      <c r="U15" s="1">
        <f>'Team A 1'!U15-'Team A 1'!$AA15-('Team A 1'!U$2- 12.5)*'Team A 1'!$AC15</f>
        <v>5.1529523350704949</v>
      </c>
      <c r="V15" s="1">
        <f>'Team A 1'!V15-'Team A 1'!$AA15-('Team A 1'!V$2- 12.5)*'Team A 1'!$AC15</f>
        <v>4.0622348686360965</v>
      </c>
      <c r="W15" s="1">
        <f>'Team A 1'!W15-'Team A 1'!$AA15-('Team A 1'!W$2- 12.5)*'Team A 1'!$AC15</f>
        <v>2.9715174022016981</v>
      </c>
      <c r="X15" s="1">
        <f>'Team A 1'!X15-'Team A 1'!$AA15-('Team A 1'!X$2- 12.5)*'Team A 1'!$AC15</f>
        <v>-8.1192000642327002</v>
      </c>
      <c r="Y15" s="1">
        <f>'Team A 1'!Y15-'Team A 1'!$AA15-('Team A 1'!Y$2- 12.5)*'Team A 1'!$AC15</f>
        <v>30.790082469332901</v>
      </c>
      <c r="AB15" s="1">
        <f>STDEV(B15:Y15)</f>
        <v>25.609405587876342</v>
      </c>
      <c r="AD15" s="5">
        <v>8</v>
      </c>
      <c r="AE15" s="5" t="s">
        <v>46</v>
      </c>
      <c r="AF15" s="5">
        <v>7</v>
      </c>
      <c r="AG15" s="5">
        <v>4</v>
      </c>
      <c r="AH15" s="5" t="s">
        <v>47</v>
      </c>
      <c r="AI15" s="5" t="s">
        <v>45</v>
      </c>
      <c r="AJ15" s="5">
        <v>5</v>
      </c>
      <c r="AK15" s="5">
        <v>2</v>
      </c>
      <c r="AL15" s="5">
        <v>9</v>
      </c>
      <c r="AM15" s="5">
        <v>6</v>
      </c>
      <c r="AN15" s="5">
        <v>3</v>
      </c>
      <c r="AO15" s="5">
        <v>1</v>
      </c>
      <c r="AP15" s="5" t="s">
        <v>46</v>
      </c>
      <c r="AQ15" s="5">
        <v>8</v>
      </c>
      <c r="AR15" s="5">
        <v>4</v>
      </c>
      <c r="AS15" s="5">
        <v>7</v>
      </c>
      <c r="AT15" s="5" t="s">
        <v>45</v>
      </c>
      <c r="AU15" s="5" t="s">
        <v>47</v>
      </c>
      <c r="AV15" s="5">
        <v>2</v>
      </c>
      <c r="AW15" s="5">
        <v>5</v>
      </c>
      <c r="AX15" s="5">
        <v>6</v>
      </c>
      <c r="AY15" s="5">
        <v>9</v>
      </c>
      <c r="AZ15" s="5">
        <v>3</v>
      </c>
      <c r="BA15" s="5">
        <v>1</v>
      </c>
      <c r="BB15" s="5"/>
      <c r="BC15" s="1">
        <f ca="1">OFFSET(A15,0, 12) -0</f>
        <v>43.878692066545682</v>
      </c>
      <c r="BD15" s="1">
        <f ca="1">OFFSET(A15,0, 8) -0</f>
        <v>8.2415619322832754</v>
      </c>
      <c r="BE15" s="1">
        <f ca="1">OFFSET(A15,0, 11) -0</f>
        <v>34.96940953298008</v>
      </c>
      <c r="BF15" s="1">
        <f ca="1">OFFSET(A15,0, 4) -0</f>
        <v>2.6044317980208689</v>
      </c>
      <c r="BG15" s="1">
        <f ca="1">OFFSET(A15,0, 7) -0</f>
        <v>-30.667720601282326</v>
      </c>
      <c r="BH15" s="1">
        <f ca="1">OFFSET(A15,0, 10) -0</f>
        <v>26.060126999414479</v>
      </c>
      <c r="BI15" s="1">
        <f ca="1">OFFSET(A15,0, 3) -0</f>
        <v>-16.304850735544733</v>
      </c>
      <c r="BJ15" s="1">
        <f ca="1">OFFSET(A15,0, 1) -0</f>
        <v>-64.123415802675936</v>
      </c>
      <c r="BK15" s="1">
        <f ca="1">OFFSET(A15,0, 9) -0</f>
        <v>7.150844465848877</v>
      </c>
      <c r="BL15" s="1">
        <f ca="1">OFFSET(A15,0, 6) -0</f>
        <v>30.422996865152072</v>
      </c>
      <c r="BM15" s="1">
        <f ca="1">OFFSET(A15,0, 2) -0</f>
        <v>-45.214133269110334</v>
      </c>
      <c r="BN15" s="1">
        <f ca="1">OFFSET(A15,0, 5) -0</f>
        <v>-8.4862856684135295</v>
      </c>
      <c r="BO15" s="1">
        <f ca="1">OFFSET(A15,0, 24) -0</f>
        <v>30.790082469332901</v>
      </c>
      <c r="BP15" s="1">
        <f ca="1">OFFSET(A15,0, 19) -0</f>
        <v>16.243669801504893</v>
      </c>
      <c r="BQ15" s="1">
        <f ca="1">OFFSET(A15,0, 23) -0</f>
        <v>-8.1192000642327002</v>
      </c>
      <c r="BR15" s="1">
        <f ca="1">OFFSET(A15,0, 15) -0</f>
        <v>-29.393460332757513</v>
      </c>
      <c r="BS15" s="1">
        <f ca="1">OFFSET(A15,0, 20) -0</f>
        <v>5.1529523350704949</v>
      </c>
      <c r="BT15" s="1">
        <f ca="1">OFFSET(A15,0, 21) -0</f>
        <v>4.0622348686360965</v>
      </c>
      <c r="BU15" s="1">
        <f ca="1">OFFSET(A15,0, 16) -0</f>
        <v>-10.484177799191912</v>
      </c>
      <c r="BV15" s="1">
        <f ca="1">OFFSET(A15,0, 14) -0</f>
        <v>-8.3027428663231149</v>
      </c>
      <c r="BW15" s="1">
        <f ca="1">OFFSET(A15,0, 22) -0</f>
        <v>2.9715174022016981</v>
      </c>
      <c r="BX15" s="1">
        <f ca="1">OFFSET(A15,0, 17) -0</f>
        <v>18.42510473437369</v>
      </c>
      <c r="BY15" s="1">
        <f ca="1">OFFSET(A15,0, 13) -0</f>
        <v>-7.2120253998887165</v>
      </c>
      <c r="BZ15" s="1">
        <f ca="1">OFFSET(A15,0, 18) -0</f>
        <v>-2.6656127320607084</v>
      </c>
      <c r="CB15" s="1">
        <f>COUNTIF(B15,"&lt;-68")</f>
        <v>0</v>
      </c>
      <c r="CC15" s="1">
        <f ca="1">COUNTIF(BC15:BN15,"&lt;-48")</f>
        <v>1</v>
      </c>
      <c r="CD15" s="1">
        <f ca="1">COUNTIF(BC15:BN15,"&gt;+48")</f>
        <v>0</v>
      </c>
      <c r="CE15" s="1">
        <f ca="1">COUNTIF(BO15:BZ15,"&lt;-48")</f>
        <v>0</v>
      </c>
      <c r="CF15" s="1">
        <f ca="1">COUNTIF(BO15:BZ15,"&gt;+48")</f>
        <v>0</v>
      </c>
    </row>
    <row r="16" spans="1:84">
      <c r="A16" s="1">
        <v>13</v>
      </c>
      <c r="B16" s="1">
        <f>'Team A 1'!B16-'Team A 1'!$AA16-('Team A 1'!B$2- 12.5)*'Team A 1'!$AC16</f>
        <v>-43.475407793001978</v>
      </c>
      <c r="C16" s="1">
        <f>'Team A 1'!C16-'Team A 1'!$AA16-('Team A 1'!C$2- 12.5)*'Team A 1'!$AC16</f>
        <v>-24.223923057377988</v>
      </c>
      <c r="D16" s="1">
        <f>'Team A 1'!D16-'Team A 1'!$AA16-('Team A 1'!D$2- 12.5)*'Team A 1'!$AC16</f>
        <v>-34.972438321754225</v>
      </c>
      <c r="E16" s="1">
        <f>'Team A 1'!E16-'Team A 1'!$AA16-('Team A 1'!E$2- 12.5)*'Team A 1'!$AC16</f>
        <v>4.279046413869537</v>
      </c>
      <c r="F16" s="1">
        <f>'Team A 1'!F16-'Team A 1'!$AA16-('Team A 1'!F$2- 12.5)*'Team A 1'!$AC16</f>
        <v>-16.469468850506701</v>
      </c>
      <c r="G16" s="1">
        <f>'Team A 1'!G16-'Team A 1'!$AA16-('Team A 1'!G$2- 12.5)*'Team A 1'!$AC16</f>
        <v>12.782015885117062</v>
      </c>
      <c r="H16" s="1">
        <f>'Team A 1'!H16-'Team A 1'!$AA16-('Team A 1'!H$2- 12.5)*'Team A 1'!$AC16</f>
        <v>-17.966499379259176</v>
      </c>
      <c r="I16" s="1">
        <f>'Team A 1'!I16-'Team A 1'!$AA16-('Team A 1'!I$2- 12.5)*'Team A 1'!$AC16</f>
        <v>21.284985356364587</v>
      </c>
      <c r="J16" s="1">
        <f>'Team A 1'!J16-'Team A 1'!$AA16-('Team A 1'!J$2- 12.5)*'Team A 1'!$AC16</f>
        <v>10.536470091988349</v>
      </c>
      <c r="K16" s="1">
        <f>'Team A 1'!K16-'Team A 1'!$AA16-('Team A 1'!K$2- 12.5)*'Team A 1'!$AC16</f>
        <v>39.787954827612111</v>
      </c>
      <c r="L16" s="1">
        <f>'Team A 1'!L16-'Team A 1'!$AA16-('Team A 1'!L$2- 12.5)*'Team A 1'!$AC16</f>
        <v>19.039439563235874</v>
      </c>
      <c r="M16" s="1">
        <f>'Team A 1'!M16-'Team A 1'!$AA16-('Team A 1'!M$2- 12.5)*'Team A 1'!$AC16</f>
        <v>-31.709075701140364</v>
      </c>
      <c r="N16" s="1">
        <f>'Team A 1'!N16-'Team A 1'!$AA16-('Team A 1'!N$2- 12.5)*'Team A 1'!$AC16</f>
        <v>-22.457590965516601</v>
      </c>
      <c r="O16" s="1">
        <f>'Team A 1'!O16-'Team A 1'!$AA16-('Team A 1'!O$2- 12.5)*'Team A 1'!$AC16</f>
        <v>-3.2061062298928391</v>
      </c>
      <c r="P16" s="1">
        <f>'Team A 1'!P16-'Team A 1'!$AA16-('Team A 1'!P$2- 12.5)*'Team A 1'!$AC16</f>
        <v>-3.9546214942690767</v>
      </c>
      <c r="Q16" s="1">
        <f>'Team A 1'!Q16-'Team A 1'!$AA16-('Team A 1'!Q$2- 12.5)*'Team A 1'!$AC16</f>
        <v>15.296863241354686</v>
      </c>
      <c r="R16" s="1">
        <f>'Team A 1'!R16-'Team A 1'!$AA16-('Team A 1'!R$2- 12.5)*'Team A 1'!$AC16</f>
        <v>-15.451652023021552</v>
      </c>
      <c r="S16" s="1">
        <f>'Team A 1'!S16-'Team A 1'!$AA16-('Team A 1'!S$2- 12.5)*'Team A 1'!$AC16</f>
        <v>-16.20016728739779</v>
      </c>
      <c r="T16" s="1">
        <f>'Team A 1'!T16-'Team A 1'!$AA16-('Team A 1'!T$2- 12.5)*'Team A 1'!$AC16</f>
        <v>23.051317448225973</v>
      </c>
      <c r="U16" s="1">
        <f>'Team A 1'!U16-'Team A 1'!$AA16-('Team A 1'!U$2- 12.5)*'Team A 1'!$AC16</f>
        <v>-7.6971978161502648</v>
      </c>
      <c r="V16" s="1">
        <f>'Team A 1'!V16-'Team A 1'!$AA16-('Team A 1'!V$2- 12.5)*'Team A 1'!$AC16</f>
        <v>1.5542869194734976</v>
      </c>
      <c r="W16" s="1">
        <f>'Team A 1'!W16-'Team A 1'!$AA16-('Team A 1'!W$2- 12.5)*'Team A 1'!$AC16</f>
        <v>40.80577165509726</v>
      </c>
      <c r="X16" s="1">
        <f>'Team A 1'!X16-'Team A 1'!$AA16-('Team A 1'!X$2- 12.5)*'Team A 1'!$AC16</f>
        <v>10.057256390721022</v>
      </c>
      <c r="Y16" s="1">
        <f>'Team A 1'!Y16-'Team A 1'!$AA16-('Team A 1'!Y$2- 12.5)*'Team A 1'!$AC16</f>
        <v>39.308741126345012</v>
      </c>
      <c r="AB16" s="1">
        <f>STDEV(B16:Y16)</f>
        <v>23.920830933507865</v>
      </c>
      <c r="AD16" s="5">
        <v>8</v>
      </c>
      <c r="AE16" s="5" t="s">
        <v>46</v>
      </c>
      <c r="AF16" s="5">
        <v>7</v>
      </c>
      <c r="AG16" s="5">
        <v>4</v>
      </c>
      <c r="AH16" s="5" t="s">
        <v>47</v>
      </c>
      <c r="AI16" s="5" t="s">
        <v>45</v>
      </c>
      <c r="AJ16" s="5">
        <v>5</v>
      </c>
      <c r="AK16" s="5">
        <v>2</v>
      </c>
      <c r="AL16" s="5">
        <v>9</v>
      </c>
      <c r="AM16" s="5">
        <v>6</v>
      </c>
      <c r="AN16" s="5">
        <v>1</v>
      </c>
      <c r="AO16" s="5">
        <v>3</v>
      </c>
      <c r="AP16" s="5">
        <v>8</v>
      </c>
      <c r="AQ16" s="5">
        <v>7</v>
      </c>
      <c r="AR16" s="5" t="s">
        <v>46</v>
      </c>
      <c r="AS16" s="5" t="s">
        <v>47</v>
      </c>
      <c r="AT16" s="5">
        <v>4</v>
      </c>
      <c r="AU16" s="5">
        <v>5</v>
      </c>
      <c r="AV16" s="5" t="s">
        <v>45</v>
      </c>
      <c r="AW16" s="5">
        <v>9</v>
      </c>
      <c r="AX16" s="5">
        <v>2</v>
      </c>
      <c r="AY16" s="5">
        <v>6</v>
      </c>
      <c r="AZ16" s="5">
        <v>3</v>
      </c>
      <c r="BA16" s="5">
        <v>1</v>
      </c>
      <c r="BB16" s="5"/>
      <c r="BC16" s="1">
        <f ca="1">OFFSET(A16,0, 11) -0</f>
        <v>19.039439563235874</v>
      </c>
      <c r="BD16" s="1">
        <f ca="1">OFFSET(A16,0, 8) -0</f>
        <v>21.284985356364587</v>
      </c>
      <c r="BE16" s="1">
        <f ca="1">OFFSET(A16,0, 12) -0</f>
        <v>-31.709075701140364</v>
      </c>
      <c r="BF16" s="1">
        <f ca="1">OFFSET(A16,0, 4) -0</f>
        <v>4.279046413869537</v>
      </c>
      <c r="BG16" s="1">
        <f ca="1">OFFSET(A16,0, 7) -0</f>
        <v>-17.966499379259176</v>
      </c>
      <c r="BH16" s="1">
        <f ca="1">OFFSET(A16,0, 10) -0</f>
        <v>39.787954827612111</v>
      </c>
      <c r="BI16" s="1">
        <f ca="1">OFFSET(A16,0, 3) -0</f>
        <v>-34.972438321754225</v>
      </c>
      <c r="BJ16" s="1">
        <f ca="1">OFFSET(A16,0, 1) -0</f>
        <v>-43.475407793001978</v>
      </c>
      <c r="BK16" s="1">
        <f ca="1">OFFSET(A16,0, 9) -0</f>
        <v>10.536470091988349</v>
      </c>
      <c r="BL16" s="1">
        <f ca="1">OFFSET(A16,0, 6) -0</f>
        <v>12.782015885117062</v>
      </c>
      <c r="BM16" s="1">
        <f ca="1">OFFSET(A16,0, 2) -0</f>
        <v>-24.223923057377988</v>
      </c>
      <c r="BN16" s="1">
        <f ca="1">OFFSET(A16,0, 5) -0</f>
        <v>-16.469468850506701</v>
      </c>
      <c r="BO16" s="1">
        <f ca="1">OFFSET(A16,0, 24) -0</f>
        <v>39.308741126345012</v>
      </c>
      <c r="BP16" s="1">
        <f ca="1">OFFSET(A16,0, 21) -0</f>
        <v>1.5542869194734976</v>
      </c>
      <c r="BQ16" s="1">
        <f ca="1">OFFSET(A16,0, 23) -0</f>
        <v>10.057256390721022</v>
      </c>
      <c r="BR16" s="1">
        <f ca="1">OFFSET(A16,0, 17) -0</f>
        <v>-15.451652023021552</v>
      </c>
      <c r="BS16" s="1">
        <f ca="1">OFFSET(A16,0, 18) -0</f>
        <v>-16.20016728739779</v>
      </c>
      <c r="BT16" s="1">
        <f ca="1">OFFSET(A16,0, 22) -0</f>
        <v>40.80577165509726</v>
      </c>
      <c r="BU16" s="1">
        <f ca="1">OFFSET(A16,0, 14) -0</f>
        <v>-3.2061062298928391</v>
      </c>
      <c r="BV16" s="1">
        <f ca="1">OFFSET(A16,0, 13) -0</f>
        <v>-22.457590965516601</v>
      </c>
      <c r="BW16" s="1">
        <f ca="1">OFFSET(A16,0, 20) -0</f>
        <v>-7.6971978161502648</v>
      </c>
      <c r="BX16" s="1">
        <f ca="1">OFFSET(A16,0, 19) -0</f>
        <v>23.051317448225973</v>
      </c>
      <c r="BY16" s="1">
        <f ca="1">OFFSET(A16,0, 15) -0</f>
        <v>-3.9546214942690767</v>
      </c>
      <c r="BZ16" s="1">
        <f ca="1">OFFSET(A16,0, 16) -0</f>
        <v>15.296863241354686</v>
      </c>
      <c r="CB16" s="1">
        <f>COUNTIF(B16,"&lt;-67")</f>
        <v>0</v>
      </c>
      <c r="CC16" s="1">
        <f ca="1">COUNTIF(BC16:BN16,"&lt;-48")</f>
        <v>0</v>
      </c>
      <c r="CD16" s="1">
        <f ca="1">COUNTIF(BC16:BN16,"&gt;+48")</f>
        <v>0</v>
      </c>
      <c r="CE16" s="1">
        <f ca="1">COUNTIF(BO16:BZ16,"&lt;-48")</f>
        <v>0</v>
      </c>
      <c r="CF16" s="1">
        <f ca="1">COUNTIF(BO16:BZ16,"&gt;+48")</f>
        <v>0</v>
      </c>
    </row>
    <row r="17" spans="1:84">
      <c r="A17" s="1">
        <v>14</v>
      </c>
      <c r="B17" s="1">
        <f>'Team A 1'!B17-'Team A 1'!$AA17-('Team A 1'!B$2- 12.5)*'Team A 1'!$AC17</f>
        <v>24.336419642122564</v>
      </c>
      <c r="C17" s="1">
        <f>'Team A 1'!C17-'Team A 1'!$AA17-('Team A 1'!C$2- 12.5)*'Team A 1'!$AC17</f>
        <v>3.1622382239668241</v>
      </c>
      <c r="D17" s="1">
        <f>'Team A 1'!D17-'Team A 1'!$AA17-('Team A 1'!D$2- 12.5)*'Team A 1'!$AC17</f>
        <v>-8.0119431941893708</v>
      </c>
      <c r="E17" s="1">
        <f>'Team A 1'!E17-'Team A 1'!$AA17-('Team A 1'!E$2- 12.5)*'Team A 1'!$AC17</f>
        <v>-9.1861246123453384</v>
      </c>
      <c r="F17" s="1">
        <f>'Team A 1'!F17-'Team A 1'!$AA17-('Team A 1'!F$2- 12.5)*'Team A 1'!$AC17</f>
        <v>-20.360306030501306</v>
      </c>
      <c r="G17" s="1">
        <f>'Team A 1'!G17-'Team A 1'!$AA17-('Team A 1'!G$2- 12.5)*'Team A 1'!$AC17</f>
        <v>-11.534487448657273</v>
      </c>
      <c r="H17" s="1">
        <f>'Team A 1'!H17-'Team A 1'!$AA17-('Team A 1'!H$2- 12.5)*'Team A 1'!$AC17</f>
        <v>-22.708668866813468</v>
      </c>
      <c r="I17" s="1">
        <f>'Team A 1'!I17-'Team A 1'!$AA17-('Team A 1'!I$2- 12.5)*'Team A 1'!$AC17</f>
        <v>66.117149715030564</v>
      </c>
      <c r="J17" s="1">
        <f>'Team A 1'!J17-'Team A 1'!$AA17-('Team A 1'!J$2- 12.5)*'Team A 1'!$AC17</f>
        <v>34.942968296874596</v>
      </c>
      <c r="K17" s="1">
        <f>'Team A 1'!K17-'Team A 1'!$AA17-('Team A 1'!K$2- 12.5)*'Team A 1'!$AC17</f>
        <v>3.7687868787185153</v>
      </c>
      <c r="L17" s="1">
        <f>'Team A 1'!L17-'Team A 1'!$AA17-('Team A 1'!L$2- 12.5)*'Team A 1'!$AC17</f>
        <v>22.594605460562548</v>
      </c>
      <c r="M17" s="1">
        <f>'Team A 1'!M17-'Team A 1'!$AA17-('Team A 1'!M$2- 12.5)*'Team A 1'!$AC17</f>
        <v>21.420424042406495</v>
      </c>
      <c r="N17" s="1">
        <f>'Team A 1'!N17-'Team A 1'!$AA17-('Team A 1'!N$2- 12.5)*'Team A 1'!$AC17</f>
        <v>-29.75375737574953</v>
      </c>
      <c r="O17" s="1">
        <f>'Team A 1'!O17-'Team A 1'!$AA17-('Team A 1'!O$2- 12.5)*'Team A 1'!$AC17</f>
        <v>-40.927938793905582</v>
      </c>
      <c r="P17" s="1">
        <f>'Team A 1'!P17-'Team A 1'!$AA17-('Team A 1'!P$2- 12.5)*'Team A 1'!$AC17</f>
        <v>-22.10212021206155</v>
      </c>
      <c r="Q17" s="1">
        <f>'Team A 1'!Q17-'Team A 1'!$AA17-('Team A 1'!Q$2- 12.5)*'Team A 1'!$AC17</f>
        <v>26.723698369782369</v>
      </c>
      <c r="R17" s="1">
        <f>'Team A 1'!R17-'Team A 1'!$AA17-('Team A 1'!R$2- 12.5)*'Team A 1'!$AC17</f>
        <v>-54.450483048373599</v>
      </c>
      <c r="S17" s="1">
        <f>'Team A 1'!S17-'Team A 1'!$AA17-('Team A 1'!S$2- 12.5)*'Team A 1'!$AC17</f>
        <v>-35.624664466529566</v>
      </c>
      <c r="T17" s="1">
        <f>'Team A 1'!T17-'Team A 1'!$AA17-('Team A 1'!T$2- 12.5)*'Team A 1'!$AC17</f>
        <v>3.2011541153142389</v>
      </c>
      <c r="U17" s="1">
        <f>'Team A 1'!U17-'Team A 1'!$AA17-('Team A 1'!U$2- 12.5)*'Team A 1'!$AC17</f>
        <v>-17.973027302841729</v>
      </c>
      <c r="V17" s="1">
        <f>'Team A 1'!V17-'Team A 1'!$AA17-('Team A 1'!V$2- 12.5)*'Team A 1'!$AC17</f>
        <v>0.85279127900230378</v>
      </c>
      <c r="W17" s="1">
        <f>'Team A 1'!W17-'Team A 1'!$AA17-('Team A 1'!W$2- 12.5)*'Team A 1'!$AC17</f>
        <v>9.6786098608463362</v>
      </c>
      <c r="X17" s="1">
        <f>'Team A 1'!X17-'Team A 1'!$AA17-('Team A 1'!X$2- 12.5)*'Team A 1'!$AC17</f>
        <v>8.5044284426901413</v>
      </c>
      <c r="Y17" s="1">
        <f>'Team A 1'!Y17-'Team A 1'!$AA17-('Team A 1'!Y$2- 12.5)*'Team A 1'!$AC17</f>
        <v>47.330247024534401</v>
      </c>
      <c r="AB17" s="1">
        <f>STDEV(B17:Y17)</f>
        <v>28.837868826574191</v>
      </c>
      <c r="AD17" s="5">
        <v>7</v>
      </c>
      <c r="AE17" s="5">
        <v>8</v>
      </c>
      <c r="AF17" s="5" t="s">
        <v>47</v>
      </c>
      <c r="AG17" s="5" t="s">
        <v>46</v>
      </c>
      <c r="AH17" s="5">
        <v>5</v>
      </c>
      <c r="AI17" s="5">
        <v>4</v>
      </c>
      <c r="AJ17" s="5">
        <v>9</v>
      </c>
      <c r="AK17" s="5" t="s">
        <v>45</v>
      </c>
      <c r="AL17" s="5">
        <v>6</v>
      </c>
      <c r="AM17" s="5">
        <v>2</v>
      </c>
      <c r="AN17" s="5">
        <v>1</v>
      </c>
      <c r="AO17" s="5">
        <v>3</v>
      </c>
      <c r="AP17" s="5">
        <v>8</v>
      </c>
      <c r="AQ17" s="5">
        <v>7</v>
      </c>
      <c r="AR17" s="5" t="s">
        <v>46</v>
      </c>
      <c r="AS17" s="5" t="s">
        <v>47</v>
      </c>
      <c r="AT17" s="5">
        <v>4</v>
      </c>
      <c r="AU17" s="5">
        <v>5</v>
      </c>
      <c r="AV17" s="5" t="s">
        <v>45</v>
      </c>
      <c r="AW17" s="5">
        <v>9</v>
      </c>
      <c r="AX17" s="5">
        <v>6</v>
      </c>
      <c r="AY17" s="5">
        <v>1</v>
      </c>
      <c r="AZ17" s="5">
        <v>2</v>
      </c>
      <c r="BA17" s="5">
        <v>3</v>
      </c>
      <c r="BB17" s="5"/>
      <c r="BC17" s="1">
        <f ca="1">OFFSET(A17,0, 11) -0</f>
        <v>22.594605460562548</v>
      </c>
      <c r="BD17" s="1">
        <f ca="1">OFFSET(A17,0, 10) -0</f>
        <v>3.7687868787185153</v>
      </c>
      <c r="BE17" s="1">
        <f ca="1">OFFSET(A17,0, 12) -0</f>
        <v>21.420424042406495</v>
      </c>
      <c r="BF17" s="1">
        <f ca="1">OFFSET(A17,0, 6) -0</f>
        <v>-11.534487448657273</v>
      </c>
      <c r="BG17" s="1">
        <f ca="1">OFFSET(A17,0, 5) -0</f>
        <v>-20.360306030501306</v>
      </c>
      <c r="BH17" s="1">
        <f ca="1">OFFSET(A17,0, 9) -0</f>
        <v>34.942968296874596</v>
      </c>
      <c r="BI17" s="1">
        <f ca="1">OFFSET(A17,0, 1) -0</f>
        <v>24.336419642122564</v>
      </c>
      <c r="BJ17" s="1">
        <f ca="1">OFFSET(A17,0, 2) -0</f>
        <v>3.1622382239668241</v>
      </c>
      <c r="BK17" s="1">
        <f ca="1">OFFSET(A17,0, 7) -0</f>
        <v>-22.708668866813468</v>
      </c>
      <c r="BL17" s="1">
        <f ca="1">OFFSET(A17,0, 8) -0</f>
        <v>66.117149715030564</v>
      </c>
      <c r="BM17" s="1">
        <f ca="1">OFFSET(A17,0, 4) -0</f>
        <v>-9.1861246123453384</v>
      </c>
      <c r="BN17" s="1">
        <f ca="1">OFFSET(A17,0, 3) -0</f>
        <v>-8.0119431941893708</v>
      </c>
      <c r="BO17" s="1">
        <f ca="1">OFFSET(A17,0, 22) -0</f>
        <v>9.6786098608463362</v>
      </c>
      <c r="BP17" s="1">
        <f ca="1">OFFSET(A17,0, 23) -0</f>
        <v>8.5044284426901413</v>
      </c>
      <c r="BQ17" s="1">
        <f ca="1">OFFSET(A17,0, 24) -0</f>
        <v>47.330247024534401</v>
      </c>
      <c r="BR17" s="1">
        <f ca="1">OFFSET(A17,0, 17) -0</f>
        <v>-54.450483048373599</v>
      </c>
      <c r="BS17" s="1">
        <f ca="1">OFFSET(A17,0, 18) -0</f>
        <v>-35.624664466529566</v>
      </c>
      <c r="BT17" s="1">
        <f ca="1">OFFSET(A17,0, 21) -0</f>
        <v>0.85279127900230378</v>
      </c>
      <c r="BU17" s="1">
        <f ca="1">OFFSET(A17,0, 14) -0</f>
        <v>-40.927938793905582</v>
      </c>
      <c r="BV17" s="1">
        <f ca="1">OFFSET(A17,0, 13) -0</f>
        <v>-29.75375737574953</v>
      </c>
      <c r="BW17" s="1">
        <f ca="1">OFFSET(A17,0, 20) -0</f>
        <v>-17.973027302841729</v>
      </c>
      <c r="BX17" s="1">
        <f ca="1">OFFSET(A17,0, 19) -0</f>
        <v>3.2011541153142389</v>
      </c>
      <c r="BY17" s="1">
        <f ca="1">OFFSET(A17,0, 15) -0</f>
        <v>-22.10212021206155</v>
      </c>
      <c r="BZ17" s="1">
        <f ca="1">OFFSET(A17,0, 16) -0</f>
        <v>26.723698369782369</v>
      </c>
      <c r="CB17" s="1">
        <f>COUNTIF(B17,"&lt;-68")</f>
        <v>0</v>
      </c>
      <c r="CC17" s="1">
        <f ca="1">COUNTIF(BC17:BN17,"&lt;-48")</f>
        <v>0</v>
      </c>
      <c r="CD17" s="1">
        <f ca="1">COUNTIF(BC17:BN17,"&gt;+48")</f>
        <v>1</v>
      </c>
      <c r="CE17" s="1">
        <f ca="1">COUNTIF(BO17:BZ17,"&lt;-48")</f>
        <v>1</v>
      </c>
      <c r="CF17" s="1">
        <f ca="1">COUNTIF(BO17:BZ17,"&gt;+48")</f>
        <v>0</v>
      </c>
    </row>
    <row r="18" spans="1:84">
      <c r="A18" s="1">
        <v>15</v>
      </c>
      <c r="B18" s="1">
        <f>'Team A 1'!B18-'Team A 1'!$AA18-('Team A 1'!B$2- 12.5)*'Team A 1'!$AC18</f>
        <v>0.54925930985518789</v>
      </c>
      <c r="C18" s="1">
        <f>'Team A 1'!C18-'Team A 1'!$AA18-('Team A 1'!C$2- 12.5)*'Team A 1'!$AC18</f>
        <v>9.1246860365349676</v>
      </c>
      <c r="D18" s="1">
        <f>'Team A 1'!D18-'Team A 1'!$AA18-('Team A 1'!D$2- 12.5)*'Team A 1'!$AC18</f>
        <v>-42.299887236785253</v>
      </c>
      <c r="E18" s="1">
        <f>'Team A 1'!E18-'Team A 1'!$AA18-('Team A 1'!E$2- 12.5)*'Team A 1'!$AC18</f>
        <v>16.2755394898943</v>
      </c>
      <c r="F18" s="1">
        <f>'Team A 1'!F18-'Team A 1'!$AA18-('Team A 1'!F$2- 12.5)*'Team A 1'!$AC18</f>
        <v>-5.1490337834259208</v>
      </c>
      <c r="G18" s="1">
        <f>'Team A 1'!G18-'Team A 1'!$AA18-('Team A 1'!G$2- 12.5)*'Team A 1'!$AC18</f>
        <v>3.4263929432536315</v>
      </c>
      <c r="H18" s="1">
        <f>'Team A 1'!H18-'Team A 1'!$AA18-('Team A 1'!H$2- 12.5)*'Team A 1'!$AC18</f>
        <v>-7.9981803300665888</v>
      </c>
      <c r="I18" s="1">
        <f>'Team A 1'!I18-'Team A 1'!$AA18-('Team A 1'!I$2- 12.5)*'Team A 1'!$AC18</f>
        <v>30.577246396612964</v>
      </c>
      <c r="J18" s="1">
        <f>'Team A 1'!J18-'Team A 1'!$AA18-('Team A 1'!J$2- 12.5)*'Team A 1'!$AC18</f>
        <v>-0.84732687670725682</v>
      </c>
      <c r="K18" s="1">
        <f>'Team A 1'!K18-'Team A 1'!$AA18-('Team A 1'!K$2- 12.5)*'Team A 1'!$AC18</f>
        <v>7.7280998499723523</v>
      </c>
      <c r="L18" s="1">
        <f>'Team A 1'!L18-'Team A 1'!$AA18-('Team A 1'!L$2- 12.5)*'Team A 1'!$AC18</f>
        <v>-23.696473423347982</v>
      </c>
      <c r="M18" s="1">
        <f>'Team A 1'!M18-'Team A 1'!$AA18-('Team A 1'!M$2- 12.5)*'Team A 1'!$AC18</f>
        <v>4.8789533033316843</v>
      </c>
      <c r="N18" s="1">
        <f>'Team A 1'!N18-'Team A 1'!$AA18-('Team A 1'!N$2- 12.5)*'Team A 1'!$AC18</f>
        <v>-16.54561996998865</v>
      </c>
      <c r="O18" s="1">
        <f>'Team A 1'!O18-'Team A 1'!$AA18-('Team A 1'!O$2- 12.5)*'Team A 1'!$AC18</f>
        <v>-27.970193243308984</v>
      </c>
      <c r="P18" s="1">
        <f>'Team A 1'!P18-'Team A 1'!$AA18-('Team A 1'!P$2- 12.5)*'Team A 1'!$AC18</f>
        <v>20.605233483370682</v>
      </c>
      <c r="Q18" s="1">
        <f>'Team A 1'!Q18-'Team A 1'!$AA18-('Team A 1'!Q$2- 12.5)*'Team A 1'!$AC18</f>
        <v>-20.819339789949709</v>
      </c>
      <c r="R18" s="1">
        <f>'Team A 1'!R18-'Team A 1'!$AA18-('Team A 1'!R$2- 12.5)*'Team A 1'!$AC18</f>
        <v>7.7560869367300711</v>
      </c>
      <c r="S18" s="1">
        <f>'Team A 1'!S18-'Team A 1'!$AA18-('Team A 1'!S$2- 12.5)*'Team A 1'!$AC18</f>
        <v>-13.668486336590377</v>
      </c>
      <c r="T18" s="1">
        <f>'Team A 1'!T18-'Team A 1'!$AA18-('Team A 1'!T$2- 12.5)*'Team A 1'!$AC18</f>
        <v>-35.093059609910597</v>
      </c>
      <c r="U18" s="1">
        <f>'Team A 1'!U18-'Team A 1'!$AA18-('Team A 1'!U$2- 12.5)*'Team A 1'!$AC18</f>
        <v>-26.517632883231045</v>
      </c>
      <c r="V18" s="1">
        <f>'Team A 1'!V18-'Team A 1'!$AA18-('Team A 1'!V$2- 12.5)*'Team A 1'!$AC18</f>
        <v>32.057793843448735</v>
      </c>
      <c r="W18" s="1">
        <f>'Team A 1'!W18-'Team A 1'!$AA18-('Team A 1'!W$2- 12.5)*'Team A 1'!$AC18</f>
        <v>30.633220570128287</v>
      </c>
      <c r="X18" s="1">
        <f>'Team A 1'!X18-'Team A 1'!$AA18-('Team A 1'!X$2- 12.5)*'Team A 1'!$AC18</f>
        <v>29.208647296808067</v>
      </c>
      <c r="Y18" s="1">
        <f>'Team A 1'!Y18-'Team A 1'!$AA18-('Team A 1'!Y$2- 12.5)*'Team A 1'!$AC18</f>
        <v>27.784074023487847</v>
      </c>
      <c r="AB18" s="1">
        <f>STDEV(B18:Y18)</f>
        <v>22.368158122827332</v>
      </c>
      <c r="AD18" s="5">
        <v>7</v>
      </c>
      <c r="AE18" s="5">
        <v>8</v>
      </c>
      <c r="AF18" s="5" t="s">
        <v>47</v>
      </c>
      <c r="AG18" s="5" t="s">
        <v>46</v>
      </c>
      <c r="AH18" s="5">
        <v>5</v>
      </c>
      <c r="AI18" s="5">
        <v>4</v>
      </c>
      <c r="AJ18" s="5">
        <v>9</v>
      </c>
      <c r="AK18" s="5" t="s">
        <v>45</v>
      </c>
      <c r="AL18" s="5">
        <v>1</v>
      </c>
      <c r="AM18" s="5">
        <v>6</v>
      </c>
      <c r="AN18" s="5">
        <v>3</v>
      </c>
      <c r="AO18" s="5">
        <v>2</v>
      </c>
      <c r="AP18" s="5">
        <v>7</v>
      </c>
      <c r="AQ18" s="5" t="s">
        <v>47</v>
      </c>
      <c r="AR18" s="5">
        <v>8</v>
      </c>
      <c r="AS18" s="5">
        <v>5</v>
      </c>
      <c r="AT18" s="5" t="s">
        <v>46</v>
      </c>
      <c r="AU18" s="5">
        <v>9</v>
      </c>
      <c r="AV18" s="5">
        <v>4</v>
      </c>
      <c r="AW18" s="5" t="s">
        <v>45</v>
      </c>
      <c r="AX18" s="5">
        <v>6</v>
      </c>
      <c r="AY18" s="5">
        <v>1</v>
      </c>
      <c r="AZ18" s="5">
        <v>2</v>
      </c>
      <c r="BA18" s="5">
        <v>3</v>
      </c>
      <c r="BB18" s="5"/>
      <c r="BC18" s="1">
        <f ca="1">OFFSET(A18,0, 9) -0</f>
        <v>-0.84732687670725682</v>
      </c>
      <c r="BD18" s="1">
        <f ca="1">OFFSET(A18,0, 12) -0</f>
        <v>4.8789533033316843</v>
      </c>
      <c r="BE18" s="1">
        <f ca="1">OFFSET(A18,0, 11) -0</f>
        <v>-23.696473423347982</v>
      </c>
      <c r="BF18" s="1">
        <f ca="1">OFFSET(A18,0, 6) -0</f>
        <v>3.4263929432536315</v>
      </c>
      <c r="BG18" s="1">
        <f ca="1">OFFSET(A18,0, 5) -0</f>
        <v>-5.1490337834259208</v>
      </c>
      <c r="BH18" s="1">
        <f ca="1">OFFSET(A18,0, 10) -0</f>
        <v>7.7280998499723523</v>
      </c>
      <c r="BI18" s="1">
        <f ca="1">OFFSET(A18,0, 1) -0</f>
        <v>0.54925930985518789</v>
      </c>
      <c r="BJ18" s="1">
        <f ca="1">OFFSET(A18,0, 2) -0</f>
        <v>9.1246860365349676</v>
      </c>
      <c r="BK18" s="1">
        <f ca="1">OFFSET(A18,0, 7) -0</f>
        <v>-7.9981803300665888</v>
      </c>
      <c r="BL18" s="1">
        <f ca="1">OFFSET(A18,0, 8) -0</f>
        <v>30.577246396612964</v>
      </c>
      <c r="BM18" s="1">
        <f ca="1">OFFSET(A18,0, 4) -0</f>
        <v>16.2755394898943</v>
      </c>
      <c r="BN18" s="1">
        <f ca="1">OFFSET(A18,0, 3) -0</f>
        <v>-42.299887236785253</v>
      </c>
      <c r="BO18" s="1">
        <f ca="1">OFFSET(A18,0, 22) -0</f>
        <v>30.633220570128287</v>
      </c>
      <c r="BP18" s="1">
        <f ca="1">OFFSET(A18,0, 23) -0</f>
        <v>29.208647296808067</v>
      </c>
      <c r="BQ18" s="1">
        <f ca="1">OFFSET(A18,0, 24) -0</f>
        <v>27.784074023487847</v>
      </c>
      <c r="BR18" s="1">
        <f ca="1">OFFSET(A18,0, 19) -0</f>
        <v>-35.093059609910597</v>
      </c>
      <c r="BS18" s="1">
        <f ca="1">OFFSET(A18,0, 16) -0</f>
        <v>-20.819339789949709</v>
      </c>
      <c r="BT18" s="1">
        <f ca="1">OFFSET(A18,0, 21) -0</f>
        <v>32.057793843448735</v>
      </c>
      <c r="BU18" s="1">
        <f ca="1">OFFSET(A18,0, 13) -0</f>
        <v>-16.54561996998865</v>
      </c>
      <c r="BV18" s="1">
        <f ca="1">OFFSET(A18,0, 15) -0</f>
        <v>20.605233483370682</v>
      </c>
      <c r="BW18" s="1">
        <f ca="1">OFFSET(A18,0, 18) -0</f>
        <v>-13.668486336590377</v>
      </c>
      <c r="BX18" s="1">
        <f ca="1">OFFSET(A18,0, 20) -0</f>
        <v>-26.517632883231045</v>
      </c>
      <c r="BY18" s="1">
        <f ca="1">OFFSET(A18,0, 17) -0</f>
        <v>7.7560869367300711</v>
      </c>
      <c r="BZ18" s="1">
        <f ca="1">OFFSET(A18,0, 14) -0</f>
        <v>-27.970193243308984</v>
      </c>
      <c r="CB18" s="1">
        <f>COUNTIF(B18,"&lt;-68")</f>
        <v>0</v>
      </c>
      <c r="CC18" s="1">
        <f ca="1">COUNTIF(BC18:BN18,"&lt;-48")</f>
        <v>0</v>
      </c>
      <c r="CD18" s="1">
        <f ca="1">COUNTIF(BC18:BN18,"&gt;+48")</f>
        <v>0</v>
      </c>
      <c r="CE18" s="1">
        <f ca="1">COUNTIF(BO18:BZ18,"&lt;-48")</f>
        <v>0</v>
      </c>
      <c r="CF18" s="1">
        <f ca="1">COUNTIF(BO18:BZ18,"&gt;+48")</f>
        <v>0</v>
      </c>
    </row>
    <row r="19" spans="1:84">
      <c r="A19" s="1">
        <v>16</v>
      </c>
      <c r="B19" s="1">
        <f>'Team A 1'!B19-'Team A 1'!$AA19-('Team A 1'!B$2- 12.5)*'Team A 1'!$AC19</f>
        <v>-7.8822714897096375</v>
      </c>
      <c r="C19" s="1">
        <f>'Team A 1'!C19-'Team A 1'!$AA19-('Team A 1'!C$2- 12.5)*'Team A 1'!$AC19</f>
        <v>-29.407001505096332</v>
      </c>
      <c r="D19" s="1">
        <f>'Team A 1'!D19-'Team A 1'!$AA19-('Team A 1'!D$2- 12.5)*'Team A 1'!$AC19</f>
        <v>-20.931731520483027</v>
      </c>
      <c r="E19" s="1">
        <f>'Team A 1'!E19-'Team A 1'!$AA19-('Team A 1'!E$2- 12.5)*'Team A 1'!$AC19</f>
        <v>7.543538464130279</v>
      </c>
      <c r="F19" s="1">
        <f>'Team A 1'!F19-'Team A 1'!$AA19-('Team A 1'!F$2- 12.5)*'Team A 1'!$AC19</f>
        <v>-3.9811915512566429</v>
      </c>
      <c r="G19" s="1">
        <f>'Team A 1'!G19-'Team A 1'!$AA19-('Team A 1'!G$2- 12.5)*'Team A 1'!$AC19</f>
        <v>-15.505921566643337</v>
      </c>
      <c r="H19" s="1">
        <f>'Team A 1'!H19-'Team A 1'!$AA19-('Team A 1'!H$2- 12.5)*'Team A 1'!$AC19</f>
        <v>12.969348417969968</v>
      </c>
      <c r="I19" s="1">
        <f>'Team A 1'!I19-'Team A 1'!$AA19-('Team A 1'!I$2- 12.5)*'Team A 1'!$AC19</f>
        <v>-28.555381597416726</v>
      </c>
      <c r="J19" s="1">
        <f>'Team A 1'!J19-'Team A 1'!$AA19-('Team A 1'!J$2- 12.5)*'Team A 1'!$AC19</f>
        <v>29.919888387196579</v>
      </c>
      <c r="K19" s="1">
        <f>'Team A 1'!K19-'Team A 1'!$AA19-('Team A 1'!K$2- 12.5)*'Team A 1'!$AC19</f>
        <v>28.395158371809828</v>
      </c>
      <c r="L19" s="1">
        <f>'Team A 1'!L19-'Team A 1'!$AA19-('Team A 1'!L$2- 12.5)*'Team A 1'!$AC19</f>
        <v>-23.129571643576867</v>
      </c>
      <c r="M19" s="1">
        <f>'Team A 1'!M19-'Team A 1'!$AA19-('Team A 1'!M$2- 12.5)*'Team A 1'!$AC19</f>
        <v>25.345698341036396</v>
      </c>
      <c r="N19" s="1">
        <f>'Team A 1'!N19-'Team A 1'!$AA19-('Team A 1'!N$2- 12.5)*'Team A 1'!$AC19</f>
        <v>23.820968325649673</v>
      </c>
      <c r="O19" s="1">
        <f>'Team A 1'!O19-'Team A 1'!$AA19-('Team A 1'!O$2- 12.5)*'Team A 1'!$AC19</f>
        <v>12.296238310262936</v>
      </c>
      <c r="P19" s="1">
        <f>'Team A 1'!P19-'Team A 1'!$AA19-('Team A 1'!P$2- 12.5)*'Team A 1'!$AC19</f>
        <v>-9.2284917051237585</v>
      </c>
      <c r="Q19" s="1">
        <f>'Team A 1'!Q19-'Team A 1'!$AA19-('Team A 1'!Q$2- 12.5)*'Team A 1'!$AC19</f>
        <v>-10.75322172051051</v>
      </c>
      <c r="R19" s="1">
        <f>'Team A 1'!R19-'Team A 1'!$AA19-('Team A 1'!R$2- 12.5)*'Team A 1'!$AC19</f>
        <v>-32.277951735897204</v>
      </c>
      <c r="S19" s="1">
        <f>'Team A 1'!S19-'Team A 1'!$AA19-('Team A 1'!S$2- 12.5)*'Team A 1'!$AC19</f>
        <v>-83.802681751283899</v>
      </c>
      <c r="T19" s="1">
        <f>'Team A 1'!T19-'Team A 1'!$AA19-('Team A 1'!T$2- 12.5)*'Team A 1'!$AC19</f>
        <v>-45.327411766670593</v>
      </c>
      <c r="U19" s="1">
        <f>'Team A 1'!U19-'Team A 1'!$AA19-('Team A 1'!U$2- 12.5)*'Team A 1'!$AC19</f>
        <v>3.1478582179427121</v>
      </c>
      <c r="V19" s="1">
        <f>'Team A 1'!V19-'Team A 1'!$AA19-('Team A 1'!V$2- 12.5)*'Team A 1'!$AC19</f>
        <v>21.62312820255579</v>
      </c>
      <c r="W19" s="1">
        <f>'Team A 1'!W19-'Team A 1'!$AA19-('Team A 1'!W$2- 12.5)*'Team A 1'!$AC19</f>
        <v>40.098398187169096</v>
      </c>
      <c r="X19" s="1">
        <f>'Team A 1'!X19-'Team A 1'!$AA19-('Team A 1'!X$2- 12.5)*'Team A 1'!$AC19</f>
        <v>48.573668171782401</v>
      </c>
      <c r="Y19" s="1">
        <f>'Team A 1'!Y19-'Team A 1'!$AA19-('Team A 1'!Y$2- 12.5)*'Team A 1'!$AC19</f>
        <v>57.048938156395707</v>
      </c>
      <c r="AB19" s="1">
        <f>STDEV(B19:Y19)</f>
        <v>32.490000735574277</v>
      </c>
      <c r="AD19" s="5" t="s">
        <v>47</v>
      </c>
      <c r="AE19" s="5">
        <v>7</v>
      </c>
      <c r="AF19" s="5">
        <v>5</v>
      </c>
      <c r="AG19" s="5">
        <v>8</v>
      </c>
      <c r="AH19" s="5">
        <v>9</v>
      </c>
      <c r="AI19" s="5" t="s">
        <v>46</v>
      </c>
      <c r="AJ19" s="5" t="s">
        <v>45</v>
      </c>
      <c r="AK19" s="5">
        <v>4</v>
      </c>
      <c r="AL19" s="5">
        <v>1</v>
      </c>
      <c r="AM19" s="5">
        <v>6</v>
      </c>
      <c r="AN19" s="5">
        <v>3</v>
      </c>
      <c r="AO19" s="5">
        <v>2</v>
      </c>
      <c r="AP19" s="5">
        <v>7</v>
      </c>
      <c r="AQ19" s="5" t="s">
        <v>47</v>
      </c>
      <c r="AR19" s="5">
        <v>8</v>
      </c>
      <c r="AS19" s="5">
        <v>5</v>
      </c>
      <c r="AT19" s="5" t="s">
        <v>46</v>
      </c>
      <c r="AU19" s="5">
        <v>9</v>
      </c>
      <c r="AV19" s="5" t="s">
        <v>45</v>
      </c>
      <c r="AW19" s="5">
        <v>1</v>
      </c>
      <c r="AX19" s="5">
        <v>4</v>
      </c>
      <c r="AY19" s="5">
        <v>6</v>
      </c>
      <c r="AZ19" s="5">
        <v>2</v>
      </c>
      <c r="BA19" s="5">
        <v>3</v>
      </c>
      <c r="BB19" s="5"/>
      <c r="BC19" s="1">
        <f ca="1">OFFSET(A19,0, 9) -0</f>
        <v>29.919888387196579</v>
      </c>
      <c r="BD19" s="1">
        <f ca="1">OFFSET(A19,0, 12) -0</f>
        <v>25.345698341036396</v>
      </c>
      <c r="BE19" s="1">
        <f ca="1">OFFSET(A19,0, 11) -0</f>
        <v>-23.129571643576867</v>
      </c>
      <c r="BF19" s="1">
        <f ca="1">OFFSET(A19,0, 8) -0</f>
        <v>-28.555381597416726</v>
      </c>
      <c r="BG19" s="1">
        <f ca="1">OFFSET(A19,0, 3) -0</f>
        <v>-20.931731520483027</v>
      </c>
      <c r="BH19" s="1">
        <f ca="1">OFFSET(A19,0, 10) -0</f>
        <v>28.395158371809828</v>
      </c>
      <c r="BI19" s="1">
        <f ca="1">OFFSET(A19,0, 2) -0</f>
        <v>-29.407001505096332</v>
      </c>
      <c r="BJ19" s="1">
        <f ca="1">OFFSET(A19,0, 4) -0</f>
        <v>7.543538464130279</v>
      </c>
      <c r="BK19" s="1">
        <f ca="1">OFFSET(A19,0, 5) -0</f>
        <v>-3.9811915512566429</v>
      </c>
      <c r="BL19" s="1">
        <f ca="1">OFFSET(A19,0, 7) -0</f>
        <v>12.969348417969968</v>
      </c>
      <c r="BM19" s="1">
        <f ca="1">OFFSET(A19,0, 6) -0</f>
        <v>-15.505921566643337</v>
      </c>
      <c r="BN19" s="1">
        <f ca="1">OFFSET(A19,0, 1) -0</f>
        <v>-7.8822714897096375</v>
      </c>
      <c r="BO19" s="1">
        <f ca="1">OFFSET(A19,0, 20) -0</f>
        <v>3.1478582179427121</v>
      </c>
      <c r="BP19" s="1">
        <f ca="1">OFFSET(A19,0, 23) -0</f>
        <v>48.573668171782401</v>
      </c>
      <c r="BQ19" s="1">
        <f ca="1">OFFSET(A19,0, 24) -0</f>
        <v>57.048938156395707</v>
      </c>
      <c r="BR19" s="1">
        <f ca="1">OFFSET(A19,0, 21) -0</f>
        <v>21.62312820255579</v>
      </c>
      <c r="BS19" s="1">
        <f ca="1">OFFSET(A19,0, 16) -0</f>
        <v>-10.75322172051051</v>
      </c>
      <c r="BT19" s="1">
        <f ca="1">OFFSET(A19,0, 22) -0</f>
        <v>40.098398187169096</v>
      </c>
      <c r="BU19" s="1">
        <f ca="1">OFFSET(A19,0, 13) -0</f>
        <v>23.820968325649673</v>
      </c>
      <c r="BV19" s="1">
        <f ca="1">OFFSET(A19,0, 15) -0</f>
        <v>-9.2284917051237585</v>
      </c>
      <c r="BW19" s="1">
        <f ca="1">OFFSET(A19,0, 18) -0</f>
        <v>-83.802681751283899</v>
      </c>
      <c r="BX19" s="1">
        <f ca="1">OFFSET(A19,0, 19) -0</f>
        <v>-45.327411766670593</v>
      </c>
      <c r="BY19" s="1">
        <f ca="1">OFFSET(A19,0, 17) -0</f>
        <v>-32.277951735897204</v>
      </c>
      <c r="BZ19" s="1">
        <f ca="1">OFFSET(A19,0, 14) -0</f>
        <v>12.296238310262936</v>
      </c>
      <c r="CB19" s="1">
        <f>COUNTIF(B19,"&lt;-68")</f>
        <v>0</v>
      </c>
      <c r="CC19" s="1">
        <f ca="1">COUNTIF(BC19:BN19,"&lt;-48")</f>
        <v>0</v>
      </c>
      <c r="CD19" s="1">
        <f ca="1">COUNTIF(BC19:BN19,"&gt;+48")</f>
        <v>0</v>
      </c>
      <c r="CE19" s="1">
        <f ca="1">COUNTIF(BO19:BZ19,"&lt;-48")</f>
        <v>1</v>
      </c>
      <c r="CF19" s="1">
        <f ca="1">COUNTIF(BO19:BZ19,"&gt;+48")</f>
        <v>2</v>
      </c>
    </row>
    <row r="20" spans="1:84">
      <c r="A20" s="1">
        <v>17</v>
      </c>
      <c r="B20" s="1">
        <f>'Team A 1'!B20-'Team A 1'!$AA20-('Team A 1'!B$2- 12.5)*'Team A 1'!$AC20</f>
        <v>46.785975779264845</v>
      </c>
      <c r="C20" s="1">
        <f>'Team A 1'!C20-'Team A 1'!$AA20-('Team A 1'!C$2- 12.5)*'Team A 1'!$AC20</f>
        <v>-15.289616317483478</v>
      </c>
      <c r="D20" s="1">
        <f>'Team A 1'!D20-'Team A 1'!$AA20-('Team A 1'!D$2- 12.5)*'Team A 1'!$AC20</f>
        <v>-17.365208414232029</v>
      </c>
      <c r="E20" s="1">
        <f>'Team A 1'!E20-'Team A 1'!$AA20-('Team A 1'!E$2- 12.5)*'Team A 1'!$AC20</f>
        <v>0.55919948901942007</v>
      </c>
      <c r="F20" s="1">
        <f>'Team A 1'!F20-'Team A 1'!$AA20-('Team A 1'!F$2- 12.5)*'Team A 1'!$AC20</f>
        <v>8.4836073922708692</v>
      </c>
      <c r="G20" s="1">
        <f>'Team A 1'!G20-'Team A 1'!$AA20-('Team A 1'!G$2- 12.5)*'Team A 1'!$AC20</f>
        <v>-3.5919847044776816</v>
      </c>
      <c r="H20" s="1">
        <f>'Team A 1'!H20-'Team A 1'!$AA20-('Team A 1'!H$2- 12.5)*'Team A 1'!$AC20</f>
        <v>-5.6675768012262324</v>
      </c>
      <c r="I20" s="1">
        <f>'Team A 1'!I20-'Team A 1'!$AA20-('Team A 1'!I$2- 12.5)*'Team A 1'!$AC20</f>
        <v>-17.74316889797467</v>
      </c>
      <c r="J20" s="1">
        <f>'Team A 1'!J20-'Team A 1'!$AA20-('Team A 1'!J$2- 12.5)*'Team A 1'!$AC20</f>
        <v>-19.81876099472322</v>
      </c>
      <c r="K20" s="1">
        <f>'Team A 1'!K20-'Team A 1'!$AA20-('Team A 1'!K$2- 12.5)*'Team A 1'!$AC20</f>
        <v>-11.894353091471714</v>
      </c>
      <c r="L20" s="1">
        <f>'Team A 1'!L20-'Team A 1'!$AA20-('Team A 1'!L$2- 12.5)*'Team A 1'!$AC20</f>
        <v>-33.969945188220265</v>
      </c>
      <c r="M20" s="1">
        <f>'Team A 1'!M20-'Team A 1'!$AA20-('Team A 1'!M$2- 12.5)*'Team A 1'!$AC20</f>
        <v>-16.045537284968773</v>
      </c>
      <c r="N20" s="1">
        <f>'Team A 1'!N20-'Team A 1'!$AA20-('Team A 1'!N$2- 12.5)*'Team A 1'!$AC20</f>
        <v>31.878870618282704</v>
      </c>
      <c r="O20" s="1">
        <f>'Team A 1'!O20-'Team A 1'!$AA20-('Team A 1'!O$2- 12.5)*'Team A 1'!$AC20</f>
        <v>9.803278521534196</v>
      </c>
      <c r="P20" s="1">
        <f>'Team A 1'!P20-'Team A 1'!$AA20-('Team A 1'!P$2- 12.5)*'Team A 1'!$AC20</f>
        <v>7.7276864247856452</v>
      </c>
      <c r="Q20" s="1">
        <f>'Team A 1'!Q20-'Team A 1'!$AA20-('Team A 1'!Q$2- 12.5)*'Team A 1'!$AC20</f>
        <v>15.652094328037151</v>
      </c>
      <c r="R20" s="1">
        <f>'Team A 1'!R20-'Team A 1'!$AA20-('Team A 1'!R$2- 12.5)*'Team A 1'!$AC20</f>
        <v>13.5765022312886</v>
      </c>
      <c r="S20" s="1">
        <f>'Team A 1'!S20-'Team A 1'!$AA20-('Team A 1'!S$2- 12.5)*'Team A 1'!$AC20</f>
        <v>-28.499089865459837</v>
      </c>
      <c r="T20" s="1">
        <f>'Team A 1'!T20-'Team A 1'!$AA20-('Team A 1'!T$2- 12.5)*'Team A 1'!$AC20</f>
        <v>-50.574681962208388</v>
      </c>
      <c r="U20" s="1">
        <f>'Team A 1'!U20-'Team A 1'!$AA20-('Team A 1'!U$2- 12.5)*'Team A 1'!$AC20</f>
        <v>7.3497259410430615</v>
      </c>
      <c r="V20" s="1">
        <f>'Team A 1'!V20-'Team A 1'!$AA20-('Team A 1'!V$2- 12.5)*'Team A 1'!$AC20</f>
        <v>15.274133844294511</v>
      </c>
      <c r="W20" s="1">
        <f>'Team A 1'!W20-'Team A 1'!$AA20-('Team A 1'!W$2- 12.5)*'Team A 1'!$AC20</f>
        <v>3.1985417475459599</v>
      </c>
      <c r="X20" s="1">
        <f>'Team A 1'!X20-'Team A 1'!$AA20-('Team A 1'!X$2- 12.5)*'Team A 1'!$AC20</f>
        <v>21.122949650797409</v>
      </c>
      <c r="Y20" s="1">
        <f>'Team A 1'!Y20-'Team A 1'!$AA20-('Team A 1'!Y$2- 12.5)*'Team A 1'!$AC20</f>
        <v>39.047357554049086</v>
      </c>
      <c r="AB20" s="1">
        <f>STDEV(B20:Y20)</f>
        <v>23.164691210802633</v>
      </c>
      <c r="AD20" s="5" t="s">
        <v>47</v>
      </c>
      <c r="AE20" s="5">
        <v>7</v>
      </c>
      <c r="AF20" s="5">
        <v>5</v>
      </c>
      <c r="AG20" s="5">
        <v>8</v>
      </c>
      <c r="AH20" s="5">
        <v>9</v>
      </c>
      <c r="AI20" s="5" t="s">
        <v>46</v>
      </c>
      <c r="AJ20" s="5">
        <v>1</v>
      </c>
      <c r="AK20" s="5" t="s">
        <v>45</v>
      </c>
      <c r="AL20" s="5">
        <v>6</v>
      </c>
      <c r="AM20" s="5">
        <v>4</v>
      </c>
      <c r="AN20" s="5">
        <v>3</v>
      </c>
      <c r="AO20" s="5">
        <v>2</v>
      </c>
      <c r="AP20" s="5" t="s">
        <v>47</v>
      </c>
      <c r="AQ20" s="5">
        <v>5</v>
      </c>
      <c r="AR20" s="5">
        <v>7</v>
      </c>
      <c r="AS20" s="5">
        <v>9</v>
      </c>
      <c r="AT20" s="5">
        <v>8</v>
      </c>
      <c r="AU20" s="5" t="s">
        <v>46</v>
      </c>
      <c r="AV20" s="5" t="s">
        <v>45</v>
      </c>
      <c r="AW20" s="5">
        <v>1</v>
      </c>
      <c r="AX20" s="5">
        <v>6</v>
      </c>
      <c r="AY20" s="5">
        <v>3</v>
      </c>
      <c r="AZ20" s="5">
        <v>4</v>
      </c>
      <c r="BA20" s="5">
        <v>2</v>
      </c>
      <c r="BB20" s="5"/>
      <c r="BC20" s="1">
        <f ca="1">OFFSET(A20,0, 7) -0</f>
        <v>-5.6675768012262324</v>
      </c>
      <c r="BD20" s="1">
        <f ca="1">OFFSET(A20,0, 12) -0</f>
        <v>-16.045537284968773</v>
      </c>
      <c r="BE20" s="1">
        <f ca="1">OFFSET(A20,0, 11) -0</f>
        <v>-33.969945188220265</v>
      </c>
      <c r="BF20" s="1">
        <f ca="1">OFFSET(A20,0, 10) -0</f>
        <v>-11.894353091471714</v>
      </c>
      <c r="BG20" s="1">
        <f ca="1">OFFSET(A20,0, 3) -0</f>
        <v>-17.365208414232029</v>
      </c>
      <c r="BH20" s="1">
        <f ca="1">OFFSET(A20,0, 9) -0</f>
        <v>-19.81876099472322</v>
      </c>
      <c r="BI20" s="1">
        <f ca="1">OFFSET(A20,0, 2) -0</f>
        <v>-15.289616317483478</v>
      </c>
      <c r="BJ20" s="1">
        <f ca="1">OFFSET(A20,0, 4) -0</f>
        <v>0.55919948901942007</v>
      </c>
      <c r="BK20" s="1">
        <f ca="1">OFFSET(A20,0, 5) -0</f>
        <v>8.4836073922708692</v>
      </c>
      <c r="BL20" s="1">
        <f ca="1">OFFSET(A20,0, 8) -0</f>
        <v>-17.74316889797467</v>
      </c>
      <c r="BM20" s="1">
        <f ca="1">OFFSET(A20,0, 6) -0</f>
        <v>-3.5919847044776816</v>
      </c>
      <c r="BN20" s="1">
        <f ca="1">OFFSET(A20,0, 1) -0</f>
        <v>46.785975779264845</v>
      </c>
      <c r="BO20" s="1">
        <f ca="1">OFFSET(A20,0, 20) -0</f>
        <v>7.3497259410430615</v>
      </c>
      <c r="BP20" s="1">
        <f ca="1">OFFSET(A20,0, 24) -0</f>
        <v>39.047357554049086</v>
      </c>
      <c r="BQ20" s="1">
        <f ca="1">OFFSET(A20,0, 22) -0</f>
        <v>3.1985417475459599</v>
      </c>
      <c r="BR20" s="1">
        <f ca="1">OFFSET(A20,0, 23) -0</f>
        <v>21.122949650797409</v>
      </c>
      <c r="BS20" s="1">
        <f ca="1">OFFSET(A20,0, 14) -0</f>
        <v>9.803278521534196</v>
      </c>
      <c r="BT20" s="1">
        <f ca="1">OFFSET(A20,0, 21) -0</f>
        <v>15.274133844294511</v>
      </c>
      <c r="BU20" s="1">
        <f ca="1">OFFSET(A20,0, 15) -0</f>
        <v>7.7276864247856452</v>
      </c>
      <c r="BV20" s="1">
        <f ca="1">OFFSET(A20,0, 17) -0</f>
        <v>13.5765022312886</v>
      </c>
      <c r="BW20" s="1">
        <f ca="1">OFFSET(A20,0, 16) -0</f>
        <v>15.652094328037151</v>
      </c>
      <c r="BX20" s="1">
        <f ca="1">OFFSET(A20,0, 19) -0</f>
        <v>-50.574681962208388</v>
      </c>
      <c r="BY20" s="1">
        <f ca="1">OFFSET(A20,0, 18) -0</f>
        <v>-28.499089865459837</v>
      </c>
      <c r="BZ20" s="1">
        <f ca="1">OFFSET(A20,0, 13) -0</f>
        <v>31.878870618282704</v>
      </c>
      <c r="CB20" s="1">
        <f>COUNTIF(B20,"&lt;-68")</f>
        <v>0</v>
      </c>
      <c r="CC20" s="1">
        <f ca="1">COUNTIF(BC20:BN20,"&lt;-48")</f>
        <v>0</v>
      </c>
      <c r="CD20" s="1">
        <f ca="1">COUNTIF(BC20:BN20,"&gt;+48")</f>
        <v>0</v>
      </c>
      <c r="CE20" s="1">
        <f ca="1">COUNTIF(BO20:BZ20,"&lt;-48")</f>
        <v>1</v>
      </c>
      <c r="CF20" s="1">
        <f ca="1">COUNTIF(BO20:BZ20,"&gt;+48")</f>
        <v>0</v>
      </c>
    </row>
    <row r="21" spans="1:84">
      <c r="A21" s="1">
        <v>18</v>
      </c>
      <c r="B21" s="1">
        <f>'Team A 1'!B21-'Team A 1'!$AA21-('Team A 1'!B$2- 12.5)*'Team A 1'!$AC21</f>
        <v>1.3343627021022257</v>
      </c>
      <c r="C21" s="1">
        <f>'Team A 1'!C21-'Team A 1'!$AA21-('Team A 1'!C$2- 12.5)*'Team A 1'!$AC21</f>
        <v>9.1168818874277804</v>
      </c>
      <c r="D21" s="1">
        <f>'Team A 1'!D21-'Team A 1'!$AA21-('Team A 1'!D$2- 12.5)*'Team A 1'!$AC21</f>
        <v>-23.10059892724712</v>
      </c>
      <c r="E21" s="1">
        <f>'Team A 1'!E21-'Team A 1'!$AA21-('Team A 1'!E$2- 12.5)*'Team A 1'!$AC21</f>
        <v>14.681920258078208</v>
      </c>
      <c r="F21" s="1">
        <f>'Team A 1'!F21-'Team A 1'!$AA21-('Team A 1'!F$2- 12.5)*'Team A 1'!$AC21</f>
        <v>-7.5355605565964652</v>
      </c>
      <c r="G21" s="1">
        <f>'Team A 1'!G21-'Team A 1'!$AA21-('Team A 1'!G$2- 12.5)*'Team A 1'!$AC21</f>
        <v>-29.753041371271138</v>
      </c>
      <c r="H21" s="1">
        <f>'Team A 1'!H21-'Team A 1'!$AA21-('Team A 1'!H$2- 12.5)*'Team A 1'!$AC21</f>
        <v>8.029477814053962</v>
      </c>
      <c r="I21" s="1">
        <f>'Team A 1'!I21-'Team A 1'!$AA21-('Team A 1'!I$2- 12.5)*'Team A 1'!$AC21</f>
        <v>-4.1880030006207107</v>
      </c>
      <c r="J21" s="1">
        <f>'Team A 1'!J21-'Team A 1'!$AA21-('Team A 1'!J$2- 12.5)*'Team A 1'!$AC21</f>
        <v>-26.405483815295383</v>
      </c>
      <c r="K21" s="1">
        <f>'Team A 1'!K21-'Team A 1'!$AA21-('Team A 1'!K$2- 12.5)*'Team A 1'!$AC21</f>
        <v>-8.6229646299701699</v>
      </c>
      <c r="L21" s="1">
        <f>'Team A 1'!L21-'Team A 1'!$AA21-('Team A 1'!L$2- 12.5)*'Team A 1'!$AC21</f>
        <v>-0.84044544464484261</v>
      </c>
      <c r="M21" s="1">
        <f>'Team A 1'!M21-'Team A 1'!$AA21-('Team A 1'!M$2- 12.5)*'Team A 1'!$AC21</f>
        <v>46.942073740680399</v>
      </c>
      <c r="N21" s="1">
        <f>'Team A 1'!N21-'Team A 1'!$AA21-('Team A 1'!N$2- 12.5)*'Team A 1'!$AC21</f>
        <v>-5.2754070739943302</v>
      </c>
      <c r="O21" s="1">
        <f>'Team A 1'!O21-'Team A 1'!$AA21-('Team A 1'!O$2- 12.5)*'Team A 1'!$AC21</f>
        <v>12.507112111330912</v>
      </c>
      <c r="P21" s="1">
        <f>'Team A 1'!P21-'Team A 1'!$AA21-('Team A 1'!P$2- 12.5)*'Team A 1'!$AC21</f>
        <v>0.2896312966562391</v>
      </c>
      <c r="Q21" s="1">
        <f>'Team A 1'!Q21-'Team A 1'!$AA21-('Team A 1'!Q$2- 12.5)*'Team A 1'!$AC21</f>
        <v>-31.927849518018547</v>
      </c>
      <c r="R21" s="1">
        <f>'Team A 1'!R21-'Team A 1'!$AA21-('Team A 1'!R$2- 12.5)*'Team A 1'!$AC21</f>
        <v>-34.14533033269322</v>
      </c>
      <c r="S21" s="1">
        <f>'Team A 1'!S21-'Team A 1'!$AA21-('Team A 1'!S$2- 12.5)*'Team A 1'!$AC21</f>
        <v>3.6371888526321072</v>
      </c>
      <c r="T21" s="1">
        <f>'Team A 1'!T21-'Team A 1'!$AA21-('Team A 1'!T$2- 12.5)*'Team A 1'!$AC21</f>
        <v>-18.580291962042793</v>
      </c>
      <c r="U21" s="1">
        <f>'Team A 1'!U21-'Team A 1'!$AA21-('Team A 1'!U$2- 12.5)*'Team A 1'!$AC21</f>
        <v>9.2022272232825344</v>
      </c>
      <c r="V21" s="1">
        <f>'Team A 1'!V21-'Team A 1'!$AA21-('Team A 1'!V$2- 12.5)*'Team A 1'!$AC21</f>
        <v>-23.015253591392138</v>
      </c>
      <c r="W21" s="1">
        <f>'Team A 1'!W21-'Team A 1'!$AA21-('Team A 1'!W$2- 12.5)*'Team A 1'!$AC21</f>
        <v>14.767265593933189</v>
      </c>
      <c r="X21" s="1">
        <f>'Team A 1'!X21-'Team A 1'!$AA21-('Team A 1'!X$2- 12.5)*'Team A 1'!$AC21</f>
        <v>42.549784779258289</v>
      </c>
      <c r="Y21" s="1">
        <f>'Team A 1'!Y21-'Team A 1'!$AA21-('Team A 1'!Y$2- 12.5)*'Team A 1'!$AC21</f>
        <v>50.332303964583843</v>
      </c>
      <c r="AB21" s="1">
        <f>STDEV(B21:Y21)</f>
        <v>23.533854895341122</v>
      </c>
      <c r="AD21" s="5">
        <v>5</v>
      </c>
      <c r="AE21" s="5" t="s">
        <v>47</v>
      </c>
      <c r="AF21" s="5">
        <v>9</v>
      </c>
      <c r="AG21" s="5">
        <v>7</v>
      </c>
      <c r="AH21" s="5" t="s">
        <v>46</v>
      </c>
      <c r="AI21" s="5">
        <v>8</v>
      </c>
      <c r="AJ21" s="5">
        <v>1</v>
      </c>
      <c r="AK21" s="5" t="s">
        <v>45</v>
      </c>
      <c r="AL21" s="5">
        <v>3</v>
      </c>
      <c r="AM21" s="5">
        <v>6</v>
      </c>
      <c r="AN21" s="5">
        <v>2</v>
      </c>
      <c r="AO21" s="5">
        <v>4</v>
      </c>
      <c r="AP21" s="5" t="s">
        <v>47</v>
      </c>
      <c r="AQ21" s="5">
        <v>5</v>
      </c>
      <c r="AR21" s="5">
        <v>7</v>
      </c>
      <c r="AS21" s="5">
        <v>9</v>
      </c>
      <c r="AT21" s="5" t="s">
        <v>46</v>
      </c>
      <c r="AU21" s="5">
        <v>1</v>
      </c>
      <c r="AV21" s="5">
        <v>8</v>
      </c>
      <c r="AW21" s="5" t="s">
        <v>45</v>
      </c>
      <c r="AX21" s="5">
        <v>6</v>
      </c>
      <c r="AY21" s="5">
        <v>3</v>
      </c>
      <c r="AZ21" s="5">
        <v>4</v>
      </c>
      <c r="BA21" s="5">
        <v>2</v>
      </c>
      <c r="BB21" s="5"/>
      <c r="BC21" s="1">
        <f ca="1">OFFSET(A21,0, 7) -0</f>
        <v>8.029477814053962</v>
      </c>
      <c r="BD21" s="1">
        <f ca="1">OFFSET(A21,0, 11) -0</f>
        <v>-0.84044544464484261</v>
      </c>
      <c r="BE21" s="1">
        <f ca="1">OFFSET(A21,0, 9) -0</f>
        <v>-26.405483815295383</v>
      </c>
      <c r="BF21" s="1">
        <f ca="1">OFFSET(A21,0, 12) -0</f>
        <v>46.942073740680399</v>
      </c>
      <c r="BG21" s="1">
        <f ca="1">OFFSET(A21,0, 1) -0</f>
        <v>1.3343627021022257</v>
      </c>
      <c r="BH21" s="1">
        <f ca="1">OFFSET(A21,0, 10) -0</f>
        <v>-8.6229646299701699</v>
      </c>
      <c r="BI21" s="1">
        <f ca="1">OFFSET(A21,0, 4) -0</f>
        <v>14.681920258078208</v>
      </c>
      <c r="BJ21" s="1">
        <f ca="1">OFFSET(A21,0, 6) -0</f>
        <v>-29.753041371271138</v>
      </c>
      <c r="BK21" s="1">
        <f ca="1">OFFSET(A21,0, 3) -0</f>
        <v>-23.10059892724712</v>
      </c>
      <c r="BL21" s="1">
        <f ca="1">OFFSET(A21,0, 8) -0</f>
        <v>-4.1880030006207107</v>
      </c>
      <c r="BM21" s="1">
        <f ca="1">OFFSET(A21,0, 5) -0</f>
        <v>-7.5355605565964652</v>
      </c>
      <c r="BN21" s="1">
        <f ca="1">OFFSET(A21,0, 2) -0</f>
        <v>9.1168818874277804</v>
      </c>
      <c r="BO21" s="1">
        <f ca="1">OFFSET(A21,0, 18) -0</f>
        <v>3.6371888526321072</v>
      </c>
      <c r="BP21" s="1">
        <f ca="1">OFFSET(A21,0, 24) -0</f>
        <v>50.332303964583843</v>
      </c>
      <c r="BQ21" s="1">
        <f ca="1">OFFSET(A21,0, 22) -0</f>
        <v>14.767265593933189</v>
      </c>
      <c r="BR21" s="1">
        <f ca="1">OFFSET(A21,0, 23) -0</f>
        <v>42.549784779258289</v>
      </c>
      <c r="BS21" s="1">
        <f ca="1">OFFSET(A21,0, 14) -0</f>
        <v>12.507112111330912</v>
      </c>
      <c r="BT21" s="1">
        <f ca="1">OFFSET(A21,0, 21) -0</f>
        <v>-23.015253591392138</v>
      </c>
      <c r="BU21" s="1">
        <f ca="1">OFFSET(A21,0, 15) -0</f>
        <v>0.2896312966562391</v>
      </c>
      <c r="BV21" s="1">
        <f ca="1">OFFSET(A21,0, 19) -0</f>
        <v>-18.580291962042793</v>
      </c>
      <c r="BW21" s="1">
        <f ca="1">OFFSET(A21,0, 16) -0</f>
        <v>-31.927849518018547</v>
      </c>
      <c r="BX21" s="1">
        <f ca="1">OFFSET(A21,0, 20) -0</f>
        <v>9.2022272232825344</v>
      </c>
      <c r="BY21" s="1">
        <f ca="1">OFFSET(A21,0, 17) -0</f>
        <v>-34.14533033269322</v>
      </c>
      <c r="BZ21" s="1">
        <f ca="1">OFFSET(A21,0, 13) -0</f>
        <v>-5.2754070739943302</v>
      </c>
      <c r="CB21" s="1">
        <f>COUNTIF(B21,"&lt;-68")</f>
        <v>0</v>
      </c>
      <c r="CC21" s="1">
        <f ca="1">COUNTIF(BC21:BN21,"&lt;-48")</f>
        <v>0</v>
      </c>
      <c r="CD21" s="1">
        <f ca="1">COUNTIF(BC21:BN21,"&gt;+48")</f>
        <v>0</v>
      </c>
      <c r="CE21" s="1">
        <f ca="1">COUNTIF(BO21:BZ21,"&lt;-48")</f>
        <v>0</v>
      </c>
      <c r="CF21" s="1">
        <f ca="1">COUNTIF(BO21:BZ21,"&gt;+48")</f>
        <v>1</v>
      </c>
    </row>
    <row r="22" spans="1:84">
      <c r="A22" s="1">
        <v>19</v>
      </c>
      <c r="B22" s="1">
        <f>'Team A 1'!B22-'Team A 1'!$AA22-('Team A 1'!B$2- 12.5)*'Team A 1'!$AC22</f>
        <v>46.807638659220629</v>
      </c>
      <c r="C22" s="1">
        <f>'Team A 1'!C22-'Team A 1'!$AA22-('Team A 1'!C$2- 12.5)*'Team A 1'!$AC22</f>
        <v>14.222916456970324</v>
      </c>
      <c r="D22" s="1">
        <f>'Team A 1'!D22-'Team A 1'!$AA22-('Team A 1'!D$2- 12.5)*'Team A 1'!$AC22</f>
        <v>11.63819425472002</v>
      </c>
      <c r="E22" s="1">
        <f>'Team A 1'!E22-'Team A 1'!$AA22-('Team A 1'!E$2- 12.5)*'Team A 1'!$AC22</f>
        <v>49.053472052469942</v>
      </c>
      <c r="F22" s="1">
        <f>'Team A 1'!F22-'Team A 1'!$AA22-('Team A 1'!F$2- 12.5)*'Team A 1'!$AC22</f>
        <v>-13.531250149780362</v>
      </c>
      <c r="G22" s="1">
        <f>'Team A 1'!G22-'Team A 1'!$AA22-('Team A 1'!G$2- 12.5)*'Team A 1'!$AC22</f>
        <v>-26.11597235203044</v>
      </c>
      <c r="H22" s="1">
        <f>'Team A 1'!H22-'Team A 1'!$AA22-('Team A 1'!H$2- 12.5)*'Team A 1'!$AC22</f>
        <v>-18.700694554280744</v>
      </c>
      <c r="I22" s="1">
        <f>'Team A 1'!I22-'Team A 1'!$AA22-('Team A 1'!I$2- 12.5)*'Team A 1'!$AC22</f>
        <v>-41.285416756530935</v>
      </c>
      <c r="J22" s="1">
        <f>'Team A 1'!J22-'Team A 1'!$AA22-('Team A 1'!J$2- 12.5)*'Team A 1'!$AC22</f>
        <v>-3.87013895878124</v>
      </c>
      <c r="K22" s="1">
        <f>'Team A 1'!K22-'Team A 1'!$AA22-('Team A 1'!K$2- 12.5)*'Team A 1'!$AC22</f>
        <v>-6.454861161031431</v>
      </c>
      <c r="L22" s="1">
        <f>'Team A 1'!L22-'Team A 1'!$AA22-('Team A 1'!L$2- 12.5)*'Team A 1'!$AC22</f>
        <v>0.96041663671837796</v>
      </c>
      <c r="M22" s="1">
        <f>'Team A 1'!M22-'Team A 1'!$AA22-('Team A 1'!M$2- 12.5)*'Team A 1'!$AC22</f>
        <v>8.3756944344681443</v>
      </c>
      <c r="N22" s="1">
        <f>'Team A 1'!N22-'Team A 1'!$AA22-('Team A 1'!N$2- 12.5)*'Team A 1'!$AC22</f>
        <v>-14.209027767782075</v>
      </c>
      <c r="O22" s="1">
        <f>'Team A 1'!O22-'Team A 1'!$AA22-('Team A 1'!O$2- 12.5)*'Team A 1'!$AC22</f>
        <v>-6.7937499700323087</v>
      </c>
      <c r="P22" s="1">
        <f>'Team A 1'!P22-'Team A 1'!$AA22-('Team A 1'!P$2- 12.5)*'Team A 1'!$AC22</f>
        <v>-9.3784721722824997</v>
      </c>
      <c r="Q22" s="1">
        <f>'Team A 1'!Q22-'Team A 1'!$AA22-('Team A 1'!Q$2- 12.5)*'Team A 1'!$AC22</f>
        <v>8.0368056254673093</v>
      </c>
      <c r="R22" s="1">
        <f>'Team A 1'!R22-'Team A 1'!$AA22-('Team A 1'!R$2- 12.5)*'Team A 1'!$AC22</f>
        <v>15.452083423217005</v>
      </c>
      <c r="S22" s="1">
        <f>'Team A 1'!S22-'Team A 1'!$AA22-('Team A 1'!S$2- 12.5)*'Team A 1'!$AC22</f>
        <v>12.867361220966814</v>
      </c>
      <c r="T22" s="1">
        <f>'Team A 1'!T22-'Team A 1'!$AA22-('Team A 1'!T$2- 12.5)*'Team A 1'!$AC22</f>
        <v>-29.717360981283491</v>
      </c>
      <c r="U22" s="1">
        <f>'Team A 1'!U22-'Team A 1'!$AA22-('Team A 1'!U$2- 12.5)*'Team A 1'!$AC22</f>
        <v>27.697916816466432</v>
      </c>
      <c r="V22" s="1">
        <f>'Team A 1'!V22-'Team A 1'!$AA22-('Team A 1'!V$2- 12.5)*'Team A 1'!$AC22</f>
        <v>-14.886805385783873</v>
      </c>
      <c r="W22" s="1">
        <f>'Team A 1'!W22-'Team A 1'!$AA22-('Team A 1'!W$2- 12.5)*'Team A 1'!$AC22</f>
        <v>2.5284724119660495</v>
      </c>
      <c r="X22" s="1">
        <f>'Team A 1'!X22-'Team A 1'!$AA22-('Team A 1'!X$2- 12.5)*'Team A 1'!$AC22</f>
        <v>-20.056249790284255</v>
      </c>
      <c r="Y22" s="1">
        <f>'Team A 1'!Y22-'Team A 1'!$AA22-('Team A 1'!Y$2- 12.5)*'Team A 1'!$AC22</f>
        <v>7.3590280074654402</v>
      </c>
      <c r="AB22" s="1">
        <f>STDEV(B22:Y22)</f>
        <v>21.989763817671935</v>
      </c>
      <c r="AD22" s="5">
        <v>5</v>
      </c>
      <c r="AE22" s="5" t="s">
        <v>47</v>
      </c>
      <c r="AF22" s="5">
        <v>9</v>
      </c>
      <c r="AG22" s="5">
        <v>7</v>
      </c>
      <c r="AH22" s="5">
        <v>1</v>
      </c>
      <c r="AI22" s="5" t="s">
        <v>46</v>
      </c>
      <c r="AJ22" s="5" t="s">
        <v>45</v>
      </c>
      <c r="AK22" s="5">
        <v>8</v>
      </c>
      <c r="AL22" s="5">
        <v>3</v>
      </c>
      <c r="AM22" s="5">
        <v>6</v>
      </c>
      <c r="AN22" s="5">
        <v>2</v>
      </c>
      <c r="AO22" s="5">
        <v>4</v>
      </c>
      <c r="AP22" s="5">
        <v>5</v>
      </c>
      <c r="AQ22" s="5">
        <v>9</v>
      </c>
      <c r="AR22" s="5" t="s">
        <v>47</v>
      </c>
      <c r="AS22" s="5">
        <v>7</v>
      </c>
      <c r="AT22" s="5" t="s">
        <v>46</v>
      </c>
      <c r="AU22" s="5">
        <v>1</v>
      </c>
      <c r="AV22" s="5" t="s">
        <v>45</v>
      </c>
      <c r="AW22" s="5">
        <v>3</v>
      </c>
      <c r="AX22" s="5">
        <v>8</v>
      </c>
      <c r="AY22" s="5">
        <v>2</v>
      </c>
      <c r="AZ22" s="5">
        <v>6</v>
      </c>
      <c r="BA22" s="5">
        <v>4</v>
      </c>
      <c r="BB22" s="5"/>
      <c r="BC22" s="1">
        <f ca="1">OFFSET(A22,0, 5) -0</f>
        <v>-13.531250149780362</v>
      </c>
      <c r="BD22" s="1">
        <f ca="1">OFFSET(A22,0, 11) -0</f>
        <v>0.96041663671837796</v>
      </c>
      <c r="BE22" s="1">
        <f ca="1">OFFSET(A22,0, 9) -0</f>
        <v>-3.87013895878124</v>
      </c>
      <c r="BF22" s="1">
        <f ca="1">OFFSET(A22,0, 12) -0</f>
        <v>8.3756944344681443</v>
      </c>
      <c r="BG22" s="1">
        <f ca="1">OFFSET(A22,0, 1) -0</f>
        <v>46.807638659220629</v>
      </c>
      <c r="BH22" s="1">
        <f ca="1">OFFSET(A22,0, 10) -0</f>
        <v>-6.454861161031431</v>
      </c>
      <c r="BI22" s="1">
        <f ca="1">OFFSET(A22,0, 4) -0</f>
        <v>49.053472052469942</v>
      </c>
      <c r="BJ22" s="1">
        <f ca="1">OFFSET(A22,0, 8) -0</f>
        <v>-41.285416756530935</v>
      </c>
      <c r="BK22" s="1">
        <f ca="1">OFFSET(A22,0, 3) -0</f>
        <v>11.63819425472002</v>
      </c>
      <c r="BL22" s="1">
        <f ca="1">OFFSET(A22,0, 7) -0</f>
        <v>-18.700694554280744</v>
      </c>
      <c r="BM22" s="1">
        <f ca="1">OFFSET(A22,0, 6) -0</f>
        <v>-26.11597235203044</v>
      </c>
      <c r="BN22" s="1">
        <f ca="1">OFFSET(A22,0, 2) -0</f>
        <v>14.222916456970324</v>
      </c>
      <c r="BO22" s="1">
        <f ca="1">OFFSET(A22,0, 18) -0</f>
        <v>12.867361220966814</v>
      </c>
      <c r="BP22" s="1">
        <f ca="1">OFFSET(A22,0, 22) -0</f>
        <v>2.5284724119660495</v>
      </c>
      <c r="BQ22" s="1">
        <f ca="1">OFFSET(A22,0, 20) -0</f>
        <v>27.697916816466432</v>
      </c>
      <c r="BR22" s="1">
        <f ca="1">OFFSET(A22,0, 24) -0</f>
        <v>7.3590280074654402</v>
      </c>
      <c r="BS22" s="1">
        <f ca="1">OFFSET(A22,0, 13) -0</f>
        <v>-14.209027767782075</v>
      </c>
      <c r="BT22" s="1">
        <f ca="1">OFFSET(A22,0, 23) -0</f>
        <v>-20.056249790284255</v>
      </c>
      <c r="BU22" s="1">
        <f ca="1">OFFSET(A22,0, 16) -0</f>
        <v>8.0368056254673093</v>
      </c>
      <c r="BV22" s="1">
        <f ca="1">OFFSET(A22,0, 21) -0</f>
        <v>-14.886805385783873</v>
      </c>
      <c r="BW22" s="1">
        <f ca="1">OFFSET(A22,0, 14) -0</f>
        <v>-6.7937499700323087</v>
      </c>
      <c r="BX22" s="1">
        <f ca="1">OFFSET(A22,0, 19) -0</f>
        <v>-29.717360981283491</v>
      </c>
      <c r="BY22" s="1">
        <f ca="1">OFFSET(A22,0, 17) -0</f>
        <v>15.452083423217005</v>
      </c>
      <c r="BZ22" s="1">
        <f ca="1">OFFSET(A22,0, 15) -0</f>
        <v>-9.3784721722824997</v>
      </c>
      <c r="CB22" s="1">
        <f>COUNTIF(B22,"&lt;-68")</f>
        <v>0</v>
      </c>
      <c r="CC22" s="1">
        <f ca="1">COUNTIF(BC22:BN22,"&lt;-48")</f>
        <v>0</v>
      </c>
      <c r="CD22" s="1">
        <f ca="1">COUNTIF(BC22:BN22,"&gt;+48")</f>
        <v>1</v>
      </c>
      <c r="CE22" s="1">
        <f ca="1">COUNTIF(BO22:BZ22,"&lt;-48")</f>
        <v>0</v>
      </c>
      <c r="CF22" s="1">
        <f ca="1">COUNTIF(BO22:BZ22,"&gt;+48")</f>
        <v>0</v>
      </c>
    </row>
    <row r="23" spans="1:84">
      <c r="A23" s="1">
        <v>20</v>
      </c>
      <c r="B23" s="1">
        <f>'Team A 1'!B23-'Team A 1'!$AA23-('Team A 1'!B$2- 12.5)*'Team A 1'!$AC23</f>
        <v>-8.3210773740265722</v>
      </c>
      <c r="C23" s="1">
        <f>'Team A 1'!C23-'Team A 1'!$AA23-('Team A 1'!C$2- 12.5)*'Team A 1'!$AC23</f>
        <v>-10.930838761792984</v>
      </c>
      <c r="D23" s="1">
        <f>'Team A 1'!D23-'Team A 1'!$AA23-('Team A 1'!D$2- 12.5)*'Team A 1'!$AC23</f>
        <v>26.459399850440377</v>
      </c>
      <c r="E23" s="1">
        <f>'Team A 1'!E23-'Team A 1'!$AA23-('Team A 1'!E$2- 12.5)*'Team A 1'!$AC23</f>
        <v>3.8496384626737381</v>
      </c>
      <c r="F23" s="1">
        <f>'Team A 1'!F23-'Team A 1'!$AA23-('Team A 1'!F$2- 12.5)*'Team A 1'!$AC23</f>
        <v>41.239877074906872</v>
      </c>
      <c r="G23" s="1">
        <f>'Team A 1'!G23-'Team A 1'!$AA23-('Team A 1'!G$2- 12.5)*'Team A 1'!$AC23</f>
        <v>18.630115687140233</v>
      </c>
      <c r="H23" s="1">
        <f>'Team A 1'!H23-'Team A 1'!$AA23-('Team A 1'!H$2- 12.5)*'Team A 1'!$AC23</f>
        <v>16.020354299373594</v>
      </c>
      <c r="I23" s="1">
        <f>'Team A 1'!I23-'Team A 1'!$AA23-('Team A 1'!I$2- 12.5)*'Team A 1'!$AC23</f>
        <v>13.410592911606955</v>
      </c>
      <c r="J23" s="1">
        <f>'Team A 1'!J23-'Team A 1'!$AA23-('Team A 1'!J$2- 12.5)*'Team A 1'!$AC23</f>
        <v>0.80083152384031564</v>
      </c>
      <c r="K23" s="1">
        <f>'Team A 1'!K23-'Team A 1'!$AA23-('Team A 1'!K$2- 12.5)*'Team A 1'!$AC23</f>
        <v>-11.80892986392638</v>
      </c>
      <c r="L23" s="1">
        <f>'Team A 1'!L23-'Team A 1'!$AA23-('Team A 1'!L$2- 12.5)*'Team A 1'!$AC23</f>
        <v>-4.4186912516930192</v>
      </c>
      <c r="M23" s="1">
        <f>'Team A 1'!M23-'Team A 1'!$AA23-('Team A 1'!M$2- 12.5)*'Team A 1'!$AC23</f>
        <v>12.971547360540299</v>
      </c>
      <c r="N23" s="1">
        <f>'Team A 1'!N23-'Team A 1'!$AA23-('Team A 1'!N$2- 12.5)*'Team A 1'!$AC23</f>
        <v>-59.638214027226368</v>
      </c>
      <c r="O23" s="1">
        <f>'Team A 1'!O23-'Team A 1'!$AA23-('Team A 1'!O$2- 12.5)*'Team A 1'!$AC23</f>
        <v>-12.24797541499305</v>
      </c>
      <c r="P23" s="1">
        <f>'Team A 1'!P23-'Team A 1'!$AA23-('Team A 1'!P$2- 12.5)*'Team A 1'!$AC23</f>
        <v>-44.857736802759689</v>
      </c>
      <c r="Q23" s="1">
        <f>'Team A 1'!Q23-'Team A 1'!$AA23-('Team A 1'!Q$2- 12.5)*'Team A 1'!$AC23</f>
        <v>12.532501809473615</v>
      </c>
      <c r="R23" s="1">
        <f>'Team A 1'!R23-'Team A 1'!$AA23-('Team A 1'!R$2- 12.5)*'Team A 1'!$AC23</f>
        <v>-50.077259578293024</v>
      </c>
      <c r="S23" s="1">
        <f>'Team A 1'!S23-'Team A 1'!$AA23-('Team A 1'!S$2- 12.5)*'Team A 1'!$AC23</f>
        <v>-2.6870209660596629</v>
      </c>
      <c r="T23" s="1">
        <f>'Team A 1'!T23-'Team A 1'!$AA23-('Team A 1'!T$2- 12.5)*'Team A 1'!$AC23</f>
        <v>-35.296782353826302</v>
      </c>
      <c r="U23" s="1">
        <f>'Team A 1'!U23-'Team A 1'!$AA23-('Team A 1'!U$2- 12.5)*'Team A 1'!$AC23</f>
        <v>22.093456258407059</v>
      </c>
      <c r="V23" s="1">
        <f>'Team A 1'!V23-'Team A 1'!$AA23-('Team A 1'!V$2- 12.5)*'Team A 1'!$AC23</f>
        <v>19.483694870640193</v>
      </c>
      <c r="W23" s="1">
        <f>'Team A 1'!W23-'Team A 1'!$AA23-('Team A 1'!W$2- 12.5)*'Team A 1'!$AC23</f>
        <v>36.873933482873554</v>
      </c>
      <c r="X23" s="1">
        <f>'Team A 1'!X23-'Team A 1'!$AA23-('Team A 1'!X$2- 12.5)*'Team A 1'!$AC23</f>
        <v>4.2641720951069146</v>
      </c>
      <c r="Y23" s="1">
        <f>'Team A 1'!Y23-'Team A 1'!$AA23-('Team A 1'!Y$2- 12.5)*'Team A 1'!$AC23</f>
        <v>11.654410707340503</v>
      </c>
      <c r="AB23" s="1">
        <f>STDEV(B23:Y23)</f>
        <v>26.155123078188595</v>
      </c>
      <c r="AD23" s="5">
        <v>9</v>
      </c>
      <c r="AE23" s="5">
        <v>5</v>
      </c>
      <c r="AF23" s="5">
        <v>7</v>
      </c>
      <c r="AG23" s="5" t="s">
        <v>47</v>
      </c>
      <c r="AH23" s="5">
        <v>1</v>
      </c>
      <c r="AI23" s="5" t="s">
        <v>46</v>
      </c>
      <c r="AJ23" s="5">
        <v>3</v>
      </c>
      <c r="AK23" s="5" t="s">
        <v>45</v>
      </c>
      <c r="AL23" s="5">
        <v>2</v>
      </c>
      <c r="AM23" s="5">
        <v>8</v>
      </c>
      <c r="AN23" s="5">
        <v>4</v>
      </c>
      <c r="AO23" s="5">
        <v>6</v>
      </c>
      <c r="AP23" s="5">
        <v>5</v>
      </c>
      <c r="AQ23" s="5">
        <v>9</v>
      </c>
      <c r="AR23" s="5">
        <v>7</v>
      </c>
      <c r="AS23" s="5">
        <v>1</v>
      </c>
      <c r="AT23" s="5" t="s">
        <v>47</v>
      </c>
      <c r="AU23" s="5" t="s">
        <v>46</v>
      </c>
      <c r="AV23" s="5" t="s">
        <v>45</v>
      </c>
      <c r="AW23" s="5">
        <v>3</v>
      </c>
      <c r="AX23" s="5">
        <v>8</v>
      </c>
      <c r="AY23" s="5">
        <v>2</v>
      </c>
      <c r="AZ23" s="5">
        <v>6</v>
      </c>
      <c r="BA23" s="5">
        <v>4</v>
      </c>
      <c r="BB23" s="5"/>
      <c r="BC23" s="1">
        <f ca="1">OFFSET(A23,0, 5) -0</f>
        <v>41.239877074906872</v>
      </c>
      <c r="BD23" s="1">
        <f ca="1">OFFSET(A23,0, 9) -0</f>
        <v>0.80083152384031564</v>
      </c>
      <c r="BE23" s="1">
        <f ca="1">OFFSET(A23,0, 7) -0</f>
        <v>16.020354299373594</v>
      </c>
      <c r="BF23" s="1">
        <f ca="1">OFFSET(A23,0, 11) -0</f>
        <v>-4.4186912516930192</v>
      </c>
      <c r="BG23" s="1">
        <f ca="1">OFFSET(A23,0, 2) -0</f>
        <v>-10.930838761792984</v>
      </c>
      <c r="BH23" s="1">
        <f ca="1">OFFSET(A23,0, 12) -0</f>
        <v>12.971547360540299</v>
      </c>
      <c r="BI23" s="1">
        <f ca="1">OFFSET(A23,0, 3) -0</f>
        <v>26.459399850440377</v>
      </c>
      <c r="BJ23" s="1">
        <f ca="1">OFFSET(A23,0, 10) -0</f>
        <v>-11.80892986392638</v>
      </c>
      <c r="BK23" s="1">
        <f ca="1">OFFSET(A23,0, 1) -0</f>
        <v>-8.3210773740265722</v>
      </c>
      <c r="BL23" s="1">
        <f ca="1">OFFSET(A23,0, 8) -0</f>
        <v>13.410592911606955</v>
      </c>
      <c r="BM23" s="1">
        <f ca="1">OFFSET(A23,0, 6) -0</f>
        <v>18.630115687140233</v>
      </c>
      <c r="BN23" s="1">
        <f ca="1">OFFSET(A23,0, 4) -0</f>
        <v>3.8496384626737381</v>
      </c>
      <c r="BO23" s="1">
        <f ca="1">OFFSET(A23,0, 16) -0</f>
        <v>12.532501809473615</v>
      </c>
      <c r="BP23" s="1">
        <f ca="1">OFFSET(A23,0, 22) -0</f>
        <v>36.873933482873554</v>
      </c>
      <c r="BQ23" s="1">
        <f ca="1">OFFSET(A23,0, 20) -0</f>
        <v>22.093456258407059</v>
      </c>
      <c r="BR23" s="1">
        <f ca="1">OFFSET(A23,0, 24) -0</f>
        <v>11.654410707340503</v>
      </c>
      <c r="BS23" s="1">
        <f ca="1">OFFSET(A23,0, 13) -0</f>
        <v>-59.638214027226368</v>
      </c>
      <c r="BT23" s="1">
        <f ca="1">OFFSET(A23,0, 23) -0</f>
        <v>4.2641720951069146</v>
      </c>
      <c r="BU23" s="1">
        <f ca="1">OFFSET(A23,0, 15) -0</f>
        <v>-44.857736802759689</v>
      </c>
      <c r="BV23" s="1">
        <f ca="1">OFFSET(A23,0, 21) -0</f>
        <v>19.483694870640193</v>
      </c>
      <c r="BW23" s="1">
        <f ca="1">OFFSET(A23,0, 14) -0</f>
        <v>-12.24797541499305</v>
      </c>
      <c r="BX23" s="1">
        <f ca="1">OFFSET(A23,0, 19) -0</f>
        <v>-35.296782353826302</v>
      </c>
      <c r="BY23" s="1">
        <f ca="1">OFFSET(A23,0, 18) -0</f>
        <v>-2.6870209660596629</v>
      </c>
      <c r="BZ23" s="1">
        <f ca="1">OFFSET(A23,0, 17) -0</f>
        <v>-50.077259578293024</v>
      </c>
      <c r="CB23" s="1">
        <f>COUNTIF(B23,"&lt;-68")</f>
        <v>0</v>
      </c>
      <c r="CC23" s="1">
        <f ca="1">COUNTIF(BC23:BN23,"&lt;-48")</f>
        <v>0</v>
      </c>
      <c r="CD23" s="1">
        <f ca="1">COUNTIF(BC23:BN23,"&gt;+48")</f>
        <v>0</v>
      </c>
      <c r="CE23" s="1">
        <f ca="1">COUNTIF(BO23:BZ23,"&lt;-48")</f>
        <v>2</v>
      </c>
      <c r="CF23" s="1">
        <f ca="1">COUNTIF(BO23:BZ23,"&gt;+48")</f>
        <v>0</v>
      </c>
    </row>
    <row r="24" spans="1:84">
      <c r="A24" s="1">
        <v>21</v>
      </c>
      <c r="B24" s="1">
        <f>'Team A 1'!B24-'Team A 1'!$AA24-('Team A 1'!B$2- 12.5)*'Team A 1'!$AC24</f>
        <v>-28.80099509643378</v>
      </c>
      <c r="C24" s="1">
        <f>'Team A 1'!C24-'Team A 1'!$AA24-('Team A 1'!C$2- 12.5)*'Team A 1'!$AC24</f>
        <v>8.6309754916610473</v>
      </c>
      <c r="D24" s="1">
        <f>'Team A 1'!D24-'Team A 1'!$AA24-('Team A 1'!D$2- 12.5)*'Team A 1'!$AC24</f>
        <v>16.062946079755875</v>
      </c>
      <c r="E24" s="1">
        <f>'Team A 1'!E24-'Team A 1'!$AA24-('Team A 1'!E$2- 12.5)*'Team A 1'!$AC24</f>
        <v>3.4949166678507027</v>
      </c>
      <c r="F24" s="1">
        <f>'Team A 1'!F24-'Team A 1'!$AA24-('Team A 1'!F$2- 12.5)*'Team A 1'!$AC24</f>
        <v>10.92688725594553</v>
      </c>
      <c r="G24" s="1">
        <f>'Team A 1'!G24-'Team A 1'!$AA24-('Team A 1'!G$2- 12.5)*'Team A 1'!$AC24</f>
        <v>8.358857844040358</v>
      </c>
      <c r="H24" s="1">
        <f>'Team A 1'!H24-'Team A 1'!$AA24-('Team A 1'!H$2- 12.5)*'Team A 1'!$AC24</f>
        <v>5.7908284321351857</v>
      </c>
      <c r="I24" s="1">
        <f>'Team A 1'!I24-'Team A 1'!$AA24-('Team A 1'!I$2- 12.5)*'Team A 1'!$AC24</f>
        <v>23.222799020230127</v>
      </c>
      <c r="J24" s="1">
        <f>'Team A 1'!J24-'Team A 1'!$AA24-('Team A 1'!J$2- 12.5)*'Team A 1'!$AC24</f>
        <v>-9.3452303916750452</v>
      </c>
      <c r="K24" s="1">
        <f>'Team A 1'!K24-'Team A 1'!$AA24-('Team A 1'!K$2- 12.5)*'Team A 1'!$AC24</f>
        <v>-1.9132598035801607</v>
      </c>
      <c r="L24" s="1">
        <f>'Team A 1'!L24-'Team A 1'!$AA24-('Team A 1'!L$2- 12.5)*'Team A 1'!$AC24</f>
        <v>15.518710784514667</v>
      </c>
      <c r="M24" s="1">
        <f>'Team A 1'!M24-'Team A 1'!$AA24-('Team A 1'!M$2- 12.5)*'Team A 1'!$AC24</f>
        <v>2.9506813726095373</v>
      </c>
      <c r="N24" s="1">
        <f>'Team A 1'!N24-'Team A 1'!$AA24-('Team A 1'!N$2- 12.5)*'Team A 1'!$AC24</f>
        <v>-29.617348039295607</v>
      </c>
      <c r="O24" s="1">
        <f>'Team A 1'!O24-'Team A 1'!$AA24-('Team A 1'!O$2- 12.5)*'Team A 1'!$AC24</f>
        <v>-12.185377451200736</v>
      </c>
      <c r="P24" s="1">
        <f>'Team A 1'!P24-'Team A 1'!$AA24-('Team A 1'!P$2- 12.5)*'Team A 1'!$AC24</f>
        <v>25.246593136894091</v>
      </c>
      <c r="Q24" s="1">
        <f>'Team A 1'!Q24-'Team A 1'!$AA24-('Team A 1'!Q$2- 12.5)*'Team A 1'!$AC24</f>
        <v>22.678563724988976</v>
      </c>
      <c r="R24" s="1">
        <f>'Team A 1'!R24-'Team A 1'!$AA24-('Team A 1'!R$2- 12.5)*'Team A 1'!$AC24</f>
        <v>-9.8894656869161963</v>
      </c>
      <c r="S24" s="1">
        <f>'Team A 1'!S24-'Team A 1'!$AA24-('Team A 1'!S$2- 12.5)*'Team A 1'!$AC24</f>
        <v>-32.457495098821255</v>
      </c>
      <c r="T24" s="1">
        <f>'Team A 1'!T24-'Team A 1'!$AA24-('Team A 1'!T$2- 12.5)*'Team A 1'!$AC24</f>
        <v>-25.025524510726427</v>
      </c>
      <c r="U24" s="1">
        <f>'Team A 1'!U24-'Team A 1'!$AA24-('Team A 1'!U$2- 12.5)*'Team A 1'!$AC24</f>
        <v>-7.5935539226315996</v>
      </c>
      <c r="V24" s="1">
        <f>'Team A 1'!V24-'Team A 1'!$AA24-('Team A 1'!V$2- 12.5)*'Team A 1'!$AC24</f>
        <v>-20.161583334536772</v>
      </c>
      <c r="W24" s="1">
        <f>'Team A 1'!W24-'Team A 1'!$AA24-('Team A 1'!W$2- 12.5)*'Team A 1'!$AC24</f>
        <v>-2.7296127464419442</v>
      </c>
      <c r="X24" s="1">
        <f>'Team A 1'!X24-'Team A 1'!$AA24-('Team A 1'!X$2- 12.5)*'Team A 1'!$AC24</f>
        <v>24.702357841652884</v>
      </c>
      <c r="Y24" s="1">
        <f>'Team A 1'!Y24-'Team A 1'!$AA24-('Team A 1'!Y$2- 12.5)*'Team A 1'!$AC24</f>
        <v>12.134328429747711</v>
      </c>
      <c r="AB24" s="1">
        <f>STDEV(B24:Y24)</f>
        <v>18.010685879344596</v>
      </c>
      <c r="AD24" s="5">
        <v>9</v>
      </c>
      <c r="AE24" s="5">
        <v>5</v>
      </c>
      <c r="AF24" s="5">
        <v>1</v>
      </c>
      <c r="AG24" s="5">
        <v>7</v>
      </c>
      <c r="AH24" s="5" t="s">
        <v>46</v>
      </c>
      <c r="AI24" s="5" t="s">
        <v>47</v>
      </c>
      <c r="AJ24" s="5">
        <v>3</v>
      </c>
      <c r="AK24" s="5" t="s">
        <v>45</v>
      </c>
      <c r="AL24" s="5">
        <v>2</v>
      </c>
      <c r="AM24" s="5">
        <v>8</v>
      </c>
      <c r="AN24" s="5">
        <v>4</v>
      </c>
      <c r="AO24" s="5">
        <v>6</v>
      </c>
      <c r="AP24" s="5">
        <v>9</v>
      </c>
      <c r="AQ24" s="5">
        <v>5</v>
      </c>
      <c r="AR24" s="5">
        <v>7</v>
      </c>
      <c r="AS24" s="5">
        <v>1</v>
      </c>
      <c r="AT24" s="5" t="s">
        <v>46</v>
      </c>
      <c r="AU24" s="5">
        <v>3</v>
      </c>
      <c r="AV24" s="5" t="s">
        <v>47</v>
      </c>
      <c r="AW24" s="5">
        <v>2</v>
      </c>
      <c r="AX24" s="5" t="s">
        <v>45</v>
      </c>
      <c r="AY24" s="5">
        <v>4</v>
      </c>
      <c r="AZ24" s="5">
        <v>8</v>
      </c>
      <c r="BA24" s="5">
        <v>6</v>
      </c>
      <c r="BB24" s="5"/>
      <c r="BC24" s="1">
        <f ca="1">OFFSET(A24,0, 3) -0</f>
        <v>16.062946079755875</v>
      </c>
      <c r="BD24" s="1">
        <f ca="1">OFFSET(A24,0, 9) -0</f>
        <v>-9.3452303916750452</v>
      </c>
      <c r="BE24" s="1">
        <f ca="1">OFFSET(A24,0, 7) -0</f>
        <v>5.7908284321351857</v>
      </c>
      <c r="BF24" s="1">
        <f ca="1">OFFSET(A24,0, 11) -0</f>
        <v>15.518710784514667</v>
      </c>
      <c r="BG24" s="1">
        <f ca="1">OFFSET(A24,0, 2) -0</f>
        <v>8.6309754916610473</v>
      </c>
      <c r="BH24" s="1">
        <f ca="1">OFFSET(A24,0, 12) -0</f>
        <v>2.9506813726095373</v>
      </c>
      <c r="BI24" s="1">
        <f ca="1">OFFSET(A24,0, 4) -0</f>
        <v>3.4949166678507027</v>
      </c>
      <c r="BJ24" s="1">
        <f ca="1">OFFSET(A24,0, 10) -0</f>
        <v>-1.9132598035801607</v>
      </c>
      <c r="BK24" s="1">
        <f ca="1">OFFSET(A24,0, 1) -0</f>
        <v>-28.80099509643378</v>
      </c>
      <c r="BL24" s="1">
        <f ca="1">OFFSET(A24,0, 8) -0</f>
        <v>23.222799020230127</v>
      </c>
      <c r="BM24" s="1">
        <f ca="1">OFFSET(A24,0, 5) -0</f>
        <v>10.92688725594553</v>
      </c>
      <c r="BN24" s="1">
        <f ca="1">OFFSET(A24,0, 6) -0</f>
        <v>8.358857844040358</v>
      </c>
      <c r="BO24" s="1">
        <f ca="1">OFFSET(A24,0, 16) -0</f>
        <v>22.678563724988976</v>
      </c>
      <c r="BP24" s="1">
        <f ca="1">OFFSET(A24,0, 20) -0</f>
        <v>-7.5935539226315996</v>
      </c>
      <c r="BQ24" s="1">
        <f ca="1">OFFSET(A24,0, 18) -0</f>
        <v>-32.457495098821255</v>
      </c>
      <c r="BR24" s="1">
        <f ca="1">OFFSET(A24,0, 22) -0</f>
        <v>-2.7296127464419442</v>
      </c>
      <c r="BS24" s="1">
        <f ca="1">OFFSET(A24,0, 14) -0</f>
        <v>-12.185377451200736</v>
      </c>
      <c r="BT24" s="1">
        <f ca="1">OFFSET(A24,0, 24) -0</f>
        <v>12.134328429747711</v>
      </c>
      <c r="BU24" s="1">
        <f ca="1">OFFSET(A24,0, 15) -0</f>
        <v>25.246593136894091</v>
      </c>
      <c r="BV24" s="1">
        <f ca="1">OFFSET(A24,0, 23) -0</f>
        <v>24.702357841652884</v>
      </c>
      <c r="BW24" s="1">
        <f ca="1">OFFSET(A24,0, 13) -0</f>
        <v>-29.617348039295607</v>
      </c>
      <c r="BX24" s="1">
        <f ca="1">OFFSET(A24,0, 21) -0</f>
        <v>-20.161583334536772</v>
      </c>
      <c r="BY24" s="1">
        <f ca="1">OFFSET(A24,0, 17) -0</f>
        <v>-9.8894656869161963</v>
      </c>
      <c r="BZ24" s="1">
        <f ca="1">OFFSET(A24,0, 19) -0</f>
        <v>-25.025524510726427</v>
      </c>
      <c r="CB24" s="1">
        <f>COUNTIF(B24,"&lt;-68")</f>
        <v>0</v>
      </c>
      <c r="CC24" s="1">
        <f ca="1">COUNTIF(BC24:BN24,"&lt;-48")</f>
        <v>0</v>
      </c>
      <c r="CD24" s="1">
        <f ca="1">COUNTIF(BC24:BN24,"&gt;+48")</f>
        <v>0</v>
      </c>
      <c r="CE24" s="1">
        <f ca="1">COUNTIF(BO24:BZ24,"&lt;-48")</f>
        <v>0</v>
      </c>
      <c r="CF24" s="1">
        <f ca="1">COUNTIF(BO24:BZ24,"&gt;+48")</f>
        <v>0</v>
      </c>
    </row>
    <row r="25" spans="1:84">
      <c r="A25" s="1">
        <v>22</v>
      </c>
      <c r="B25" s="1">
        <f>'Team A 1'!B25-'Team A 1'!$AA25-('Team A 1'!B$2- 12.5)*'Team A 1'!$AC25</f>
        <v>24.584519683839517</v>
      </c>
      <c r="C25" s="1">
        <f>'Team A 1'!C25-'Team A 1'!$AA25-('Team A 1'!C$2- 12.5)*'Team A 1'!$AC25</f>
        <v>1.4322426098833603</v>
      </c>
      <c r="D25" s="1">
        <f>'Team A 1'!D25-'Team A 1'!$AA25-('Team A 1'!D$2- 12.5)*'Team A 1'!$AC25</f>
        <v>48.279965535926976</v>
      </c>
      <c r="E25" s="1">
        <f>'Team A 1'!E25-'Team A 1'!$AA25-('Team A 1'!E$2- 12.5)*'Team A 1'!$AC25</f>
        <v>45.12768846197082</v>
      </c>
      <c r="F25" s="1">
        <f>'Team A 1'!F25-'Team A 1'!$AA25-('Team A 1'!F$2- 12.5)*'Team A 1'!$AC25</f>
        <v>-8.0245886119853367</v>
      </c>
      <c r="G25" s="1">
        <f>'Team A 1'!G25-'Team A 1'!$AA25-('Team A 1'!G$2- 12.5)*'Team A 1'!$AC25</f>
        <v>-11.176865685941493</v>
      </c>
      <c r="H25" s="1">
        <f>'Team A 1'!H25-'Team A 1'!$AA25-('Team A 1'!H$2- 12.5)*'Team A 1'!$AC25</f>
        <v>-14.329142759897877</v>
      </c>
      <c r="I25" s="1">
        <f>'Team A 1'!I25-'Team A 1'!$AA25-('Team A 1'!I$2- 12.5)*'Team A 1'!$AC25</f>
        <v>12.518580166145966</v>
      </c>
      <c r="J25" s="1">
        <f>'Team A 1'!J25-'Team A 1'!$AA25-('Team A 1'!J$2- 12.5)*'Team A 1'!$AC25</f>
        <v>-0.63369690781019017</v>
      </c>
      <c r="K25" s="1">
        <f>'Team A 1'!K25-'Team A 1'!$AA25-('Team A 1'!K$2- 12.5)*'Team A 1'!$AC25</f>
        <v>6.2140260182335396</v>
      </c>
      <c r="L25" s="1">
        <f>'Team A 1'!L25-'Team A 1'!$AA25-('Team A 1'!L$2- 12.5)*'Team A 1'!$AC25</f>
        <v>-26.938251055722617</v>
      </c>
      <c r="M25" s="1">
        <f>'Team A 1'!M25-'Team A 1'!$AA25-('Team A 1'!M$2- 12.5)*'Team A 1'!$AC25</f>
        <v>-10.090528129678859</v>
      </c>
      <c r="N25" s="1">
        <f>'Team A 1'!N25-'Team A 1'!$AA25-('Team A 1'!N$2- 12.5)*'Team A 1'!$AC25</f>
        <v>-53.242805203635072</v>
      </c>
      <c r="O25" s="1">
        <f>'Team A 1'!O25-'Team A 1'!$AA25-('Team A 1'!O$2- 12.5)*'Team A 1'!$AC25</f>
        <v>13.604917722408686</v>
      </c>
      <c r="P25" s="1">
        <f>'Team A 1'!P25-'Team A 1'!$AA25-('Team A 1'!P$2- 12.5)*'Team A 1'!$AC25</f>
        <v>10.45264064845253</v>
      </c>
      <c r="Q25" s="1">
        <f>'Team A 1'!Q25-'Team A 1'!$AA25-('Team A 1'!Q$2- 12.5)*'Team A 1'!$AC25</f>
        <v>7.3003635744962594</v>
      </c>
      <c r="R25" s="1">
        <f>'Team A 1'!R25-'Team A 1'!$AA25-('Team A 1'!R$2- 12.5)*'Team A 1'!$AC25</f>
        <v>-5.8519134994598971</v>
      </c>
      <c r="S25" s="1">
        <f>'Team A 1'!S25-'Team A 1'!$AA25-('Team A 1'!S$2- 12.5)*'Team A 1'!$AC25</f>
        <v>-49.004190573416054</v>
      </c>
      <c r="T25" s="1">
        <f>'Team A 1'!T25-'Team A 1'!$AA25-('Team A 1'!T$2- 12.5)*'Team A 1'!$AC25</f>
        <v>-22.156467647372438</v>
      </c>
      <c r="U25" s="1">
        <f>'Team A 1'!U25-'Team A 1'!$AA25-('Team A 1'!U$2- 12.5)*'Team A 1'!$AC25</f>
        <v>4.6912552786714059</v>
      </c>
      <c r="V25" s="1">
        <f>'Team A 1'!V25-'Team A 1'!$AA25-('Team A 1'!V$2- 12.5)*'Team A 1'!$AC25</f>
        <v>-38.461021795284751</v>
      </c>
      <c r="W25" s="1">
        <f>'Team A 1'!W25-'Team A 1'!$AA25-('Team A 1'!W$2- 12.5)*'Team A 1'!$AC25</f>
        <v>8.3867011307590928</v>
      </c>
      <c r="X25" s="1">
        <f>'Team A 1'!X25-'Team A 1'!$AA25-('Team A 1'!X$2- 12.5)*'Team A 1'!$AC25</f>
        <v>5.2344240568027089</v>
      </c>
      <c r="Y25" s="1">
        <f>'Team A 1'!Y25-'Team A 1'!$AA25-('Team A 1'!Y$2- 12.5)*'Team A 1'!$AC25</f>
        <v>52.082146982846552</v>
      </c>
      <c r="AB25" s="1">
        <f>STDEV(B25:Y25)</f>
        <v>27.036468458804137</v>
      </c>
      <c r="AD25" s="5">
        <v>5</v>
      </c>
      <c r="AE25" s="5">
        <v>9</v>
      </c>
      <c r="AF25" s="5">
        <v>1</v>
      </c>
      <c r="AG25" s="5">
        <v>7</v>
      </c>
      <c r="AH25" s="5">
        <v>3</v>
      </c>
      <c r="AI25" s="5" t="s">
        <v>46</v>
      </c>
      <c r="AJ25" s="5">
        <v>2</v>
      </c>
      <c r="AK25" s="5" t="s">
        <v>47</v>
      </c>
      <c r="AL25" s="5">
        <v>4</v>
      </c>
      <c r="AM25" s="5" t="s">
        <v>45</v>
      </c>
      <c r="AN25" s="5">
        <v>6</v>
      </c>
      <c r="AO25" s="5">
        <v>8</v>
      </c>
      <c r="AP25" s="5">
        <v>5</v>
      </c>
      <c r="AQ25" s="5">
        <v>1</v>
      </c>
      <c r="AR25" s="5">
        <v>9</v>
      </c>
      <c r="AS25" s="5">
        <v>7</v>
      </c>
      <c r="AT25" s="5" t="s">
        <v>46</v>
      </c>
      <c r="AU25" s="5">
        <v>3</v>
      </c>
      <c r="AV25" s="5" t="s">
        <v>47</v>
      </c>
      <c r="AW25" s="5">
        <v>2</v>
      </c>
      <c r="AX25" s="5" t="s">
        <v>45</v>
      </c>
      <c r="AY25" s="5">
        <v>4</v>
      </c>
      <c r="AZ25" s="5">
        <v>8</v>
      </c>
      <c r="BA25" s="5">
        <v>6</v>
      </c>
      <c r="BB25" s="5"/>
      <c r="BC25" s="1">
        <f ca="1">OFFSET(A25,0, 3) -0</f>
        <v>48.279965535926976</v>
      </c>
      <c r="BD25" s="1">
        <f ca="1">OFFSET(A25,0, 7) -0</f>
        <v>-14.329142759897877</v>
      </c>
      <c r="BE25" s="1">
        <f ca="1">OFFSET(A25,0, 5) -0</f>
        <v>-8.0245886119853367</v>
      </c>
      <c r="BF25" s="1">
        <f ca="1">OFFSET(A25,0, 9) -0</f>
        <v>-0.63369690781019017</v>
      </c>
      <c r="BG25" s="1">
        <f ca="1">OFFSET(A25,0, 1) -0</f>
        <v>24.584519683839517</v>
      </c>
      <c r="BH25" s="1">
        <f ca="1">OFFSET(A25,0, 11) -0</f>
        <v>-26.938251055722617</v>
      </c>
      <c r="BI25" s="1">
        <f ca="1">OFFSET(A25,0, 4) -0</f>
        <v>45.12768846197082</v>
      </c>
      <c r="BJ25" s="1">
        <f ca="1">OFFSET(A25,0, 12) -0</f>
        <v>-10.090528129678859</v>
      </c>
      <c r="BK25" s="1">
        <f ca="1">OFFSET(A25,0, 2) -0</f>
        <v>1.4322426098833603</v>
      </c>
      <c r="BL25" s="1">
        <f ca="1">OFFSET(A25,0, 10) -0</f>
        <v>6.2140260182335396</v>
      </c>
      <c r="BM25" s="1">
        <f ca="1">OFFSET(A25,0, 6) -0</f>
        <v>-11.176865685941493</v>
      </c>
      <c r="BN25" s="1">
        <f ca="1">OFFSET(A25,0, 8) -0</f>
        <v>12.518580166145966</v>
      </c>
      <c r="BO25" s="1">
        <f ca="1">OFFSET(A25,0, 14) -0</f>
        <v>13.604917722408686</v>
      </c>
      <c r="BP25" s="1">
        <f ca="1">OFFSET(A25,0, 20) -0</f>
        <v>4.6912552786714059</v>
      </c>
      <c r="BQ25" s="1">
        <f ca="1">OFFSET(A25,0, 18) -0</f>
        <v>-49.004190573416054</v>
      </c>
      <c r="BR25" s="1">
        <f ca="1">OFFSET(A25,0, 22) -0</f>
        <v>8.3867011307590928</v>
      </c>
      <c r="BS25" s="1">
        <f ca="1">OFFSET(A25,0, 13) -0</f>
        <v>-53.242805203635072</v>
      </c>
      <c r="BT25" s="1">
        <f ca="1">OFFSET(A25,0, 24) -0</f>
        <v>52.082146982846552</v>
      </c>
      <c r="BU25" s="1">
        <f ca="1">OFFSET(A25,0, 16) -0</f>
        <v>7.3003635744962594</v>
      </c>
      <c r="BV25" s="1">
        <f ca="1">OFFSET(A25,0, 23) -0</f>
        <v>5.2344240568027089</v>
      </c>
      <c r="BW25" s="1">
        <f ca="1">OFFSET(A25,0, 15) -0</f>
        <v>10.45264064845253</v>
      </c>
      <c r="BX25" s="1">
        <f ca="1">OFFSET(A25,0, 21) -0</f>
        <v>-38.461021795284751</v>
      </c>
      <c r="BY25" s="1">
        <f ca="1">OFFSET(A25,0, 17) -0</f>
        <v>-5.8519134994598971</v>
      </c>
      <c r="BZ25" s="1">
        <f ca="1">OFFSET(A25,0, 19) -0</f>
        <v>-22.156467647372438</v>
      </c>
      <c r="CB25" s="1">
        <f>COUNTIF(B25,"&lt;-68")</f>
        <v>0</v>
      </c>
      <c r="CC25" s="1">
        <f ca="1">COUNTIF(BC25:BN25,"&lt;-48")</f>
        <v>0</v>
      </c>
      <c r="CD25" s="1">
        <f ca="1">COUNTIF(BC25:BN25,"&gt;+48")</f>
        <v>1</v>
      </c>
      <c r="CE25" s="1">
        <f ca="1">COUNTIF(BO25:BZ25,"&lt;-48")</f>
        <v>2</v>
      </c>
      <c r="CF25" s="1">
        <f ca="1">COUNTIF(BO25:BZ25,"&gt;+48")</f>
        <v>1</v>
      </c>
    </row>
    <row r="26" spans="1:84">
      <c r="A26" s="1">
        <v>23</v>
      </c>
      <c r="B26" s="1">
        <f>'Team A 1'!B26-'Team A 1'!$AA26-('Team A 1'!B$2- 12.5)*'Team A 1'!$AC26</f>
        <v>12.250396049321353</v>
      </c>
      <c r="C26" s="1">
        <f>'Team A 1'!C26-'Team A 1'!$AA26-('Team A 1'!C$2- 12.5)*'Team A 1'!$AC26</f>
        <v>-0.62644998395376206</v>
      </c>
      <c r="D26" s="1">
        <f>'Team A 1'!D26-'Team A 1'!$AA26-('Team A 1'!D$2- 12.5)*'Team A 1'!$AC26</f>
        <v>26.496703982771123</v>
      </c>
      <c r="E26" s="1">
        <f>'Team A 1'!E26-'Team A 1'!$AA26-('Team A 1'!E$2- 12.5)*'Team A 1'!$AC26</f>
        <v>13.619857949496009</v>
      </c>
      <c r="F26" s="1">
        <f>'Team A 1'!F26-'Team A 1'!$AA26-('Team A 1'!F$2- 12.5)*'Team A 1'!$AC26</f>
        <v>20.743011916220667</v>
      </c>
      <c r="G26" s="1">
        <f>'Team A 1'!G26-'Team A 1'!$AA26-('Team A 1'!G$2- 12.5)*'Team A 1'!$AC26</f>
        <v>17.866165882945552</v>
      </c>
      <c r="H26" s="1">
        <f>'Team A 1'!H26-'Team A 1'!$AA26-('Team A 1'!H$2- 12.5)*'Team A 1'!$AC26</f>
        <v>4.9893198496704372</v>
      </c>
      <c r="I26" s="1">
        <f>'Team A 1'!I26-'Team A 1'!$AA26-('Team A 1'!I$2- 12.5)*'Team A 1'!$AC26</f>
        <v>12.112473816395209</v>
      </c>
      <c r="J26" s="1">
        <f>'Team A 1'!J26-'Team A 1'!$AA26-('Team A 1'!J$2- 12.5)*'Team A 1'!$AC26</f>
        <v>9.2356277831200941</v>
      </c>
      <c r="K26" s="1">
        <f>'Team A 1'!K26-'Team A 1'!$AA26-('Team A 1'!K$2- 12.5)*'Team A 1'!$AC26</f>
        <v>-3.6412182501551342</v>
      </c>
      <c r="L26" s="1">
        <f>'Team A 1'!L26-'Team A 1'!$AA26-('Team A 1'!L$2- 12.5)*'Team A 1'!$AC26</f>
        <v>-16.518064283430249</v>
      </c>
      <c r="M26" s="1">
        <f>'Team A 1'!M26-'Team A 1'!$AA26-('Team A 1'!M$2- 12.5)*'Team A 1'!$AC26</f>
        <v>-9.3949103167054488</v>
      </c>
      <c r="N26" s="1">
        <f>'Team A 1'!N26-'Team A 1'!$AA26-('Team A 1'!N$2- 12.5)*'Team A 1'!$AC26</f>
        <v>-22.27175634998062</v>
      </c>
      <c r="O26" s="1">
        <f>'Team A 1'!O26-'Team A 1'!$AA26-('Team A 1'!O$2- 12.5)*'Team A 1'!$AC26</f>
        <v>-15.14860238325582</v>
      </c>
      <c r="P26" s="1">
        <f>'Team A 1'!P26-'Team A 1'!$AA26-('Team A 1'!P$2- 12.5)*'Team A 1'!$AC26</f>
        <v>-18.025448416530935</v>
      </c>
      <c r="Q26" s="1">
        <f>'Team A 1'!Q26-'Team A 1'!$AA26-('Team A 1'!Q$2- 12.5)*'Team A 1'!$AC26</f>
        <v>29.097705550193837</v>
      </c>
      <c r="R26" s="1">
        <f>'Team A 1'!R26-'Team A 1'!$AA26-('Team A 1'!R$2- 12.5)*'Team A 1'!$AC26</f>
        <v>26.220859516918722</v>
      </c>
      <c r="S26" s="1">
        <f>'Team A 1'!S26-'Team A 1'!$AA26-('Team A 1'!S$2- 12.5)*'Team A 1'!$AC26</f>
        <v>13.344013483643494</v>
      </c>
      <c r="T26" s="1">
        <f>'Team A 1'!T26-'Team A 1'!$AA26-('Team A 1'!T$2- 12.5)*'Team A 1'!$AC26</f>
        <v>-29.532832549631621</v>
      </c>
      <c r="U26" s="1">
        <f>'Team A 1'!U26-'Team A 1'!$AA26-('Team A 1'!U$2- 12.5)*'Team A 1'!$AC26</f>
        <v>-12.409678582906736</v>
      </c>
      <c r="V26" s="1">
        <f>'Team A 1'!V26-'Team A 1'!$AA26-('Team A 1'!V$2- 12.5)*'Team A 1'!$AC26</f>
        <v>-25.286524616182078</v>
      </c>
      <c r="W26" s="1">
        <f>'Team A 1'!W26-'Team A 1'!$AA26-('Team A 1'!W$2- 12.5)*'Team A 1'!$AC26</f>
        <v>11.836629350542808</v>
      </c>
      <c r="X26" s="1">
        <f>'Team A 1'!X26-'Team A 1'!$AA26-('Team A 1'!X$2- 12.5)*'Team A 1'!$AC26</f>
        <v>-51.040216682732307</v>
      </c>
      <c r="Y26" s="1">
        <f>'Team A 1'!Y26-'Team A 1'!$AA26-('Team A 1'!Y$2- 12.5)*'Team A 1'!$AC26</f>
        <v>6.0829372839925782</v>
      </c>
      <c r="AB26" s="1">
        <f>STDEV(B26:Y26)</f>
        <v>20.461303176078768</v>
      </c>
      <c r="AD26" s="5">
        <v>1</v>
      </c>
      <c r="AE26" s="5">
        <v>5</v>
      </c>
      <c r="AF26" s="5">
        <v>7</v>
      </c>
      <c r="AG26" s="5">
        <v>9</v>
      </c>
      <c r="AH26" s="5">
        <v>3</v>
      </c>
      <c r="AI26" s="5" t="s">
        <v>46</v>
      </c>
      <c r="AJ26" s="5">
        <v>2</v>
      </c>
      <c r="AK26" s="5" t="s">
        <v>47</v>
      </c>
      <c r="AL26" s="5">
        <v>4</v>
      </c>
      <c r="AM26" s="5" t="s">
        <v>45</v>
      </c>
      <c r="AN26" s="5">
        <v>6</v>
      </c>
      <c r="AO26" s="5">
        <v>8</v>
      </c>
      <c r="AP26" s="5">
        <v>5</v>
      </c>
      <c r="AQ26" s="5">
        <v>1</v>
      </c>
      <c r="AR26" s="5">
        <v>7</v>
      </c>
      <c r="AS26" s="5">
        <v>3</v>
      </c>
      <c r="AT26" s="5">
        <v>9</v>
      </c>
      <c r="AU26" s="5">
        <v>2</v>
      </c>
      <c r="AV26" s="5" t="s">
        <v>46</v>
      </c>
      <c r="AW26" s="5">
        <v>4</v>
      </c>
      <c r="AX26" s="5" t="s">
        <v>47</v>
      </c>
      <c r="AY26" s="5">
        <v>6</v>
      </c>
      <c r="AZ26" s="5" t="s">
        <v>45</v>
      </c>
      <c r="BA26" s="5">
        <v>8</v>
      </c>
      <c r="BB26" s="5"/>
      <c r="BC26" s="1">
        <f ca="1">OFFSET(A26,0, 1) -0</f>
        <v>12.250396049321353</v>
      </c>
      <c r="BD26" s="1">
        <f ca="1">OFFSET(A26,0, 7) -0</f>
        <v>4.9893198496704372</v>
      </c>
      <c r="BE26" s="1">
        <f ca="1">OFFSET(A26,0, 5) -0</f>
        <v>20.743011916220667</v>
      </c>
      <c r="BF26" s="1">
        <f ca="1">OFFSET(A26,0, 9) -0</f>
        <v>9.2356277831200941</v>
      </c>
      <c r="BG26" s="1">
        <f ca="1">OFFSET(A26,0, 2) -0</f>
        <v>-0.62644998395376206</v>
      </c>
      <c r="BH26" s="1">
        <f ca="1">OFFSET(A26,0, 11) -0</f>
        <v>-16.518064283430249</v>
      </c>
      <c r="BI26" s="1">
        <f ca="1">OFFSET(A26,0, 3) -0</f>
        <v>26.496703982771123</v>
      </c>
      <c r="BJ26" s="1">
        <f ca="1">OFFSET(A26,0, 12) -0</f>
        <v>-9.3949103167054488</v>
      </c>
      <c r="BK26" s="1">
        <f ca="1">OFFSET(A26,0, 4) -0</f>
        <v>13.619857949496009</v>
      </c>
      <c r="BL26" s="1">
        <f ca="1">OFFSET(A26,0, 10) -0</f>
        <v>-3.6412182501551342</v>
      </c>
      <c r="BM26" s="1">
        <f ca="1">OFFSET(A26,0, 6) -0</f>
        <v>17.866165882945552</v>
      </c>
      <c r="BN26" s="1">
        <f ca="1">OFFSET(A26,0, 8) -0</f>
        <v>12.112473816395209</v>
      </c>
      <c r="BO26" s="1">
        <f ca="1">OFFSET(A26,0, 14) -0</f>
        <v>-15.14860238325582</v>
      </c>
      <c r="BP26" s="1">
        <f ca="1">OFFSET(A26,0, 18) -0</f>
        <v>13.344013483643494</v>
      </c>
      <c r="BQ26" s="1">
        <f ca="1">OFFSET(A26,0, 16) -0</f>
        <v>29.097705550193837</v>
      </c>
      <c r="BR26" s="1">
        <f ca="1">OFFSET(A26,0, 20) -0</f>
        <v>-12.409678582906736</v>
      </c>
      <c r="BS26" s="1">
        <f ca="1">OFFSET(A26,0, 13) -0</f>
        <v>-22.27175634998062</v>
      </c>
      <c r="BT26" s="1">
        <f ca="1">OFFSET(A26,0, 22) -0</f>
        <v>11.836629350542808</v>
      </c>
      <c r="BU26" s="1">
        <f ca="1">OFFSET(A26,0, 15) -0</f>
        <v>-18.025448416530935</v>
      </c>
      <c r="BV26" s="1">
        <f ca="1">OFFSET(A26,0, 24) -0</f>
        <v>6.0829372839925782</v>
      </c>
      <c r="BW26" s="1">
        <f ca="1">OFFSET(A26,0, 17) -0</f>
        <v>26.220859516918722</v>
      </c>
      <c r="BX26" s="1">
        <f ca="1">OFFSET(A26,0, 23) -0</f>
        <v>-51.040216682732307</v>
      </c>
      <c r="BY26" s="1">
        <f ca="1">OFFSET(A26,0, 19) -0</f>
        <v>-29.532832549631621</v>
      </c>
      <c r="BZ26" s="1">
        <f ca="1">OFFSET(A26,0, 21) -0</f>
        <v>-25.286524616182078</v>
      </c>
      <c r="CB26" s="1">
        <f>COUNTIF(B26,"&lt;-68")</f>
        <v>0</v>
      </c>
      <c r="CC26" s="1">
        <f ca="1">COUNTIF(BC26:BN26,"&lt;-48")</f>
        <v>0</v>
      </c>
      <c r="CD26" s="1">
        <f ca="1">COUNTIF(BC26:BN26,"&gt;+48")</f>
        <v>0</v>
      </c>
      <c r="CE26" s="1">
        <f ca="1">COUNTIF(BO26:BZ26,"&lt;-48")</f>
        <v>1</v>
      </c>
      <c r="CF26" s="1">
        <f ca="1">COUNTIF(BO26:BZ26,"&gt;+48")</f>
        <v>0</v>
      </c>
    </row>
    <row r="27" spans="1:84">
      <c r="A27" s="1">
        <v>24</v>
      </c>
      <c r="B27" s="1">
        <f>'Team A 1'!B27-'Team A 1'!$AA27-('Team A 1'!B$2- 12.5)*'Team A 1'!$AC27</f>
        <v>17.387967769616807</v>
      </c>
      <c r="C27" s="1">
        <f>'Team A 1'!C27-'Team A 1'!$AA27-('Team A 1'!C$2- 12.5)*'Team A 1'!$AC27</f>
        <v>4.9701734708103231</v>
      </c>
      <c r="D27" s="1">
        <f>'Team A 1'!D27-'Team A 1'!$AA27-('Team A 1'!D$2- 12.5)*'Team A 1'!$AC27</f>
        <v>-7.4476208279961611</v>
      </c>
      <c r="E27" s="1">
        <f>'Team A 1'!E27-'Team A 1'!$AA27-('Team A 1'!E$2- 12.5)*'Team A 1'!$AC27</f>
        <v>20.134584873197355</v>
      </c>
      <c r="F27" s="1">
        <f>'Team A 1'!F27-'Team A 1'!$AA27-('Team A 1'!F$2- 12.5)*'Team A 1'!$AC27</f>
        <v>37.716790574391098</v>
      </c>
      <c r="G27" s="1">
        <f>'Team A 1'!G27-'Team A 1'!$AA27-('Team A 1'!G$2- 12.5)*'Team A 1'!$AC27</f>
        <v>25.298996275584614</v>
      </c>
      <c r="H27" s="1">
        <f>'Team A 1'!H27-'Team A 1'!$AA27-('Team A 1'!H$2- 12.5)*'Team A 1'!$AC27</f>
        <v>12.881201976778129</v>
      </c>
      <c r="I27" s="1">
        <f>'Team A 1'!I27-'Team A 1'!$AA27-('Team A 1'!I$2- 12.5)*'Team A 1'!$AC27</f>
        <v>-9.5365923220281275</v>
      </c>
      <c r="J27" s="1">
        <f>'Team A 1'!J27-'Team A 1'!$AA27-('Team A 1'!J$2- 12.5)*'Team A 1'!$AC27</f>
        <v>-1.9543866208346117</v>
      </c>
      <c r="K27" s="1">
        <f>'Team A 1'!K27-'Team A 1'!$AA27-('Team A 1'!K$2- 12.5)*'Team A 1'!$AC27</f>
        <v>-4.3721809196409822</v>
      </c>
      <c r="L27" s="1">
        <f>'Team A 1'!L27-'Team A 1'!$AA27-('Team A 1'!L$2- 12.5)*'Team A 1'!$AC27</f>
        <v>-36.789975218447353</v>
      </c>
      <c r="M27" s="1">
        <f>'Team A 1'!M27-'Team A 1'!$AA27-('Team A 1'!M$2- 12.5)*'Team A 1'!$AC27</f>
        <v>-29.207769517253766</v>
      </c>
      <c r="N27" s="1">
        <f>'Team A 1'!N27-'Team A 1'!$AA27-('Team A 1'!N$2- 12.5)*'Team A 1'!$AC27</f>
        <v>8.3744361839398351</v>
      </c>
      <c r="O27" s="1">
        <f>'Team A 1'!O27-'Team A 1'!$AA27-('Team A 1'!O$2- 12.5)*'Team A 1'!$AC27</f>
        <v>-14.043358114866578</v>
      </c>
      <c r="P27" s="1">
        <f>'Team A 1'!P27-'Team A 1'!$AA27-('Team A 1'!P$2- 12.5)*'Team A 1'!$AC27</f>
        <v>13.538847586327051</v>
      </c>
      <c r="Q27" s="1">
        <f>'Team A 1'!Q27-'Team A 1'!$AA27-('Team A 1'!Q$2- 12.5)*'Team A 1'!$AC27</f>
        <v>-8.8789467124793191</v>
      </c>
      <c r="R27" s="1">
        <f>'Team A 1'!R27-'Team A 1'!$AA27-('Team A 1'!R$2- 12.5)*'Team A 1'!$AC27</f>
        <v>-21.296741011285803</v>
      </c>
      <c r="S27" s="1">
        <f>'Team A 1'!S27-'Team A 1'!$AA27-('Team A 1'!S$2- 12.5)*'Team A 1'!$AC27</f>
        <v>-3.7145353100920602</v>
      </c>
      <c r="T27" s="1">
        <f>'Team A 1'!T27-'Team A 1'!$AA27-('Team A 1'!T$2- 12.5)*'Team A 1'!$AC27</f>
        <v>-6.1323296088985444</v>
      </c>
      <c r="U27" s="1">
        <f>'Team A 1'!U27-'Team A 1'!$AA27-('Team A 1'!U$2- 12.5)*'Team A 1'!$AC27</f>
        <v>-28.550123907705029</v>
      </c>
      <c r="V27" s="1">
        <f>'Team A 1'!V27-'Team A 1'!$AA27-('Team A 1'!V$2- 12.5)*'Team A 1'!$AC27</f>
        <v>-30.967918206511285</v>
      </c>
      <c r="W27" s="1">
        <f>'Team A 1'!W27-'Team A 1'!$AA27-('Team A 1'!W$2- 12.5)*'Team A 1'!$AC27</f>
        <v>26.61428749468223</v>
      </c>
      <c r="X27" s="1">
        <f>'Team A 1'!X27-'Team A 1'!$AA27-('Team A 1'!X$2- 12.5)*'Team A 1'!$AC27</f>
        <v>4.1964931958757461</v>
      </c>
      <c r="Y27" s="1">
        <f>'Team A 1'!Y27-'Team A 1'!$AA27-('Team A 1'!Y$2- 12.5)*'Team A 1'!$AC27</f>
        <v>31.778698897069262</v>
      </c>
      <c r="AB27" s="1">
        <f>STDEV(B27:Y27)</f>
        <v>20.727305480705212</v>
      </c>
      <c r="AD27" s="5">
        <v>1</v>
      </c>
      <c r="AE27" s="5">
        <v>5</v>
      </c>
      <c r="AF27" s="5">
        <v>3</v>
      </c>
      <c r="AG27" s="5">
        <v>7</v>
      </c>
      <c r="AH27" s="5">
        <v>2</v>
      </c>
      <c r="AI27" s="5">
        <v>9</v>
      </c>
      <c r="AJ27" s="5">
        <v>4</v>
      </c>
      <c r="AK27" s="5" t="s">
        <v>46</v>
      </c>
      <c r="AL27" s="5">
        <v>6</v>
      </c>
      <c r="AM27" s="5" t="s">
        <v>47</v>
      </c>
      <c r="AN27" s="5">
        <v>8</v>
      </c>
      <c r="AO27" s="5" t="s">
        <v>45</v>
      </c>
      <c r="AP27" s="5">
        <v>1</v>
      </c>
      <c r="AQ27" s="5">
        <v>5</v>
      </c>
      <c r="AR27" s="5">
        <v>7</v>
      </c>
      <c r="AS27" s="5">
        <v>3</v>
      </c>
      <c r="AT27" s="5">
        <v>9</v>
      </c>
      <c r="AU27" s="5">
        <v>2</v>
      </c>
      <c r="AV27" s="5" t="s">
        <v>46</v>
      </c>
      <c r="AW27" s="5">
        <v>4</v>
      </c>
      <c r="AX27" s="5" t="s">
        <v>47</v>
      </c>
      <c r="AY27" s="5">
        <v>6</v>
      </c>
      <c r="AZ27" s="5" t="s">
        <v>45</v>
      </c>
      <c r="BA27" s="5">
        <v>8</v>
      </c>
      <c r="BB27" s="5"/>
      <c r="BC27" s="1">
        <f ca="1">OFFSET(A27,0, 1) -0</f>
        <v>17.387967769616807</v>
      </c>
      <c r="BD27" s="1">
        <f ca="1">OFFSET(A27,0, 5) -0</f>
        <v>37.716790574391098</v>
      </c>
      <c r="BE27" s="1">
        <f ca="1">OFFSET(A27,0, 3) -0</f>
        <v>-7.4476208279961611</v>
      </c>
      <c r="BF27" s="1">
        <f ca="1">OFFSET(A27,0, 7) -0</f>
        <v>12.881201976778129</v>
      </c>
      <c r="BG27" s="1">
        <f ca="1">OFFSET(A27,0, 2) -0</f>
        <v>4.9701734708103231</v>
      </c>
      <c r="BH27" s="1">
        <f ca="1">OFFSET(A27,0, 9) -0</f>
        <v>-1.9543866208346117</v>
      </c>
      <c r="BI27" s="1">
        <f ca="1">OFFSET(A27,0, 4) -0</f>
        <v>20.134584873197355</v>
      </c>
      <c r="BJ27" s="1">
        <f ca="1">OFFSET(A27,0, 11) -0</f>
        <v>-36.789975218447353</v>
      </c>
      <c r="BK27" s="1">
        <f ca="1">OFFSET(A27,0, 6) -0</f>
        <v>25.298996275584614</v>
      </c>
      <c r="BL27" s="1">
        <f ca="1">OFFSET(A27,0, 12) -0</f>
        <v>-29.207769517253766</v>
      </c>
      <c r="BM27" s="1">
        <f ca="1">OFFSET(A27,0, 8) -0</f>
        <v>-9.5365923220281275</v>
      </c>
      <c r="BN27" s="1">
        <f ca="1">OFFSET(A27,0, 10) -0</f>
        <v>-4.3721809196409822</v>
      </c>
      <c r="BO27" s="1">
        <f ca="1">OFFSET(A27,0, 13) -0</f>
        <v>8.3744361839398351</v>
      </c>
      <c r="BP27" s="1">
        <f ca="1">OFFSET(A27,0, 18) -0</f>
        <v>-3.7145353100920602</v>
      </c>
      <c r="BQ27" s="1">
        <f ca="1">OFFSET(A27,0, 16) -0</f>
        <v>-8.8789467124793191</v>
      </c>
      <c r="BR27" s="1">
        <f ca="1">OFFSET(A27,0, 20) -0</f>
        <v>-28.550123907705029</v>
      </c>
      <c r="BS27" s="1">
        <f ca="1">OFFSET(A27,0, 14) -0</f>
        <v>-14.043358114866578</v>
      </c>
      <c r="BT27" s="1">
        <f ca="1">OFFSET(A27,0, 22) -0</f>
        <v>26.61428749468223</v>
      </c>
      <c r="BU27" s="1">
        <f ca="1">OFFSET(A27,0, 15) -0</f>
        <v>13.538847586327051</v>
      </c>
      <c r="BV27" s="1">
        <f ca="1">OFFSET(A27,0, 24) -0</f>
        <v>31.778698897069262</v>
      </c>
      <c r="BW27" s="1">
        <f ca="1">OFFSET(A27,0, 17) -0</f>
        <v>-21.296741011285803</v>
      </c>
      <c r="BX27" s="1">
        <f ca="1">OFFSET(A27,0, 23) -0</f>
        <v>4.1964931958757461</v>
      </c>
      <c r="BY27" s="1">
        <f ca="1">OFFSET(A27,0, 19) -0</f>
        <v>-6.1323296088985444</v>
      </c>
      <c r="BZ27" s="1">
        <f ca="1">OFFSET(A27,0, 21) -0</f>
        <v>-30.967918206511285</v>
      </c>
      <c r="CB27" s="1">
        <f>COUNTIF(B27,"&lt;-68")</f>
        <v>0</v>
      </c>
      <c r="CC27" s="1">
        <f ca="1">COUNTIF(BC27:BN27,"&lt;-48")</f>
        <v>0</v>
      </c>
      <c r="CD27" s="1">
        <f ca="1">COUNTIF(BC27:BN27,"&gt;+48")</f>
        <v>0</v>
      </c>
      <c r="CE27" s="1">
        <f ca="1">COUNTIF(BO27:BZ27,"&lt;-48")</f>
        <v>0</v>
      </c>
      <c r="CF27" s="1">
        <f ca="1">COUNTIF(BO27:BZ27,"&gt;+48")</f>
        <v>0</v>
      </c>
    </row>
    <row r="28" spans="1:84">
      <c r="A28" s="1">
        <v>25</v>
      </c>
      <c r="B28" s="1">
        <f>'Team A 1'!B28-'Team A 1'!$AA28-('Team A 1'!B$2- 12.5)*'Team A 1'!$AC28</f>
        <v>38.930346246586396</v>
      </c>
      <c r="C28" s="1">
        <f>'Team A 1'!C28-'Team A 1'!$AA28-('Team A 1'!C$2- 12.5)*'Team A 1'!$AC28</f>
        <v>16.704519036739384</v>
      </c>
      <c r="D28" s="1">
        <f>'Team A 1'!D28-'Team A 1'!$AA28-('Team A 1'!D$2- 12.5)*'Team A 1'!$AC28</f>
        <v>-15.521308173107855</v>
      </c>
      <c r="E28" s="1">
        <f>'Team A 1'!E28-'Team A 1'!$AA28-('Team A 1'!E$2- 12.5)*'Team A 1'!$AC28</f>
        <v>32.252864617044906</v>
      </c>
      <c r="F28" s="1">
        <f>'Team A 1'!F28-'Team A 1'!$AA28-('Team A 1'!F$2- 12.5)*'Team A 1'!$AC28</f>
        <v>50.02703740719744</v>
      </c>
      <c r="G28" s="1">
        <f>'Team A 1'!G28-'Team A 1'!$AA28-('Team A 1'!G$2- 12.5)*'Team A 1'!$AC28</f>
        <v>37.801210197350201</v>
      </c>
      <c r="H28" s="1">
        <f>'Team A 1'!H28-'Team A 1'!$AA28-('Team A 1'!H$2- 12.5)*'Team A 1'!$AC28</f>
        <v>5.5753829875029624</v>
      </c>
      <c r="I28" s="1">
        <f>'Team A 1'!I28-'Team A 1'!$AA28-('Team A 1'!I$2- 12.5)*'Team A 1'!$AC28</f>
        <v>23.349555777655723</v>
      </c>
      <c r="J28" s="1">
        <f>'Team A 1'!J28-'Team A 1'!$AA28-('Team A 1'!J$2- 12.5)*'Team A 1'!$AC28</f>
        <v>-38.876271432191515</v>
      </c>
      <c r="K28" s="1">
        <f>'Team A 1'!K28-'Team A 1'!$AA28-('Team A 1'!K$2- 12.5)*'Team A 1'!$AC28</f>
        <v>-21.102098642038811</v>
      </c>
      <c r="L28" s="1">
        <f>'Team A 1'!L28-'Team A 1'!$AA28-('Team A 1'!L$2- 12.5)*'Team A 1'!$AC28</f>
        <v>-43.32792585188605</v>
      </c>
      <c r="M28" s="1">
        <f>'Team A 1'!M28-'Team A 1'!$AA28-('Team A 1'!M$2- 12.5)*'Team A 1'!$AC28</f>
        <v>-15.553753061733332</v>
      </c>
      <c r="N28" s="1">
        <f>'Team A 1'!N28-'Team A 1'!$AA28-('Team A 1'!N$2- 12.5)*'Team A 1'!$AC28</f>
        <v>-7.7795802715805991</v>
      </c>
      <c r="O28" s="1">
        <f>'Team A 1'!O28-'Team A 1'!$AA28-('Team A 1'!O$2- 12.5)*'Team A 1'!$AC28</f>
        <v>-10.005407481427881</v>
      </c>
      <c r="P28" s="1">
        <f>'Team A 1'!P28-'Team A 1'!$AA28-('Team A 1'!P$2- 12.5)*'Team A 1'!$AC28</f>
        <v>17.76876530872488</v>
      </c>
      <c r="Q28" s="1">
        <f>'Team A 1'!Q28-'Team A 1'!$AA28-('Team A 1'!Q$2- 12.5)*'Team A 1'!$AC28</f>
        <v>5.5429380988775847</v>
      </c>
      <c r="R28" s="1">
        <f>'Team A 1'!R28-'Team A 1'!$AA28-('Team A 1'!R$2- 12.5)*'Team A 1'!$AC28</f>
        <v>-26.682889110969654</v>
      </c>
      <c r="S28" s="1">
        <f>'Team A 1'!S28-'Team A 1'!$AA28-('Team A 1'!S$2- 12.5)*'Team A 1'!$AC28</f>
        <v>1.0912836791831069</v>
      </c>
      <c r="T28" s="1">
        <f>'Team A 1'!T28-'Team A 1'!$AA28-('Team A 1'!T$2- 12.5)*'Team A 1'!$AC28</f>
        <v>8.865456469335868</v>
      </c>
      <c r="U28" s="1">
        <f>'Team A 1'!U28-'Team A 1'!$AA28-('Team A 1'!U$2- 12.5)*'Team A 1'!$AC28</f>
        <v>26.639629259488629</v>
      </c>
      <c r="V28" s="1">
        <f>'Team A 1'!V28-'Team A 1'!$AA28-('Team A 1'!V$2- 12.5)*'Team A 1'!$AC28</f>
        <v>4.4138020496411627</v>
      </c>
      <c r="W28" s="1">
        <f>'Team A 1'!W28-'Team A 1'!$AA28-('Team A 1'!W$2- 12.5)*'Team A 1'!$AC28</f>
        <v>-17.812025160206076</v>
      </c>
      <c r="X28" s="1">
        <f>'Team A 1'!X28-'Team A 1'!$AA28-('Team A 1'!X$2- 12.5)*'Team A 1'!$AC28</f>
        <v>-40.037852370053315</v>
      </c>
      <c r="Y28" s="1">
        <f>'Team A 1'!Y28-'Team A 1'!$AA28-('Team A 1'!Y$2- 12.5)*'Team A 1'!$AC28</f>
        <v>-32.263679579900327</v>
      </c>
      <c r="AB28" s="1">
        <f>STDEV(B28:Y28)</f>
        <v>26.904684054140183</v>
      </c>
      <c r="AD28" s="5">
        <v>5</v>
      </c>
      <c r="AE28" s="5">
        <v>1</v>
      </c>
      <c r="AF28" s="5">
        <v>3</v>
      </c>
      <c r="AG28" s="5">
        <v>7</v>
      </c>
      <c r="AH28" s="5">
        <v>2</v>
      </c>
      <c r="AI28" s="5">
        <v>9</v>
      </c>
      <c r="AJ28" s="5">
        <v>4</v>
      </c>
      <c r="AK28" s="5" t="s">
        <v>46</v>
      </c>
      <c r="AL28" s="5">
        <v>6</v>
      </c>
      <c r="AM28" s="5" t="s">
        <v>47</v>
      </c>
      <c r="AN28" s="5">
        <v>8</v>
      </c>
      <c r="AO28" s="5" t="s">
        <v>45</v>
      </c>
      <c r="AP28" s="5">
        <v>1</v>
      </c>
      <c r="AQ28" s="5">
        <v>5</v>
      </c>
      <c r="AR28" s="5">
        <v>3</v>
      </c>
      <c r="AS28" s="5">
        <v>2</v>
      </c>
      <c r="AT28" s="5">
        <v>7</v>
      </c>
      <c r="AU28" s="5">
        <v>4</v>
      </c>
      <c r="AV28" s="5">
        <v>9</v>
      </c>
      <c r="AW28" s="5">
        <v>6</v>
      </c>
      <c r="AX28" s="5" t="s">
        <v>46</v>
      </c>
      <c r="AY28" s="5">
        <v>8</v>
      </c>
      <c r="AZ28" s="5" t="s">
        <v>47</v>
      </c>
      <c r="BA28" s="5" t="s">
        <v>45</v>
      </c>
      <c r="BB28" s="5"/>
      <c r="BC28" s="1">
        <f ca="1">OFFSET(A28,0, 2) -0</f>
        <v>16.704519036739384</v>
      </c>
      <c r="BD28" s="1">
        <f ca="1">OFFSET(A28,0, 5) -0</f>
        <v>50.02703740719744</v>
      </c>
      <c r="BE28" s="1">
        <f ca="1">OFFSET(A28,0, 3) -0</f>
        <v>-15.521308173107855</v>
      </c>
      <c r="BF28" s="1">
        <f ca="1">OFFSET(A28,0, 7) -0</f>
        <v>5.5753829875029624</v>
      </c>
      <c r="BG28" s="1">
        <f ca="1">OFFSET(A28,0, 1) -0</f>
        <v>38.930346246586396</v>
      </c>
      <c r="BH28" s="1">
        <f ca="1">OFFSET(A28,0, 9) -0</f>
        <v>-38.876271432191515</v>
      </c>
      <c r="BI28" s="1">
        <f ca="1">OFFSET(A28,0, 4) -0</f>
        <v>32.252864617044906</v>
      </c>
      <c r="BJ28" s="1">
        <f ca="1">OFFSET(A28,0, 11) -0</f>
        <v>-43.32792585188605</v>
      </c>
      <c r="BK28" s="1">
        <f ca="1">OFFSET(A28,0, 6) -0</f>
        <v>37.801210197350201</v>
      </c>
      <c r="BL28" s="1">
        <f ca="1">OFFSET(A28,0, 12) -0</f>
        <v>-15.553753061733332</v>
      </c>
      <c r="BM28" s="1">
        <f ca="1">OFFSET(A28,0, 8) -0</f>
        <v>23.349555777655723</v>
      </c>
      <c r="BN28" s="1">
        <f ca="1">OFFSET(A28,0, 10) -0</f>
        <v>-21.102098642038811</v>
      </c>
      <c r="BO28" s="1">
        <f ca="1">OFFSET(A28,0, 13) -0</f>
        <v>-7.7795802715805991</v>
      </c>
      <c r="BP28" s="1">
        <f ca="1">OFFSET(A28,0, 16) -0</f>
        <v>5.5429380988775847</v>
      </c>
      <c r="BQ28" s="1">
        <f ca="1">OFFSET(A28,0, 15) -0</f>
        <v>17.76876530872488</v>
      </c>
      <c r="BR28" s="1">
        <f ca="1">OFFSET(A28,0, 18) -0</f>
        <v>1.0912836791831069</v>
      </c>
      <c r="BS28" s="1">
        <f ca="1">OFFSET(A28,0, 14) -0</f>
        <v>-10.005407481427881</v>
      </c>
      <c r="BT28" s="1">
        <f ca="1">OFFSET(A28,0, 20) -0</f>
        <v>26.639629259488629</v>
      </c>
      <c r="BU28" s="1">
        <f ca="1">OFFSET(A28,0, 17) -0</f>
        <v>-26.682889110969654</v>
      </c>
      <c r="BV28" s="1">
        <f ca="1">OFFSET(A28,0, 22) -0</f>
        <v>-17.812025160206076</v>
      </c>
      <c r="BW28" s="1">
        <f ca="1">OFFSET(A28,0, 19) -0</f>
        <v>8.865456469335868</v>
      </c>
      <c r="BX28" s="1">
        <f ca="1">OFFSET(A28,0, 24) -0</f>
        <v>-32.263679579900327</v>
      </c>
      <c r="BY28" s="1">
        <f ca="1">OFFSET(A28,0, 21) -0</f>
        <v>4.4138020496411627</v>
      </c>
      <c r="BZ28" s="1">
        <f ca="1">OFFSET(A28,0, 23) -0</f>
        <v>-40.037852370053315</v>
      </c>
      <c r="CB28" s="1">
        <f>COUNTIF(B28,"&lt;-68")</f>
        <v>0</v>
      </c>
      <c r="CC28" s="1">
        <f ca="1">COUNTIF(BC28:BN28,"&lt;-48")</f>
        <v>0</v>
      </c>
      <c r="CD28" s="1">
        <f ca="1">COUNTIF(BC28:BN28,"&gt;+48")</f>
        <v>1</v>
      </c>
      <c r="CE28" s="1">
        <f ca="1">COUNTIF(BO28:BZ28,"&lt;-48")</f>
        <v>0</v>
      </c>
      <c r="CF28" s="1">
        <f ca="1">COUNTIF(BO28:BZ28,"&gt;+48")</f>
        <v>0</v>
      </c>
    </row>
    <row r="29" spans="1:84">
      <c r="A29" s="1">
        <v>26</v>
      </c>
      <c r="B29" s="1">
        <f>'Team A 1'!B29-'Team A 1'!$AA29-('Team A 1'!B$2- 12.5)*'Team A 1'!$AC29</f>
        <v>10.178132324827857</v>
      </c>
      <c r="C29" s="1">
        <f>'Team A 1'!C29-'Team A 1'!$AA29-('Team A 1'!C$2- 12.5)*'Team A 1'!$AC29</f>
        <v>7.8438019777420322</v>
      </c>
      <c r="D29" s="1">
        <f>'Team A 1'!D29-'Team A 1'!$AA29-('Team A 1'!D$2- 12.5)*'Team A 1'!$AC29</f>
        <v>45.509471630656435</v>
      </c>
      <c r="E29" s="1">
        <f>'Team A 1'!E29-'Team A 1'!$AA29-('Team A 1'!E$2- 12.5)*'Team A 1'!$AC29</f>
        <v>13.175141283570838</v>
      </c>
      <c r="F29" s="1">
        <f>'Team A 1'!F29-'Team A 1'!$AA29-('Team A 1'!F$2- 12.5)*'Team A 1'!$AC29</f>
        <v>60.840810936485241</v>
      </c>
      <c r="G29" s="1">
        <f>'Team A 1'!G29-'Team A 1'!$AA29-('Team A 1'!G$2- 12.5)*'Team A 1'!$AC29</f>
        <v>28.506480589399644</v>
      </c>
      <c r="H29" s="1">
        <f>'Team A 1'!H29-'Team A 1'!$AA29-('Team A 1'!H$2- 12.5)*'Team A 1'!$AC29</f>
        <v>-3.8278497576859536</v>
      </c>
      <c r="I29" s="1">
        <f>'Team A 1'!I29-'Team A 1'!$AA29-('Team A 1'!I$2- 12.5)*'Team A 1'!$AC29</f>
        <v>-16.162180104771664</v>
      </c>
      <c r="J29" s="1">
        <f>'Team A 1'!J29-'Team A 1'!$AA29-('Team A 1'!J$2- 12.5)*'Team A 1'!$AC29</f>
        <v>-18.496510451857262</v>
      </c>
      <c r="K29" s="1">
        <f>'Team A 1'!K29-'Team A 1'!$AA29-('Team A 1'!K$2- 12.5)*'Team A 1'!$AC29</f>
        <v>-20.830840798942916</v>
      </c>
      <c r="L29" s="1">
        <f>'Team A 1'!L29-'Team A 1'!$AA29-('Team A 1'!L$2- 12.5)*'Team A 1'!$AC29</f>
        <v>6.8348288539714872</v>
      </c>
      <c r="M29" s="1">
        <f>'Team A 1'!M29-'Team A 1'!$AA29-('Team A 1'!M$2- 12.5)*'Team A 1'!$AC29</f>
        <v>-5.4995014931141526</v>
      </c>
      <c r="N29" s="1">
        <f>'Team A 1'!N29-'Team A 1'!$AA29-('Team A 1'!N$2- 12.5)*'Team A 1'!$AC29</f>
        <v>-17.833831840199778</v>
      </c>
      <c r="O29" s="1">
        <f>'Team A 1'!O29-'Team A 1'!$AA29-('Team A 1'!O$2- 12.5)*'Team A 1'!$AC29</f>
        <v>-10.168162187285418</v>
      </c>
      <c r="P29" s="1">
        <f>'Team A 1'!P29-'Team A 1'!$AA29-('Team A 1'!P$2- 12.5)*'Team A 1'!$AC29</f>
        <v>17.497507465628985</v>
      </c>
      <c r="Q29" s="1">
        <f>'Team A 1'!Q29-'Team A 1'!$AA29-('Team A 1'!Q$2- 12.5)*'Team A 1'!$AC29</f>
        <v>5.1631771185433308</v>
      </c>
      <c r="R29" s="1">
        <f>'Team A 1'!R29-'Team A 1'!$AA29-('Team A 1'!R$2- 12.5)*'Team A 1'!$AC29</f>
        <v>2.8288467714577337</v>
      </c>
      <c r="S29" s="1">
        <f>'Team A 1'!S29-'Team A 1'!$AA29-('Team A 1'!S$2- 12.5)*'Team A 1'!$AC29</f>
        <v>-29.505483575627977</v>
      </c>
      <c r="T29" s="1">
        <f>'Team A 1'!T29-'Team A 1'!$AA29-('Team A 1'!T$2- 12.5)*'Team A 1'!$AC29</f>
        <v>-11.839813922713574</v>
      </c>
      <c r="U29" s="1">
        <f>'Team A 1'!U29-'Team A 1'!$AA29-('Team A 1'!U$2- 12.5)*'Team A 1'!$AC29</f>
        <v>25.825855730200828</v>
      </c>
      <c r="V29" s="1">
        <f>'Team A 1'!V29-'Team A 1'!$AA29-('Team A 1'!V$2- 12.5)*'Team A 1'!$AC29</f>
        <v>-16.508474616884769</v>
      </c>
      <c r="W29" s="1">
        <f>'Team A 1'!W29-'Team A 1'!$AA29-('Team A 1'!W$2- 12.5)*'Team A 1'!$AC29</f>
        <v>-18.842804963970366</v>
      </c>
      <c r="X29" s="1">
        <f>'Team A 1'!X29-'Team A 1'!$AA29-('Team A 1'!X$2- 12.5)*'Team A 1'!$AC29</f>
        <v>-21.177135311055963</v>
      </c>
      <c r="Y29" s="1">
        <f>'Team A 1'!Y29-'Team A 1'!$AA29-('Team A 1'!Y$2- 12.5)*'Team A 1'!$AC29</f>
        <v>-33.511465658141788</v>
      </c>
      <c r="AB29" s="1">
        <f>STDEV(B29:Y29)</f>
        <v>23.490953879088497</v>
      </c>
      <c r="AD29" s="5">
        <v>5</v>
      </c>
      <c r="AE29" s="5">
        <v>1</v>
      </c>
      <c r="AF29" s="5">
        <v>2</v>
      </c>
      <c r="AG29" s="5">
        <v>3</v>
      </c>
      <c r="AH29" s="5">
        <v>4</v>
      </c>
      <c r="AI29" s="5">
        <v>7</v>
      </c>
      <c r="AJ29" s="5">
        <v>6</v>
      </c>
      <c r="AK29" s="5">
        <v>9</v>
      </c>
      <c r="AL29" s="5">
        <v>8</v>
      </c>
      <c r="AM29" s="5" t="s">
        <v>46</v>
      </c>
      <c r="AN29" s="5" t="s">
        <v>45</v>
      </c>
      <c r="AO29" s="5" t="s">
        <v>47</v>
      </c>
      <c r="AP29" s="5">
        <v>5</v>
      </c>
      <c r="AQ29" s="5">
        <v>2</v>
      </c>
      <c r="AR29" s="5">
        <v>1</v>
      </c>
      <c r="AS29" s="5">
        <v>3</v>
      </c>
      <c r="AT29" s="5">
        <v>7</v>
      </c>
      <c r="AU29" s="5">
        <v>4</v>
      </c>
      <c r="AV29" s="5">
        <v>9</v>
      </c>
      <c r="AW29" s="5">
        <v>6</v>
      </c>
      <c r="AX29" s="5" t="s">
        <v>46</v>
      </c>
      <c r="AY29" s="5">
        <v>8</v>
      </c>
      <c r="AZ29" s="5" t="s">
        <v>47</v>
      </c>
      <c r="BA29" s="5" t="s">
        <v>45</v>
      </c>
      <c r="BB29" s="5"/>
      <c r="BC29" s="1">
        <f ca="1">OFFSET(A29,0, 2) -0</f>
        <v>7.8438019777420322</v>
      </c>
      <c r="BD29" s="1">
        <f ca="1">OFFSET(A29,0, 3) -0</f>
        <v>45.509471630656435</v>
      </c>
      <c r="BE29" s="1">
        <f ca="1">OFFSET(A29,0, 4) -0</f>
        <v>13.175141283570838</v>
      </c>
      <c r="BF29" s="1">
        <f ca="1">OFFSET(A29,0, 5) -0</f>
        <v>60.840810936485241</v>
      </c>
      <c r="BG29" s="1">
        <f ca="1">OFFSET(A29,0, 1) -0</f>
        <v>10.178132324827857</v>
      </c>
      <c r="BH29" s="1">
        <f ca="1">OFFSET(A29,0, 7) -0</f>
        <v>-3.8278497576859536</v>
      </c>
      <c r="BI29" s="1">
        <f ca="1">OFFSET(A29,0, 6) -0</f>
        <v>28.506480589399644</v>
      </c>
      <c r="BJ29" s="1">
        <f ca="1">OFFSET(A29,0, 9) -0</f>
        <v>-18.496510451857262</v>
      </c>
      <c r="BK29" s="1">
        <f ca="1">OFFSET(A29,0, 8) -0</f>
        <v>-16.162180104771664</v>
      </c>
      <c r="BL29" s="1">
        <f ca="1">OFFSET(A29,0, 11) -0</f>
        <v>6.8348288539714872</v>
      </c>
      <c r="BM29" s="1">
        <f ca="1">OFFSET(A29,0, 10) -0</f>
        <v>-20.830840798942916</v>
      </c>
      <c r="BN29" s="1">
        <f ca="1">OFFSET(A29,0, 12) -0</f>
        <v>-5.4995014931141526</v>
      </c>
      <c r="BO29" s="1">
        <f ca="1">OFFSET(A29,0, 15) -0</f>
        <v>17.497507465628985</v>
      </c>
      <c r="BP29" s="1">
        <f ca="1">OFFSET(A29,0, 14) -0</f>
        <v>-10.168162187285418</v>
      </c>
      <c r="BQ29" s="1">
        <f ca="1">OFFSET(A29,0, 16) -0</f>
        <v>5.1631771185433308</v>
      </c>
      <c r="BR29" s="1">
        <f ca="1">OFFSET(A29,0, 18) -0</f>
        <v>-29.505483575627977</v>
      </c>
      <c r="BS29" s="1">
        <f ca="1">OFFSET(A29,0, 13) -0</f>
        <v>-17.833831840199778</v>
      </c>
      <c r="BT29" s="1">
        <f ca="1">OFFSET(A29,0, 20) -0</f>
        <v>25.825855730200828</v>
      </c>
      <c r="BU29" s="1">
        <f ca="1">OFFSET(A29,0, 17) -0</f>
        <v>2.8288467714577337</v>
      </c>
      <c r="BV29" s="1">
        <f ca="1">OFFSET(A29,0, 22) -0</f>
        <v>-18.842804963970366</v>
      </c>
      <c r="BW29" s="1">
        <f ca="1">OFFSET(A29,0, 19) -0</f>
        <v>-11.839813922713574</v>
      </c>
      <c r="BX29" s="1">
        <f ca="1">OFFSET(A29,0, 24) -0</f>
        <v>-33.511465658141788</v>
      </c>
      <c r="BY29" s="1">
        <f ca="1">OFFSET(A29,0, 21) -0</f>
        <v>-16.508474616884769</v>
      </c>
      <c r="BZ29" s="1">
        <f ca="1">OFFSET(A29,0, 23) -0</f>
        <v>-21.177135311055963</v>
      </c>
      <c r="CB29" s="1">
        <f>COUNTIF(B29,"&lt;-68")</f>
        <v>0</v>
      </c>
      <c r="CC29" s="1">
        <f ca="1">COUNTIF(BC29:BN29,"&lt;-48")</f>
        <v>0</v>
      </c>
      <c r="CD29" s="1">
        <f ca="1">COUNTIF(BC29:BN29,"&gt;+48")</f>
        <v>1</v>
      </c>
      <c r="CE29" s="1">
        <f ca="1">COUNTIF(BO29:BZ29,"&lt;-48")</f>
        <v>0</v>
      </c>
      <c r="CF29" s="1">
        <f ca="1">COUNTIF(BO29:BZ29,"&gt;+48")</f>
        <v>0</v>
      </c>
    </row>
    <row r="30" spans="1:84">
      <c r="A30" s="1">
        <v>27</v>
      </c>
      <c r="B30" s="1">
        <f>'Team A 1'!B30-'Team A 1'!$AA30-('Team A 1'!B$2- 12.5)*'Team A 1'!$AC30</f>
        <v>48.991383380536263</v>
      </c>
      <c r="C30" s="1">
        <f>'Team A 1'!C30-'Team A 1'!$AA30-('Team A 1'!C$2- 12.5)*'Team A 1'!$AC30</f>
        <v>46.615321057590108</v>
      </c>
      <c r="D30" s="1">
        <f>'Team A 1'!D30-'Team A 1'!$AA30-('Team A 1'!D$2- 12.5)*'Team A 1'!$AC30</f>
        <v>4.2392587346441815</v>
      </c>
      <c r="E30" s="1">
        <f>'Team A 1'!E30-'Team A 1'!$AA30-('Team A 1'!E$2- 12.5)*'Team A 1'!$AC30</f>
        <v>11.863196411698027</v>
      </c>
      <c r="F30" s="1">
        <f>'Team A 1'!F30-'Team A 1'!$AA30-('Team A 1'!F$2- 12.5)*'Team A 1'!$AC30</f>
        <v>-20.5128659112479</v>
      </c>
      <c r="G30" s="1">
        <f>'Team A 1'!G30-'Team A 1'!$AA30-('Team A 1'!G$2- 12.5)*'Team A 1'!$AC30</f>
        <v>7.1110717658059457</v>
      </c>
      <c r="H30" s="1">
        <f>'Team A 1'!H30-'Team A 1'!$AA30-('Team A 1'!H$2- 12.5)*'Team A 1'!$AC30</f>
        <v>64.735009442860019</v>
      </c>
      <c r="I30" s="1">
        <f>'Team A 1'!I30-'Team A 1'!$AA30-('Team A 1'!I$2- 12.5)*'Team A 1'!$AC30</f>
        <v>-17.641052880086022</v>
      </c>
      <c r="J30" s="1">
        <f>'Team A 1'!J30-'Team A 1'!$AA30-('Team A 1'!J$2- 12.5)*'Team A 1'!$AC30</f>
        <v>-30.017115203031949</v>
      </c>
      <c r="K30" s="1">
        <f>'Team A 1'!K30-'Team A 1'!$AA30-('Team A 1'!K$2- 12.5)*'Team A 1'!$AC30</f>
        <v>-2.3931775259779897</v>
      </c>
      <c r="L30" s="1">
        <f>'Team A 1'!L30-'Team A 1'!$AA30-('Team A 1'!L$2- 12.5)*'Team A 1'!$AC30</f>
        <v>-24.76923984892403</v>
      </c>
      <c r="M30" s="1">
        <f>'Team A 1'!M30-'Team A 1'!$AA30-('Team A 1'!M$2- 12.5)*'Team A 1'!$AC30</f>
        <v>-7.1453021718700285</v>
      </c>
      <c r="N30" s="1">
        <f>'Team A 1'!N30-'Team A 1'!$AA30-('Team A 1'!N$2- 12.5)*'Team A 1'!$AC30</f>
        <v>10.478635505183959</v>
      </c>
      <c r="O30" s="1">
        <f>'Team A 1'!O30-'Team A 1'!$AA30-('Team A 1'!O$2- 12.5)*'Team A 1'!$AC30</f>
        <v>-11.897426817762039</v>
      </c>
      <c r="P30" s="1">
        <f>'Team A 1'!P30-'Team A 1'!$AA30-('Team A 1'!P$2- 12.5)*'Team A 1'!$AC30</f>
        <v>5.7265108592919205</v>
      </c>
      <c r="Q30" s="1">
        <f>'Team A 1'!Q30-'Team A 1'!$AA30-('Team A 1'!Q$2- 12.5)*'Team A 1'!$AC30</f>
        <v>-26.64955146365412</v>
      </c>
      <c r="R30" s="1">
        <f>'Team A 1'!R30-'Team A 1'!$AA30-('Team A 1'!R$2- 12.5)*'Team A 1'!$AC30</f>
        <v>10.974386213399953</v>
      </c>
      <c r="S30" s="1">
        <f>'Team A 1'!S30-'Team A 1'!$AA30-('Team A 1'!S$2- 12.5)*'Team A 1'!$AC30</f>
        <v>18.598323890453912</v>
      </c>
      <c r="T30" s="1">
        <f>'Team A 1'!T30-'Team A 1'!$AA30-('Team A 1'!T$2- 12.5)*'Team A 1'!$AC30</f>
        <v>-13.777738432492015</v>
      </c>
      <c r="U30" s="1">
        <f>'Team A 1'!U30-'Team A 1'!$AA30-('Team A 1'!U$2- 12.5)*'Team A 1'!$AC30</f>
        <v>-16.153800755438169</v>
      </c>
      <c r="V30" s="1">
        <f>'Team A 1'!V30-'Team A 1'!$AA30-('Team A 1'!V$2- 12.5)*'Team A 1'!$AC30</f>
        <v>-8.5298630783840963</v>
      </c>
      <c r="W30" s="1">
        <f>'Team A 1'!W30-'Team A 1'!$AA30-('Team A 1'!W$2- 12.5)*'Team A 1'!$AC30</f>
        <v>-10.905925401330251</v>
      </c>
      <c r="X30" s="1">
        <f>'Team A 1'!X30-'Team A 1'!$AA30-('Team A 1'!X$2- 12.5)*'Team A 1'!$AC30</f>
        <v>-43.281987724276178</v>
      </c>
      <c r="Y30" s="1">
        <f>'Team A 1'!Y30-'Team A 1'!$AA30-('Team A 1'!Y$2- 12.5)*'Team A 1'!$AC30</f>
        <v>4.3419499527776679</v>
      </c>
      <c r="AB30" s="1">
        <f>STDEV(B30:Y30)</f>
        <v>25.767925672770513</v>
      </c>
      <c r="AD30" s="5">
        <v>2</v>
      </c>
      <c r="AE30" s="5">
        <v>5</v>
      </c>
      <c r="AF30" s="5">
        <v>3</v>
      </c>
      <c r="AG30" s="5">
        <v>1</v>
      </c>
      <c r="AH30" s="5">
        <v>4</v>
      </c>
      <c r="AI30" s="5">
        <v>7</v>
      </c>
      <c r="AJ30" s="5">
        <v>6</v>
      </c>
      <c r="AK30" s="5">
        <v>9</v>
      </c>
      <c r="AL30" s="5">
        <v>8</v>
      </c>
      <c r="AM30" s="5" t="s">
        <v>46</v>
      </c>
      <c r="AN30" s="5" t="s">
        <v>45</v>
      </c>
      <c r="AO30" s="5" t="s">
        <v>47</v>
      </c>
      <c r="AP30" s="5">
        <v>2</v>
      </c>
      <c r="AQ30" s="5">
        <v>5</v>
      </c>
      <c r="AR30" s="5">
        <v>1</v>
      </c>
      <c r="AS30" s="5">
        <v>3</v>
      </c>
      <c r="AT30" s="5">
        <v>4</v>
      </c>
      <c r="AU30" s="5">
        <v>6</v>
      </c>
      <c r="AV30" s="5">
        <v>7</v>
      </c>
      <c r="AW30" s="5">
        <v>8</v>
      </c>
      <c r="AX30" s="5">
        <v>9</v>
      </c>
      <c r="AY30" s="5" t="s">
        <v>45</v>
      </c>
      <c r="AZ30" s="5" t="s">
        <v>46</v>
      </c>
      <c r="BA30" s="5" t="s">
        <v>47</v>
      </c>
      <c r="BB30" s="5"/>
      <c r="BC30" s="1">
        <f ca="1">OFFSET(A30,0, 4) -0</f>
        <v>11.863196411698027</v>
      </c>
      <c r="BD30" s="1">
        <f ca="1">OFFSET(A30,0, 1) -0</f>
        <v>48.991383380536263</v>
      </c>
      <c r="BE30" s="1">
        <f ca="1">OFFSET(A30,0, 3) -0</f>
        <v>4.2392587346441815</v>
      </c>
      <c r="BF30" s="1">
        <f ca="1">OFFSET(A30,0, 5) -0</f>
        <v>-20.5128659112479</v>
      </c>
      <c r="BG30" s="1">
        <f ca="1">OFFSET(A30,0, 2) -0</f>
        <v>46.615321057590108</v>
      </c>
      <c r="BH30" s="1">
        <f ca="1">OFFSET(A30,0, 7) -0</f>
        <v>64.735009442860019</v>
      </c>
      <c r="BI30" s="1">
        <f ca="1">OFFSET(A30,0, 6) -0</f>
        <v>7.1110717658059457</v>
      </c>
      <c r="BJ30" s="1">
        <f ca="1">OFFSET(A30,0, 9) -0</f>
        <v>-30.017115203031949</v>
      </c>
      <c r="BK30" s="1">
        <f ca="1">OFFSET(A30,0, 8) -0</f>
        <v>-17.641052880086022</v>
      </c>
      <c r="BL30" s="1">
        <f ca="1">OFFSET(A30,0, 11) -0</f>
        <v>-24.76923984892403</v>
      </c>
      <c r="BM30" s="1">
        <f ca="1">OFFSET(A30,0, 10) -0</f>
        <v>-2.3931775259779897</v>
      </c>
      <c r="BN30" s="1">
        <f ca="1">OFFSET(A30,0, 12) -0</f>
        <v>-7.1453021718700285</v>
      </c>
      <c r="BO30" s="1">
        <f ca="1">OFFSET(A30,0, 15) -0</f>
        <v>5.7265108592919205</v>
      </c>
      <c r="BP30" s="1">
        <f ca="1">OFFSET(A30,0, 13) -0</f>
        <v>10.478635505183959</v>
      </c>
      <c r="BQ30" s="1">
        <f ca="1">OFFSET(A30,0, 16) -0</f>
        <v>-26.64955146365412</v>
      </c>
      <c r="BR30" s="1">
        <f ca="1">OFFSET(A30,0, 17) -0</f>
        <v>10.974386213399953</v>
      </c>
      <c r="BS30" s="1">
        <f ca="1">OFFSET(A30,0, 14) -0</f>
        <v>-11.897426817762039</v>
      </c>
      <c r="BT30" s="1">
        <f ca="1">OFFSET(A30,0, 18) -0</f>
        <v>18.598323890453912</v>
      </c>
      <c r="BU30" s="1">
        <f ca="1">OFFSET(A30,0, 19) -0</f>
        <v>-13.777738432492015</v>
      </c>
      <c r="BV30" s="1">
        <f ca="1">OFFSET(A30,0, 20) -0</f>
        <v>-16.153800755438169</v>
      </c>
      <c r="BW30" s="1">
        <f ca="1">OFFSET(A30,0, 21) -0</f>
        <v>-8.5298630783840963</v>
      </c>
      <c r="BX30" s="1">
        <f ca="1">OFFSET(A30,0, 22) -0</f>
        <v>-10.905925401330251</v>
      </c>
      <c r="BY30" s="1">
        <f ca="1">OFFSET(A30,0, 23) -0</f>
        <v>-43.281987724276178</v>
      </c>
      <c r="BZ30" s="1">
        <f ca="1">OFFSET(A30,0, 24) -0</f>
        <v>4.3419499527776679</v>
      </c>
      <c r="CB30" s="1">
        <f>COUNTIF(B30,"&lt;-68")</f>
        <v>0</v>
      </c>
      <c r="CC30" s="1">
        <f ca="1">COUNTIF(BC30:BN30,"&lt;-48")</f>
        <v>0</v>
      </c>
      <c r="CD30" s="1">
        <f ca="1">COUNTIF(BC30:BN30,"&gt;+48")</f>
        <v>2</v>
      </c>
      <c r="CE30" s="1">
        <f ca="1">COUNTIF(BO30:BZ30,"&lt;-48")</f>
        <v>0</v>
      </c>
      <c r="CF30" s="1">
        <f ca="1">COUNTIF(BO30:BZ30,"&gt;+48")</f>
        <v>0</v>
      </c>
    </row>
    <row r="31" spans="1:84">
      <c r="A31" s="1">
        <v>28</v>
      </c>
      <c r="B31" s="1">
        <f>'Team A 1'!B31-'Team A 1'!$AA31-('Team A 1'!B$2- 12.5)*'Team A 1'!$AC31</f>
        <v>4.1245272573069087</v>
      </c>
      <c r="C31" s="1">
        <f>'Team A 1'!C31-'Team A 1'!$AA31-('Team A 1'!C$2- 12.5)*'Team A 1'!$AC31</f>
        <v>-8.0094896056464222</v>
      </c>
      <c r="D31" s="1">
        <f>'Team A 1'!D31-'Team A 1'!$AA31-('Team A 1'!D$2- 12.5)*'Team A 1'!$AC31</f>
        <v>9.8564935314002469</v>
      </c>
      <c r="E31" s="1">
        <f>'Team A 1'!E31-'Team A 1'!$AA31-('Team A 1'!E$2- 12.5)*'Team A 1'!$AC31</f>
        <v>-2.2775233315530841</v>
      </c>
      <c r="F31" s="1">
        <f>'Team A 1'!F31-'Team A 1'!$AA31-('Team A 1'!F$2- 12.5)*'Team A 1'!$AC31</f>
        <v>-4.4115401945066424</v>
      </c>
      <c r="G31" s="1">
        <f>'Team A 1'!G31-'Team A 1'!$AA31-('Team A 1'!G$2- 12.5)*'Team A 1'!$AC31</f>
        <v>13.454442942540027</v>
      </c>
      <c r="H31" s="1">
        <f>'Team A 1'!H31-'Team A 1'!$AA31-('Team A 1'!H$2- 12.5)*'Team A 1'!$AC31</f>
        <v>-8.6795739204133042</v>
      </c>
      <c r="I31" s="1">
        <f>'Team A 1'!I31-'Team A 1'!$AA31-('Team A 1'!I$2- 12.5)*'Team A 1'!$AC31</f>
        <v>19.186409216633251</v>
      </c>
      <c r="J31" s="1">
        <f>'Team A 1'!J31-'Team A 1'!$AA31-('Team A 1'!J$2- 12.5)*'Team A 1'!$AC31</f>
        <v>7.0523923536799202</v>
      </c>
      <c r="K31" s="1">
        <f>'Team A 1'!K31-'Team A 1'!$AA31-('Team A 1'!K$2- 12.5)*'Team A 1'!$AC31</f>
        <v>4.9183754907264756</v>
      </c>
      <c r="L31" s="1">
        <f>'Team A 1'!L31-'Team A 1'!$AA31-('Team A 1'!L$2- 12.5)*'Team A 1'!$AC31</f>
        <v>-7.2156413722268553</v>
      </c>
      <c r="M31" s="1">
        <f>'Team A 1'!M31-'Team A 1'!$AA31-('Team A 1'!M$2- 12.5)*'Team A 1'!$AC31</f>
        <v>-29.349658235180272</v>
      </c>
      <c r="N31" s="1">
        <f>'Team A 1'!N31-'Team A 1'!$AA31-('Team A 1'!N$2- 12.5)*'Team A 1'!$AC31</f>
        <v>28.516324901866341</v>
      </c>
      <c r="O31" s="1">
        <f>'Team A 1'!O31-'Team A 1'!$AA31-('Team A 1'!O$2- 12.5)*'Team A 1'!$AC31</f>
        <v>-23.617691961087075</v>
      </c>
      <c r="P31" s="1">
        <f>'Team A 1'!P31-'Team A 1'!$AA31-('Team A 1'!P$2- 12.5)*'Team A 1'!$AC31</f>
        <v>4.2482911759595936</v>
      </c>
      <c r="Q31" s="1">
        <f>'Team A 1'!Q31-'Team A 1'!$AA31-('Team A 1'!Q$2- 12.5)*'Team A 1'!$AC31</f>
        <v>12.114274313006149</v>
      </c>
      <c r="R31" s="1">
        <f>'Team A 1'!R31-'Team A 1'!$AA31-('Team A 1'!R$2- 12.5)*'Team A 1'!$AC31</f>
        <v>9.9802574500528181</v>
      </c>
      <c r="S31" s="1">
        <f>'Team A 1'!S31-'Team A 1'!$AA31-('Team A 1'!S$2- 12.5)*'Team A 1'!$AC31</f>
        <v>7.8462405870993734</v>
      </c>
      <c r="T31" s="1">
        <f>'Team A 1'!T31-'Team A 1'!$AA31-('Team A 1'!T$2- 12.5)*'Team A 1'!$AC31</f>
        <v>25.712223724146043</v>
      </c>
      <c r="U31" s="1">
        <f>'Team A 1'!U31-'Team A 1'!$AA31-('Team A 1'!U$2- 12.5)*'Team A 1'!$AC31</f>
        <v>-6.4217931388072884</v>
      </c>
      <c r="V31" s="1">
        <f>'Team A 1'!V31-'Team A 1'!$AA31-('Team A 1'!V$2- 12.5)*'Team A 1'!$AC31</f>
        <v>-8.5558100017608467</v>
      </c>
      <c r="W31" s="1">
        <f>'Team A 1'!W31-'Team A 1'!$AA31-('Team A 1'!W$2- 12.5)*'Team A 1'!$AC31</f>
        <v>-30.689826864714178</v>
      </c>
      <c r="X31" s="1">
        <f>'Team A 1'!X31-'Team A 1'!$AA31-('Team A 1'!X$2- 12.5)*'Team A 1'!$AC31</f>
        <v>-22.823843727667509</v>
      </c>
      <c r="Y31" s="1">
        <f>'Team A 1'!Y31-'Team A 1'!$AA31-('Team A 1'!Y$2- 12.5)*'Team A 1'!$AC31</f>
        <v>5.0421394093791605</v>
      </c>
      <c r="AB31" s="1">
        <f>STDEV(B31:Y31)</f>
        <v>15.846488954099417</v>
      </c>
      <c r="AD31" s="5">
        <v>5</v>
      </c>
      <c r="AE31" s="5">
        <v>2</v>
      </c>
      <c r="AF31" s="5">
        <v>3</v>
      </c>
      <c r="AG31" s="5">
        <v>1</v>
      </c>
      <c r="AH31" s="5">
        <v>6</v>
      </c>
      <c r="AI31" s="5">
        <v>4</v>
      </c>
      <c r="AJ31" s="5">
        <v>8</v>
      </c>
      <c r="AK31" s="5">
        <v>7</v>
      </c>
      <c r="AL31" s="5" t="s">
        <v>45</v>
      </c>
      <c r="AM31" s="5">
        <v>9</v>
      </c>
      <c r="AN31" s="5" t="s">
        <v>47</v>
      </c>
      <c r="AO31" s="5" t="s">
        <v>46</v>
      </c>
      <c r="AP31" s="5">
        <v>2</v>
      </c>
      <c r="AQ31" s="5">
        <v>5</v>
      </c>
      <c r="AR31" s="5">
        <v>3</v>
      </c>
      <c r="AS31" s="5">
        <v>6</v>
      </c>
      <c r="AT31" s="5">
        <v>1</v>
      </c>
      <c r="AU31" s="5">
        <v>4</v>
      </c>
      <c r="AV31" s="5">
        <v>7</v>
      </c>
      <c r="AW31" s="5">
        <v>8</v>
      </c>
      <c r="AX31" s="5">
        <v>9</v>
      </c>
      <c r="AY31" s="5" t="s">
        <v>45</v>
      </c>
      <c r="AZ31" s="5" t="s">
        <v>46</v>
      </c>
      <c r="BA31" s="5" t="s">
        <v>47</v>
      </c>
      <c r="BB31" s="5"/>
      <c r="BC31" s="1">
        <f ca="1">OFFSET(A31,0, 4) -0</f>
        <v>-2.2775233315530841</v>
      </c>
      <c r="BD31" s="1">
        <f ca="1">OFFSET(A31,0, 2) -0</f>
        <v>-8.0094896056464222</v>
      </c>
      <c r="BE31" s="1">
        <f ca="1">OFFSET(A31,0, 3) -0</f>
        <v>9.8564935314002469</v>
      </c>
      <c r="BF31" s="1">
        <f ca="1">OFFSET(A31,0, 6) -0</f>
        <v>13.454442942540027</v>
      </c>
      <c r="BG31" s="1">
        <f ca="1">OFFSET(A31,0, 1) -0</f>
        <v>4.1245272573069087</v>
      </c>
      <c r="BH31" s="1">
        <f ca="1">OFFSET(A31,0, 5) -0</f>
        <v>-4.4115401945066424</v>
      </c>
      <c r="BI31" s="1">
        <f ca="1">OFFSET(A31,0, 8) -0</f>
        <v>19.186409216633251</v>
      </c>
      <c r="BJ31" s="1">
        <f ca="1">OFFSET(A31,0, 7) -0</f>
        <v>-8.6795739204133042</v>
      </c>
      <c r="BK31" s="1">
        <f ca="1">OFFSET(A31,0, 10) -0</f>
        <v>4.9183754907264756</v>
      </c>
      <c r="BL31" s="1">
        <f ca="1">OFFSET(A31,0, 9) -0</f>
        <v>7.0523923536799202</v>
      </c>
      <c r="BM31" s="1">
        <f ca="1">OFFSET(A31,0, 12) -0</f>
        <v>-29.349658235180272</v>
      </c>
      <c r="BN31" s="1">
        <f ca="1">OFFSET(A31,0, 11) -0</f>
        <v>-7.2156413722268553</v>
      </c>
      <c r="BO31" s="1">
        <f ca="1">OFFSET(A31,0, 17) -0</f>
        <v>9.9802574500528181</v>
      </c>
      <c r="BP31" s="1">
        <f ca="1">OFFSET(A31,0, 13) -0</f>
        <v>28.516324901866341</v>
      </c>
      <c r="BQ31" s="1">
        <f ca="1">OFFSET(A31,0, 15) -0</f>
        <v>4.2482911759595936</v>
      </c>
      <c r="BR31" s="1">
        <f ca="1">OFFSET(A31,0, 18) -0</f>
        <v>7.8462405870993734</v>
      </c>
      <c r="BS31" s="1">
        <f ca="1">OFFSET(A31,0, 14) -0</f>
        <v>-23.617691961087075</v>
      </c>
      <c r="BT31" s="1">
        <f ca="1">OFFSET(A31,0, 16) -0</f>
        <v>12.114274313006149</v>
      </c>
      <c r="BU31" s="1">
        <f ca="1">OFFSET(A31,0, 19) -0</f>
        <v>25.712223724146043</v>
      </c>
      <c r="BV31" s="1">
        <f ca="1">OFFSET(A31,0, 20) -0</f>
        <v>-6.4217931388072884</v>
      </c>
      <c r="BW31" s="1">
        <f ca="1">OFFSET(A31,0, 21) -0</f>
        <v>-8.5558100017608467</v>
      </c>
      <c r="BX31" s="1">
        <f ca="1">OFFSET(A31,0, 22) -0</f>
        <v>-30.689826864714178</v>
      </c>
      <c r="BY31" s="1">
        <f ca="1">OFFSET(A31,0, 23) -0</f>
        <v>-22.823843727667509</v>
      </c>
      <c r="BZ31" s="1">
        <f ca="1">OFFSET(A31,0, 24) -0</f>
        <v>5.0421394093791605</v>
      </c>
      <c r="CB31" s="1">
        <f>COUNTIF(B31,"&lt;-68")</f>
        <v>0</v>
      </c>
      <c r="CC31" s="1">
        <f ca="1">COUNTIF(BC31:BN31,"&lt;-48")</f>
        <v>0</v>
      </c>
      <c r="CD31" s="1">
        <f ca="1">COUNTIF(BC31:BN31,"&gt;+48")</f>
        <v>0</v>
      </c>
      <c r="CE31" s="1">
        <f ca="1">COUNTIF(BO31:BZ31,"&lt;-48")</f>
        <v>0</v>
      </c>
      <c r="CF31" s="1">
        <f ca="1">COUNTIF(BO31:BZ31,"&gt;+48")</f>
        <v>0</v>
      </c>
    </row>
    <row r="32" spans="1:84">
      <c r="A32" s="1">
        <v>29</v>
      </c>
      <c r="B32" s="1">
        <f>'Team A 1'!B32-'Team A 1'!$AA32-('Team A 1'!B$2- 12.5)*'Team A 1'!$AC32</f>
        <v>29.244387603476753</v>
      </c>
      <c r="C32" s="1">
        <f>'Team A 1'!C32-'Team A 1'!$AA32-('Team A 1'!C$2- 12.5)*'Team A 1'!$AC32</f>
        <v>46.701397377087233</v>
      </c>
      <c r="D32" s="1">
        <f>'Team A 1'!D32-'Team A 1'!$AA32-('Team A 1'!D$2- 12.5)*'Team A 1'!$AC32</f>
        <v>24.15840715069794</v>
      </c>
      <c r="E32" s="1">
        <f>'Team A 1'!E32-'Team A 1'!$AA32-('Team A 1'!E$2- 12.5)*'Team A 1'!$AC32</f>
        <v>1.6154169243086471</v>
      </c>
      <c r="F32" s="1">
        <f>'Team A 1'!F32-'Team A 1'!$AA32-('Team A 1'!F$2- 12.5)*'Team A 1'!$AC32</f>
        <v>29.072426697919582</v>
      </c>
      <c r="G32" s="1">
        <f>'Team A 1'!G32-'Team A 1'!$AA32-('Team A 1'!G$2- 12.5)*'Team A 1'!$AC32</f>
        <v>6.5294364715302891</v>
      </c>
      <c r="H32" s="1">
        <f>'Team A 1'!H32-'Team A 1'!$AA32-('Team A 1'!H$2- 12.5)*'Team A 1'!$AC32</f>
        <v>-36.013553754859004</v>
      </c>
      <c r="I32" s="1">
        <f>'Team A 1'!I32-'Team A 1'!$AA32-('Team A 1'!I$2- 12.5)*'Team A 1'!$AC32</f>
        <v>11.443456018751704</v>
      </c>
      <c r="J32" s="1">
        <f>'Team A 1'!J32-'Team A 1'!$AA32-('Team A 1'!J$2- 12.5)*'Team A 1'!$AC32</f>
        <v>8.9004657923624109</v>
      </c>
      <c r="K32" s="1">
        <f>'Team A 1'!K32-'Team A 1'!$AA32-('Team A 1'!K$2- 12.5)*'Team A 1'!$AC32</f>
        <v>-3.642524434026825</v>
      </c>
      <c r="L32" s="1">
        <f>'Team A 1'!L32-'Team A 1'!$AA32-('Team A 1'!L$2- 12.5)*'Team A 1'!$AC32</f>
        <v>-26.185514660416118</v>
      </c>
      <c r="M32" s="1">
        <f>'Team A 1'!M32-'Team A 1'!$AA32-('Team A 1'!M$2- 12.5)*'Team A 1'!$AC32</f>
        <v>-18.728504886805368</v>
      </c>
      <c r="N32" s="1">
        <f>'Team A 1'!N32-'Team A 1'!$AA32-('Team A 1'!N$2- 12.5)*'Team A 1'!$AC32</f>
        <v>-31.271495113194632</v>
      </c>
      <c r="O32" s="1">
        <f>'Team A 1'!O32-'Team A 1'!$AA32-('Team A 1'!O$2- 12.5)*'Team A 1'!$AC32</f>
        <v>16.185514660416118</v>
      </c>
      <c r="P32" s="1">
        <f>'Team A 1'!P32-'Team A 1'!$AA32-('Team A 1'!P$2- 12.5)*'Team A 1'!$AC32</f>
        <v>13.642524434026825</v>
      </c>
      <c r="Q32" s="1">
        <f>'Team A 1'!Q32-'Team A 1'!$AA32-('Team A 1'!Q$2- 12.5)*'Team A 1'!$AC32</f>
        <v>11.099534207637589</v>
      </c>
      <c r="R32" s="1">
        <f>'Team A 1'!R32-'Team A 1'!$AA32-('Team A 1'!R$2- 12.5)*'Team A 1'!$AC32</f>
        <v>8.5565439812482964</v>
      </c>
      <c r="S32" s="1">
        <f>'Team A 1'!S32-'Team A 1'!$AA32-('Team A 1'!S$2- 12.5)*'Team A 1'!$AC32</f>
        <v>26.013553754859004</v>
      </c>
      <c r="T32" s="1">
        <f>'Team A 1'!T32-'Team A 1'!$AA32-('Team A 1'!T$2- 12.5)*'Team A 1'!$AC32</f>
        <v>-6.5294364715302891</v>
      </c>
      <c r="U32" s="1">
        <f>'Team A 1'!U32-'Team A 1'!$AA32-('Team A 1'!U$2- 12.5)*'Team A 1'!$AC32</f>
        <v>-19.072426697919582</v>
      </c>
      <c r="V32" s="1">
        <f>'Team A 1'!V32-'Team A 1'!$AA32-('Team A 1'!V$2- 12.5)*'Team A 1'!$AC32</f>
        <v>-31.615416924308647</v>
      </c>
      <c r="W32" s="1">
        <f>'Team A 1'!W32-'Team A 1'!$AA32-('Team A 1'!W$2- 12.5)*'Team A 1'!$AC32</f>
        <v>-24.15840715069794</v>
      </c>
      <c r="X32" s="1">
        <f>'Team A 1'!X32-'Team A 1'!$AA32-('Team A 1'!X$2- 12.5)*'Team A 1'!$AC32</f>
        <v>-16.701397377087233</v>
      </c>
      <c r="Y32" s="1">
        <f>'Team A 1'!Y32-'Team A 1'!$AA32-('Team A 1'!Y$2- 12.5)*'Team A 1'!$AC32</f>
        <v>-19.244387603476753</v>
      </c>
      <c r="AB32" s="1">
        <f>STDEV(B32:Y32)</f>
        <v>22.846498880380686</v>
      </c>
      <c r="AD32" s="5">
        <v>5</v>
      </c>
      <c r="AE32" s="5">
        <v>2</v>
      </c>
      <c r="AF32" s="5">
        <v>6</v>
      </c>
      <c r="AG32" s="5">
        <v>3</v>
      </c>
      <c r="AH32" s="5">
        <v>4</v>
      </c>
      <c r="AI32" s="5">
        <v>1</v>
      </c>
      <c r="AJ32" s="5">
        <v>8</v>
      </c>
      <c r="AK32" s="5">
        <v>7</v>
      </c>
      <c r="AL32" s="5" t="s">
        <v>45</v>
      </c>
      <c r="AM32" s="5">
        <v>9</v>
      </c>
      <c r="AN32" s="5" t="s">
        <v>47</v>
      </c>
      <c r="AO32" s="5" t="s">
        <v>46</v>
      </c>
      <c r="AP32" s="5">
        <v>5</v>
      </c>
      <c r="AQ32" s="5">
        <v>6</v>
      </c>
      <c r="AR32" s="5">
        <v>2</v>
      </c>
      <c r="AS32" s="5">
        <v>3</v>
      </c>
      <c r="AT32" s="5">
        <v>1</v>
      </c>
      <c r="AU32" s="5">
        <v>4</v>
      </c>
      <c r="AV32" s="5">
        <v>8</v>
      </c>
      <c r="AW32" s="5" t="s">
        <v>45</v>
      </c>
      <c r="AX32" s="5">
        <v>7</v>
      </c>
      <c r="AY32" s="5" t="s">
        <v>47</v>
      </c>
      <c r="AZ32" s="5">
        <v>9</v>
      </c>
      <c r="BA32" s="5" t="s">
        <v>46</v>
      </c>
      <c r="BB32" s="5"/>
      <c r="BC32" s="1">
        <f ca="1">OFFSET(A32,0, 6) -0</f>
        <v>6.5294364715302891</v>
      </c>
      <c r="BD32" s="1">
        <f ca="1">OFFSET(A32,0, 2) -0</f>
        <v>46.701397377087233</v>
      </c>
      <c r="BE32" s="1">
        <f ca="1">OFFSET(A32,0, 4) -0</f>
        <v>1.6154169243086471</v>
      </c>
      <c r="BF32" s="1">
        <f ca="1">OFFSET(A32,0, 5) -0</f>
        <v>29.072426697919582</v>
      </c>
      <c r="BG32" s="1">
        <f ca="1">OFFSET(A32,0, 1) -0</f>
        <v>29.244387603476753</v>
      </c>
      <c r="BH32" s="1">
        <f ca="1">OFFSET(A32,0, 3) -0</f>
        <v>24.15840715069794</v>
      </c>
      <c r="BI32" s="1">
        <f ca="1">OFFSET(A32,0, 8) -0</f>
        <v>11.443456018751704</v>
      </c>
      <c r="BJ32" s="1">
        <f ca="1">OFFSET(A32,0, 7) -0</f>
        <v>-36.013553754859004</v>
      </c>
      <c r="BK32" s="1">
        <f ca="1">OFFSET(A32,0, 10) -0</f>
        <v>-3.642524434026825</v>
      </c>
      <c r="BL32" s="1">
        <f ca="1">OFFSET(A32,0, 9) -0</f>
        <v>8.9004657923624109</v>
      </c>
      <c r="BM32" s="1">
        <f ca="1">OFFSET(A32,0, 12) -0</f>
        <v>-18.728504886805368</v>
      </c>
      <c r="BN32" s="1">
        <f ca="1">OFFSET(A32,0, 11) -0</f>
        <v>-26.185514660416118</v>
      </c>
      <c r="BO32" s="1">
        <f ca="1">OFFSET(A32,0, 17) -0</f>
        <v>8.5565439812482964</v>
      </c>
      <c r="BP32" s="1">
        <f ca="1">OFFSET(A32,0, 15) -0</f>
        <v>13.642524434026825</v>
      </c>
      <c r="BQ32" s="1">
        <f ca="1">OFFSET(A32,0, 16) -0</f>
        <v>11.099534207637589</v>
      </c>
      <c r="BR32" s="1">
        <f ca="1">OFFSET(A32,0, 18) -0</f>
        <v>26.013553754859004</v>
      </c>
      <c r="BS32" s="1">
        <f ca="1">OFFSET(A32,0, 13) -0</f>
        <v>-31.271495113194632</v>
      </c>
      <c r="BT32" s="1">
        <f ca="1">OFFSET(A32,0, 14) -0</f>
        <v>16.185514660416118</v>
      </c>
      <c r="BU32" s="1">
        <f ca="1">OFFSET(A32,0, 21) -0</f>
        <v>-31.615416924308647</v>
      </c>
      <c r="BV32" s="1">
        <f ca="1">OFFSET(A32,0, 19) -0</f>
        <v>-6.5294364715302891</v>
      </c>
      <c r="BW32" s="1">
        <f ca="1">OFFSET(A32,0, 23) -0</f>
        <v>-16.701397377087233</v>
      </c>
      <c r="BX32" s="1">
        <f ca="1">OFFSET(A32,0, 20) -0</f>
        <v>-19.072426697919582</v>
      </c>
      <c r="BY32" s="1">
        <f ca="1">OFFSET(A32,0, 24) -0</f>
        <v>-19.244387603476753</v>
      </c>
      <c r="BZ32" s="1">
        <f ca="1">OFFSET(A32,0, 22) -0</f>
        <v>-24.15840715069794</v>
      </c>
      <c r="CB32" s="1">
        <f>COUNTIF(B32,"&lt;-68")</f>
        <v>0</v>
      </c>
      <c r="CC32" s="1">
        <f ca="1">COUNTIF(BC32:BN32,"&lt;-48")</f>
        <v>0</v>
      </c>
      <c r="CD32" s="1">
        <f ca="1">COUNTIF(BC32:BN32,"&gt;+48")</f>
        <v>0</v>
      </c>
      <c r="CE32" s="1">
        <f ca="1">COUNTIF(BO32:BZ32,"&lt;-48")</f>
        <v>0</v>
      </c>
      <c r="CF32" s="1">
        <f ca="1">COUNTIF(BO32:BZ32,"&gt;+48")</f>
        <v>0</v>
      </c>
    </row>
    <row r="33" spans="1:84">
      <c r="A33" s="1">
        <v>30</v>
      </c>
      <c r="B33" s="1">
        <f>'Team A 1'!B33-'Team A 1'!$AA33-('Team A 1'!B$2- 12.5)*'Team A 1'!$AC33</f>
        <v>6.0725027921139372</v>
      </c>
      <c r="C33" s="1">
        <f>'Team A 1'!C33-'Team A 1'!$AA33-('Team A 1'!C$2- 12.5)*'Team A 1'!$AC33</f>
        <v>43.587937331929879</v>
      </c>
      <c r="D33" s="1">
        <f>'Team A 1'!D33-'Team A 1'!$AA33-('Team A 1'!D$2- 12.5)*'Team A 1'!$AC33</f>
        <v>1.1033718717460488</v>
      </c>
      <c r="E33" s="1">
        <f>'Team A 1'!E33-'Team A 1'!$AA33-('Team A 1'!E$2- 12.5)*'Team A 1'!$AC33</f>
        <v>-1.3811935884377817</v>
      </c>
      <c r="F33" s="1">
        <f>'Team A 1'!F33-'Team A 1'!$AA33-('Team A 1'!F$2- 12.5)*'Team A 1'!$AC33</f>
        <v>56.134240951378615</v>
      </c>
      <c r="G33" s="1">
        <f>'Team A 1'!G33-'Team A 1'!$AA33-('Team A 1'!G$2- 12.5)*'Team A 1'!$AC33</f>
        <v>43.649675491194785</v>
      </c>
      <c r="H33" s="1">
        <f>'Team A 1'!H33-'Team A 1'!$AA33-('Team A 1'!H$2- 12.5)*'Team A 1'!$AC33</f>
        <v>41.165110031010954</v>
      </c>
      <c r="I33" s="1">
        <f>'Team A 1'!I33-'Team A 1'!$AA33-('Team A 1'!I$2- 12.5)*'Team A 1'!$AC33</f>
        <v>18.680544570827124</v>
      </c>
      <c r="J33" s="1">
        <f>'Team A 1'!J33-'Team A 1'!$AA33-('Team A 1'!J$2- 12.5)*'Team A 1'!$AC33</f>
        <v>-23.804020889356707</v>
      </c>
      <c r="K33" s="1">
        <f>'Team A 1'!K33-'Team A 1'!$AA33-('Team A 1'!K$2- 12.5)*'Team A 1'!$AC33</f>
        <v>-16.288586349540481</v>
      </c>
      <c r="L33" s="1">
        <f>'Team A 1'!L33-'Team A 1'!$AA33-('Team A 1'!L$2- 12.5)*'Team A 1'!$AC33</f>
        <v>-28.773151809724311</v>
      </c>
      <c r="M33" s="1">
        <f>'Team A 1'!M33-'Team A 1'!$AA33-('Team A 1'!M$2- 12.5)*'Team A 1'!$AC33</f>
        <v>-41.257717269908099</v>
      </c>
      <c r="N33" s="1">
        <f>'Team A 1'!N33-'Team A 1'!$AA33-('Team A 1'!N$2- 12.5)*'Team A 1'!$AC33</f>
        <v>-33.742282730091901</v>
      </c>
      <c r="O33" s="1">
        <f>'Team A 1'!O33-'Team A 1'!$AA33-('Team A 1'!O$2- 12.5)*'Team A 1'!$AC33</f>
        <v>-6.2268481902756889</v>
      </c>
      <c r="P33" s="1">
        <f>'Team A 1'!P33-'Team A 1'!$AA33-('Team A 1'!P$2- 12.5)*'Team A 1'!$AC33</f>
        <v>1.2885863495404806</v>
      </c>
      <c r="Q33" s="1">
        <f>'Team A 1'!Q33-'Team A 1'!$AA33-('Team A 1'!Q$2- 12.5)*'Team A 1'!$AC33</f>
        <v>18.804020889356707</v>
      </c>
      <c r="R33" s="1">
        <f>'Team A 1'!R33-'Team A 1'!$AA33-('Team A 1'!R$2- 12.5)*'Team A 1'!$AC33</f>
        <v>26.319455429172876</v>
      </c>
      <c r="S33" s="1">
        <f>'Team A 1'!S33-'Team A 1'!$AA33-('Team A 1'!S$2- 12.5)*'Team A 1'!$AC33</f>
        <v>53.834889968989046</v>
      </c>
      <c r="T33" s="1">
        <f>'Team A 1'!T33-'Team A 1'!$AA33-('Team A 1'!T$2- 12.5)*'Team A 1'!$AC33</f>
        <v>-8.6496754911947846</v>
      </c>
      <c r="U33" s="1">
        <f>'Team A 1'!U33-'Team A 1'!$AA33-('Team A 1'!U$2- 12.5)*'Team A 1'!$AC33</f>
        <v>-11.134240951378615</v>
      </c>
      <c r="V33" s="1">
        <f>'Team A 1'!V33-'Team A 1'!$AA33-('Team A 1'!V$2- 12.5)*'Team A 1'!$AC33</f>
        <v>-3.6188064115622183</v>
      </c>
      <c r="W33" s="1">
        <f>'Team A 1'!W33-'Team A 1'!$AA33-('Team A 1'!W$2- 12.5)*'Team A 1'!$AC33</f>
        <v>-36.103371871746049</v>
      </c>
      <c r="X33" s="1">
        <f>'Team A 1'!X33-'Team A 1'!$AA33-('Team A 1'!X$2- 12.5)*'Team A 1'!$AC33</f>
        <v>-48.587937331929879</v>
      </c>
      <c r="Y33" s="1">
        <f>'Team A 1'!Y33-'Team A 1'!$AA33-('Team A 1'!Y$2- 12.5)*'Team A 1'!$AC33</f>
        <v>-51.072502792113937</v>
      </c>
      <c r="AB33" s="1">
        <f>STDEV(B33:Y33)</f>
        <v>32.309528499446451</v>
      </c>
      <c r="AD33" s="5">
        <v>6</v>
      </c>
      <c r="AE33" s="5">
        <v>5</v>
      </c>
      <c r="AF33" s="5">
        <v>3</v>
      </c>
      <c r="AG33" s="5">
        <v>2</v>
      </c>
      <c r="AH33" s="5">
        <v>4</v>
      </c>
      <c r="AI33" s="5">
        <v>1</v>
      </c>
      <c r="AJ33" s="5" t="s">
        <v>45</v>
      </c>
      <c r="AK33" s="5">
        <v>8</v>
      </c>
      <c r="AL33" s="5" t="s">
        <v>47</v>
      </c>
      <c r="AM33" s="5">
        <v>7</v>
      </c>
      <c r="AN33" s="5" t="s">
        <v>46</v>
      </c>
      <c r="AO33" s="5">
        <v>9</v>
      </c>
      <c r="AP33" s="5">
        <v>5</v>
      </c>
      <c r="AQ33" s="5">
        <v>6</v>
      </c>
      <c r="AR33" s="5">
        <v>2</v>
      </c>
      <c r="AS33" s="5">
        <v>3</v>
      </c>
      <c r="AT33" s="5">
        <v>4</v>
      </c>
      <c r="AU33" s="5" t="s">
        <v>45</v>
      </c>
      <c r="AV33" s="5">
        <v>1</v>
      </c>
      <c r="AW33" s="5">
        <v>8</v>
      </c>
      <c r="AX33" s="5">
        <v>7</v>
      </c>
      <c r="AY33" s="5" t="s">
        <v>47</v>
      </c>
      <c r="AZ33" s="5">
        <v>9</v>
      </c>
      <c r="BA33" s="5" t="s">
        <v>46</v>
      </c>
      <c r="BB33" s="5"/>
      <c r="BC33" s="1">
        <f ca="1">OFFSET(A33,0, 6) -0</f>
        <v>43.649675491194785</v>
      </c>
      <c r="BD33" s="1">
        <f ca="1">OFFSET(A33,0, 4) -0</f>
        <v>-1.3811935884377817</v>
      </c>
      <c r="BE33" s="1">
        <f ca="1">OFFSET(A33,0, 3) -0</f>
        <v>1.1033718717460488</v>
      </c>
      <c r="BF33" s="1">
        <f ca="1">OFFSET(A33,0, 5) -0</f>
        <v>56.134240951378615</v>
      </c>
      <c r="BG33" s="1">
        <f ca="1">OFFSET(A33,0, 2) -0</f>
        <v>43.587937331929879</v>
      </c>
      <c r="BH33" s="1">
        <f ca="1">OFFSET(A33,0, 1) -0</f>
        <v>6.0725027921139372</v>
      </c>
      <c r="BI33" s="1">
        <f ca="1">OFFSET(A33,0, 10) -0</f>
        <v>-16.288586349540481</v>
      </c>
      <c r="BJ33" s="1">
        <f ca="1">OFFSET(A33,0, 8) -0</f>
        <v>18.680544570827124</v>
      </c>
      <c r="BK33" s="1">
        <f ca="1">OFFSET(A33,0, 12) -0</f>
        <v>-41.257717269908099</v>
      </c>
      <c r="BL33" s="1">
        <f ca="1">OFFSET(A33,0, 7) -0</f>
        <v>41.165110031010954</v>
      </c>
      <c r="BM33" s="1">
        <f ca="1">OFFSET(A33,0, 11) -0</f>
        <v>-28.773151809724311</v>
      </c>
      <c r="BN33" s="1">
        <f ca="1">OFFSET(A33,0, 9) -0</f>
        <v>-23.804020889356707</v>
      </c>
      <c r="BO33" s="1">
        <f ca="1">OFFSET(A33,0, 19) -0</f>
        <v>-8.6496754911947846</v>
      </c>
      <c r="BP33" s="1">
        <f ca="1">OFFSET(A33,0, 15) -0</f>
        <v>1.2885863495404806</v>
      </c>
      <c r="BQ33" s="1">
        <f ca="1">OFFSET(A33,0, 16) -0</f>
        <v>18.804020889356707</v>
      </c>
      <c r="BR33" s="1">
        <f ca="1">OFFSET(A33,0, 17) -0</f>
        <v>26.319455429172876</v>
      </c>
      <c r="BS33" s="1">
        <f ca="1">OFFSET(A33,0, 13) -0</f>
        <v>-33.742282730091901</v>
      </c>
      <c r="BT33" s="1">
        <f ca="1">OFFSET(A33,0, 14) -0</f>
        <v>-6.2268481902756889</v>
      </c>
      <c r="BU33" s="1">
        <f ca="1">OFFSET(A33,0, 21) -0</f>
        <v>-3.6188064115622183</v>
      </c>
      <c r="BV33" s="1">
        <f ca="1">OFFSET(A33,0, 20) -0</f>
        <v>-11.134240951378615</v>
      </c>
      <c r="BW33" s="1">
        <f ca="1">OFFSET(A33,0, 23) -0</f>
        <v>-48.587937331929879</v>
      </c>
      <c r="BX33" s="1">
        <f ca="1">OFFSET(A33,0, 18) -0</f>
        <v>53.834889968989046</v>
      </c>
      <c r="BY33" s="1">
        <f ca="1">OFFSET(A33,0, 24) -0</f>
        <v>-51.072502792113937</v>
      </c>
      <c r="BZ33" s="1">
        <f ca="1">OFFSET(A33,0, 22) -0</f>
        <v>-36.103371871746049</v>
      </c>
      <c r="CB33" s="1">
        <f>COUNTIF(B33,"&lt;-68")</f>
        <v>0</v>
      </c>
      <c r="CC33" s="1">
        <f ca="1">COUNTIF(BC33:BN33,"&lt;-48")</f>
        <v>0</v>
      </c>
      <c r="CD33" s="1">
        <f ca="1">COUNTIF(BC33:BN33,"&gt;+48")</f>
        <v>1</v>
      </c>
      <c r="CE33" s="1">
        <f ca="1">COUNTIF(BO33:BZ33,"&lt;-48")</f>
        <v>2</v>
      </c>
      <c r="CF33" s="1">
        <f ca="1">COUNTIF(BO33:BZ33,"&gt;+48")</f>
        <v>1</v>
      </c>
    </row>
    <row r="34" spans="1:84">
      <c r="A34" s="1">
        <v>31</v>
      </c>
      <c r="B34" s="1">
        <f>'Team A 1'!B34-'Team A 1'!$AA34-('Team A 1'!B$2- 12.5)*'Team A 1'!$AC34</f>
        <v>-28.002608173590033</v>
      </c>
      <c r="C34" s="1">
        <f>'Team A 1'!C34-'Team A 1'!$AA34-('Team A 1'!C$2- 12.5)*'Team A 1'!$AC34</f>
        <v>29.287473696578218</v>
      </c>
      <c r="D34" s="1">
        <f>'Team A 1'!D34-'Team A 1'!$AA34-('Team A 1'!D$2- 12.5)*'Team A 1'!$AC34</f>
        <v>6.5775555667462413</v>
      </c>
      <c r="E34" s="1">
        <f>'Team A 1'!E34-'Team A 1'!$AA34-('Team A 1'!E$2- 12.5)*'Team A 1'!$AC34</f>
        <v>3.867637436914265</v>
      </c>
      <c r="F34" s="1">
        <f>'Team A 1'!F34-'Team A 1'!$AA34-('Team A 1'!F$2- 12.5)*'Team A 1'!$AC34</f>
        <v>41.157719307082516</v>
      </c>
      <c r="G34" s="1">
        <f>'Team A 1'!G34-'Team A 1'!$AA34-('Team A 1'!G$2- 12.5)*'Team A 1'!$AC34</f>
        <v>18.44780117725054</v>
      </c>
      <c r="H34" s="1">
        <f>'Team A 1'!H34-'Team A 1'!$AA34-('Team A 1'!H$2- 12.5)*'Team A 1'!$AC34</f>
        <v>-24.262116952581437</v>
      </c>
      <c r="I34" s="1">
        <f>'Team A 1'!I34-'Team A 1'!$AA34-('Team A 1'!I$2- 12.5)*'Team A 1'!$AC34</f>
        <v>3.0279649175867007</v>
      </c>
      <c r="J34" s="1">
        <f>'Team A 1'!J34-'Team A 1'!$AA34-('Team A 1'!J$2- 12.5)*'Team A 1'!$AC34</f>
        <v>-39.681953212245276</v>
      </c>
      <c r="K34" s="1">
        <f>'Team A 1'!K34-'Team A 1'!$AA34-('Team A 1'!K$2- 12.5)*'Team A 1'!$AC34</f>
        <v>-2.3918713420771383</v>
      </c>
      <c r="L34" s="1">
        <f>'Team A 1'!L34-'Team A 1'!$AA34-('Team A 1'!L$2- 12.5)*'Team A 1'!$AC34</f>
        <v>-5.1017894719091146</v>
      </c>
      <c r="M34" s="1">
        <f>'Team A 1'!M34-'Team A 1'!$AA34-('Team A 1'!M$2- 12.5)*'Team A 1'!$AC34</f>
        <v>-57.811707601741006</v>
      </c>
      <c r="N34" s="1">
        <f>'Team A 1'!N34-'Team A 1'!$AA34-('Team A 1'!N$2- 12.5)*'Team A 1'!$AC34</f>
        <v>29.478374268427075</v>
      </c>
      <c r="O34" s="1">
        <f>'Team A 1'!O34-'Team A 1'!$AA34-('Team A 1'!O$2- 12.5)*'Team A 1'!$AC34</f>
        <v>46.768456138595184</v>
      </c>
      <c r="P34" s="1">
        <f>'Team A 1'!P34-'Team A 1'!$AA34-('Team A 1'!P$2- 12.5)*'Team A 1'!$AC34</f>
        <v>4.0585380087632075</v>
      </c>
      <c r="Q34" s="1">
        <f>'Team A 1'!Q34-'Team A 1'!$AA34-('Team A 1'!Q$2- 12.5)*'Team A 1'!$AC34</f>
        <v>11.348619878931345</v>
      </c>
      <c r="R34" s="1">
        <f>'Team A 1'!R34-'Team A 1'!$AA34-('Team A 1'!R$2- 12.5)*'Team A 1'!$AC34</f>
        <v>18.638701749099368</v>
      </c>
      <c r="S34" s="1">
        <f>'Team A 1'!S34-'Team A 1'!$AA34-('Team A 1'!S$2- 12.5)*'Team A 1'!$AC34</f>
        <v>-14.071216380732494</v>
      </c>
      <c r="T34" s="1">
        <f>'Team A 1'!T34-'Team A 1'!$AA34-('Team A 1'!T$2- 12.5)*'Team A 1'!$AC34</f>
        <v>13.21886548943553</v>
      </c>
      <c r="U34" s="1">
        <f>'Team A 1'!U34-'Team A 1'!$AA34-('Team A 1'!U$2- 12.5)*'Team A 1'!$AC34</f>
        <v>-19.491052640396447</v>
      </c>
      <c r="V34" s="1">
        <f>'Team A 1'!V34-'Team A 1'!$AA34-('Team A 1'!V$2- 12.5)*'Team A 1'!$AC34</f>
        <v>-32.200970770228196</v>
      </c>
      <c r="W34" s="1">
        <f>'Team A 1'!W34-'Team A 1'!$AA34-('Team A 1'!W$2- 12.5)*'Team A 1'!$AC34</f>
        <v>15.089111099939828</v>
      </c>
      <c r="X34" s="1">
        <f>'Team A 1'!X34-'Team A 1'!$AA34-('Team A 1'!X$2- 12.5)*'Team A 1'!$AC34</f>
        <v>2.3791929701078516</v>
      </c>
      <c r="Y34" s="1">
        <f>'Team A 1'!Y34-'Team A 1'!$AA34-('Team A 1'!Y$2- 12.5)*'Team A 1'!$AC34</f>
        <v>-20.330725159723897</v>
      </c>
      <c r="AB34" s="1">
        <f>STDEV(B34:Y34)</f>
        <v>25.763111441323012</v>
      </c>
      <c r="AD34" s="5">
        <v>6</v>
      </c>
      <c r="AE34" s="5">
        <v>5</v>
      </c>
      <c r="AF34" s="5">
        <v>3</v>
      </c>
      <c r="AG34" s="5">
        <v>2</v>
      </c>
      <c r="AH34" s="5" t="s">
        <v>45</v>
      </c>
      <c r="AI34" s="5">
        <v>4</v>
      </c>
      <c r="AJ34" s="5">
        <v>8</v>
      </c>
      <c r="AK34" s="5">
        <v>1</v>
      </c>
      <c r="AL34" s="5" t="s">
        <v>47</v>
      </c>
      <c r="AM34" s="5">
        <v>7</v>
      </c>
      <c r="AN34" s="5" t="s">
        <v>46</v>
      </c>
      <c r="AO34" s="5">
        <v>9</v>
      </c>
      <c r="AP34" s="5">
        <v>6</v>
      </c>
      <c r="AQ34" s="5">
        <v>3</v>
      </c>
      <c r="AR34" s="5">
        <v>5</v>
      </c>
      <c r="AS34" s="5" t="s">
        <v>45</v>
      </c>
      <c r="AT34" s="5">
        <v>2</v>
      </c>
      <c r="AU34" s="5">
        <v>4</v>
      </c>
      <c r="AV34" s="5">
        <v>1</v>
      </c>
      <c r="AW34" s="5">
        <v>8</v>
      </c>
      <c r="AX34" s="5" t="s">
        <v>47</v>
      </c>
      <c r="AY34" s="5" t="s">
        <v>46</v>
      </c>
      <c r="AZ34" s="5">
        <v>7</v>
      </c>
      <c r="BA34" s="5">
        <v>9</v>
      </c>
      <c r="BB34" s="5"/>
      <c r="BC34" s="1">
        <f ca="1">OFFSET(A34,0, 8) -0</f>
        <v>3.0279649175867007</v>
      </c>
      <c r="BD34" s="1">
        <f ca="1">OFFSET(A34,0, 4) -0</f>
        <v>3.867637436914265</v>
      </c>
      <c r="BE34" s="1">
        <f ca="1">OFFSET(A34,0, 3) -0</f>
        <v>6.5775555667462413</v>
      </c>
      <c r="BF34" s="1">
        <f ca="1">OFFSET(A34,0, 6) -0</f>
        <v>18.44780117725054</v>
      </c>
      <c r="BG34" s="1">
        <f ca="1">OFFSET(A34,0, 2) -0</f>
        <v>29.287473696578218</v>
      </c>
      <c r="BH34" s="1">
        <f ca="1">OFFSET(A34,0, 1) -0</f>
        <v>-28.002608173590033</v>
      </c>
      <c r="BI34" s="1">
        <f ca="1">OFFSET(A34,0, 10) -0</f>
        <v>-2.3918713420771383</v>
      </c>
      <c r="BJ34" s="1">
        <f ca="1">OFFSET(A34,0, 7) -0</f>
        <v>-24.262116952581437</v>
      </c>
      <c r="BK34" s="1">
        <f ca="1">OFFSET(A34,0, 12) -0</f>
        <v>-57.811707601741006</v>
      </c>
      <c r="BL34" s="1">
        <f ca="1">OFFSET(A34,0, 5) -0</f>
        <v>41.157719307082516</v>
      </c>
      <c r="BM34" s="1">
        <f ca="1">OFFSET(A34,0, 11) -0</f>
        <v>-5.1017894719091146</v>
      </c>
      <c r="BN34" s="1">
        <f ca="1">OFFSET(A34,0, 9) -0</f>
        <v>-39.681953212245276</v>
      </c>
      <c r="BO34" s="1">
        <f ca="1">OFFSET(A34,0, 19) -0</f>
        <v>13.21886548943553</v>
      </c>
      <c r="BP34" s="1">
        <f ca="1">OFFSET(A34,0, 17) -0</f>
        <v>18.638701749099368</v>
      </c>
      <c r="BQ34" s="1">
        <f ca="1">OFFSET(A34,0, 14) -0</f>
        <v>46.768456138595184</v>
      </c>
      <c r="BR34" s="1">
        <f ca="1">OFFSET(A34,0, 18) -0</f>
        <v>-14.071216380732494</v>
      </c>
      <c r="BS34" s="1">
        <f ca="1">OFFSET(A34,0, 15) -0</f>
        <v>4.0585380087632075</v>
      </c>
      <c r="BT34" s="1">
        <f ca="1">OFFSET(A34,0, 13) -0</f>
        <v>29.478374268427075</v>
      </c>
      <c r="BU34" s="1">
        <f ca="1">OFFSET(A34,0, 23) -0</f>
        <v>2.3791929701078516</v>
      </c>
      <c r="BV34" s="1">
        <f ca="1">OFFSET(A34,0, 20) -0</f>
        <v>-19.491052640396447</v>
      </c>
      <c r="BW34" s="1">
        <f ca="1">OFFSET(A34,0, 24) -0</f>
        <v>-20.330725159723897</v>
      </c>
      <c r="BX34" s="1">
        <f ca="1">OFFSET(A34,0, 16) -0</f>
        <v>11.348619878931345</v>
      </c>
      <c r="BY34" s="1">
        <f ca="1">OFFSET(A34,0, 22) -0</f>
        <v>15.089111099939828</v>
      </c>
      <c r="BZ34" s="1">
        <f ca="1">OFFSET(A34,0, 21) -0</f>
        <v>-32.200970770228196</v>
      </c>
      <c r="CB34" s="1">
        <f>COUNTIF(B34,"&lt;-68")</f>
        <v>0</v>
      </c>
      <c r="CC34" s="1">
        <f ca="1">COUNTIF(BC34:BN34,"&lt;-48")</f>
        <v>1</v>
      </c>
      <c r="CD34" s="1">
        <f ca="1">COUNTIF(BC34:BN34,"&gt;+48")</f>
        <v>0</v>
      </c>
      <c r="CE34" s="1">
        <f ca="1">COUNTIF(BO34:BZ34,"&lt;-48")</f>
        <v>0</v>
      </c>
      <c r="CF34" s="1">
        <f ca="1">COUNTIF(BO34:BZ34,"&gt;+48")</f>
        <v>0</v>
      </c>
    </row>
    <row r="35" spans="1:84">
      <c r="A35" s="1">
        <v>32</v>
      </c>
      <c r="B35" s="1">
        <f>'Team A 1'!B35-'Team A 1'!$AA35-('Team A 1'!B$2- 12.5)*'Team A 1'!$AC35</f>
        <v>37.173861463033973</v>
      </c>
      <c r="C35" s="1">
        <f>'Team A 1'!C35-'Team A 1'!$AA35-('Team A 1'!C$2- 12.5)*'Team A 1'!$AC35</f>
        <v>63.687728582191312</v>
      </c>
      <c r="D35" s="1">
        <f>'Team A 1'!D35-'Team A 1'!$AA35-('Team A 1'!D$2- 12.5)*'Team A 1'!$AC35</f>
        <v>40.201595701348651</v>
      </c>
      <c r="E35" s="1">
        <f>'Team A 1'!E35-'Team A 1'!$AA35-('Team A 1'!E$2- 12.5)*'Team A 1'!$AC35</f>
        <v>36.715462820505991</v>
      </c>
      <c r="F35" s="1">
        <f>'Team A 1'!F35-'Team A 1'!$AA35-('Team A 1'!F$2- 12.5)*'Team A 1'!$AC35</f>
        <v>3.2293299396631028</v>
      </c>
      <c r="G35" s="1">
        <f>'Team A 1'!G35-'Team A 1'!$AA35-('Team A 1'!G$2- 12.5)*'Team A 1'!$AC35</f>
        <v>19.743197058820442</v>
      </c>
      <c r="H35" s="1">
        <f>'Team A 1'!H35-'Team A 1'!$AA35-('Team A 1'!H$2- 12.5)*'Team A 1'!$AC35</f>
        <v>-23.742935822022218</v>
      </c>
      <c r="I35" s="1">
        <f>'Team A 1'!I35-'Team A 1'!$AA35-('Team A 1'!I$2- 12.5)*'Team A 1'!$AC35</f>
        <v>2.770931297135121</v>
      </c>
      <c r="J35" s="1">
        <f>'Team A 1'!J35-'Team A 1'!$AA35-('Team A 1'!J$2- 12.5)*'Team A 1'!$AC35</f>
        <v>-50.71520158370754</v>
      </c>
      <c r="K35" s="1">
        <f>'Team A 1'!K35-'Team A 1'!$AA35-('Team A 1'!K$2- 12.5)*'Team A 1'!$AC35</f>
        <v>-4.2013344645502571</v>
      </c>
      <c r="L35" s="1">
        <f>'Team A 1'!L35-'Team A 1'!$AA35-('Team A 1'!L$2- 12.5)*'Team A 1'!$AC35</f>
        <v>-57.687467345392918</v>
      </c>
      <c r="M35" s="1">
        <f>'Team A 1'!M35-'Team A 1'!$AA35-('Team A 1'!M$2- 12.5)*'Team A 1'!$AC35</f>
        <v>8.8263997737643791</v>
      </c>
      <c r="N35" s="1">
        <f>'Team A 1'!N35-'Team A 1'!$AA35-('Team A 1'!N$2- 12.5)*'Team A 1'!$AC35</f>
        <v>5.3402668929216901</v>
      </c>
      <c r="O35" s="1">
        <f>'Team A 1'!O35-'Team A 1'!$AA35-('Team A 1'!O$2- 12.5)*'Team A 1'!$AC35</f>
        <v>21.854134012078987</v>
      </c>
      <c r="P35" s="1">
        <f>'Team A 1'!P35-'Team A 1'!$AA35-('Team A 1'!P$2- 12.5)*'Team A 1'!$AC35</f>
        <v>-1.6319988687636737</v>
      </c>
      <c r="Q35" s="1">
        <f>'Team A 1'!Q35-'Team A 1'!$AA35-('Team A 1'!Q$2- 12.5)*'Team A 1'!$AC35</f>
        <v>-15.118131749606391</v>
      </c>
      <c r="R35" s="1">
        <f>'Team A 1'!R35-'Team A 1'!$AA35-('Team A 1'!R$2- 12.5)*'Team A 1'!$AC35</f>
        <v>11.395735369550948</v>
      </c>
      <c r="S35" s="1">
        <f>'Team A 1'!S35-'Team A 1'!$AA35-('Team A 1'!S$2- 12.5)*'Team A 1'!$AC35</f>
        <v>-12.090397511291712</v>
      </c>
      <c r="T35" s="1">
        <f>'Team A 1'!T35-'Team A 1'!$AA35-('Team A 1'!T$2- 12.5)*'Team A 1'!$AC35</f>
        <v>4.423469607865627</v>
      </c>
      <c r="U35" s="1">
        <f>'Team A 1'!U35-'Team A 1'!$AA35-('Team A 1'!U$2- 12.5)*'Team A 1'!$AC35</f>
        <v>0.93733672702296644</v>
      </c>
      <c r="V35" s="1">
        <f>'Team A 1'!V35-'Team A 1'!$AA35-('Team A 1'!V$2- 12.5)*'Team A 1'!$AC35</f>
        <v>-2.5487961538199215</v>
      </c>
      <c r="W35" s="1">
        <f>'Team A 1'!W35-'Team A 1'!$AA35-('Team A 1'!W$2- 12.5)*'Team A 1'!$AC35</f>
        <v>-56.034929034662582</v>
      </c>
      <c r="X35" s="1">
        <f>'Team A 1'!X35-'Team A 1'!$AA35-('Team A 1'!X$2- 12.5)*'Team A 1'!$AC35</f>
        <v>-9.5210619155052427</v>
      </c>
      <c r="Y35" s="1">
        <f>'Team A 1'!Y35-'Team A 1'!$AA35-('Team A 1'!Y$2- 12.5)*'Team A 1'!$AC35</f>
        <v>-23.007194796347903</v>
      </c>
      <c r="AB35" s="1">
        <f>STDEV(B35:Y35)</f>
        <v>29.61308187819872</v>
      </c>
      <c r="AD35" s="5">
        <v>3</v>
      </c>
      <c r="AE35" s="5">
        <v>6</v>
      </c>
      <c r="AF35" s="5" t="s">
        <v>45</v>
      </c>
      <c r="AG35" s="5">
        <v>5</v>
      </c>
      <c r="AH35" s="5">
        <v>4</v>
      </c>
      <c r="AI35" s="5">
        <v>2</v>
      </c>
      <c r="AJ35" s="5">
        <v>8</v>
      </c>
      <c r="AK35" s="5">
        <v>1</v>
      </c>
      <c r="AL35" s="5" t="s">
        <v>46</v>
      </c>
      <c r="AM35" s="5" t="s">
        <v>47</v>
      </c>
      <c r="AN35" s="5">
        <v>9</v>
      </c>
      <c r="AO35" s="5">
        <v>7</v>
      </c>
      <c r="AP35" s="5">
        <v>6</v>
      </c>
      <c r="AQ35" s="5">
        <v>3</v>
      </c>
      <c r="AR35" s="5">
        <v>5</v>
      </c>
      <c r="AS35" s="5" t="s">
        <v>45</v>
      </c>
      <c r="AT35" s="5">
        <v>2</v>
      </c>
      <c r="AU35" s="5">
        <v>4</v>
      </c>
      <c r="AV35" s="5">
        <v>8</v>
      </c>
      <c r="AW35" s="5" t="s">
        <v>46</v>
      </c>
      <c r="AX35" s="5">
        <v>1</v>
      </c>
      <c r="AY35" s="5" t="s">
        <v>47</v>
      </c>
      <c r="AZ35" s="5">
        <v>7</v>
      </c>
      <c r="BA35" s="5">
        <v>9</v>
      </c>
      <c r="BB35" s="5"/>
      <c r="BC35" s="1">
        <f ca="1">OFFSET(A35,0, 8) -0</f>
        <v>2.770931297135121</v>
      </c>
      <c r="BD35" s="1">
        <f ca="1">OFFSET(A35,0, 6) -0</f>
        <v>19.743197058820442</v>
      </c>
      <c r="BE35" s="1">
        <f ca="1">OFFSET(A35,0, 1) -0</f>
        <v>37.173861463033973</v>
      </c>
      <c r="BF35" s="1">
        <f ca="1">OFFSET(A35,0, 5) -0</f>
        <v>3.2293299396631028</v>
      </c>
      <c r="BG35" s="1">
        <f ca="1">OFFSET(A35,0, 4) -0</f>
        <v>36.715462820505991</v>
      </c>
      <c r="BH35" s="1">
        <f ca="1">OFFSET(A35,0, 2) -0</f>
        <v>63.687728582191312</v>
      </c>
      <c r="BI35" s="1">
        <f ca="1">OFFSET(A35,0, 12) -0</f>
        <v>8.8263997737643791</v>
      </c>
      <c r="BJ35" s="1">
        <f ca="1">OFFSET(A35,0, 7) -0</f>
        <v>-23.742935822022218</v>
      </c>
      <c r="BK35" s="1">
        <f ca="1">OFFSET(A35,0, 11) -0</f>
        <v>-57.687467345392918</v>
      </c>
      <c r="BL35" s="1">
        <f ca="1">OFFSET(A35,0, 3) -0</f>
        <v>40.201595701348651</v>
      </c>
      <c r="BM35" s="1">
        <f ca="1">OFFSET(A35,0, 9) -0</f>
        <v>-50.71520158370754</v>
      </c>
      <c r="BN35" s="1">
        <f ca="1">OFFSET(A35,0, 10) -0</f>
        <v>-4.2013344645502571</v>
      </c>
      <c r="BO35" s="1">
        <f ca="1">OFFSET(A35,0, 21) -0</f>
        <v>-2.5487961538199215</v>
      </c>
      <c r="BP35" s="1">
        <f ca="1">OFFSET(A35,0, 17) -0</f>
        <v>11.395735369550948</v>
      </c>
      <c r="BQ35" s="1">
        <f ca="1">OFFSET(A35,0, 14) -0</f>
        <v>21.854134012078987</v>
      </c>
      <c r="BR35" s="1">
        <f ca="1">OFFSET(A35,0, 18) -0</f>
        <v>-12.090397511291712</v>
      </c>
      <c r="BS35" s="1">
        <f ca="1">OFFSET(A35,0, 15) -0</f>
        <v>-1.6319988687636737</v>
      </c>
      <c r="BT35" s="1">
        <f ca="1">OFFSET(A35,0, 13) -0</f>
        <v>5.3402668929216901</v>
      </c>
      <c r="BU35" s="1">
        <f ca="1">OFFSET(A35,0, 23) -0</f>
        <v>-9.5210619155052427</v>
      </c>
      <c r="BV35" s="1">
        <f ca="1">OFFSET(A35,0, 19) -0</f>
        <v>4.423469607865627</v>
      </c>
      <c r="BW35" s="1">
        <f ca="1">OFFSET(A35,0, 24) -0</f>
        <v>-23.007194796347903</v>
      </c>
      <c r="BX35" s="1">
        <f ca="1">OFFSET(A35,0, 16) -0</f>
        <v>-15.118131749606391</v>
      </c>
      <c r="BY35" s="1">
        <f ca="1">OFFSET(A35,0, 20) -0</f>
        <v>0.93733672702296644</v>
      </c>
      <c r="BZ35" s="1">
        <f ca="1">OFFSET(A35,0, 22) -0</f>
        <v>-56.034929034662582</v>
      </c>
      <c r="CB35" s="1">
        <f>COUNTIF(B35,"&lt;-68")</f>
        <v>0</v>
      </c>
      <c r="CC35" s="1">
        <f ca="1">COUNTIF(BC35:BN35,"&lt;-48")</f>
        <v>2</v>
      </c>
      <c r="CD35" s="1">
        <f ca="1">COUNTIF(BC35:BN35,"&gt;+48")</f>
        <v>1</v>
      </c>
      <c r="CE35" s="1">
        <f ca="1">COUNTIF(BO35:BZ35,"&lt;-48")</f>
        <v>1</v>
      </c>
      <c r="CF35" s="1">
        <f ca="1">COUNTIF(BO35:BZ35,"&gt;+48")</f>
        <v>0</v>
      </c>
    </row>
    <row r="36" spans="1:84">
      <c r="A36" s="1">
        <v>33</v>
      </c>
      <c r="B36" s="1">
        <f>'Team A 1'!B36-'Team A 1'!$AA36-('Team A 1'!B$2- 12.5)*'Team A 1'!$AC36</f>
        <v>-4.4994469689413563</v>
      </c>
      <c r="C36" s="1">
        <f>'Team A 1'!C36-'Team A 1'!$AA36-('Team A 1'!C$2- 12.5)*'Team A 1'!$AC36</f>
        <v>1.6889107385018178</v>
      </c>
      <c r="D36" s="1">
        <f>'Team A 1'!D36-'Team A 1'!$AA36-('Team A 1'!D$2- 12.5)*'Team A 1'!$AC36</f>
        <v>27.877268445945219</v>
      </c>
      <c r="E36" s="1">
        <f>'Team A 1'!E36-'Team A 1'!$AA36-('Team A 1'!E$2- 12.5)*'Team A 1'!$AC36</f>
        <v>44.065626153388621</v>
      </c>
      <c r="F36" s="1">
        <f>'Team A 1'!F36-'Team A 1'!$AA36-('Team A 1'!F$2- 12.5)*'Team A 1'!$AC36</f>
        <v>20.253983860831795</v>
      </c>
      <c r="G36" s="1">
        <f>'Team A 1'!G36-'Team A 1'!$AA36-('Team A 1'!G$2- 12.5)*'Team A 1'!$AC36</f>
        <v>66.442341568275197</v>
      </c>
      <c r="H36" s="1">
        <f>'Team A 1'!H36-'Team A 1'!$AA36-('Team A 1'!H$2- 12.5)*'Team A 1'!$AC36</f>
        <v>-27.369300724281402</v>
      </c>
      <c r="I36" s="1">
        <f>'Team A 1'!I36-'Team A 1'!$AA36-('Team A 1'!I$2- 12.5)*'Team A 1'!$AC36</f>
        <v>-51.180943016838114</v>
      </c>
      <c r="J36" s="1">
        <f>'Team A 1'!J36-'Team A 1'!$AA36-('Team A 1'!J$2- 12.5)*'Team A 1'!$AC36</f>
        <v>-4.9925853093947126</v>
      </c>
      <c r="K36" s="1">
        <f>'Team A 1'!K36-'Team A 1'!$AA36-('Team A 1'!K$2- 12.5)*'Team A 1'!$AC36</f>
        <v>31.195772398048575</v>
      </c>
      <c r="L36" s="1">
        <f>'Team A 1'!L36-'Team A 1'!$AA36-('Team A 1'!L$2- 12.5)*'Team A 1'!$AC36</f>
        <v>-42.615869894508023</v>
      </c>
      <c r="M36" s="1">
        <f>'Team A 1'!M36-'Team A 1'!$AA36-('Team A 1'!M$2- 12.5)*'Team A 1'!$AC36</f>
        <v>23.572487812935293</v>
      </c>
      <c r="N36" s="1">
        <f>'Team A 1'!N36-'Team A 1'!$AA36-('Team A 1'!N$2- 12.5)*'Team A 1'!$AC36</f>
        <v>-20.239154479621362</v>
      </c>
      <c r="O36" s="1">
        <f>'Team A 1'!O36-'Team A 1'!$AA36-('Team A 1'!O$2- 12.5)*'Team A 1'!$AC36</f>
        <v>5.949203227821954</v>
      </c>
      <c r="P36" s="1">
        <f>'Team A 1'!P36-'Team A 1'!$AA36-('Team A 1'!P$2- 12.5)*'Team A 1'!$AC36</f>
        <v>-7.8624390647346445</v>
      </c>
      <c r="Q36" s="1">
        <f>'Team A 1'!Q36-'Team A 1'!$AA36-('Team A 1'!Q$2- 12.5)*'Team A 1'!$AC36</f>
        <v>-11.674081357291357</v>
      </c>
      <c r="R36" s="1">
        <f>'Team A 1'!R36-'Team A 1'!$AA36-('Team A 1'!R$2- 12.5)*'Team A 1'!$AC36</f>
        <v>-5.4857236498479551</v>
      </c>
      <c r="S36" s="1">
        <f>'Team A 1'!S36-'Team A 1'!$AA36-('Team A 1'!S$2- 12.5)*'Team A 1'!$AC36</f>
        <v>0.70263405759533271</v>
      </c>
      <c r="T36" s="1">
        <f>'Team A 1'!T36-'Team A 1'!$AA36-('Team A 1'!T$2- 12.5)*'Team A 1'!$AC36</f>
        <v>-13.109008234961266</v>
      </c>
      <c r="U36" s="1">
        <f>'Team A 1'!U36-'Team A 1'!$AA36-('Team A 1'!U$2- 12.5)*'Team A 1'!$AC36</f>
        <v>-26.920650527517864</v>
      </c>
      <c r="V36" s="1">
        <f>'Team A 1'!V36-'Team A 1'!$AA36-('Team A 1'!V$2- 12.5)*'Team A 1'!$AC36</f>
        <v>-0.7322928200746901</v>
      </c>
      <c r="W36" s="1">
        <f>'Team A 1'!W36-'Team A 1'!$AA36-('Team A 1'!W$2- 12.5)*'Team A 1'!$AC36</f>
        <v>-24.543935112631289</v>
      </c>
      <c r="X36" s="1">
        <f>'Team A 1'!X36-'Team A 1'!$AA36-('Team A 1'!X$2- 12.5)*'Team A 1'!$AC36</f>
        <v>21.644422594812113</v>
      </c>
      <c r="Y36" s="1">
        <f>'Team A 1'!Y36-'Team A 1'!$AA36-('Team A 1'!Y$2- 12.5)*'Team A 1'!$AC36</f>
        <v>-2.1672196977447129</v>
      </c>
      <c r="AB36" s="1">
        <f>STDEV(B36:Y36)</f>
        <v>27.148275272099461</v>
      </c>
      <c r="AD36" s="5">
        <v>3</v>
      </c>
      <c r="AE36" s="5">
        <v>6</v>
      </c>
      <c r="AF36" s="5" t="s">
        <v>45</v>
      </c>
      <c r="AG36" s="5">
        <v>5</v>
      </c>
      <c r="AH36" s="5">
        <v>4</v>
      </c>
      <c r="AI36" s="5">
        <v>2</v>
      </c>
      <c r="AJ36" s="5" t="s">
        <v>46</v>
      </c>
      <c r="AK36" s="5">
        <v>8</v>
      </c>
      <c r="AL36" s="5" t="s">
        <v>47</v>
      </c>
      <c r="AM36" s="5">
        <v>1</v>
      </c>
      <c r="AN36" s="5">
        <v>9</v>
      </c>
      <c r="AO36" s="5">
        <v>7</v>
      </c>
      <c r="AP36" s="5">
        <v>3</v>
      </c>
      <c r="AQ36" s="5" t="s">
        <v>45</v>
      </c>
      <c r="AR36" s="5">
        <v>6</v>
      </c>
      <c r="AS36" s="5">
        <v>4</v>
      </c>
      <c r="AT36" s="5">
        <v>5</v>
      </c>
      <c r="AU36" s="5" t="s">
        <v>46</v>
      </c>
      <c r="AV36" s="5">
        <v>2</v>
      </c>
      <c r="AW36" s="5">
        <v>8</v>
      </c>
      <c r="AX36" s="5">
        <v>1</v>
      </c>
      <c r="AY36" s="5" t="s">
        <v>47</v>
      </c>
      <c r="AZ36" s="5">
        <v>7</v>
      </c>
      <c r="BA36" s="5">
        <v>9</v>
      </c>
      <c r="BB36" s="5"/>
      <c r="BC36" s="1">
        <f ca="1">OFFSET(A36,0, 10) -0</f>
        <v>31.195772398048575</v>
      </c>
      <c r="BD36" s="1">
        <f ca="1">OFFSET(A36,0, 6) -0</f>
        <v>66.442341568275197</v>
      </c>
      <c r="BE36" s="1">
        <f ca="1">OFFSET(A36,0, 1) -0</f>
        <v>-4.4994469689413563</v>
      </c>
      <c r="BF36" s="1">
        <f ca="1">OFFSET(A36,0, 5) -0</f>
        <v>20.253983860831795</v>
      </c>
      <c r="BG36" s="1">
        <f ca="1">OFFSET(A36,0, 4) -0</f>
        <v>44.065626153388621</v>
      </c>
      <c r="BH36" s="1">
        <f ca="1">OFFSET(A36,0, 2) -0</f>
        <v>1.6889107385018178</v>
      </c>
      <c r="BI36" s="1">
        <f ca="1">OFFSET(A36,0, 12) -0</f>
        <v>23.572487812935293</v>
      </c>
      <c r="BJ36" s="1">
        <f ca="1">OFFSET(A36,0, 8) -0</f>
        <v>-51.180943016838114</v>
      </c>
      <c r="BK36" s="1">
        <f ca="1">OFFSET(A36,0, 11) -0</f>
        <v>-42.615869894508023</v>
      </c>
      <c r="BL36" s="1">
        <f ca="1">OFFSET(A36,0, 3) -0</f>
        <v>27.877268445945219</v>
      </c>
      <c r="BM36" s="1">
        <f ca="1">OFFSET(A36,0, 7) -0</f>
        <v>-27.369300724281402</v>
      </c>
      <c r="BN36" s="1">
        <f ca="1">OFFSET(A36,0, 9) -0</f>
        <v>-4.9925853093947126</v>
      </c>
      <c r="BO36" s="1">
        <f ca="1">OFFSET(A36,0, 21) -0</f>
        <v>-0.7322928200746901</v>
      </c>
      <c r="BP36" s="1">
        <f ca="1">OFFSET(A36,0, 19) -0</f>
        <v>-13.109008234961266</v>
      </c>
      <c r="BQ36" s="1">
        <f ca="1">OFFSET(A36,0, 13) -0</f>
        <v>-20.239154479621362</v>
      </c>
      <c r="BR36" s="1">
        <f ca="1">OFFSET(A36,0, 16) -0</f>
        <v>-11.674081357291357</v>
      </c>
      <c r="BS36" s="1">
        <f ca="1">OFFSET(A36,0, 17) -0</f>
        <v>-5.4857236498479551</v>
      </c>
      <c r="BT36" s="1">
        <f ca="1">OFFSET(A36,0, 15) -0</f>
        <v>-7.8624390647346445</v>
      </c>
      <c r="BU36" s="1">
        <f ca="1">OFFSET(A36,0, 23) -0</f>
        <v>21.644422594812113</v>
      </c>
      <c r="BV36" s="1">
        <f ca="1">OFFSET(A36,0, 20) -0</f>
        <v>-26.920650527517864</v>
      </c>
      <c r="BW36" s="1">
        <f ca="1">OFFSET(A36,0, 24) -0</f>
        <v>-2.1672196977447129</v>
      </c>
      <c r="BX36" s="1">
        <f ca="1">OFFSET(A36,0, 14) -0</f>
        <v>5.949203227821954</v>
      </c>
      <c r="BY36" s="1">
        <f ca="1">OFFSET(A36,0, 18) -0</f>
        <v>0.70263405759533271</v>
      </c>
      <c r="BZ36" s="1">
        <f ca="1">OFFSET(A36,0, 22) -0</f>
        <v>-24.543935112631289</v>
      </c>
      <c r="CB36" s="1">
        <f>COUNTIF(B36,"&lt;-69")</f>
        <v>0</v>
      </c>
      <c r="CC36" s="1">
        <f ca="1">COUNTIF(BC36:BN36,"&lt;-48")</f>
        <v>1</v>
      </c>
      <c r="CD36" s="1">
        <f ca="1">COUNTIF(BC36:BN36,"&gt;+48")</f>
        <v>1</v>
      </c>
      <c r="CE36" s="1">
        <f ca="1">COUNTIF(BO36:BZ36,"&lt;-48")</f>
        <v>0</v>
      </c>
      <c r="CF36" s="1">
        <f ca="1">COUNTIF(BO36:BZ36,"&gt;+48")</f>
        <v>0</v>
      </c>
    </row>
    <row r="37" spans="1:84">
      <c r="A37" s="1">
        <v>34</v>
      </c>
      <c r="B37" s="1">
        <f>'Team A 1'!B37-'Team A 1'!$AA37-('Team A 1'!B$2- 12.5)*'Team A 1'!$AC37</f>
        <v>63.484898596977018</v>
      </c>
      <c r="C37" s="1">
        <f>'Team A 1'!C37-'Team A 1'!$AA37-('Team A 1'!C$2- 12.5)*'Team A 1'!$AC37</f>
        <v>29.848530603036124</v>
      </c>
      <c r="D37" s="1">
        <f>'Team A 1'!D37-'Team A 1'!$AA37-('Team A 1'!D$2- 12.5)*'Team A 1'!$AC37</f>
        <v>26.21216260909523</v>
      </c>
      <c r="E37" s="1">
        <f>'Team A 1'!E37-'Team A 1'!$AA37-('Team A 1'!E$2- 12.5)*'Team A 1'!$AC37</f>
        <v>32.575794615154336</v>
      </c>
      <c r="F37" s="1">
        <f>'Team A 1'!F37-'Team A 1'!$AA37-('Team A 1'!F$2- 12.5)*'Team A 1'!$AC37</f>
        <v>-11.060573378786557</v>
      </c>
      <c r="G37" s="1">
        <f>'Team A 1'!G37-'Team A 1'!$AA37-('Team A 1'!G$2- 12.5)*'Team A 1'!$AC37</f>
        <v>15.303058627272549</v>
      </c>
      <c r="H37" s="1">
        <f>'Team A 1'!H37-'Team A 1'!$AA37-('Team A 1'!H$2- 12.5)*'Team A 1'!$AC37</f>
        <v>-28.333309366668345</v>
      </c>
      <c r="I37" s="1">
        <f>'Team A 1'!I37-'Team A 1'!$AA37-('Team A 1'!I$2- 12.5)*'Team A 1'!$AC37</f>
        <v>-1.9696773606091256</v>
      </c>
      <c r="J37" s="1">
        <f>'Team A 1'!J37-'Team A 1'!$AA37-('Team A 1'!J$2- 12.5)*'Team A 1'!$AC37</f>
        <v>-35.60604535455002</v>
      </c>
      <c r="K37" s="1">
        <f>'Team A 1'!K37-'Team A 1'!$AA37-('Team A 1'!K$2- 12.5)*'Team A 1'!$AC37</f>
        <v>-19.242413348490857</v>
      </c>
      <c r="L37" s="1">
        <f>'Team A 1'!L37-'Team A 1'!$AA37-('Team A 1'!L$2- 12.5)*'Team A 1'!$AC37</f>
        <v>-12.878781342431751</v>
      </c>
      <c r="M37" s="1">
        <f>'Team A 1'!M37-'Team A 1'!$AA37-('Team A 1'!M$2- 12.5)*'Team A 1'!$AC37</f>
        <v>3.4848506636273981</v>
      </c>
      <c r="N37" s="1">
        <f>'Team A 1'!N37-'Team A 1'!$AA37-('Team A 1'!N$2- 12.5)*'Team A 1'!$AC37</f>
        <v>29.848482669686533</v>
      </c>
      <c r="O37" s="1">
        <f>'Team A 1'!O37-'Team A 1'!$AA37-('Team A 1'!O$2- 12.5)*'Team A 1'!$AC37</f>
        <v>46.212114675745681</v>
      </c>
      <c r="P37" s="1">
        <f>'Team A 1'!P37-'Team A 1'!$AA37-('Team A 1'!P$2- 12.5)*'Team A 1'!$AC37</f>
        <v>12.575746681804787</v>
      </c>
      <c r="Q37" s="1">
        <f>'Team A 1'!Q37-'Team A 1'!$AA37-('Team A 1'!Q$2- 12.5)*'Team A 1'!$AC37</f>
        <v>-11.06062131213605</v>
      </c>
      <c r="R37" s="1">
        <f>'Team A 1'!R37-'Team A 1'!$AA37-('Team A 1'!R$2- 12.5)*'Team A 1'!$AC37</f>
        <v>-64.696989306076944</v>
      </c>
      <c r="S37" s="1">
        <f>'Team A 1'!S37-'Team A 1'!$AA37-('Team A 1'!S$2- 12.5)*'Team A 1'!$AC37</f>
        <v>-18.333357300017724</v>
      </c>
      <c r="T37" s="1">
        <f>'Team A 1'!T37-'Team A 1'!$AA37-('Team A 1'!T$2- 12.5)*'Team A 1'!$AC37</f>
        <v>18.030274706041382</v>
      </c>
      <c r="U37" s="1">
        <f>'Team A 1'!U37-'Team A 1'!$AA37-('Team A 1'!U$2- 12.5)*'Team A 1'!$AC37</f>
        <v>-5.6060932878995118</v>
      </c>
      <c r="V37" s="1">
        <f>'Team A 1'!V37-'Team A 1'!$AA37-('Team A 1'!V$2- 12.5)*'Team A 1'!$AC37</f>
        <v>-9.2424612818404057</v>
      </c>
      <c r="W37" s="1">
        <f>'Team A 1'!W37-'Team A 1'!$AA37-('Team A 1'!W$2- 12.5)*'Team A 1'!$AC37</f>
        <v>-22.8788292757813</v>
      </c>
      <c r="X37" s="1">
        <f>'Team A 1'!X37-'Team A 1'!$AA37-('Team A 1'!X$2- 12.5)*'Team A 1'!$AC37</f>
        <v>3.4848027302778064</v>
      </c>
      <c r="Y37" s="1">
        <f>'Team A 1'!Y37-'Team A 1'!$AA37-('Team A 1'!Y$2- 12.5)*'Team A 1'!$AC37</f>
        <v>-40.151565263663088</v>
      </c>
      <c r="AB37" s="1">
        <f>STDEV(B37:Y37)</f>
        <v>29.537917218463065</v>
      </c>
      <c r="AD37" s="5" t="s">
        <v>45</v>
      </c>
      <c r="AE37" s="5">
        <v>3</v>
      </c>
      <c r="AF37" s="5">
        <v>4</v>
      </c>
      <c r="AG37" s="5">
        <v>6</v>
      </c>
      <c r="AH37" s="5" t="s">
        <v>46</v>
      </c>
      <c r="AI37" s="5">
        <v>5</v>
      </c>
      <c r="AJ37" s="5">
        <v>8</v>
      </c>
      <c r="AK37" s="5">
        <v>2</v>
      </c>
      <c r="AL37" s="5" t="s">
        <v>47</v>
      </c>
      <c r="AM37" s="5">
        <v>1</v>
      </c>
      <c r="AN37" s="5">
        <v>9</v>
      </c>
      <c r="AO37" s="5">
        <v>7</v>
      </c>
      <c r="AP37" s="5">
        <v>3</v>
      </c>
      <c r="AQ37" s="5" t="s">
        <v>45</v>
      </c>
      <c r="AR37" s="5">
        <v>6</v>
      </c>
      <c r="AS37" s="5">
        <v>4</v>
      </c>
      <c r="AT37" s="5">
        <v>5</v>
      </c>
      <c r="AU37" s="5" t="s">
        <v>46</v>
      </c>
      <c r="AV37" s="5">
        <v>2</v>
      </c>
      <c r="AW37" s="5">
        <v>8</v>
      </c>
      <c r="AX37" s="5" t="s">
        <v>47</v>
      </c>
      <c r="AY37" s="5">
        <v>9</v>
      </c>
      <c r="AZ37" s="5">
        <v>1</v>
      </c>
      <c r="BA37" s="5">
        <v>7</v>
      </c>
      <c r="BB37" s="5"/>
      <c r="BC37" s="1">
        <f ca="1">OFFSET(A37,0, 10) -0</f>
        <v>-19.242413348490857</v>
      </c>
      <c r="BD37" s="1">
        <f ca="1">OFFSET(A37,0, 8) -0</f>
        <v>-1.9696773606091256</v>
      </c>
      <c r="BE37" s="1">
        <f ca="1">OFFSET(A37,0, 2) -0</f>
        <v>29.848530603036124</v>
      </c>
      <c r="BF37" s="1">
        <f ca="1">OFFSET(A37,0, 3) -0</f>
        <v>26.21216260909523</v>
      </c>
      <c r="BG37" s="1">
        <f ca="1">OFFSET(A37,0, 6) -0</f>
        <v>15.303058627272549</v>
      </c>
      <c r="BH37" s="1">
        <f ca="1">OFFSET(A37,0, 4) -0</f>
        <v>32.575794615154336</v>
      </c>
      <c r="BI37" s="1">
        <f ca="1">OFFSET(A37,0, 12) -0</f>
        <v>3.4848506636273981</v>
      </c>
      <c r="BJ37" s="1">
        <f ca="1">OFFSET(A37,0, 7) -0</f>
        <v>-28.333309366668345</v>
      </c>
      <c r="BK37" s="1">
        <f ca="1">OFFSET(A37,0, 11) -0</f>
        <v>-12.878781342431751</v>
      </c>
      <c r="BL37" s="1">
        <f ca="1">OFFSET(A37,0, 1) -0</f>
        <v>63.484898596977018</v>
      </c>
      <c r="BM37" s="1">
        <f ca="1">OFFSET(A37,0, 5) -0</f>
        <v>-11.060573378786557</v>
      </c>
      <c r="BN37" s="1">
        <f ca="1">OFFSET(A37,0, 9) -0</f>
        <v>-35.60604535455002</v>
      </c>
      <c r="BO37" s="1">
        <f ca="1">OFFSET(A37,0, 23) -0</f>
        <v>3.4848027302778064</v>
      </c>
      <c r="BP37" s="1">
        <f ca="1">OFFSET(A37,0, 19) -0</f>
        <v>18.030274706041382</v>
      </c>
      <c r="BQ37" s="1">
        <f ca="1">OFFSET(A37,0, 13) -0</f>
        <v>29.848482669686533</v>
      </c>
      <c r="BR37" s="1">
        <f ca="1">OFFSET(A37,0, 16) -0</f>
        <v>-11.06062131213605</v>
      </c>
      <c r="BS37" s="1">
        <f ca="1">OFFSET(A37,0, 17) -0</f>
        <v>-64.696989306076944</v>
      </c>
      <c r="BT37" s="1">
        <f ca="1">OFFSET(A37,0, 15) -0</f>
        <v>12.575746681804787</v>
      </c>
      <c r="BU37" s="1">
        <f ca="1">OFFSET(A37,0, 24) -0</f>
        <v>-40.151565263663088</v>
      </c>
      <c r="BV37" s="1">
        <f ca="1">OFFSET(A37,0, 20) -0</f>
        <v>-5.6060932878995118</v>
      </c>
      <c r="BW37" s="1">
        <f ca="1">OFFSET(A37,0, 22) -0</f>
        <v>-22.8788292757813</v>
      </c>
      <c r="BX37" s="1">
        <f ca="1">OFFSET(A37,0, 14) -0</f>
        <v>46.212114675745681</v>
      </c>
      <c r="BY37" s="1">
        <f ca="1">OFFSET(A37,0, 18) -0</f>
        <v>-18.333357300017724</v>
      </c>
      <c r="BZ37" s="1">
        <f ca="1">OFFSET(A37,0, 21) -0</f>
        <v>-9.2424612818404057</v>
      </c>
      <c r="CB37" s="1">
        <f>COUNTIF(B37,"&lt;-68")</f>
        <v>0</v>
      </c>
      <c r="CC37" s="1">
        <f ca="1">COUNTIF(BC37:BN37,"&lt;-48")</f>
        <v>0</v>
      </c>
      <c r="CD37" s="1">
        <f ca="1">COUNTIF(BC37:BN37,"&gt;+48")</f>
        <v>1</v>
      </c>
      <c r="CE37" s="1">
        <f ca="1">COUNTIF(BO37:BZ37,"&lt;-48")</f>
        <v>1</v>
      </c>
      <c r="CF37" s="1">
        <f ca="1">COUNTIF(BO37:BZ37,"&gt;+48")</f>
        <v>0</v>
      </c>
    </row>
    <row r="38" spans="1:84">
      <c r="A38" s="1">
        <v>35</v>
      </c>
      <c r="B38" s="1">
        <f>'Team A 1'!B38-'Team A 1'!$AA38-('Team A 1'!B$2- 12.5)*'Team A 1'!$AC38</f>
        <v>32.402988884253318</v>
      </c>
      <c r="C38" s="1">
        <f>'Team A 1'!C38-'Team A 1'!$AA38-('Team A 1'!C$2- 12.5)*'Team A 1'!$AC38</f>
        <v>29.15055506823137</v>
      </c>
      <c r="D38" s="1">
        <f>'Team A 1'!D38-'Team A 1'!$AA38-('Team A 1'!D$2- 12.5)*'Team A 1'!$AC38</f>
        <v>45.898121252209421</v>
      </c>
      <c r="E38" s="1">
        <f>'Team A 1'!E38-'Team A 1'!$AA38-('Team A 1'!E$2- 12.5)*'Team A 1'!$AC38</f>
        <v>72.645687436187245</v>
      </c>
      <c r="F38" s="1">
        <f>'Team A 1'!F38-'Team A 1'!$AA38-('Team A 1'!F$2- 12.5)*'Team A 1'!$AC38</f>
        <v>9.3932536201652965</v>
      </c>
      <c r="G38" s="1">
        <f>'Team A 1'!G38-'Team A 1'!$AA38-('Team A 1'!G$2- 12.5)*'Team A 1'!$AC38</f>
        <v>16.140819804143121</v>
      </c>
      <c r="H38" s="1">
        <f>'Team A 1'!H38-'Team A 1'!$AA38-('Team A 1'!H$2- 12.5)*'Team A 1'!$AC38</f>
        <v>-27.111614011878828</v>
      </c>
      <c r="I38" s="1">
        <f>'Team A 1'!I38-'Team A 1'!$AA38-('Team A 1'!I$2- 12.5)*'Team A 1'!$AC38</f>
        <v>-0.3640478279008903</v>
      </c>
      <c r="J38" s="1">
        <f>'Team A 1'!J38-'Team A 1'!$AA38-('Team A 1'!J$2- 12.5)*'Team A 1'!$AC38</f>
        <v>-23.616481643922839</v>
      </c>
      <c r="K38" s="1">
        <f>'Team A 1'!K38-'Team A 1'!$AA38-('Team A 1'!K$2- 12.5)*'Team A 1'!$AC38</f>
        <v>3.1310845400550988</v>
      </c>
      <c r="L38" s="1">
        <f>'Team A 1'!L38-'Team A 1'!$AA38-('Team A 1'!L$2- 12.5)*'Team A 1'!$AC38</f>
        <v>-70.121349275966963</v>
      </c>
      <c r="M38" s="1">
        <f>'Team A 1'!M38-'Team A 1'!$AA38-('Team A 1'!M$2- 12.5)*'Team A 1'!$AC38</f>
        <v>-33.373783091988983</v>
      </c>
      <c r="N38" s="1">
        <f>'Team A 1'!N38-'Team A 1'!$AA38-('Team A 1'!N$2- 12.5)*'Team A 1'!$AC38</f>
        <v>-56.626216908011017</v>
      </c>
      <c r="O38" s="1">
        <f>'Team A 1'!O38-'Team A 1'!$AA38-('Team A 1'!O$2- 12.5)*'Team A 1'!$AC38</f>
        <v>-9.8786507240330366</v>
      </c>
      <c r="P38" s="1">
        <f>'Team A 1'!P38-'Team A 1'!$AA38-('Team A 1'!P$2- 12.5)*'Team A 1'!$AC38</f>
        <v>16.868915459944901</v>
      </c>
      <c r="Q38" s="1">
        <f>'Team A 1'!Q38-'Team A 1'!$AA38-('Team A 1'!Q$2- 12.5)*'Team A 1'!$AC38</f>
        <v>13.616481643922839</v>
      </c>
      <c r="R38" s="1">
        <f>'Team A 1'!R38-'Team A 1'!$AA38-('Team A 1'!R$2- 12.5)*'Team A 1'!$AC38</f>
        <v>10.36404782790089</v>
      </c>
      <c r="S38" s="1">
        <f>'Team A 1'!S38-'Team A 1'!$AA38-('Team A 1'!S$2- 12.5)*'Team A 1'!$AC38</f>
        <v>27.111614011878828</v>
      </c>
      <c r="T38" s="1">
        <f>'Team A 1'!T38-'Team A 1'!$AA38-('Team A 1'!T$2- 12.5)*'Team A 1'!$AC38</f>
        <v>-16.140819804143121</v>
      </c>
      <c r="U38" s="1">
        <f>'Team A 1'!U38-'Team A 1'!$AA38-('Team A 1'!U$2- 12.5)*'Team A 1'!$AC38</f>
        <v>-29.393253620165297</v>
      </c>
      <c r="V38" s="1">
        <f>'Team A 1'!V38-'Team A 1'!$AA38-('Team A 1'!V$2- 12.5)*'Team A 1'!$AC38</f>
        <v>-12.645687436187245</v>
      </c>
      <c r="W38" s="1">
        <f>'Team A 1'!W38-'Team A 1'!$AA38-('Team A 1'!W$2- 12.5)*'Team A 1'!$AC38</f>
        <v>-25.898121252209421</v>
      </c>
      <c r="X38" s="1">
        <f>'Team A 1'!X38-'Team A 1'!$AA38-('Team A 1'!X$2- 12.5)*'Team A 1'!$AC38</f>
        <v>20.84944493176863</v>
      </c>
      <c r="Y38" s="1">
        <f>'Team A 1'!Y38-'Team A 1'!$AA38-('Team A 1'!Y$2- 12.5)*'Team A 1'!$AC38</f>
        <v>7.5970111157466818</v>
      </c>
      <c r="AB38" s="1">
        <f>STDEV(B38:Y38)</f>
        <v>32.323161665372709</v>
      </c>
      <c r="AD38" s="5" t="s">
        <v>45</v>
      </c>
      <c r="AE38" s="5">
        <v>3</v>
      </c>
      <c r="AF38" s="5">
        <v>4</v>
      </c>
      <c r="AG38" s="5">
        <v>6</v>
      </c>
      <c r="AH38" s="5" t="s">
        <v>46</v>
      </c>
      <c r="AI38" s="5">
        <v>5</v>
      </c>
      <c r="AJ38" s="5">
        <v>8</v>
      </c>
      <c r="AK38" s="5">
        <v>2</v>
      </c>
      <c r="AL38" s="5">
        <v>9</v>
      </c>
      <c r="AM38" s="5" t="s">
        <v>47</v>
      </c>
      <c r="AN38" s="5">
        <v>7</v>
      </c>
      <c r="AO38" s="5">
        <v>1</v>
      </c>
      <c r="AP38" s="5" t="s">
        <v>45</v>
      </c>
      <c r="AQ38" s="5">
        <v>4</v>
      </c>
      <c r="AR38" s="5">
        <v>3</v>
      </c>
      <c r="AS38" s="5" t="s">
        <v>46</v>
      </c>
      <c r="AT38" s="5">
        <v>6</v>
      </c>
      <c r="AU38" s="5">
        <v>8</v>
      </c>
      <c r="AV38" s="5">
        <v>5</v>
      </c>
      <c r="AW38" s="5">
        <v>9</v>
      </c>
      <c r="AX38" s="5">
        <v>2</v>
      </c>
      <c r="AY38" s="5" t="s">
        <v>47</v>
      </c>
      <c r="AZ38" s="5">
        <v>1</v>
      </c>
      <c r="BA38" s="5">
        <v>7</v>
      </c>
      <c r="BB38" s="5"/>
      <c r="BC38" s="1">
        <f ca="1">OFFSET(A38,0, 12) -0</f>
        <v>-33.373783091988983</v>
      </c>
      <c r="BD38" s="1">
        <f ca="1">OFFSET(A38,0, 8) -0</f>
        <v>-0.3640478279008903</v>
      </c>
      <c r="BE38" s="1">
        <f ca="1">OFFSET(A38,0, 2) -0</f>
        <v>29.15055506823137</v>
      </c>
      <c r="BF38" s="1">
        <f ca="1">OFFSET(A38,0, 3) -0</f>
        <v>45.898121252209421</v>
      </c>
      <c r="BG38" s="1">
        <f ca="1">OFFSET(A38,0, 6) -0</f>
        <v>16.140819804143121</v>
      </c>
      <c r="BH38" s="1">
        <f ca="1">OFFSET(A38,0, 4) -0</f>
        <v>72.645687436187245</v>
      </c>
      <c r="BI38" s="1">
        <f ca="1">OFFSET(A38,0, 11) -0</f>
        <v>-70.121349275966963</v>
      </c>
      <c r="BJ38" s="1">
        <f ca="1">OFFSET(A38,0, 7) -0</f>
        <v>-27.111614011878828</v>
      </c>
      <c r="BK38" s="1">
        <f ca="1">OFFSET(A38,0, 9) -0</f>
        <v>-23.616481643922839</v>
      </c>
      <c r="BL38" s="1">
        <f ca="1">OFFSET(A38,0, 1) -0</f>
        <v>32.402988884253318</v>
      </c>
      <c r="BM38" s="1">
        <f ca="1">OFFSET(A38,0, 5) -0</f>
        <v>9.3932536201652965</v>
      </c>
      <c r="BN38" s="1">
        <f ca="1">OFFSET(A38,0, 10) -0</f>
        <v>3.1310845400550988</v>
      </c>
      <c r="BO38" s="1">
        <f ca="1">OFFSET(A38,0, 23) -0</f>
        <v>20.84944493176863</v>
      </c>
      <c r="BP38" s="1">
        <f ca="1">OFFSET(A38,0, 21) -0</f>
        <v>-12.645687436187245</v>
      </c>
      <c r="BQ38" s="1">
        <f ca="1">OFFSET(A38,0, 15) -0</f>
        <v>16.868915459944901</v>
      </c>
      <c r="BR38" s="1">
        <f ca="1">OFFSET(A38,0, 14) -0</f>
        <v>-9.8786507240330366</v>
      </c>
      <c r="BS38" s="1">
        <f ca="1">OFFSET(A38,0, 19) -0</f>
        <v>-16.140819804143121</v>
      </c>
      <c r="BT38" s="1">
        <f ca="1">OFFSET(A38,0, 17) -0</f>
        <v>10.36404782790089</v>
      </c>
      <c r="BU38" s="1">
        <f ca="1">OFFSET(A38,0, 24) -0</f>
        <v>7.5970111157466818</v>
      </c>
      <c r="BV38" s="1">
        <f ca="1">OFFSET(A38,0, 18) -0</f>
        <v>27.111614011878828</v>
      </c>
      <c r="BW38" s="1">
        <f ca="1">OFFSET(A38,0, 20) -0</f>
        <v>-29.393253620165297</v>
      </c>
      <c r="BX38" s="1">
        <f ca="1">OFFSET(A38,0, 13) -0</f>
        <v>-56.626216908011017</v>
      </c>
      <c r="BY38" s="1">
        <f ca="1">OFFSET(A38,0, 16) -0</f>
        <v>13.616481643922839</v>
      </c>
      <c r="BZ38" s="1">
        <f ca="1">OFFSET(A38,0, 22) -0</f>
        <v>-25.898121252209421</v>
      </c>
      <c r="CB38" s="1">
        <f>COUNTIF(B38,"&lt;-68")</f>
        <v>0</v>
      </c>
      <c r="CC38" s="1">
        <f ca="1">COUNTIF(BC38:BN38,"&lt;-48")</f>
        <v>1</v>
      </c>
      <c r="CD38" s="1">
        <f ca="1">COUNTIF(BC38:BN38,"&gt;+48")</f>
        <v>1</v>
      </c>
      <c r="CE38" s="1">
        <f ca="1">COUNTIF(BO38:BZ38,"&lt;-48")</f>
        <v>1</v>
      </c>
      <c r="CF38" s="1">
        <f ca="1">COUNTIF(BO38:BZ38,"&gt;+48")</f>
        <v>0</v>
      </c>
    </row>
    <row r="39" spans="1:84">
      <c r="A39" s="1">
        <v>36</v>
      </c>
      <c r="B39" s="1">
        <f>'Team A 1'!B39-'Team A 1'!$AA39-('Team A 1'!B$2- 12.5)*'Team A 1'!$AC39</f>
        <v>-0.54198242764186944</v>
      </c>
      <c r="C39" s="1">
        <f>'Team A 1'!C39-'Team A 1'!$AA39-('Team A 1'!C$2- 12.5)*'Team A 1'!$AC39</f>
        <v>6.3892044501230885</v>
      </c>
      <c r="D39" s="1">
        <f>'Team A 1'!D39-'Team A 1'!$AA39-('Team A 1'!D$2- 12.5)*'Team A 1'!$AC39</f>
        <v>-16.679608672111726</v>
      </c>
      <c r="E39" s="1">
        <f>'Team A 1'!E39-'Team A 1'!$AA39-('Team A 1'!E$2- 12.5)*'Team A 1'!$AC39</f>
        <v>10.251578205653459</v>
      </c>
      <c r="F39" s="1">
        <f>'Team A 1'!F39-'Team A 1'!$AA39-('Team A 1'!F$2- 12.5)*'Team A 1'!$AC39</f>
        <v>-32.817234916581583</v>
      </c>
      <c r="G39" s="1">
        <f>'Team A 1'!G39-'Team A 1'!$AA39-('Team A 1'!G$2- 12.5)*'Team A 1'!$AC39</f>
        <v>24.113951961183602</v>
      </c>
      <c r="H39" s="1">
        <f>'Team A 1'!H39-'Team A 1'!$AA39-('Team A 1'!H$2- 12.5)*'Team A 1'!$AC39</f>
        <v>11.045138838948787</v>
      </c>
      <c r="I39" s="1">
        <f>'Team A 1'!I39-'Team A 1'!$AA39-('Team A 1'!I$2- 12.5)*'Team A 1'!$AC39</f>
        <v>27.976325716713859</v>
      </c>
      <c r="J39" s="1">
        <f>'Team A 1'!J39-'Team A 1'!$AA39-('Team A 1'!J$2- 12.5)*'Team A 1'!$AC39</f>
        <v>34.907512594479044</v>
      </c>
      <c r="K39" s="1">
        <f>'Team A 1'!K39-'Team A 1'!$AA39-('Team A 1'!K$2- 12.5)*'Team A 1'!$AC39</f>
        <v>1.8386994722441159</v>
      </c>
      <c r="L39" s="1">
        <f>'Team A 1'!L39-'Team A 1'!$AA39-('Team A 1'!L$2- 12.5)*'Team A 1'!$AC39</f>
        <v>38.769886350009301</v>
      </c>
      <c r="M39" s="1">
        <f>'Team A 1'!M39-'Team A 1'!$AA39-('Team A 1'!M$2- 12.5)*'Team A 1'!$AC39</f>
        <v>-4.2989267722255988</v>
      </c>
      <c r="N39" s="1">
        <f>'Team A 1'!N39-'Team A 1'!$AA39-('Team A 1'!N$2- 12.5)*'Team A 1'!$AC39</f>
        <v>-27.36773989446047</v>
      </c>
      <c r="O39" s="1">
        <f>'Team A 1'!O39-'Team A 1'!$AA39-('Team A 1'!O$2- 12.5)*'Team A 1'!$AC39</f>
        <v>-10.43655301669537</v>
      </c>
      <c r="P39" s="1">
        <f>'Team A 1'!P39-'Team A 1'!$AA39-('Team A 1'!P$2- 12.5)*'Team A 1'!$AC39</f>
        <v>6.4946338610698149</v>
      </c>
      <c r="Q39" s="1">
        <f>'Team A 1'!Q39-'Team A 1'!$AA39-('Team A 1'!Q$2- 12.5)*'Team A 1'!$AC39</f>
        <v>-36.574179261165114</v>
      </c>
      <c r="R39" s="1">
        <f>'Team A 1'!R39-'Team A 1'!$AA39-('Team A 1'!R$2- 12.5)*'Team A 1'!$AC39</f>
        <v>-19.642992383399928</v>
      </c>
      <c r="S39" s="1">
        <f>'Team A 1'!S39-'Team A 1'!$AA39-('Team A 1'!S$2- 12.5)*'Team A 1'!$AC39</f>
        <v>-2.7118055056348567</v>
      </c>
      <c r="T39" s="1">
        <f>'Team A 1'!T39-'Team A 1'!$AA39-('Team A 1'!T$2- 12.5)*'Team A 1'!$AC39</f>
        <v>-35.780618627869671</v>
      </c>
      <c r="U39" s="1">
        <f>'Team A 1'!U39-'Team A 1'!$AA39-('Team A 1'!U$2- 12.5)*'Team A 1'!$AC39</f>
        <v>-8.8494317501044861</v>
      </c>
      <c r="V39" s="1">
        <f>'Team A 1'!V39-'Team A 1'!$AA39-('Team A 1'!V$2- 12.5)*'Team A 1'!$AC39</f>
        <v>8.0817551276604718</v>
      </c>
      <c r="W39" s="1">
        <f>'Team A 1'!W39-'Team A 1'!$AA39-('Team A 1'!W$2- 12.5)*'Team A 1'!$AC39</f>
        <v>-14.987057994574343</v>
      </c>
      <c r="X39" s="1">
        <f>'Team A 1'!X39-'Team A 1'!$AA39-('Team A 1'!X$2- 12.5)*'Team A 1'!$AC39</f>
        <v>1.9441288831908423</v>
      </c>
      <c r="Y39" s="1">
        <f>'Team A 1'!Y39-'Team A 1'!$AA39-('Team A 1'!Y$2- 12.5)*'Team A 1'!$AC39</f>
        <v>38.8753157609558</v>
      </c>
      <c r="AB39" s="1">
        <f>STDEV(B39:Y39)</f>
        <v>22.385526951983476</v>
      </c>
      <c r="AD39" s="5">
        <v>4</v>
      </c>
      <c r="AE39" s="5" t="s">
        <v>45</v>
      </c>
      <c r="AF39" s="5" t="s">
        <v>46</v>
      </c>
      <c r="AG39" s="5">
        <v>3</v>
      </c>
      <c r="AH39" s="5">
        <v>8</v>
      </c>
      <c r="AI39" s="5">
        <v>6</v>
      </c>
      <c r="AJ39" s="5">
        <v>9</v>
      </c>
      <c r="AK39" s="5">
        <v>5</v>
      </c>
      <c r="AL39" s="5" t="s">
        <v>47</v>
      </c>
      <c r="AM39" s="5">
        <v>2</v>
      </c>
      <c r="AN39" s="5">
        <v>7</v>
      </c>
      <c r="AO39" s="5">
        <v>1</v>
      </c>
      <c r="AP39" s="5" t="s">
        <v>45</v>
      </c>
      <c r="AQ39" s="5">
        <v>4</v>
      </c>
      <c r="AR39" s="5">
        <v>3</v>
      </c>
      <c r="AS39" s="5" t="s">
        <v>46</v>
      </c>
      <c r="AT39" s="5">
        <v>6</v>
      </c>
      <c r="AU39" s="5">
        <v>8</v>
      </c>
      <c r="AV39" s="5">
        <v>5</v>
      </c>
      <c r="AW39" s="5">
        <v>9</v>
      </c>
      <c r="AX39" s="5">
        <v>2</v>
      </c>
      <c r="AY39" s="5" t="s">
        <v>47</v>
      </c>
      <c r="AZ39" s="5">
        <v>7</v>
      </c>
      <c r="BA39" s="5">
        <v>1</v>
      </c>
      <c r="BB39" s="5"/>
      <c r="BC39" s="1">
        <f ca="1">OFFSET(A39,0, 12) -0</f>
        <v>-4.2989267722255988</v>
      </c>
      <c r="BD39" s="1">
        <f ca="1">OFFSET(A39,0, 10) -0</f>
        <v>1.8386994722441159</v>
      </c>
      <c r="BE39" s="1">
        <f ca="1">OFFSET(A39,0, 4) -0</f>
        <v>10.251578205653459</v>
      </c>
      <c r="BF39" s="1">
        <f ca="1">OFFSET(A39,0, 1) -0</f>
        <v>-0.54198242764186944</v>
      </c>
      <c r="BG39" s="1">
        <f ca="1">OFFSET(A39,0, 8) -0</f>
        <v>27.976325716713859</v>
      </c>
      <c r="BH39" s="1">
        <f ca="1">OFFSET(A39,0, 6) -0</f>
        <v>24.113951961183602</v>
      </c>
      <c r="BI39" s="1">
        <f ca="1">OFFSET(A39,0, 11) -0</f>
        <v>38.769886350009301</v>
      </c>
      <c r="BJ39" s="1">
        <f ca="1">OFFSET(A39,0, 5) -0</f>
        <v>-32.817234916581583</v>
      </c>
      <c r="BK39" s="1">
        <f ca="1">OFFSET(A39,0, 7) -0</f>
        <v>11.045138838948787</v>
      </c>
      <c r="BL39" s="1">
        <f ca="1">OFFSET(A39,0, 2) -0</f>
        <v>6.3892044501230885</v>
      </c>
      <c r="BM39" s="1">
        <f ca="1">OFFSET(A39,0, 3) -0</f>
        <v>-16.679608672111726</v>
      </c>
      <c r="BN39" s="1">
        <f ca="1">OFFSET(A39,0, 9) -0</f>
        <v>34.907512594479044</v>
      </c>
      <c r="BO39" s="1">
        <f ca="1">OFFSET(A39,0, 24) -0</f>
        <v>38.8753157609558</v>
      </c>
      <c r="BP39" s="1">
        <f ca="1">OFFSET(A39,0, 21) -0</f>
        <v>8.0817551276604718</v>
      </c>
      <c r="BQ39" s="1">
        <f ca="1">OFFSET(A39,0, 15) -0</f>
        <v>6.4946338610698149</v>
      </c>
      <c r="BR39" s="1">
        <f ca="1">OFFSET(A39,0, 14) -0</f>
        <v>-10.43655301669537</v>
      </c>
      <c r="BS39" s="1">
        <f ca="1">OFFSET(A39,0, 19) -0</f>
        <v>-35.780618627869671</v>
      </c>
      <c r="BT39" s="1">
        <f ca="1">OFFSET(A39,0, 17) -0</f>
        <v>-19.642992383399928</v>
      </c>
      <c r="BU39" s="1">
        <f ca="1">OFFSET(A39,0, 23) -0</f>
        <v>1.9441288831908423</v>
      </c>
      <c r="BV39" s="1">
        <f ca="1">OFFSET(A39,0, 18) -0</f>
        <v>-2.7118055056348567</v>
      </c>
      <c r="BW39" s="1">
        <f ca="1">OFFSET(A39,0, 20) -0</f>
        <v>-8.8494317501044861</v>
      </c>
      <c r="BX39" s="1">
        <f ca="1">OFFSET(A39,0, 13) -0</f>
        <v>-27.36773989446047</v>
      </c>
      <c r="BY39" s="1">
        <f ca="1">OFFSET(A39,0, 16) -0</f>
        <v>-36.574179261165114</v>
      </c>
      <c r="BZ39" s="1">
        <f ca="1">OFFSET(A39,0, 22) -0</f>
        <v>-14.987057994574343</v>
      </c>
      <c r="CB39" s="1">
        <f>COUNTIF(B39,"&lt;-68")</f>
        <v>0</v>
      </c>
      <c r="CC39" s="1">
        <f ca="1">COUNTIF(BC39:BN39,"&lt;-48")</f>
        <v>0</v>
      </c>
      <c r="CD39" s="1">
        <f ca="1">COUNTIF(BC39:BN39,"&gt;+48")</f>
        <v>0</v>
      </c>
      <c r="CE39" s="1">
        <f ca="1">COUNTIF(BO39:BZ39,"&lt;-48")</f>
        <v>0</v>
      </c>
      <c r="CF39" s="1">
        <f ca="1">COUNTIF(BO39:BZ39,"&gt;+48")</f>
        <v>0</v>
      </c>
    </row>
    <row r="40" spans="1:84">
      <c r="A40" s="1">
        <v>37</v>
      </c>
      <c r="B40" s="1">
        <f>'Team A 1'!B40-'Team A 1'!$AA40-('Team A 1'!B$2- 12.5)*'Team A 1'!$AC40</f>
        <v>15.701375807061595</v>
      </c>
      <c r="C40" s="1">
        <f>'Team A 1'!C40-'Team A 1'!$AA40-('Team A 1'!C$2- 12.5)*'Team A 1'!$AC40</f>
        <v>42.307053273113524</v>
      </c>
      <c r="D40" s="1">
        <f>'Team A 1'!D40-'Team A 1'!$AA40-('Team A 1'!D$2- 12.5)*'Team A 1'!$AC40</f>
        <v>8.9127307391652266</v>
      </c>
      <c r="E40" s="1">
        <f>'Team A 1'!E40-'Team A 1'!$AA40-('Team A 1'!E$2- 12.5)*'Team A 1'!$AC40</f>
        <v>-4.4815917947830712</v>
      </c>
      <c r="F40" s="1">
        <f>'Team A 1'!F40-'Team A 1'!$AA40-('Team A 1'!F$2- 12.5)*'Team A 1'!$AC40</f>
        <v>-57.875914328731142</v>
      </c>
      <c r="G40" s="1">
        <f>'Team A 1'!G40-'Team A 1'!$AA40-('Team A 1'!G$2- 12.5)*'Team A 1'!$AC40</f>
        <v>-31.27023686267944</v>
      </c>
      <c r="H40" s="1">
        <f>'Team A 1'!H40-'Team A 1'!$AA40-('Team A 1'!H$2- 12.5)*'Team A 1'!$AC40</f>
        <v>-4.6645593966277374</v>
      </c>
      <c r="I40" s="1">
        <f>'Team A 1'!I40-'Team A 1'!$AA40-('Team A 1'!I$2- 12.5)*'Team A 1'!$AC40</f>
        <v>21.941118069424078</v>
      </c>
      <c r="J40" s="1">
        <f>'Team A 1'!J40-'Team A 1'!$AA40-('Team A 1'!J$2- 12.5)*'Team A 1'!$AC40</f>
        <v>-21.453204464524219</v>
      </c>
      <c r="K40" s="1">
        <f>'Team A 1'!K40-'Team A 1'!$AA40-('Team A 1'!K$2- 12.5)*'Team A 1'!$AC40</f>
        <v>15.152473001527596</v>
      </c>
      <c r="L40" s="1">
        <f>'Team A 1'!L40-'Team A 1'!$AA40-('Team A 1'!L$2- 12.5)*'Team A 1'!$AC40</f>
        <v>11.758150467579298</v>
      </c>
      <c r="M40" s="1">
        <f>'Team A 1'!M40-'Team A 1'!$AA40-('Team A 1'!M$2- 12.5)*'Team A 1'!$AC40</f>
        <v>28.363827933631086</v>
      </c>
      <c r="N40" s="1">
        <f>'Team A 1'!N40-'Team A 1'!$AA40-('Team A 1'!N$2- 12.5)*'Team A 1'!$AC40</f>
        <v>-15.030494600317155</v>
      </c>
      <c r="O40" s="1">
        <f>'Team A 1'!O40-'Team A 1'!$AA40-('Team A 1'!O$2- 12.5)*'Team A 1'!$AC40</f>
        <v>-8.4248171342653677</v>
      </c>
      <c r="P40" s="1">
        <f>'Team A 1'!P40-'Team A 1'!$AA40-('Team A 1'!P$2- 12.5)*'Team A 1'!$AC40</f>
        <v>-31.819139668213666</v>
      </c>
      <c r="Q40" s="1">
        <f>'Team A 1'!Q40-'Team A 1'!$AA40-('Team A 1'!Q$2- 12.5)*'Team A 1'!$AC40</f>
        <v>-5.2134622021618497</v>
      </c>
      <c r="R40" s="1">
        <f>'Team A 1'!R40-'Team A 1'!$AA40-('Team A 1'!R$2- 12.5)*'Team A 1'!$AC40</f>
        <v>-8.6077847361101476</v>
      </c>
      <c r="S40" s="1">
        <f>'Team A 1'!S40-'Team A 1'!$AA40-('Team A 1'!S$2- 12.5)*'Team A 1'!$AC40</f>
        <v>-2.0021072700583318</v>
      </c>
      <c r="T40" s="1">
        <f>'Team A 1'!T40-'Team A 1'!$AA40-('Team A 1'!T$2- 12.5)*'Team A 1'!$AC40</f>
        <v>4.6035701959933704</v>
      </c>
      <c r="U40" s="1">
        <f>'Team A 1'!U40-'Team A 1'!$AA40-('Team A 1'!U$2- 12.5)*'Team A 1'!$AC40</f>
        <v>-8.7907523379549275</v>
      </c>
      <c r="V40" s="1">
        <f>'Team A 1'!V40-'Team A 1'!$AA40-('Team A 1'!V$2- 12.5)*'Team A 1'!$AC40</f>
        <v>-32.185074871902998</v>
      </c>
      <c r="W40" s="1">
        <f>'Team A 1'!W40-'Team A 1'!$AA40-('Team A 1'!W$2- 12.5)*'Team A 1'!$AC40</f>
        <v>-5.5793974058512958</v>
      </c>
      <c r="X40" s="1">
        <f>'Team A 1'!X40-'Team A 1'!$AA40-('Team A 1'!X$2- 12.5)*'Team A 1'!$AC40</f>
        <v>21.026280060200406</v>
      </c>
      <c r="Y40" s="1">
        <f>'Team A 1'!Y40-'Team A 1'!$AA40-('Team A 1'!Y$2- 12.5)*'Team A 1'!$AC40</f>
        <v>67.631957526252336</v>
      </c>
      <c r="AB40" s="1">
        <f>STDEV(B40:Y40)</f>
        <v>26.535831540500997</v>
      </c>
      <c r="AD40" s="5">
        <v>4</v>
      </c>
      <c r="AE40" s="5" t="s">
        <v>45</v>
      </c>
      <c r="AF40" s="5" t="s">
        <v>46</v>
      </c>
      <c r="AG40" s="5">
        <v>3</v>
      </c>
      <c r="AH40" s="5">
        <v>8</v>
      </c>
      <c r="AI40" s="5">
        <v>6</v>
      </c>
      <c r="AJ40" s="5">
        <v>9</v>
      </c>
      <c r="AK40" s="5">
        <v>5</v>
      </c>
      <c r="AL40" s="5" t="s">
        <v>47</v>
      </c>
      <c r="AM40" s="5">
        <v>2</v>
      </c>
      <c r="AN40" s="5">
        <v>1</v>
      </c>
      <c r="AO40" s="5">
        <v>7</v>
      </c>
      <c r="AP40" s="5">
        <v>4</v>
      </c>
      <c r="AQ40" s="5" t="s">
        <v>46</v>
      </c>
      <c r="AR40" s="5" t="s">
        <v>45</v>
      </c>
      <c r="AS40" s="5">
        <v>8</v>
      </c>
      <c r="AT40" s="5">
        <v>3</v>
      </c>
      <c r="AU40" s="5">
        <v>9</v>
      </c>
      <c r="AV40" s="5">
        <v>6</v>
      </c>
      <c r="AW40" s="5" t="s">
        <v>47</v>
      </c>
      <c r="AX40" s="5">
        <v>5</v>
      </c>
      <c r="AY40" s="5">
        <v>2</v>
      </c>
      <c r="AZ40" s="5">
        <v>7</v>
      </c>
      <c r="BA40" s="5">
        <v>1</v>
      </c>
      <c r="BB40" s="5"/>
      <c r="BC40" s="1">
        <f ca="1">OFFSET(A40,0, 11) -0</f>
        <v>11.758150467579298</v>
      </c>
      <c r="BD40" s="1">
        <f ca="1">OFFSET(A40,0, 10) -0</f>
        <v>15.152473001527596</v>
      </c>
      <c r="BE40" s="1">
        <f ca="1">OFFSET(A40,0, 4) -0</f>
        <v>-4.4815917947830712</v>
      </c>
      <c r="BF40" s="1">
        <f ca="1">OFFSET(A40,0, 1) -0</f>
        <v>15.701375807061595</v>
      </c>
      <c r="BG40" s="1">
        <f ca="1">OFFSET(A40,0, 8) -0</f>
        <v>21.941118069424078</v>
      </c>
      <c r="BH40" s="1">
        <f ca="1">OFFSET(A40,0, 6) -0</f>
        <v>-31.27023686267944</v>
      </c>
      <c r="BI40" s="1">
        <f ca="1">OFFSET(A40,0, 12) -0</f>
        <v>28.363827933631086</v>
      </c>
      <c r="BJ40" s="1">
        <f ca="1">OFFSET(A40,0, 5) -0</f>
        <v>-57.875914328731142</v>
      </c>
      <c r="BK40" s="1">
        <f ca="1">OFFSET(A40,0, 7) -0</f>
        <v>-4.6645593966277374</v>
      </c>
      <c r="BL40" s="1">
        <f ca="1">OFFSET(A40,0, 2) -0</f>
        <v>42.307053273113524</v>
      </c>
      <c r="BM40" s="1">
        <f ca="1">OFFSET(A40,0, 3) -0</f>
        <v>8.9127307391652266</v>
      </c>
      <c r="BN40" s="1">
        <f ca="1">OFFSET(A40,0, 9) -0</f>
        <v>-21.453204464524219</v>
      </c>
      <c r="BO40" s="1">
        <f ca="1">OFFSET(A40,0, 24) -0</f>
        <v>67.631957526252336</v>
      </c>
      <c r="BP40" s="1">
        <f ca="1">OFFSET(A40,0, 22) -0</f>
        <v>-5.5793974058512958</v>
      </c>
      <c r="BQ40" s="1">
        <f ca="1">OFFSET(A40,0, 17) -0</f>
        <v>-8.6077847361101476</v>
      </c>
      <c r="BR40" s="1">
        <f ca="1">OFFSET(A40,0, 13) -0</f>
        <v>-15.030494600317155</v>
      </c>
      <c r="BS40" s="1">
        <f ca="1">OFFSET(A40,0, 21) -0</f>
        <v>-32.185074871902998</v>
      </c>
      <c r="BT40" s="1">
        <f ca="1">OFFSET(A40,0, 19) -0</f>
        <v>4.6035701959933704</v>
      </c>
      <c r="BU40" s="1">
        <f ca="1">OFFSET(A40,0, 23) -0</f>
        <v>21.026280060200406</v>
      </c>
      <c r="BV40" s="1">
        <f ca="1">OFFSET(A40,0, 16) -0</f>
        <v>-5.2134622021618497</v>
      </c>
      <c r="BW40" s="1">
        <f ca="1">OFFSET(A40,0, 18) -0</f>
        <v>-2.0021072700583318</v>
      </c>
      <c r="BX40" s="1">
        <f ca="1">OFFSET(A40,0, 15) -0</f>
        <v>-31.819139668213666</v>
      </c>
      <c r="BY40" s="1">
        <f ca="1">OFFSET(A40,0, 14) -0</f>
        <v>-8.4248171342653677</v>
      </c>
      <c r="BZ40" s="1">
        <f ca="1">OFFSET(A40,0, 20) -0</f>
        <v>-8.7907523379549275</v>
      </c>
      <c r="CB40" s="1">
        <f>COUNTIF(B40,"&lt;-68")</f>
        <v>0</v>
      </c>
      <c r="CC40" s="1">
        <f ca="1">COUNTIF(BC40:BN40,"&lt;-48")</f>
        <v>1</v>
      </c>
      <c r="CD40" s="1">
        <f ca="1">COUNTIF(BC40:BN40,"&gt;+48")</f>
        <v>0</v>
      </c>
      <c r="CE40" s="1">
        <f ca="1">COUNTIF(BO40:BZ40,"&lt;-48")</f>
        <v>0</v>
      </c>
      <c r="CF40" s="1">
        <f ca="1">COUNTIF(BO40:BZ40,"&gt;+48")</f>
        <v>1</v>
      </c>
    </row>
    <row r="41" spans="1:84">
      <c r="A41" s="1">
        <v>38</v>
      </c>
      <c r="B41" s="1">
        <f>'Team A 1'!B41-'Team A 1'!$AA41-('Team A 1'!B$2- 12.5)*'Team A 1'!$AC41</f>
        <v>-9.5582701811322295</v>
      </c>
      <c r="C41" s="1">
        <f>'Team A 1'!C41-'Team A 1'!$AA41-('Team A 1'!C$2- 12.5)*'Team A 1'!$AC41</f>
        <v>16.888825776647991</v>
      </c>
      <c r="D41" s="1">
        <f>'Team A 1'!D41-'Team A 1'!$AA41-('Team A 1'!D$2- 12.5)*'Team A 1'!$AC41</f>
        <v>-26.664078265571561</v>
      </c>
      <c r="E41" s="1">
        <f>'Team A 1'!E41-'Team A 1'!$AA41-('Team A 1'!E$2- 12.5)*'Team A 1'!$AC41</f>
        <v>19.783017692208887</v>
      </c>
      <c r="F41" s="1">
        <f>'Team A 1'!F41-'Team A 1'!$AA41-('Team A 1'!F$2- 12.5)*'Team A 1'!$AC41</f>
        <v>-13.769886350010438</v>
      </c>
      <c r="G41" s="1">
        <f>'Team A 1'!G41-'Team A 1'!$AA41-('Team A 1'!G$2- 12.5)*'Team A 1'!$AC41</f>
        <v>42.67720960777001</v>
      </c>
      <c r="H41" s="1">
        <f>'Team A 1'!H41-'Team A 1'!$AA41-('Team A 1'!H$2- 12.5)*'Team A 1'!$AC41</f>
        <v>-30.875694434449542</v>
      </c>
      <c r="I41" s="1">
        <f>'Team A 1'!I41-'Team A 1'!$AA41-('Team A 1'!I$2- 12.5)*'Team A 1'!$AC41</f>
        <v>5.5714015233309055</v>
      </c>
      <c r="J41" s="1">
        <f>'Team A 1'!J41-'Team A 1'!$AA41-('Team A 1'!J$2- 12.5)*'Team A 1'!$AC41</f>
        <v>12.018497481111353</v>
      </c>
      <c r="K41" s="1">
        <f>'Team A 1'!K41-'Team A 1'!$AA41-('Team A 1'!K$2- 12.5)*'Team A 1'!$AC41</f>
        <v>-1.5344065611081419</v>
      </c>
      <c r="L41" s="1">
        <f>'Team A 1'!L41-'Team A 1'!$AA41-('Team A 1'!L$2- 12.5)*'Team A 1'!$AC41</f>
        <v>4.912689396672306</v>
      </c>
      <c r="M41" s="1">
        <f>'Team A 1'!M41-'Team A 1'!$AA41-('Team A 1'!M$2- 12.5)*'Team A 1'!$AC41</f>
        <v>-18.640214645547204</v>
      </c>
      <c r="N41" s="1">
        <f>'Team A 1'!N41-'Team A 1'!$AA41-('Team A 1'!N$2- 12.5)*'Team A 1'!$AC41</f>
        <v>-22.193118687766727</v>
      </c>
      <c r="O41" s="1">
        <f>'Team A 1'!O41-'Team A 1'!$AA41-('Team A 1'!O$2- 12.5)*'Team A 1'!$AC41</f>
        <v>4.2539772700137632</v>
      </c>
      <c r="P41" s="1">
        <f>'Team A 1'!P41-'Team A 1'!$AA41-('Team A 1'!P$2- 12.5)*'Team A 1'!$AC41</f>
        <v>-9.2989267722057889</v>
      </c>
      <c r="Q41" s="1">
        <f>'Team A 1'!Q41-'Team A 1'!$AA41-('Team A 1'!Q$2- 12.5)*'Team A 1'!$AC41</f>
        <v>-2.8518308144252842</v>
      </c>
      <c r="R41" s="1">
        <f>'Team A 1'!R41-'Team A 1'!$AA41-('Team A 1'!R$2- 12.5)*'Team A 1'!$AC41</f>
        <v>-6.4047348566448363</v>
      </c>
      <c r="S41" s="1">
        <f>'Team A 1'!S41-'Team A 1'!$AA41-('Team A 1'!S$2- 12.5)*'Team A 1'!$AC41</f>
        <v>-29.957638898864388</v>
      </c>
      <c r="T41" s="1">
        <f>'Team A 1'!T41-'Team A 1'!$AA41-('Team A 1'!T$2- 12.5)*'Team A 1'!$AC41</f>
        <v>6.4894570589160594</v>
      </c>
      <c r="U41" s="1">
        <f>'Team A 1'!U41-'Team A 1'!$AA41-('Team A 1'!U$2- 12.5)*'Team A 1'!$AC41</f>
        <v>22.936553016696507</v>
      </c>
      <c r="V41" s="1">
        <f>'Team A 1'!V41-'Team A 1'!$AA41-('Team A 1'!V$2- 12.5)*'Team A 1'!$AC41</f>
        <v>-0.61635102552281751</v>
      </c>
      <c r="W41" s="1">
        <f>'Team A 1'!W41-'Team A 1'!$AA41-('Team A 1'!W$2- 12.5)*'Team A 1'!$AC41</f>
        <v>35.83074493225763</v>
      </c>
      <c r="X41" s="1">
        <f>'Team A 1'!X41-'Team A 1'!$AA41-('Team A 1'!X$2- 12.5)*'Team A 1'!$AC41</f>
        <v>2.2778408900380782</v>
      </c>
      <c r="Y41" s="1">
        <f>'Team A 1'!Y41-'Team A 1'!$AA41-('Team A 1'!Y$2- 12.5)*'Team A 1'!$AC41</f>
        <v>-1.2750631521817013</v>
      </c>
      <c r="AB41" s="1">
        <f>STDEV(B41:Y41)</f>
        <v>19.105630001059325</v>
      </c>
      <c r="AD41" s="5" t="s">
        <v>46</v>
      </c>
      <c r="AE41" s="5">
        <v>4</v>
      </c>
      <c r="AF41" s="5">
        <v>8</v>
      </c>
      <c r="AG41" s="5" t="s">
        <v>45</v>
      </c>
      <c r="AH41" s="5">
        <v>9</v>
      </c>
      <c r="AI41" s="5">
        <v>3</v>
      </c>
      <c r="AJ41" s="5" t="s">
        <v>47</v>
      </c>
      <c r="AK41" s="5">
        <v>6</v>
      </c>
      <c r="AL41" s="5">
        <v>2</v>
      </c>
      <c r="AM41" s="5">
        <v>5</v>
      </c>
      <c r="AN41" s="5">
        <v>1</v>
      </c>
      <c r="AO41" s="5">
        <v>7</v>
      </c>
      <c r="AP41" s="5">
        <v>4</v>
      </c>
      <c r="AQ41" s="5" t="s">
        <v>46</v>
      </c>
      <c r="AR41" s="5" t="s">
        <v>45</v>
      </c>
      <c r="AS41" s="5">
        <v>8</v>
      </c>
      <c r="AT41" s="5">
        <v>3</v>
      </c>
      <c r="AU41" s="5">
        <v>9</v>
      </c>
      <c r="AV41" s="5">
        <v>6</v>
      </c>
      <c r="AW41" s="5" t="s">
        <v>47</v>
      </c>
      <c r="AX41" s="5">
        <v>2</v>
      </c>
      <c r="AY41" s="5">
        <v>1</v>
      </c>
      <c r="AZ41" s="5">
        <v>5</v>
      </c>
      <c r="BA41" s="5">
        <v>7</v>
      </c>
      <c r="BB41" s="5"/>
      <c r="BC41" s="1">
        <f ca="1">OFFSET(A41,0, 11) -0</f>
        <v>4.912689396672306</v>
      </c>
      <c r="BD41" s="1">
        <f ca="1">OFFSET(A41,0, 9) -0</f>
        <v>12.018497481111353</v>
      </c>
      <c r="BE41" s="1">
        <f ca="1">OFFSET(A41,0, 6) -0</f>
        <v>42.67720960777001</v>
      </c>
      <c r="BF41" s="1">
        <f ca="1">OFFSET(A41,0, 2) -0</f>
        <v>16.888825776647991</v>
      </c>
      <c r="BG41" s="1">
        <f ca="1">OFFSET(A41,0, 10) -0</f>
        <v>-1.5344065611081419</v>
      </c>
      <c r="BH41" s="1">
        <f ca="1">OFFSET(A41,0, 8) -0</f>
        <v>5.5714015233309055</v>
      </c>
      <c r="BI41" s="1">
        <f ca="1">OFFSET(A41,0, 12) -0</f>
        <v>-18.640214645547204</v>
      </c>
      <c r="BJ41" s="1">
        <f ca="1">OFFSET(A41,0, 3) -0</f>
        <v>-26.664078265571561</v>
      </c>
      <c r="BK41" s="1">
        <f ca="1">OFFSET(A41,0, 5) -0</f>
        <v>-13.769886350010438</v>
      </c>
      <c r="BL41" s="1">
        <f ca="1">OFFSET(A41,0, 4) -0</f>
        <v>19.783017692208887</v>
      </c>
      <c r="BM41" s="1">
        <f ca="1">OFFSET(A41,0, 1) -0</f>
        <v>-9.5582701811322295</v>
      </c>
      <c r="BN41" s="1">
        <f ca="1">OFFSET(A41,0, 7) -0</f>
        <v>-30.875694434449542</v>
      </c>
      <c r="BO41" s="1">
        <f ca="1">OFFSET(A41,0, 22) -0</f>
        <v>35.83074493225763</v>
      </c>
      <c r="BP41" s="1">
        <f ca="1">OFFSET(A41,0, 21) -0</f>
        <v>-0.61635102552281751</v>
      </c>
      <c r="BQ41" s="1">
        <f ca="1">OFFSET(A41,0, 17) -0</f>
        <v>-6.4047348566448363</v>
      </c>
      <c r="BR41" s="1">
        <f ca="1">OFFSET(A41,0, 13) -0</f>
        <v>-22.193118687766727</v>
      </c>
      <c r="BS41" s="1">
        <f ca="1">OFFSET(A41,0, 23) -0</f>
        <v>2.2778408900380782</v>
      </c>
      <c r="BT41" s="1">
        <f ca="1">OFFSET(A41,0, 19) -0</f>
        <v>6.4894570589160594</v>
      </c>
      <c r="BU41" s="1">
        <f ca="1">OFFSET(A41,0, 24) -0</f>
        <v>-1.2750631521817013</v>
      </c>
      <c r="BV41" s="1">
        <f ca="1">OFFSET(A41,0, 16) -0</f>
        <v>-2.8518308144252842</v>
      </c>
      <c r="BW41" s="1">
        <f ca="1">OFFSET(A41,0, 18) -0</f>
        <v>-29.957638898864388</v>
      </c>
      <c r="BX41" s="1">
        <f ca="1">OFFSET(A41,0, 15) -0</f>
        <v>-9.2989267722057889</v>
      </c>
      <c r="BY41" s="1">
        <f ca="1">OFFSET(A41,0, 14) -0</f>
        <v>4.2539772700137632</v>
      </c>
      <c r="BZ41" s="1">
        <f ca="1">OFFSET(A41,0, 20) -0</f>
        <v>22.936553016696507</v>
      </c>
      <c r="CB41" s="1">
        <f>COUNTIF(B41,"&lt;-68")</f>
        <v>0</v>
      </c>
      <c r="CC41" s="1">
        <f ca="1">COUNTIF(BC41:BN41,"&lt;-48")</f>
        <v>0</v>
      </c>
      <c r="CD41" s="1">
        <f ca="1">COUNTIF(BC41:BN41,"&gt;+48")</f>
        <v>0</v>
      </c>
      <c r="CE41" s="1">
        <f ca="1">COUNTIF(BO41:BZ41,"&lt;-48")</f>
        <v>0</v>
      </c>
      <c r="CF41" s="1">
        <f ca="1">COUNTIF(BO41:BZ41,"&gt;+48")</f>
        <v>0</v>
      </c>
    </row>
    <row r="42" spans="1:84">
      <c r="A42" s="1">
        <v>39</v>
      </c>
      <c r="B42" s="1">
        <f>'Team A 1'!B42-'Team A 1'!$AA42-('Team A 1'!B$2- 12.5)*'Team A 1'!$AC42</f>
        <v>29.745968205796999</v>
      </c>
      <c r="C42" s="1">
        <f>'Team A 1'!C42-'Team A 1'!$AA42-('Team A 1'!C$2- 12.5)*'Team A 1'!$AC42</f>
        <v>-23.347884101954151</v>
      </c>
      <c r="D42" s="1">
        <f>'Team A 1'!D42-'Team A 1'!$AA42-('Team A 1'!D$2- 12.5)*'Team A 1'!$AC42</f>
        <v>-36.441736409705527</v>
      </c>
      <c r="E42" s="1">
        <f>'Team A 1'!E42-'Team A 1'!$AA42-('Team A 1'!E$2- 12.5)*'Team A 1'!$AC42</f>
        <v>10.464411282543097</v>
      </c>
      <c r="F42" s="1">
        <f>'Team A 1'!F42-'Team A 1'!$AA42-('Team A 1'!F$2- 12.5)*'Team A 1'!$AC42</f>
        <v>-12.629441025208052</v>
      </c>
      <c r="G42" s="1">
        <f>'Team A 1'!G42-'Team A 1'!$AA42-('Team A 1'!G$2- 12.5)*'Team A 1'!$AC42</f>
        <v>-15.723293332959429</v>
      </c>
      <c r="H42" s="1">
        <f>'Team A 1'!H42-'Team A 1'!$AA42-('Team A 1'!H$2- 12.5)*'Team A 1'!$AC42</f>
        <v>-8.8171456407108053</v>
      </c>
      <c r="I42" s="1">
        <f>'Team A 1'!I42-'Team A 1'!$AA42-('Team A 1'!I$2- 12.5)*'Team A 1'!$AC42</f>
        <v>-1.9109979484620681</v>
      </c>
      <c r="J42" s="1">
        <f>'Team A 1'!J42-'Team A 1'!$AA42-('Team A 1'!J$2- 12.5)*'Team A 1'!$AC42</f>
        <v>14.995149743786556</v>
      </c>
      <c r="K42" s="1">
        <f>'Team A 1'!K42-'Team A 1'!$AA42-('Team A 1'!K$2- 12.5)*'Team A 1'!$AC42</f>
        <v>-8.0987025639647072</v>
      </c>
      <c r="L42" s="1">
        <f>'Team A 1'!L42-'Team A 1'!$AA42-('Team A 1'!L$2- 12.5)*'Team A 1'!$AC42</f>
        <v>-1.1925548717160837</v>
      </c>
      <c r="M42" s="1">
        <f>'Team A 1'!M42-'Team A 1'!$AA42-('Team A 1'!M$2- 12.5)*'Team A 1'!$AC42</f>
        <v>15.713592820532625</v>
      </c>
      <c r="N42" s="1">
        <f>'Team A 1'!N42-'Team A 1'!$AA42-('Team A 1'!N$2- 12.5)*'Team A 1'!$AC42</f>
        <v>12.619740512781306</v>
      </c>
      <c r="O42" s="1">
        <f>'Team A 1'!O42-'Team A 1'!$AA42-('Team A 1'!O$2- 12.5)*'Team A 1'!$AC42</f>
        <v>-10.474111794969986</v>
      </c>
      <c r="P42" s="1">
        <f>'Team A 1'!P42-'Team A 1'!$AA42-('Team A 1'!P$2- 12.5)*'Team A 1'!$AC42</f>
        <v>6.432035897278638</v>
      </c>
      <c r="Q42" s="1">
        <f>'Team A 1'!Q42-'Team A 1'!$AA42-('Team A 1'!Q$2- 12.5)*'Team A 1'!$AC42</f>
        <v>-36.661816410472625</v>
      </c>
      <c r="R42" s="1">
        <f>'Team A 1'!R42-'Team A 1'!$AA42-('Team A 1'!R$2- 12.5)*'Team A 1'!$AC42</f>
        <v>0.24433128177599883</v>
      </c>
      <c r="S42" s="1">
        <f>'Team A 1'!S42-'Team A 1'!$AA42-('Team A 1'!S$2- 12.5)*'Team A 1'!$AC42</f>
        <v>17.150478974024736</v>
      </c>
      <c r="T42" s="1">
        <f>'Team A 1'!T42-'Team A 1'!$AA42-('Team A 1'!T$2- 12.5)*'Team A 1'!$AC42</f>
        <v>-25.94337333372664</v>
      </c>
      <c r="U42" s="1">
        <f>'Team A 1'!U42-'Team A 1'!$AA42-('Team A 1'!U$2- 12.5)*'Team A 1'!$AC42</f>
        <v>30.962774358521983</v>
      </c>
      <c r="V42" s="1">
        <f>'Team A 1'!V42-'Team A 1'!$AA42-('Team A 1'!V$2- 12.5)*'Team A 1'!$AC42</f>
        <v>7.8689220507708342</v>
      </c>
      <c r="W42" s="1">
        <f>'Team A 1'!W42-'Team A 1'!$AA42-('Team A 1'!W$2- 12.5)*'Team A 1'!$AC42</f>
        <v>44.775069743019458</v>
      </c>
      <c r="X42" s="1">
        <f>'Team A 1'!X42-'Team A 1'!$AA42-('Team A 1'!X$2- 12.5)*'Team A 1'!$AC42</f>
        <v>-18.318782564731919</v>
      </c>
      <c r="Y42" s="1">
        <f>'Team A 1'!Y42-'Team A 1'!$AA42-('Team A 1'!Y$2- 12.5)*'Team A 1'!$AC42</f>
        <v>8.5873651275169323</v>
      </c>
      <c r="AB42" s="1">
        <f>STDEV(B42:Y42)</f>
        <v>20.800057045377123</v>
      </c>
      <c r="AD42" s="5" t="s">
        <v>46</v>
      </c>
      <c r="AE42" s="5">
        <v>4</v>
      </c>
      <c r="AF42" s="5">
        <v>8</v>
      </c>
      <c r="AG42" s="5" t="s">
        <v>45</v>
      </c>
      <c r="AH42" s="5">
        <v>9</v>
      </c>
      <c r="AI42" s="5">
        <v>3</v>
      </c>
      <c r="AJ42" s="5" t="s">
        <v>47</v>
      </c>
      <c r="AK42" s="5">
        <v>6</v>
      </c>
      <c r="AL42" s="5">
        <v>1</v>
      </c>
      <c r="AM42" s="5">
        <v>2</v>
      </c>
      <c r="AN42" s="5">
        <v>7</v>
      </c>
      <c r="AO42" s="5">
        <v>5</v>
      </c>
      <c r="AP42" s="5" t="s">
        <v>46</v>
      </c>
      <c r="AQ42" s="5">
        <v>8</v>
      </c>
      <c r="AR42" s="5">
        <v>4</v>
      </c>
      <c r="AS42" s="5">
        <v>9</v>
      </c>
      <c r="AT42" s="5" t="s">
        <v>45</v>
      </c>
      <c r="AU42" s="5" t="s">
        <v>47</v>
      </c>
      <c r="AV42" s="5">
        <v>3</v>
      </c>
      <c r="AW42" s="5">
        <v>6</v>
      </c>
      <c r="AX42" s="5">
        <v>2</v>
      </c>
      <c r="AY42" s="5">
        <v>1</v>
      </c>
      <c r="AZ42" s="5">
        <v>5</v>
      </c>
      <c r="BA42" s="5">
        <v>7</v>
      </c>
      <c r="BB42" s="5"/>
      <c r="BC42" s="1">
        <f ca="1">OFFSET(A42,0, 9) -0</f>
        <v>14.995149743786556</v>
      </c>
      <c r="BD42" s="1">
        <f ca="1">OFFSET(A42,0, 10) -0</f>
        <v>-8.0987025639647072</v>
      </c>
      <c r="BE42" s="1">
        <f ca="1">OFFSET(A42,0, 6) -0</f>
        <v>-15.723293332959429</v>
      </c>
      <c r="BF42" s="1">
        <f ca="1">OFFSET(A42,0, 2) -0</f>
        <v>-23.347884101954151</v>
      </c>
      <c r="BG42" s="1">
        <f ca="1">OFFSET(A42,0, 12) -0</f>
        <v>15.713592820532625</v>
      </c>
      <c r="BH42" s="1">
        <f ca="1">OFFSET(A42,0, 8) -0</f>
        <v>-1.9109979484620681</v>
      </c>
      <c r="BI42" s="1">
        <f ca="1">OFFSET(A42,0, 11) -0</f>
        <v>-1.1925548717160837</v>
      </c>
      <c r="BJ42" s="1">
        <f ca="1">OFFSET(A42,0, 3) -0</f>
        <v>-36.441736409705527</v>
      </c>
      <c r="BK42" s="1">
        <f ca="1">OFFSET(A42,0, 5) -0</f>
        <v>-12.629441025208052</v>
      </c>
      <c r="BL42" s="1">
        <f ca="1">OFFSET(A42,0, 4) -0</f>
        <v>10.464411282543097</v>
      </c>
      <c r="BM42" s="1">
        <f ca="1">OFFSET(A42,0, 1) -0</f>
        <v>29.745968205796999</v>
      </c>
      <c r="BN42" s="1">
        <f ca="1">OFFSET(A42,0, 7) -0</f>
        <v>-8.8171456407108053</v>
      </c>
      <c r="BO42" s="1">
        <f ca="1">OFFSET(A42,0, 22) -0</f>
        <v>44.775069743019458</v>
      </c>
      <c r="BP42" s="1">
        <f ca="1">OFFSET(A42,0, 21) -0</f>
        <v>7.8689220507708342</v>
      </c>
      <c r="BQ42" s="1">
        <f ca="1">OFFSET(A42,0, 19) -0</f>
        <v>-25.94337333372664</v>
      </c>
      <c r="BR42" s="1">
        <f ca="1">OFFSET(A42,0, 15) -0</f>
        <v>6.432035897278638</v>
      </c>
      <c r="BS42" s="1">
        <f ca="1">OFFSET(A42,0, 23) -0</f>
        <v>-18.318782564731919</v>
      </c>
      <c r="BT42" s="1">
        <f ca="1">OFFSET(A42,0, 20) -0</f>
        <v>30.962774358521983</v>
      </c>
      <c r="BU42" s="1">
        <f ca="1">OFFSET(A42,0, 24) -0</f>
        <v>8.5873651275169323</v>
      </c>
      <c r="BV42" s="1">
        <f ca="1">OFFSET(A42,0, 14) -0</f>
        <v>-10.474111794969986</v>
      </c>
      <c r="BW42" s="1">
        <f ca="1">OFFSET(A42,0, 16) -0</f>
        <v>-36.661816410472625</v>
      </c>
      <c r="BX42" s="1">
        <f ca="1">OFFSET(A42,0, 17) -0</f>
        <v>0.24433128177599883</v>
      </c>
      <c r="BY42" s="1">
        <f ca="1">OFFSET(A42,0, 13) -0</f>
        <v>12.619740512781306</v>
      </c>
      <c r="BZ42" s="1">
        <f ca="1">OFFSET(A42,0, 18) -0</f>
        <v>17.150478974024736</v>
      </c>
      <c r="CB42" s="1">
        <f>COUNTIF(B42,"&lt;-68")</f>
        <v>0</v>
      </c>
      <c r="CC42" s="1">
        <f ca="1">COUNTIF(BC42:BN42,"&lt;-48")</f>
        <v>0</v>
      </c>
      <c r="CD42" s="1">
        <f ca="1">COUNTIF(BC42:BN42,"&gt;+48")</f>
        <v>0</v>
      </c>
      <c r="CE42" s="1">
        <f ca="1">COUNTIF(BO42:BZ42,"&lt;-48")</f>
        <v>0</v>
      </c>
      <c r="CF42" s="1">
        <f ca="1">COUNTIF(BO42:BZ42,"&gt;+48")</f>
        <v>0</v>
      </c>
    </row>
    <row r="43" spans="1:84">
      <c r="A43" s="1">
        <v>40</v>
      </c>
      <c r="B43" s="1">
        <f>'Team A 1'!B43-'Team A 1'!$AA43-('Team A 1'!B$2- 12.5)*'Team A 1'!$AC43</f>
        <v>-65.188566816700131</v>
      </c>
      <c r="C43" s="1">
        <f>'Team A 1'!C43-'Team A 1'!$AA43-('Team A 1'!C$2- 12.5)*'Team A 1'!$AC43</f>
        <v>-28.215647963073934</v>
      </c>
      <c r="D43" s="1">
        <f>'Team A 1'!D43-'Team A 1'!$AA43-('Team A 1'!D$2- 12.5)*'Team A 1'!$AC43</f>
        <v>-21.242729109447737</v>
      </c>
      <c r="E43" s="1">
        <f>'Team A 1'!E43-'Team A 1'!$AA43-('Team A 1'!E$2- 12.5)*'Team A 1'!$AC43</f>
        <v>-14.269810255821767</v>
      </c>
      <c r="F43" s="1">
        <f>'Team A 1'!F43-'Team A 1'!$AA43-('Team A 1'!F$2- 12.5)*'Team A 1'!$AC43</f>
        <v>12.70310859780443</v>
      </c>
      <c r="G43" s="1">
        <f>'Team A 1'!G43-'Team A 1'!$AA43-('Team A 1'!G$2- 12.5)*'Team A 1'!$AC43</f>
        <v>29.6760274514304</v>
      </c>
      <c r="H43" s="1">
        <f>'Team A 1'!H43-'Team A 1'!$AA43-('Team A 1'!H$2- 12.5)*'Team A 1'!$AC43</f>
        <v>16.648946305056597</v>
      </c>
      <c r="I43" s="1">
        <f>'Team A 1'!I43-'Team A 1'!$AA43-('Team A 1'!I$2- 12.5)*'Team A 1'!$AC43</f>
        <v>-16.378134841317433</v>
      </c>
      <c r="J43" s="1">
        <f>'Team A 1'!J43-'Team A 1'!$AA43-('Team A 1'!J$2- 12.5)*'Team A 1'!$AC43</f>
        <v>20.594784012308764</v>
      </c>
      <c r="K43" s="1">
        <f>'Team A 1'!K43-'Team A 1'!$AA43-('Team A 1'!K$2- 12.5)*'Team A 1'!$AC43</f>
        <v>17.567702865934791</v>
      </c>
      <c r="L43" s="1">
        <f>'Team A 1'!L43-'Team A 1'!$AA43-('Team A 1'!L$2- 12.5)*'Team A 1'!$AC43</f>
        <v>24.540621719560875</v>
      </c>
      <c r="M43" s="1">
        <f>'Team A 1'!M43-'Team A 1'!$AA43-('Team A 1'!M$2- 12.5)*'Team A 1'!$AC43</f>
        <v>71.513540573186958</v>
      </c>
      <c r="N43" s="1">
        <f>'Team A 1'!N43-'Team A 1'!$AA43-('Team A 1'!N$2- 12.5)*'Team A 1'!$AC43</f>
        <v>-31.513540573186958</v>
      </c>
      <c r="O43" s="1">
        <f>'Team A 1'!O43-'Team A 1'!$AA43-('Team A 1'!O$2- 12.5)*'Team A 1'!$AC43</f>
        <v>-24.540621719560875</v>
      </c>
      <c r="P43" s="1">
        <f>'Team A 1'!P43-'Team A 1'!$AA43-('Team A 1'!P$2- 12.5)*'Team A 1'!$AC43</f>
        <v>-27.567702865934791</v>
      </c>
      <c r="Q43" s="1">
        <f>'Team A 1'!Q43-'Team A 1'!$AA43-('Team A 1'!Q$2- 12.5)*'Team A 1'!$AC43</f>
        <v>-10.594784012308764</v>
      </c>
      <c r="R43" s="1">
        <f>'Team A 1'!R43-'Team A 1'!$AA43-('Team A 1'!R$2- 12.5)*'Team A 1'!$AC43</f>
        <v>-33.621865158682567</v>
      </c>
      <c r="S43" s="1">
        <f>'Team A 1'!S43-'Team A 1'!$AA43-('Team A 1'!S$2- 12.5)*'Team A 1'!$AC43</f>
        <v>23.351053694943403</v>
      </c>
      <c r="T43" s="1">
        <f>'Team A 1'!T43-'Team A 1'!$AA43-('Team A 1'!T$2- 12.5)*'Team A 1'!$AC43</f>
        <v>-19.6760274514304</v>
      </c>
      <c r="U43" s="1">
        <f>'Team A 1'!U43-'Team A 1'!$AA43-('Team A 1'!U$2- 12.5)*'Team A 1'!$AC43</f>
        <v>17.29689140219557</v>
      </c>
      <c r="V43" s="1">
        <f>'Team A 1'!V43-'Team A 1'!$AA43-('Team A 1'!V$2- 12.5)*'Team A 1'!$AC43</f>
        <v>14.269810255821767</v>
      </c>
      <c r="W43" s="1">
        <f>'Team A 1'!W43-'Team A 1'!$AA43-('Team A 1'!W$2- 12.5)*'Team A 1'!$AC43</f>
        <v>11.242729109447737</v>
      </c>
      <c r="X43" s="1">
        <f>'Team A 1'!X43-'Team A 1'!$AA43-('Team A 1'!X$2- 12.5)*'Team A 1'!$AC43</f>
        <v>-1.7843520369260659</v>
      </c>
      <c r="Y43" s="1">
        <f>'Team A 1'!Y43-'Team A 1'!$AA43-('Team A 1'!Y$2- 12.5)*'Team A 1'!$AC43</f>
        <v>35.188566816700131</v>
      </c>
      <c r="AB43" s="1">
        <f>STDEV(B43:Y43)</f>
        <v>29.590146659407186</v>
      </c>
      <c r="AD43" s="5">
        <v>8</v>
      </c>
      <c r="AE43" s="5" t="s">
        <v>46</v>
      </c>
      <c r="AF43" s="5">
        <v>9</v>
      </c>
      <c r="AG43" s="5">
        <v>4</v>
      </c>
      <c r="AH43" s="5" t="s">
        <v>47</v>
      </c>
      <c r="AI43" s="5" t="s">
        <v>45</v>
      </c>
      <c r="AJ43" s="5">
        <v>6</v>
      </c>
      <c r="AK43" s="5">
        <v>3</v>
      </c>
      <c r="AL43" s="5">
        <v>1</v>
      </c>
      <c r="AM43" s="5">
        <v>2</v>
      </c>
      <c r="AN43" s="5">
        <v>7</v>
      </c>
      <c r="AO43" s="5">
        <v>5</v>
      </c>
      <c r="AP43" s="5" t="s">
        <v>46</v>
      </c>
      <c r="AQ43" s="5">
        <v>8</v>
      </c>
      <c r="AR43" s="5">
        <v>4</v>
      </c>
      <c r="AS43" s="5">
        <v>9</v>
      </c>
      <c r="AT43" s="5" t="s">
        <v>45</v>
      </c>
      <c r="AU43" s="5" t="s">
        <v>47</v>
      </c>
      <c r="AV43" s="5">
        <v>6</v>
      </c>
      <c r="AW43" s="5">
        <v>1</v>
      </c>
      <c r="AX43" s="5">
        <v>3</v>
      </c>
      <c r="AY43" s="5">
        <v>2</v>
      </c>
      <c r="AZ43" s="5">
        <v>5</v>
      </c>
      <c r="BA43" s="5">
        <v>7</v>
      </c>
      <c r="BB43" s="5"/>
      <c r="BC43" s="1">
        <f ca="1">OFFSET(A43,0, 9) -0</f>
        <v>20.594784012308764</v>
      </c>
      <c r="BD43" s="1">
        <f ca="1">OFFSET(A43,0, 10) -0</f>
        <v>17.567702865934791</v>
      </c>
      <c r="BE43" s="1">
        <f ca="1">OFFSET(A43,0, 8) -0</f>
        <v>-16.378134841317433</v>
      </c>
      <c r="BF43" s="1">
        <f ca="1">OFFSET(A43,0, 4) -0</f>
        <v>-14.269810255821767</v>
      </c>
      <c r="BG43" s="1">
        <f ca="1">OFFSET(A43,0, 12) -0</f>
        <v>71.513540573186958</v>
      </c>
      <c r="BH43" s="1">
        <f ca="1">OFFSET(A43,0, 7) -0</f>
        <v>16.648946305056597</v>
      </c>
      <c r="BI43" s="1">
        <f ca="1">OFFSET(A43,0, 11) -0</f>
        <v>24.540621719560875</v>
      </c>
      <c r="BJ43" s="1">
        <f ca="1">OFFSET(A43,0, 1) -0</f>
        <v>-65.188566816700131</v>
      </c>
      <c r="BK43" s="1">
        <f ca="1">OFFSET(A43,0, 3) -0</f>
        <v>-21.242729109447737</v>
      </c>
      <c r="BL43" s="1">
        <f ca="1">OFFSET(A43,0, 6) -0</f>
        <v>29.6760274514304</v>
      </c>
      <c r="BM43" s="1">
        <f ca="1">OFFSET(A43,0, 2) -0</f>
        <v>-28.215647963073934</v>
      </c>
      <c r="BN43" s="1">
        <f ca="1">OFFSET(A43,0, 5) -0</f>
        <v>12.70310859780443</v>
      </c>
      <c r="BO43" s="1">
        <f ca="1">OFFSET(A43,0, 20) -0</f>
        <v>17.29689140219557</v>
      </c>
      <c r="BP43" s="1">
        <f ca="1">OFFSET(A43,0, 22) -0</f>
        <v>11.242729109447737</v>
      </c>
      <c r="BQ43" s="1">
        <f ca="1">OFFSET(A43,0, 21) -0</f>
        <v>14.269810255821767</v>
      </c>
      <c r="BR43" s="1">
        <f ca="1">OFFSET(A43,0, 15) -0</f>
        <v>-27.567702865934791</v>
      </c>
      <c r="BS43" s="1">
        <f ca="1">OFFSET(A43,0, 23) -0</f>
        <v>-1.7843520369260659</v>
      </c>
      <c r="BT43" s="1">
        <f ca="1">OFFSET(A43,0, 19) -0</f>
        <v>-19.6760274514304</v>
      </c>
      <c r="BU43" s="1">
        <f ca="1">OFFSET(A43,0, 24) -0</f>
        <v>35.188566816700131</v>
      </c>
      <c r="BV43" s="1">
        <f ca="1">OFFSET(A43,0, 14) -0</f>
        <v>-24.540621719560875</v>
      </c>
      <c r="BW43" s="1">
        <f ca="1">OFFSET(A43,0, 16) -0</f>
        <v>-10.594784012308764</v>
      </c>
      <c r="BX43" s="1">
        <f ca="1">OFFSET(A43,0, 17) -0</f>
        <v>-33.621865158682567</v>
      </c>
      <c r="BY43" s="1">
        <f ca="1">OFFSET(A43,0, 13) -0</f>
        <v>-31.513540573186958</v>
      </c>
      <c r="BZ43" s="1">
        <f ca="1">OFFSET(A43,0, 18) -0</f>
        <v>23.351053694943403</v>
      </c>
      <c r="CB43" s="1">
        <f>COUNTIF(B43,"&lt;-68")</f>
        <v>0</v>
      </c>
      <c r="CC43" s="1">
        <f ca="1">COUNTIF(BC43:BN43,"&lt;-48")</f>
        <v>1</v>
      </c>
      <c r="CD43" s="1">
        <f ca="1">COUNTIF(BC43:BN43,"&gt;+48")</f>
        <v>1</v>
      </c>
      <c r="CE43" s="1">
        <f ca="1">COUNTIF(BO43:BZ43,"&lt;-48")</f>
        <v>0</v>
      </c>
      <c r="CF43" s="1">
        <f ca="1">COUNTIF(BO43:BZ43,"&gt;+48")</f>
        <v>0</v>
      </c>
    </row>
    <row r="44" spans="1:84">
      <c r="A44" s="1">
        <v>41</v>
      </c>
      <c r="B44" s="1">
        <f>'Team A 1'!B44-'Team A 1'!$AA44-('Team A 1'!B$2- 12.5)*'Team A 1'!$AC44</f>
        <v>-1.9928052036584631</v>
      </c>
      <c r="C44" s="1">
        <f>'Team A 1'!C44-'Team A 1'!$AA44-('Team A 1'!C$2- 12.5)*'Team A 1'!$AC44</f>
        <v>24.521061915499331</v>
      </c>
      <c r="D44" s="1">
        <f>'Team A 1'!D44-'Team A 1'!$AA44-('Team A 1'!D$2- 12.5)*'Team A 1'!$AC44</f>
        <v>-8.9650709653428748</v>
      </c>
      <c r="E44" s="1">
        <f>'Team A 1'!E44-'Team A 1'!$AA44-('Team A 1'!E$2- 12.5)*'Team A 1'!$AC44</f>
        <v>7.5487961538149193</v>
      </c>
      <c r="F44" s="1">
        <f>'Team A 1'!F44-'Team A 1'!$AA44-('Team A 1'!F$2- 12.5)*'Team A 1'!$AC44</f>
        <v>-45.937336727027059</v>
      </c>
      <c r="G44" s="1">
        <f>'Team A 1'!G44-'Team A 1'!$AA44-('Team A 1'!G$2- 12.5)*'Team A 1'!$AC44</f>
        <v>-9.423469607869265</v>
      </c>
      <c r="H44" s="1">
        <f>'Team A 1'!H44-'Team A 1'!$AA44-('Team A 1'!H$2- 12.5)*'Team A 1'!$AC44</f>
        <v>-2.9096024887114709</v>
      </c>
      <c r="I44" s="1">
        <f>'Team A 1'!I44-'Team A 1'!$AA44-('Team A 1'!I$2- 12.5)*'Team A 1'!$AC44</f>
        <v>23.604264630446551</v>
      </c>
      <c r="J44" s="1">
        <f>'Team A 1'!J44-'Team A 1'!$AA44-('Team A 1'!J$2- 12.5)*'Team A 1'!$AC44</f>
        <v>10.118131749604345</v>
      </c>
      <c r="K44" s="1">
        <f>'Team A 1'!K44-'Team A 1'!$AA44-('Team A 1'!K$2- 12.5)*'Team A 1'!$AC44</f>
        <v>-23.368001131237747</v>
      </c>
      <c r="L44" s="1">
        <f>'Team A 1'!L44-'Team A 1'!$AA44-('Team A 1'!L$2- 12.5)*'Team A 1'!$AC44</f>
        <v>23.14586598792016</v>
      </c>
      <c r="M44" s="1">
        <f>'Team A 1'!M44-'Team A 1'!$AA44-('Team A 1'!M$2- 12.5)*'Team A 1'!$AC44</f>
        <v>9.6597331070780257</v>
      </c>
      <c r="N44" s="1">
        <f>'Team A 1'!N44-'Team A 1'!$AA44-('Team A 1'!N$2- 12.5)*'Team A 1'!$AC44</f>
        <v>16.173600226235905</v>
      </c>
      <c r="O44" s="1">
        <f>'Team A 1'!O44-'Team A 1'!$AA44-('Team A 1'!O$2- 12.5)*'Team A 1'!$AC44</f>
        <v>12.68746734539377</v>
      </c>
      <c r="P44" s="1">
        <f>'Team A 1'!P44-'Team A 1'!$AA44-('Team A 1'!P$2- 12.5)*'Team A 1'!$AC44</f>
        <v>-20.798665535448322</v>
      </c>
      <c r="Q44" s="1">
        <f>'Team A 1'!Q44-'Team A 1'!$AA44-('Team A 1'!Q$2- 12.5)*'Team A 1'!$AC44</f>
        <v>25.715201583709586</v>
      </c>
      <c r="R44" s="1">
        <f>'Team A 1'!R44-'Team A 1'!$AA44-('Team A 1'!R$2- 12.5)*'Team A 1'!$AC44</f>
        <v>-57.77093129713262</v>
      </c>
      <c r="S44" s="1">
        <f>'Team A 1'!S44-'Team A 1'!$AA44-('Team A 1'!S$2- 12.5)*'Team A 1'!$AC44</f>
        <v>-31.257064177974598</v>
      </c>
      <c r="T44" s="1">
        <f>'Team A 1'!T44-'Team A 1'!$AA44-('Team A 1'!T$2- 12.5)*'Team A 1'!$AC44</f>
        <v>15.256802941183196</v>
      </c>
      <c r="U44" s="1">
        <f>'Team A 1'!U44-'Team A 1'!$AA44-('Team A 1'!U$2- 12.5)*'Team A 1'!$AC44</f>
        <v>11.77067006034099</v>
      </c>
      <c r="V44" s="1">
        <f>'Team A 1'!V44-'Team A 1'!$AA44-('Team A 1'!V$2- 12.5)*'Team A 1'!$AC44</f>
        <v>-1.7154628205009885</v>
      </c>
      <c r="W44" s="1">
        <f>'Team A 1'!W44-'Team A 1'!$AA44-('Team A 1'!W$2- 12.5)*'Team A 1'!$AC44</f>
        <v>24.798404298656806</v>
      </c>
      <c r="X44" s="1">
        <f>'Team A 1'!X44-'Team A 1'!$AA44-('Team A 1'!X$2- 12.5)*'Team A 1'!$AC44</f>
        <v>1.3122714178145998</v>
      </c>
      <c r="Y44" s="1">
        <f>'Team A 1'!Y44-'Team A 1'!$AA44-('Team A 1'!Y$2- 12.5)*'Team A 1'!$AC44</f>
        <v>-2.1738614630276061</v>
      </c>
      <c r="AB44" s="1">
        <f>STDEV(B44:Y44)</f>
        <v>22.468652461197447</v>
      </c>
      <c r="AD44" s="5">
        <v>8</v>
      </c>
      <c r="AE44" s="5" t="s">
        <v>46</v>
      </c>
      <c r="AF44" s="5">
        <v>9</v>
      </c>
      <c r="AG44" s="5">
        <v>4</v>
      </c>
      <c r="AH44" s="5" t="s">
        <v>47</v>
      </c>
      <c r="AI44" s="5" t="s">
        <v>45</v>
      </c>
      <c r="AJ44" s="5">
        <v>1</v>
      </c>
      <c r="AK44" s="5">
        <v>6</v>
      </c>
      <c r="AL44" s="5">
        <v>2</v>
      </c>
      <c r="AM44" s="5">
        <v>3</v>
      </c>
      <c r="AN44" s="5">
        <v>7</v>
      </c>
      <c r="AO44" s="5">
        <v>5</v>
      </c>
      <c r="AP44" s="5">
        <v>8</v>
      </c>
      <c r="AQ44" s="5">
        <v>9</v>
      </c>
      <c r="AR44" s="5" t="s">
        <v>46</v>
      </c>
      <c r="AS44" s="5" t="s">
        <v>47</v>
      </c>
      <c r="AT44" s="5">
        <v>4</v>
      </c>
      <c r="AU44" s="5" t="s">
        <v>45</v>
      </c>
      <c r="AV44" s="5">
        <v>6</v>
      </c>
      <c r="AW44" s="5">
        <v>1</v>
      </c>
      <c r="AX44" s="5">
        <v>2</v>
      </c>
      <c r="AY44" s="5">
        <v>7</v>
      </c>
      <c r="AZ44" s="5">
        <v>3</v>
      </c>
      <c r="BA44" s="5">
        <v>5</v>
      </c>
      <c r="BB44" s="5"/>
      <c r="BC44" s="1">
        <f ca="1">OFFSET(A44,0, 7) -0</f>
        <v>-2.9096024887114709</v>
      </c>
      <c r="BD44" s="1">
        <f ca="1">OFFSET(A44,0, 9) -0</f>
        <v>10.118131749604345</v>
      </c>
      <c r="BE44" s="1">
        <f ca="1">OFFSET(A44,0, 10) -0</f>
        <v>-23.368001131237747</v>
      </c>
      <c r="BF44" s="1">
        <f ca="1">OFFSET(A44,0, 4) -0</f>
        <v>7.5487961538149193</v>
      </c>
      <c r="BG44" s="1">
        <f ca="1">OFFSET(A44,0, 12) -0</f>
        <v>9.6597331070780257</v>
      </c>
      <c r="BH44" s="1">
        <f ca="1">OFFSET(A44,0, 8) -0</f>
        <v>23.604264630446551</v>
      </c>
      <c r="BI44" s="1">
        <f ca="1">OFFSET(A44,0, 11) -0</f>
        <v>23.14586598792016</v>
      </c>
      <c r="BJ44" s="1">
        <f ca="1">OFFSET(A44,0, 1) -0</f>
        <v>-1.9928052036584631</v>
      </c>
      <c r="BK44" s="1">
        <f ca="1">OFFSET(A44,0, 3) -0</f>
        <v>-8.9650709653428748</v>
      </c>
      <c r="BL44" s="1">
        <f ca="1">OFFSET(A44,0, 6) -0</f>
        <v>-9.423469607869265</v>
      </c>
      <c r="BM44" s="1">
        <f ca="1">OFFSET(A44,0, 2) -0</f>
        <v>24.521061915499331</v>
      </c>
      <c r="BN44" s="1">
        <f ca="1">OFFSET(A44,0, 5) -0</f>
        <v>-45.937336727027059</v>
      </c>
      <c r="BO44" s="1">
        <f ca="1">OFFSET(A44,0, 20) -0</f>
        <v>11.77067006034099</v>
      </c>
      <c r="BP44" s="1">
        <f ca="1">OFFSET(A44,0, 21) -0</f>
        <v>-1.7154628205009885</v>
      </c>
      <c r="BQ44" s="1">
        <f ca="1">OFFSET(A44,0, 23) -0</f>
        <v>1.3122714178145998</v>
      </c>
      <c r="BR44" s="1">
        <f ca="1">OFFSET(A44,0, 17) -0</f>
        <v>-57.77093129713262</v>
      </c>
      <c r="BS44" s="1">
        <f ca="1">OFFSET(A44,0, 24) -0</f>
        <v>-2.1738614630276061</v>
      </c>
      <c r="BT44" s="1">
        <f ca="1">OFFSET(A44,0, 19) -0</f>
        <v>15.256802941183196</v>
      </c>
      <c r="BU44" s="1">
        <f ca="1">OFFSET(A44,0, 22) -0</f>
        <v>24.798404298656806</v>
      </c>
      <c r="BV44" s="1">
        <f ca="1">OFFSET(A44,0, 13) -0</f>
        <v>16.173600226235905</v>
      </c>
      <c r="BW44" s="1">
        <f ca="1">OFFSET(A44,0, 14) -0</f>
        <v>12.68746734539377</v>
      </c>
      <c r="BX44" s="1">
        <f ca="1">OFFSET(A44,0, 18) -0</f>
        <v>-31.257064177974598</v>
      </c>
      <c r="BY44" s="1">
        <f ca="1">OFFSET(A44,0, 15) -0</f>
        <v>-20.798665535448322</v>
      </c>
      <c r="BZ44" s="1">
        <f ca="1">OFFSET(A44,0, 16) -0</f>
        <v>25.715201583709586</v>
      </c>
      <c r="CB44" s="1">
        <f>COUNTIF(B44,"&lt;-68")</f>
        <v>0</v>
      </c>
      <c r="CC44" s="1">
        <f ca="1">COUNTIF(BC44:BN44,"&lt;-48")</f>
        <v>0</v>
      </c>
      <c r="CD44" s="1">
        <f ca="1">COUNTIF(BC44:BN44,"&gt;+48")</f>
        <v>0</v>
      </c>
      <c r="CE44" s="1">
        <f ca="1">COUNTIF(BO44:BZ44,"&lt;-48")</f>
        <v>1</v>
      </c>
      <c r="CF44" s="1">
        <f ca="1">COUNTIF(BO44:BZ44,"&gt;+48")</f>
        <v>0</v>
      </c>
    </row>
    <row r="45" spans="1:84">
      <c r="A45" s="1">
        <v>42</v>
      </c>
      <c r="B45" s="1">
        <f>'Team A 1'!B45-'Team A 1'!$AA45-('Team A 1'!B$2- 12.5)*'Team A 1'!$AC45</f>
        <v>-21.187776515531823</v>
      </c>
      <c r="C45" s="1">
        <f>'Team A 1'!C45-'Team A 1'!$AA45-('Team A 1'!C$2- 12.5)*'Team A 1'!$AC45</f>
        <v>25.509711297413787</v>
      </c>
      <c r="D45" s="1">
        <f>'Team A 1'!D45-'Team A 1'!$AA45-('Team A 1'!D$2- 12.5)*'Team A 1'!$AC45</f>
        <v>12.207199110359397</v>
      </c>
      <c r="E45" s="1">
        <f>'Team A 1'!E45-'Team A 1'!$AA45-('Team A 1'!E$2- 12.5)*'Team A 1'!$AC45</f>
        <v>-21.095313076694993</v>
      </c>
      <c r="F45" s="1">
        <f>'Team A 1'!F45-'Team A 1'!$AA45-('Team A 1'!F$2- 12.5)*'Team A 1'!$AC45</f>
        <v>35.602174736250845</v>
      </c>
      <c r="G45" s="1">
        <f>'Team A 1'!G45-'Team A 1'!$AA45-('Team A 1'!G$2- 12.5)*'Team A 1'!$AC45</f>
        <v>-17.700337450803545</v>
      </c>
      <c r="H45" s="1">
        <f>'Team A 1'!H45-'Team A 1'!$AA45-('Team A 1'!H$2- 12.5)*'Team A 1'!$AC45</f>
        <v>38.997150362142065</v>
      </c>
      <c r="I45" s="1">
        <f>'Team A 1'!I45-'Team A 1'!$AA45-('Team A 1'!I$2- 12.5)*'Team A 1'!$AC45</f>
        <v>5.6946381750876753</v>
      </c>
      <c r="J45" s="1">
        <f>'Team A 1'!J45-'Team A 1'!$AA45-('Team A 1'!J$2- 12.5)*'Team A 1'!$AC45</f>
        <v>-17.607874011966715</v>
      </c>
      <c r="K45" s="1">
        <f>'Team A 1'!K45-'Team A 1'!$AA45-('Team A 1'!K$2- 12.5)*'Team A 1'!$AC45</f>
        <v>-10.910386199021048</v>
      </c>
      <c r="L45" s="1">
        <f>'Team A 1'!L45-'Team A 1'!$AA45-('Team A 1'!L$2- 12.5)*'Team A 1'!$AC45</f>
        <v>-14.212898386075437</v>
      </c>
      <c r="M45" s="1">
        <f>'Team A 1'!M45-'Team A 1'!$AA45-('Team A 1'!M$2- 12.5)*'Team A 1'!$AC45</f>
        <v>12.484589426870215</v>
      </c>
      <c r="N45" s="1">
        <f>'Team A 1'!N45-'Team A 1'!$AA45-('Team A 1'!N$2- 12.5)*'Team A 1'!$AC45</f>
        <v>-30.817922760184146</v>
      </c>
      <c r="O45" s="1">
        <f>'Team A 1'!O45-'Team A 1'!$AA45-('Team A 1'!O$2- 12.5)*'Team A 1'!$AC45</f>
        <v>-54.120434947238493</v>
      </c>
      <c r="P45" s="1">
        <f>'Team A 1'!P45-'Team A 1'!$AA45-('Team A 1'!P$2- 12.5)*'Team A 1'!$AC45</f>
        <v>-7.4229471342928832</v>
      </c>
      <c r="Q45" s="1">
        <f>'Team A 1'!Q45-'Team A 1'!$AA45-('Team A 1'!Q$2- 12.5)*'Team A 1'!$AC45</f>
        <v>9.2745406786527838</v>
      </c>
      <c r="R45" s="1">
        <f>'Team A 1'!R45-'Team A 1'!$AA45-('Team A 1'!R$2- 12.5)*'Team A 1'!$AC45</f>
        <v>5.9720284915983939</v>
      </c>
      <c r="S45" s="1">
        <f>'Team A 1'!S45-'Team A 1'!$AA45-('Team A 1'!S$2- 12.5)*'Team A 1'!$AC45</f>
        <v>42.669516304544004</v>
      </c>
      <c r="T45" s="1">
        <f>'Team A 1'!T45-'Team A 1'!$AA45-('Team A 1'!T$2- 12.5)*'Team A 1'!$AC45</f>
        <v>19.367004117489614</v>
      </c>
      <c r="U45" s="1">
        <f>'Team A 1'!U45-'Team A 1'!$AA45-('Team A 1'!U$2- 12.5)*'Team A 1'!$AC45</f>
        <v>16.064491930435224</v>
      </c>
      <c r="V45" s="1">
        <f>'Team A 1'!V45-'Team A 1'!$AA45-('Team A 1'!V$2- 12.5)*'Team A 1'!$AC45</f>
        <v>22.761979743381062</v>
      </c>
      <c r="W45" s="1">
        <f>'Team A 1'!W45-'Team A 1'!$AA45-('Team A 1'!W$2- 12.5)*'Team A 1'!$AC45</f>
        <v>-20.540532443673328</v>
      </c>
      <c r="X45" s="1">
        <f>'Team A 1'!X45-'Team A 1'!$AA45-('Team A 1'!X$2- 12.5)*'Team A 1'!$AC45</f>
        <v>-3.843044630727718</v>
      </c>
      <c r="Y45" s="1">
        <f>'Team A 1'!Y45-'Team A 1'!$AA45-('Team A 1'!Y$2- 12.5)*'Team A 1'!$AC45</f>
        <v>-27.145556817782108</v>
      </c>
      <c r="AB45" s="1">
        <f>STDEV(B45:Y45)</f>
        <v>24.508844771303636</v>
      </c>
      <c r="AD45" s="5">
        <v>9</v>
      </c>
      <c r="AE45" s="5">
        <v>8</v>
      </c>
      <c r="AF45" s="5" t="s">
        <v>47</v>
      </c>
      <c r="AG45" s="5" t="s">
        <v>46</v>
      </c>
      <c r="AH45" s="5" t="s">
        <v>45</v>
      </c>
      <c r="AI45" s="5">
        <v>4</v>
      </c>
      <c r="AJ45" s="5">
        <v>1</v>
      </c>
      <c r="AK45" s="5">
        <v>6</v>
      </c>
      <c r="AL45" s="5">
        <v>7</v>
      </c>
      <c r="AM45" s="5">
        <v>2</v>
      </c>
      <c r="AN45" s="5">
        <v>5</v>
      </c>
      <c r="AO45" s="5">
        <v>3</v>
      </c>
      <c r="AP45" s="5">
        <v>8</v>
      </c>
      <c r="AQ45" s="5">
        <v>9</v>
      </c>
      <c r="AR45" s="5" t="s">
        <v>46</v>
      </c>
      <c r="AS45" s="5" t="s">
        <v>47</v>
      </c>
      <c r="AT45" s="5" t="s">
        <v>45</v>
      </c>
      <c r="AU45" s="5">
        <v>1</v>
      </c>
      <c r="AV45" s="5">
        <v>4</v>
      </c>
      <c r="AW45" s="5">
        <v>6</v>
      </c>
      <c r="AX45" s="5">
        <v>2</v>
      </c>
      <c r="AY45" s="5">
        <v>7</v>
      </c>
      <c r="AZ45" s="5">
        <v>3</v>
      </c>
      <c r="BA45" s="5">
        <v>5</v>
      </c>
      <c r="BB45" s="5"/>
      <c r="BC45" s="1">
        <f ca="1">OFFSET(A45,0, 7) -0</f>
        <v>38.997150362142065</v>
      </c>
      <c r="BD45" s="1">
        <f ca="1">OFFSET(A45,0, 10) -0</f>
        <v>-10.910386199021048</v>
      </c>
      <c r="BE45" s="1">
        <f ca="1">OFFSET(A45,0, 12) -0</f>
        <v>12.484589426870215</v>
      </c>
      <c r="BF45" s="1">
        <f ca="1">OFFSET(A45,0, 6) -0</f>
        <v>-17.700337450803545</v>
      </c>
      <c r="BG45" s="1">
        <f ca="1">OFFSET(A45,0, 11) -0</f>
        <v>-14.212898386075437</v>
      </c>
      <c r="BH45" s="1">
        <f ca="1">OFFSET(A45,0, 8) -0</f>
        <v>5.6946381750876753</v>
      </c>
      <c r="BI45" s="1">
        <f ca="1">OFFSET(A45,0, 9) -0</f>
        <v>-17.607874011966715</v>
      </c>
      <c r="BJ45" s="1">
        <f ca="1">OFFSET(A45,0, 2) -0</f>
        <v>25.509711297413787</v>
      </c>
      <c r="BK45" s="1">
        <f ca="1">OFFSET(A45,0, 1) -0</f>
        <v>-21.187776515531823</v>
      </c>
      <c r="BL45" s="1">
        <f ca="1">OFFSET(A45,0, 5) -0</f>
        <v>35.602174736250845</v>
      </c>
      <c r="BM45" s="1">
        <f ca="1">OFFSET(A45,0, 4) -0</f>
        <v>-21.095313076694993</v>
      </c>
      <c r="BN45" s="1">
        <f ca="1">OFFSET(A45,0, 3) -0</f>
        <v>12.207199110359397</v>
      </c>
      <c r="BO45" s="1">
        <f ca="1">OFFSET(A45,0, 18) -0</f>
        <v>42.669516304544004</v>
      </c>
      <c r="BP45" s="1">
        <f ca="1">OFFSET(A45,0, 21) -0</f>
        <v>22.761979743381062</v>
      </c>
      <c r="BQ45" s="1">
        <f ca="1">OFFSET(A45,0, 23) -0</f>
        <v>-3.843044630727718</v>
      </c>
      <c r="BR45" s="1">
        <f ca="1">OFFSET(A45,0, 19) -0</f>
        <v>19.367004117489614</v>
      </c>
      <c r="BS45" s="1">
        <f ca="1">OFFSET(A45,0, 24) -0</f>
        <v>-27.145556817782108</v>
      </c>
      <c r="BT45" s="1">
        <f ca="1">OFFSET(A45,0, 20) -0</f>
        <v>16.064491930435224</v>
      </c>
      <c r="BU45" s="1">
        <f ca="1">OFFSET(A45,0, 22) -0</f>
        <v>-20.540532443673328</v>
      </c>
      <c r="BV45" s="1">
        <f ca="1">OFFSET(A45,0, 13) -0</f>
        <v>-30.817922760184146</v>
      </c>
      <c r="BW45" s="1">
        <f ca="1">OFFSET(A45,0, 14) -0</f>
        <v>-54.120434947238493</v>
      </c>
      <c r="BX45" s="1">
        <f ca="1">OFFSET(A45,0, 17) -0</f>
        <v>5.9720284915983939</v>
      </c>
      <c r="BY45" s="1">
        <f ca="1">OFFSET(A45,0, 15) -0</f>
        <v>-7.4229471342928832</v>
      </c>
      <c r="BZ45" s="1">
        <f ca="1">OFFSET(A45,0, 16) -0</f>
        <v>9.2745406786527838</v>
      </c>
      <c r="CB45" s="1">
        <f>COUNTIF(B45,"&lt;-68")</f>
        <v>0</v>
      </c>
      <c r="CC45" s="1">
        <f ca="1">COUNTIF(BC45:BN45,"&lt;-48")</f>
        <v>0</v>
      </c>
      <c r="CD45" s="1">
        <f ca="1">COUNTIF(BC45:BN45,"&gt;+48")</f>
        <v>0</v>
      </c>
      <c r="CE45" s="1">
        <f ca="1">COUNTIF(BO45:BZ45,"&lt;-48")</f>
        <v>1</v>
      </c>
      <c r="CF45" s="1">
        <f ca="1">COUNTIF(BO45:BZ45,"&gt;+48")</f>
        <v>0</v>
      </c>
    </row>
    <row r="46" spans="1:84">
      <c r="A46" s="1">
        <v>43</v>
      </c>
      <c r="B46" s="1">
        <f>'Team A 1'!B46-'Team A 1'!$AA46-('Team A 1'!B$2- 12.5)*'Team A 1'!$AC46</f>
        <v>3.1120340279030643</v>
      </c>
      <c r="C46" s="1">
        <f>'Team A 1'!C46-'Team A 1'!$AA46-('Team A 1'!C$2- 12.5)*'Team A 1'!$AC46</f>
        <v>10.051567300840588</v>
      </c>
      <c r="D46" s="1">
        <f>'Team A 1'!D46-'Team A 1'!$AA46-('Team A 1'!D$2- 12.5)*'Team A 1'!$AC46</f>
        <v>-23.00889942622166</v>
      </c>
      <c r="E46" s="1">
        <f>'Team A 1'!E46-'Team A 1'!$AA46-('Team A 1'!E$2- 12.5)*'Team A 1'!$AC46</f>
        <v>3.9306338467158639</v>
      </c>
      <c r="F46" s="1">
        <f>'Team A 1'!F46-'Team A 1'!$AA46-('Team A 1'!F$2- 12.5)*'Team A 1'!$AC46</f>
        <v>10.870167119653615</v>
      </c>
      <c r="G46" s="1">
        <f>'Team A 1'!G46-'Team A 1'!$AA46-('Team A 1'!G$2- 12.5)*'Team A 1'!$AC46</f>
        <v>7.8097003925911395</v>
      </c>
      <c r="H46" s="1">
        <f>'Team A 1'!H46-'Team A 1'!$AA46-('Team A 1'!H$2- 12.5)*'Team A 1'!$AC46</f>
        <v>-45.250766334471109</v>
      </c>
      <c r="I46" s="1">
        <f>'Team A 1'!I46-'Team A 1'!$AA46-('Team A 1'!I$2- 12.5)*'Team A 1'!$AC46</f>
        <v>-8.3112330615334713</v>
      </c>
      <c r="J46" s="1">
        <f>'Team A 1'!J46-'Team A 1'!$AA46-('Team A 1'!J$2- 12.5)*'Team A 1'!$AC46</f>
        <v>-1.3716997885957198</v>
      </c>
      <c r="K46" s="1">
        <f>'Team A 1'!K46-'Team A 1'!$AA46-('Team A 1'!K$2- 12.5)*'Team A 1'!$AC46</f>
        <v>25.567833484341918</v>
      </c>
      <c r="L46" s="1">
        <f>'Team A 1'!L46-'Team A 1'!$AA46-('Team A 1'!L$2- 12.5)*'Team A 1'!$AC46</f>
        <v>2.5073667572795557</v>
      </c>
      <c r="M46" s="1">
        <f>'Team A 1'!M46-'Team A 1'!$AA46-('Team A 1'!M$2- 12.5)*'Team A 1'!$AC46</f>
        <v>-30.553099969782764</v>
      </c>
      <c r="N46" s="1">
        <f>'Team A 1'!N46-'Team A 1'!$AA46-('Team A 1'!N$2- 12.5)*'Team A 1'!$AC46</f>
        <v>-13.613566696845098</v>
      </c>
      <c r="O46" s="1">
        <f>'Team A 1'!O46-'Team A 1'!$AA46-('Team A 1'!O$2- 12.5)*'Team A 1'!$AC46</f>
        <v>23.325966576092583</v>
      </c>
      <c r="P46" s="1">
        <f>'Team A 1'!P46-'Team A 1'!$AA46-('Team A 1'!P$2- 12.5)*'Team A 1'!$AC46</f>
        <v>20.265499849030221</v>
      </c>
      <c r="Q46" s="1">
        <f>'Team A 1'!Q46-'Team A 1'!$AA46-('Team A 1'!Q$2- 12.5)*'Team A 1'!$AC46</f>
        <v>-2.7949668780321417</v>
      </c>
      <c r="R46" s="1">
        <f>'Team A 1'!R46-'Team A 1'!$AA46-('Team A 1'!R$2- 12.5)*'Team A 1'!$AC46</f>
        <v>-35.85543360509439</v>
      </c>
      <c r="S46" s="1">
        <f>'Team A 1'!S46-'Team A 1'!$AA46-('Team A 1'!S$2- 12.5)*'Team A 1'!$AC46</f>
        <v>31.084099667843248</v>
      </c>
      <c r="T46" s="1">
        <f>'Team A 1'!T46-'Team A 1'!$AA46-('Team A 1'!T$2- 12.5)*'Team A 1'!$AC46</f>
        <v>8.023632940780999</v>
      </c>
      <c r="U46" s="1">
        <f>'Team A 1'!U46-'Team A 1'!$AA46-('Team A 1'!U$2- 12.5)*'Team A 1'!$AC46</f>
        <v>24.963166213718523</v>
      </c>
      <c r="V46" s="1">
        <f>'Team A 1'!V46-'Team A 1'!$AA46-('Team A 1'!V$2- 12.5)*'Team A 1'!$AC46</f>
        <v>-18.097300513343725</v>
      </c>
      <c r="W46" s="1">
        <f>'Team A 1'!W46-'Team A 1'!$AA46-('Team A 1'!W$2- 12.5)*'Team A 1'!$AC46</f>
        <v>-21.157767240406201</v>
      </c>
      <c r="X46" s="1">
        <f>'Team A 1'!X46-'Team A 1'!$AA46-('Team A 1'!X$2- 12.5)*'Team A 1'!$AC46</f>
        <v>5.7817660325315501</v>
      </c>
      <c r="Y46" s="1">
        <f>'Team A 1'!Y46-'Team A 1'!$AA46-('Team A 1'!Y$2- 12.5)*'Team A 1'!$AC46</f>
        <v>22.721299305469074</v>
      </c>
      <c r="AB46" s="1">
        <f>STDEV(B46:Y46)</f>
        <v>20.808617150891077</v>
      </c>
      <c r="AD46" s="5">
        <v>9</v>
      </c>
      <c r="AE46" s="5">
        <v>8</v>
      </c>
      <c r="AF46" s="5" t="s">
        <v>47</v>
      </c>
      <c r="AG46" s="5" t="s">
        <v>46</v>
      </c>
      <c r="AH46" s="5">
        <v>1</v>
      </c>
      <c r="AI46" s="5" t="s">
        <v>45</v>
      </c>
      <c r="AJ46" s="5">
        <v>6</v>
      </c>
      <c r="AK46" s="5">
        <v>4</v>
      </c>
      <c r="AL46" s="5">
        <v>7</v>
      </c>
      <c r="AM46" s="5">
        <v>2</v>
      </c>
      <c r="AN46" s="5">
        <v>5</v>
      </c>
      <c r="AO46" s="5">
        <v>3</v>
      </c>
      <c r="AP46" s="5">
        <v>9</v>
      </c>
      <c r="AQ46" s="5" t="s">
        <v>47</v>
      </c>
      <c r="AR46" s="5">
        <v>8</v>
      </c>
      <c r="AS46" s="5" t="s">
        <v>46</v>
      </c>
      <c r="AT46" s="5" t="s">
        <v>45</v>
      </c>
      <c r="AU46" s="5">
        <v>1</v>
      </c>
      <c r="AV46" s="5">
        <v>6</v>
      </c>
      <c r="AW46" s="5">
        <v>7</v>
      </c>
      <c r="AX46" s="5">
        <v>4</v>
      </c>
      <c r="AY46" s="5">
        <v>5</v>
      </c>
      <c r="AZ46" s="5">
        <v>2</v>
      </c>
      <c r="BA46" s="5">
        <v>3</v>
      </c>
      <c r="BB46" s="5"/>
      <c r="BC46" s="1">
        <f ca="1">OFFSET(A46,0, 5) -0</f>
        <v>10.870167119653615</v>
      </c>
      <c r="BD46" s="1">
        <f ca="1">OFFSET(A46,0, 10) -0</f>
        <v>25.567833484341918</v>
      </c>
      <c r="BE46" s="1">
        <f ca="1">OFFSET(A46,0, 12) -0</f>
        <v>-30.553099969782764</v>
      </c>
      <c r="BF46" s="1">
        <f ca="1">OFFSET(A46,0, 8) -0</f>
        <v>-8.3112330615334713</v>
      </c>
      <c r="BG46" s="1">
        <f ca="1">OFFSET(A46,0, 11) -0</f>
        <v>2.5073667572795557</v>
      </c>
      <c r="BH46" s="1">
        <f ca="1">OFFSET(A46,0, 7) -0</f>
        <v>-45.250766334471109</v>
      </c>
      <c r="BI46" s="1">
        <f ca="1">OFFSET(A46,0, 9) -0</f>
        <v>-1.3716997885957198</v>
      </c>
      <c r="BJ46" s="1">
        <f ca="1">OFFSET(A46,0, 2) -0</f>
        <v>10.051567300840588</v>
      </c>
      <c r="BK46" s="1">
        <f ca="1">OFFSET(A46,0, 1) -0</f>
        <v>3.1120340279030643</v>
      </c>
      <c r="BL46" s="1">
        <f ca="1">OFFSET(A46,0, 6) -0</f>
        <v>7.8097003925911395</v>
      </c>
      <c r="BM46" s="1">
        <f ca="1">OFFSET(A46,0, 4) -0</f>
        <v>3.9306338467158639</v>
      </c>
      <c r="BN46" s="1">
        <f ca="1">OFFSET(A46,0, 3) -0</f>
        <v>-23.00889942622166</v>
      </c>
      <c r="BO46" s="1">
        <f ca="1">OFFSET(A46,0, 18) -0</f>
        <v>31.084099667843248</v>
      </c>
      <c r="BP46" s="1">
        <f ca="1">OFFSET(A46,0, 23) -0</f>
        <v>5.7817660325315501</v>
      </c>
      <c r="BQ46" s="1">
        <f ca="1">OFFSET(A46,0, 24) -0</f>
        <v>22.721299305469074</v>
      </c>
      <c r="BR46" s="1">
        <f ca="1">OFFSET(A46,0, 21) -0</f>
        <v>-18.097300513343725</v>
      </c>
      <c r="BS46" s="1">
        <f ca="1">OFFSET(A46,0, 22) -0</f>
        <v>-21.157767240406201</v>
      </c>
      <c r="BT46" s="1">
        <f ca="1">OFFSET(A46,0, 19) -0</f>
        <v>8.023632940780999</v>
      </c>
      <c r="BU46" s="1">
        <f ca="1">OFFSET(A46,0, 20) -0</f>
        <v>24.963166213718523</v>
      </c>
      <c r="BV46" s="1">
        <f ca="1">OFFSET(A46,0, 15) -0</f>
        <v>20.265499849030221</v>
      </c>
      <c r="BW46" s="1">
        <f ca="1">OFFSET(A46,0, 13) -0</f>
        <v>-13.613566696845098</v>
      </c>
      <c r="BX46" s="1">
        <f ca="1">OFFSET(A46,0, 17) -0</f>
        <v>-35.85543360509439</v>
      </c>
      <c r="BY46" s="1">
        <f ca="1">OFFSET(A46,0, 16) -0</f>
        <v>-2.7949668780321417</v>
      </c>
      <c r="BZ46" s="1">
        <f ca="1">OFFSET(A46,0, 14) -0</f>
        <v>23.325966576092583</v>
      </c>
      <c r="CB46" s="1">
        <f>COUNTIF(B46,"&lt;-68")</f>
        <v>0</v>
      </c>
      <c r="CC46" s="1">
        <f ca="1">COUNTIF(BC46:BN46,"&lt;-48")</f>
        <v>0</v>
      </c>
      <c r="CD46" s="1">
        <f ca="1">COUNTIF(BC46:BN46,"&gt;+48")</f>
        <v>0</v>
      </c>
      <c r="CE46" s="1">
        <f ca="1">COUNTIF(BO46:BZ46,"&lt;-48")</f>
        <v>0</v>
      </c>
      <c r="CF46" s="1">
        <f ca="1">COUNTIF(BO46:BZ46,"&gt;+48")</f>
        <v>0</v>
      </c>
    </row>
    <row r="47" spans="1:84">
      <c r="A47" s="1">
        <v>44</v>
      </c>
      <c r="B47" s="1">
        <f>'Team A 1'!B47-'Team A 1'!$AA47-('Team A 1'!B$2- 12.5)*'Team A 1'!$AC47</f>
        <v>18.112034027909431</v>
      </c>
      <c r="C47" s="1">
        <f>'Team A 1'!C47-'Team A 1'!$AA47-('Team A 1'!C$2- 12.5)*'Team A 1'!$AC47</f>
        <v>-4.9484326991534999</v>
      </c>
      <c r="D47" s="1">
        <f>'Team A 1'!D47-'Team A 1'!$AA47-('Team A 1'!D$2- 12.5)*'Team A 1'!$AC47</f>
        <v>-18.008899426216431</v>
      </c>
      <c r="E47" s="1">
        <f>'Team A 1'!E47-'Team A 1'!$AA47-('Team A 1'!E$2- 12.5)*'Team A 1'!$AC47</f>
        <v>-41.069366153279361</v>
      </c>
      <c r="F47" s="1">
        <f>'Team A 1'!F47-'Team A 1'!$AA47-('Team A 1'!F$2- 12.5)*'Team A 1'!$AC47</f>
        <v>35.870167119657935</v>
      </c>
      <c r="G47" s="1">
        <f>'Team A 1'!G47-'Team A 1'!$AA47-('Team A 1'!G$2- 12.5)*'Team A 1'!$AC47</f>
        <v>2.8097003925950048</v>
      </c>
      <c r="H47" s="1">
        <f>'Team A 1'!H47-'Team A 1'!$AA47-('Team A 1'!H$2- 12.5)*'Team A 1'!$AC47</f>
        <v>-20.250766334467926</v>
      </c>
      <c r="I47" s="1">
        <f>'Team A 1'!I47-'Team A 1'!$AA47-('Team A 1'!I$2- 12.5)*'Team A 1'!$AC47</f>
        <v>16.688766938469143</v>
      </c>
      <c r="J47" s="1">
        <f>'Team A 1'!J47-'Team A 1'!$AA47-('Team A 1'!J$2- 12.5)*'Team A 1'!$AC47</f>
        <v>23.628300211406213</v>
      </c>
      <c r="K47" s="1">
        <f>'Team A 1'!K47-'Team A 1'!$AA47-('Team A 1'!K$2- 12.5)*'Team A 1'!$AC47</f>
        <v>0.56783348434333902</v>
      </c>
      <c r="L47" s="1">
        <f>'Team A 1'!L47-'Team A 1'!$AA47-('Team A 1'!L$2- 12.5)*'Team A 1'!$AC47</f>
        <v>27.507366757280408</v>
      </c>
      <c r="M47" s="1">
        <f>'Team A 1'!M47-'Team A 1'!$AA47-('Team A 1'!M$2- 12.5)*'Team A 1'!$AC47</f>
        <v>-5.5530999697824797</v>
      </c>
      <c r="N47" s="1">
        <f>'Team A 1'!N47-'Team A 1'!$AA47-('Team A 1'!N$2- 12.5)*'Team A 1'!$AC47</f>
        <v>-28.613566696845382</v>
      </c>
      <c r="O47" s="1">
        <f>'Team A 1'!O47-'Team A 1'!$AA47-('Team A 1'!O$2- 12.5)*'Team A 1'!$AC47</f>
        <v>-11.67403342390827</v>
      </c>
      <c r="P47" s="1">
        <f>'Team A 1'!P47-'Team A 1'!$AA47-('Team A 1'!P$2- 12.5)*'Team A 1'!$AC47</f>
        <v>-24.734500150971201</v>
      </c>
      <c r="Q47" s="1">
        <f>'Team A 1'!Q47-'Team A 1'!$AA47-('Team A 1'!Q$2- 12.5)*'Team A 1'!$AC47</f>
        <v>2.2050331219659256</v>
      </c>
      <c r="R47" s="1">
        <f>'Team A 1'!R47-'Team A 1'!$AA47-('Team A 1'!R$2- 12.5)*'Team A 1'!$AC47</f>
        <v>-10.855433605097005</v>
      </c>
      <c r="S47" s="1">
        <f>'Team A 1'!S47-'Team A 1'!$AA47-('Team A 1'!S$2- 12.5)*'Team A 1'!$AC47</f>
        <v>-13.915900332159936</v>
      </c>
      <c r="T47" s="1">
        <f>'Team A 1'!T47-'Team A 1'!$AA47-('Team A 1'!T$2- 12.5)*'Team A 1'!$AC47</f>
        <v>23.023632940777134</v>
      </c>
      <c r="U47" s="1">
        <f>'Team A 1'!U47-'Team A 1'!$AA47-('Team A 1'!U$2- 12.5)*'Team A 1'!$AC47</f>
        <v>-3.6833786285797032E-2</v>
      </c>
      <c r="V47" s="1">
        <f>'Team A 1'!V47-'Team A 1'!$AA47-('Team A 1'!V$2- 12.5)*'Team A 1'!$AC47</f>
        <v>-23.0973005133485</v>
      </c>
      <c r="W47" s="1">
        <f>'Team A 1'!W47-'Team A 1'!$AA47-('Team A 1'!W$2- 12.5)*'Team A 1'!$AC47</f>
        <v>-16.157767240411431</v>
      </c>
      <c r="X47" s="1">
        <f>'Team A 1'!X47-'Team A 1'!$AA47-('Team A 1'!X$2- 12.5)*'Team A 1'!$AC47</f>
        <v>20.781766032525638</v>
      </c>
      <c r="Y47" s="1">
        <f>'Team A 1'!Y47-'Team A 1'!$AA47-('Team A 1'!Y$2- 12.5)*'Team A 1'!$AC47</f>
        <v>47.721299305462708</v>
      </c>
      <c r="AB47" s="1">
        <f>STDEV(B47:Y47)</f>
        <v>22.46722309103631</v>
      </c>
      <c r="AD47" s="5" t="s">
        <v>47</v>
      </c>
      <c r="AE47" s="5">
        <v>9</v>
      </c>
      <c r="AF47" s="5" t="s">
        <v>46</v>
      </c>
      <c r="AG47" s="5">
        <v>8</v>
      </c>
      <c r="AH47" s="5">
        <v>1</v>
      </c>
      <c r="AI47" s="5" t="s">
        <v>45</v>
      </c>
      <c r="AJ47" s="5">
        <v>7</v>
      </c>
      <c r="AK47" s="5">
        <v>6</v>
      </c>
      <c r="AL47" s="5">
        <v>5</v>
      </c>
      <c r="AM47" s="5">
        <v>4</v>
      </c>
      <c r="AN47" s="5">
        <v>3</v>
      </c>
      <c r="AO47" s="5">
        <v>2</v>
      </c>
      <c r="AP47" s="5">
        <v>9</v>
      </c>
      <c r="AQ47" s="5" t="s">
        <v>47</v>
      </c>
      <c r="AR47" s="5" t="s">
        <v>46</v>
      </c>
      <c r="AS47" s="5">
        <v>1</v>
      </c>
      <c r="AT47" s="5">
        <v>8</v>
      </c>
      <c r="AU47" s="5" t="s">
        <v>45</v>
      </c>
      <c r="AV47" s="5">
        <v>6</v>
      </c>
      <c r="AW47" s="5">
        <v>7</v>
      </c>
      <c r="AX47" s="5">
        <v>4</v>
      </c>
      <c r="AY47" s="5">
        <v>5</v>
      </c>
      <c r="AZ47" s="5">
        <v>2</v>
      </c>
      <c r="BA47" s="5">
        <v>3</v>
      </c>
      <c r="BB47" s="5"/>
      <c r="BC47" s="1">
        <f ca="1">OFFSET(A47,0, 5) -0</f>
        <v>35.870167119657935</v>
      </c>
      <c r="BD47" s="1">
        <f ca="1">OFFSET(A47,0, 12) -0</f>
        <v>-5.5530999697824797</v>
      </c>
      <c r="BE47" s="1">
        <f ca="1">OFFSET(A47,0, 11) -0</f>
        <v>27.507366757280408</v>
      </c>
      <c r="BF47" s="1">
        <f ca="1">OFFSET(A47,0, 10) -0</f>
        <v>0.56783348434333902</v>
      </c>
      <c r="BG47" s="1">
        <f ca="1">OFFSET(A47,0, 9) -0</f>
        <v>23.628300211406213</v>
      </c>
      <c r="BH47" s="1">
        <f ca="1">OFFSET(A47,0, 8) -0</f>
        <v>16.688766938469143</v>
      </c>
      <c r="BI47" s="1">
        <f ca="1">OFFSET(A47,0, 7) -0</f>
        <v>-20.250766334467926</v>
      </c>
      <c r="BJ47" s="1">
        <f ca="1">OFFSET(A47,0, 4) -0</f>
        <v>-41.069366153279361</v>
      </c>
      <c r="BK47" s="1">
        <f ca="1">OFFSET(A47,0, 2) -0</f>
        <v>-4.9484326991534999</v>
      </c>
      <c r="BL47" s="1">
        <f ca="1">OFFSET(A47,0, 6) -0</f>
        <v>2.8097003925950048</v>
      </c>
      <c r="BM47" s="1">
        <f ca="1">OFFSET(A47,0, 3) -0</f>
        <v>-18.008899426216431</v>
      </c>
      <c r="BN47" s="1">
        <f ca="1">OFFSET(A47,0, 1) -0</f>
        <v>18.112034027909431</v>
      </c>
      <c r="BO47" s="1">
        <f ca="1">OFFSET(A47,0, 16) -0</f>
        <v>2.2050331219659256</v>
      </c>
      <c r="BP47" s="1">
        <f ca="1">OFFSET(A47,0, 23) -0</f>
        <v>20.781766032525638</v>
      </c>
      <c r="BQ47" s="1">
        <f ca="1">OFFSET(A47,0, 24) -0</f>
        <v>47.721299305462708</v>
      </c>
      <c r="BR47" s="1">
        <f ca="1">OFFSET(A47,0, 21) -0</f>
        <v>-23.0973005133485</v>
      </c>
      <c r="BS47" s="1">
        <f ca="1">OFFSET(A47,0, 22) -0</f>
        <v>-16.157767240411431</v>
      </c>
      <c r="BT47" s="1">
        <f ca="1">OFFSET(A47,0, 19) -0</f>
        <v>23.023632940777134</v>
      </c>
      <c r="BU47" s="1">
        <f ca="1">OFFSET(A47,0, 20) -0</f>
        <v>-3.6833786285797032E-2</v>
      </c>
      <c r="BV47" s="1">
        <f ca="1">OFFSET(A47,0, 17) -0</f>
        <v>-10.855433605097005</v>
      </c>
      <c r="BW47" s="1">
        <f ca="1">OFFSET(A47,0, 13) -0</f>
        <v>-28.613566696845382</v>
      </c>
      <c r="BX47" s="1">
        <f ca="1">OFFSET(A47,0, 18) -0</f>
        <v>-13.915900332159936</v>
      </c>
      <c r="BY47" s="1">
        <f ca="1">OFFSET(A47,0, 15) -0</f>
        <v>-24.734500150971201</v>
      </c>
      <c r="BZ47" s="1">
        <f ca="1">OFFSET(A47,0, 14) -0</f>
        <v>-11.67403342390827</v>
      </c>
      <c r="CB47" s="1">
        <f>COUNTIF(B47,"&lt;-68")</f>
        <v>0</v>
      </c>
      <c r="CC47" s="1">
        <f ca="1">COUNTIF(BC47:BN47,"&lt;-48")</f>
        <v>0</v>
      </c>
      <c r="CD47" s="1">
        <f ca="1">COUNTIF(BC47:BN47,"&gt;+48")</f>
        <v>0</v>
      </c>
      <c r="CE47" s="1">
        <f ca="1">COUNTIF(BO47:BZ47,"&lt;-48")</f>
        <v>0</v>
      </c>
      <c r="CF47" s="1">
        <f ca="1">COUNTIF(BO47:BZ47,"&gt;+48")</f>
        <v>0</v>
      </c>
    </row>
    <row r="48" spans="1:84">
      <c r="A48" s="1">
        <v>45</v>
      </c>
      <c r="B48" s="1">
        <f>'Team A 1'!B48-'Team A 1'!$AA48-('Team A 1'!B$2- 12.5)*'Team A 1'!$AC48</f>
        <v>21.739959759952399</v>
      </c>
      <c r="C48" s="1">
        <f>'Team A 1'!C48-'Team A 1'!$AA48-('Team A 1'!C$2- 12.5)*'Team A 1'!$AC48</f>
        <v>-21.020036740913156</v>
      </c>
      <c r="D48" s="1">
        <f>'Team A 1'!D48-'Team A 1'!$AA48-('Team A 1'!D$2- 12.5)*'Team A 1'!$AC48</f>
        <v>6.219966758221517</v>
      </c>
      <c r="E48" s="1">
        <f>'Team A 1'!E48-'Team A 1'!$AA48-('Team A 1'!E$2- 12.5)*'Team A 1'!$AC48</f>
        <v>-36.540029742644037</v>
      </c>
      <c r="F48" s="1">
        <f>'Team A 1'!F48-'Team A 1'!$AA48-('Team A 1'!F$2- 12.5)*'Team A 1'!$AC48</f>
        <v>0.69997375649063542</v>
      </c>
      <c r="G48" s="1">
        <f>'Team A 1'!G48-'Team A 1'!$AA48-('Team A 1'!G$2- 12.5)*'Team A 1'!$AC48</f>
        <v>7.9399772556250809</v>
      </c>
      <c r="H48" s="1">
        <f>'Team A 1'!H48-'Team A 1'!$AA48-('Team A 1'!H$2- 12.5)*'Team A 1'!$AC48</f>
        <v>-34.820019245240246</v>
      </c>
      <c r="I48" s="1">
        <f>'Team A 1'!I48-'Team A 1'!$AA48-('Team A 1'!I$2- 12.5)*'Team A 1'!$AC48</f>
        <v>12.419984253894313</v>
      </c>
      <c r="J48" s="1">
        <f>'Team A 1'!J48-'Team A 1'!$AA48-('Team A 1'!J$2- 12.5)*'Team A 1'!$AC48</f>
        <v>29.659987753028986</v>
      </c>
      <c r="K48" s="1">
        <f>'Team A 1'!K48-'Team A 1'!$AA48-('Team A 1'!K$2- 12.5)*'Team A 1'!$AC48</f>
        <v>6.8999912521635451</v>
      </c>
      <c r="L48" s="1">
        <f>'Team A 1'!L48-'Team A 1'!$AA48-('Team A 1'!L$2- 12.5)*'Team A 1'!$AC48</f>
        <v>-15.860005248701896</v>
      </c>
      <c r="M48" s="1">
        <f>'Team A 1'!M48-'Team A 1'!$AA48-('Team A 1'!M$2- 12.5)*'Team A 1'!$AC48</f>
        <v>11.379998250432706</v>
      </c>
      <c r="N48" s="1">
        <f>'Team A 1'!N48-'Team A 1'!$AA48-('Team A 1'!N$2- 12.5)*'Team A 1'!$AC48</f>
        <v>58.620001749567294</v>
      </c>
      <c r="O48" s="1">
        <f>'Team A 1'!O48-'Team A 1'!$AA48-('Team A 1'!O$2- 12.5)*'Team A 1'!$AC48</f>
        <v>5.8600052487018957</v>
      </c>
      <c r="P48" s="1">
        <f>'Team A 1'!P48-'Team A 1'!$AA48-('Team A 1'!P$2- 12.5)*'Team A 1'!$AC48</f>
        <v>-16.899991252163545</v>
      </c>
      <c r="Q48" s="1">
        <f>'Team A 1'!Q48-'Team A 1'!$AA48-('Team A 1'!Q$2- 12.5)*'Team A 1'!$AC48</f>
        <v>0.34001224697101406</v>
      </c>
      <c r="R48" s="1">
        <f>'Team A 1'!R48-'Team A 1'!$AA48-('Team A 1'!R$2- 12.5)*'Team A 1'!$AC48</f>
        <v>-52.419984253894313</v>
      </c>
      <c r="S48" s="1">
        <f>'Team A 1'!S48-'Team A 1'!$AA48-('Team A 1'!S$2- 12.5)*'Team A 1'!$AC48</f>
        <v>24.820019245240246</v>
      </c>
      <c r="T48" s="1">
        <f>'Team A 1'!T48-'Team A 1'!$AA48-('Team A 1'!T$2- 12.5)*'Team A 1'!$AC48</f>
        <v>-37.939977255625081</v>
      </c>
      <c r="U48" s="1">
        <f>'Team A 1'!U48-'Team A 1'!$AA48-('Team A 1'!U$2- 12.5)*'Team A 1'!$AC48</f>
        <v>-20.699973756490635</v>
      </c>
      <c r="V48" s="1">
        <f>'Team A 1'!V48-'Team A 1'!$AA48-('Team A 1'!V$2- 12.5)*'Team A 1'!$AC48</f>
        <v>6.5400297426440375</v>
      </c>
      <c r="W48" s="1">
        <f>'Team A 1'!W48-'Team A 1'!$AA48-('Team A 1'!W$2- 12.5)*'Team A 1'!$AC48</f>
        <v>3.780033241778483</v>
      </c>
      <c r="X48" s="1">
        <f>'Team A 1'!X48-'Team A 1'!$AA48-('Team A 1'!X$2- 12.5)*'Team A 1'!$AC48</f>
        <v>21.020036740913156</v>
      </c>
      <c r="Y48" s="1">
        <f>'Team A 1'!Y48-'Team A 1'!$AA48-('Team A 1'!Y$2- 12.5)*'Team A 1'!$AC48</f>
        <v>18.260040240047601</v>
      </c>
      <c r="AB48" s="1">
        <f>STDEV(B48:Y48)</f>
        <v>25.407497619574922</v>
      </c>
      <c r="AD48" s="5" t="s">
        <v>47</v>
      </c>
      <c r="AE48" s="5">
        <v>9</v>
      </c>
      <c r="AF48" s="5">
        <v>1</v>
      </c>
      <c r="AG48" s="5" t="s">
        <v>46</v>
      </c>
      <c r="AH48" s="5" t="s">
        <v>45</v>
      </c>
      <c r="AI48" s="5">
        <v>8</v>
      </c>
      <c r="AJ48" s="5">
        <v>7</v>
      </c>
      <c r="AK48" s="5">
        <v>6</v>
      </c>
      <c r="AL48" s="5">
        <v>5</v>
      </c>
      <c r="AM48" s="5">
        <v>4</v>
      </c>
      <c r="AN48" s="5">
        <v>3</v>
      </c>
      <c r="AO48" s="5">
        <v>2</v>
      </c>
      <c r="AP48" s="5" t="s">
        <v>47</v>
      </c>
      <c r="AQ48" s="5">
        <v>9</v>
      </c>
      <c r="AR48" s="5" t="s">
        <v>46</v>
      </c>
      <c r="AS48" s="5">
        <v>1</v>
      </c>
      <c r="AT48" s="5" t="s">
        <v>45</v>
      </c>
      <c r="AU48" s="5">
        <v>7</v>
      </c>
      <c r="AV48" s="5">
        <v>8</v>
      </c>
      <c r="AW48" s="5">
        <v>5</v>
      </c>
      <c r="AX48" s="5">
        <v>6</v>
      </c>
      <c r="AY48" s="5">
        <v>3</v>
      </c>
      <c r="AZ48" s="5">
        <v>4</v>
      </c>
      <c r="BA48" s="5">
        <v>2</v>
      </c>
      <c r="BB48" s="5"/>
      <c r="BC48" s="1">
        <f ca="1">OFFSET(A48,0, 3) -0</f>
        <v>6.219966758221517</v>
      </c>
      <c r="BD48" s="1">
        <f ca="1">OFFSET(A48,0, 12) -0</f>
        <v>11.379998250432706</v>
      </c>
      <c r="BE48" s="1">
        <f ca="1">OFFSET(A48,0, 11) -0</f>
        <v>-15.860005248701896</v>
      </c>
      <c r="BF48" s="1">
        <f ca="1">OFFSET(A48,0, 10) -0</f>
        <v>6.8999912521635451</v>
      </c>
      <c r="BG48" s="1">
        <f ca="1">OFFSET(A48,0, 9) -0</f>
        <v>29.659987753028986</v>
      </c>
      <c r="BH48" s="1">
        <f ca="1">OFFSET(A48,0, 8) -0</f>
        <v>12.419984253894313</v>
      </c>
      <c r="BI48" s="1">
        <f ca="1">OFFSET(A48,0, 7) -0</f>
        <v>-34.820019245240246</v>
      </c>
      <c r="BJ48" s="1">
        <f ca="1">OFFSET(A48,0, 6) -0</f>
        <v>7.9399772556250809</v>
      </c>
      <c r="BK48" s="1">
        <f ca="1">OFFSET(A48,0, 2) -0</f>
        <v>-21.020036740913156</v>
      </c>
      <c r="BL48" s="1">
        <f ca="1">OFFSET(A48,0, 5) -0</f>
        <v>0.69997375649063542</v>
      </c>
      <c r="BM48" s="1">
        <f ca="1">OFFSET(A48,0, 4) -0</f>
        <v>-36.540029742644037</v>
      </c>
      <c r="BN48" s="1">
        <f ca="1">OFFSET(A48,0, 1) -0</f>
        <v>21.739959759952399</v>
      </c>
      <c r="BO48" s="1">
        <f ca="1">OFFSET(A48,0, 16) -0</f>
        <v>0.34001224697101406</v>
      </c>
      <c r="BP48" s="1">
        <f ca="1">OFFSET(A48,0, 24) -0</f>
        <v>18.260040240047601</v>
      </c>
      <c r="BQ48" s="1">
        <f ca="1">OFFSET(A48,0, 22) -0</f>
        <v>3.780033241778483</v>
      </c>
      <c r="BR48" s="1">
        <f ca="1">OFFSET(A48,0, 23) -0</f>
        <v>21.020036740913156</v>
      </c>
      <c r="BS48" s="1">
        <f ca="1">OFFSET(A48,0, 20) -0</f>
        <v>-20.699973756490635</v>
      </c>
      <c r="BT48" s="1">
        <f ca="1">OFFSET(A48,0, 21) -0</f>
        <v>6.5400297426440375</v>
      </c>
      <c r="BU48" s="1">
        <f ca="1">OFFSET(A48,0, 18) -0</f>
        <v>24.820019245240246</v>
      </c>
      <c r="BV48" s="1">
        <f ca="1">OFFSET(A48,0, 19) -0</f>
        <v>-37.939977255625081</v>
      </c>
      <c r="BW48" s="1">
        <f ca="1">OFFSET(A48,0, 14) -0</f>
        <v>5.8600052487018957</v>
      </c>
      <c r="BX48" s="1">
        <f ca="1">OFFSET(A48,0, 17) -0</f>
        <v>-52.419984253894313</v>
      </c>
      <c r="BY48" s="1">
        <f ca="1">OFFSET(A48,0, 15) -0</f>
        <v>-16.899991252163545</v>
      </c>
      <c r="BZ48" s="1">
        <f ca="1">OFFSET(A48,0, 13) -0</f>
        <v>58.620001749567294</v>
      </c>
      <c r="CB48" s="1">
        <f>COUNTIF(B48,"&lt;-68")</f>
        <v>0</v>
      </c>
      <c r="CC48" s="1">
        <f ca="1">COUNTIF(BC48:BN48,"&lt;-48")</f>
        <v>0</v>
      </c>
      <c r="CD48" s="1">
        <f ca="1">COUNTIF(BC48:BN48,"&gt;+48")</f>
        <v>0</v>
      </c>
      <c r="CE48" s="1">
        <f ca="1">COUNTIF(BO48:BZ48,"&lt;-48")</f>
        <v>1</v>
      </c>
      <c r="CF48" s="1">
        <f ca="1">COUNTIF(BO48:BZ48,"&gt;+48")</f>
        <v>1</v>
      </c>
    </row>
    <row r="49" spans="1:84">
      <c r="A49" s="1">
        <v>46</v>
      </c>
      <c r="B49" s="1">
        <f>'Team A 1'!B49-'Team A 1'!$AA49-('Team A 1'!B$2- 12.5)*'Team A 1'!$AC49</f>
        <v>-64.036764282942841</v>
      </c>
      <c r="C49" s="1">
        <f>'Team A 1'!C49-'Team A 1'!$AA49-('Team A 1'!C$2- 12.5)*'Team A 1'!$AC49</f>
        <v>2.8359978286173373</v>
      </c>
      <c r="D49" s="1">
        <f>'Team A 1'!D49-'Team A 1'!$AA49-('Team A 1'!D$2- 12.5)*'Team A 1'!$AC49</f>
        <v>19.708759940177515</v>
      </c>
      <c r="E49" s="1">
        <f>'Team A 1'!E49-'Team A 1'!$AA49-('Team A 1'!E$2- 12.5)*'Team A 1'!$AC49</f>
        <v>6.5815220517376929</v>
      </c>
      <c r="F49" s="1">
        <f>'Team A 1'!F49-'Team A 1'!$AA49-('Team A 1'!F$2- 12.5)*'Team A 1'!$AC49</f>
        <v>3.4542841632980981</v>
      </c>
      <c r="G49" s="1">
        <f>'Team A 1'!G49-'Team A 1'!$AA49-('Team A 1'!G$2- 12.5)*'Team A 1'!$AC49</f>
        <v>10.327046274858276</v>
      </c>
      <c r="H49" s="1">
        <f>'Team A 1'!H49-'Team A 1'!$AA49-('Team A 1'!H$2- 12.5)*'Team A 1'!$AC49</f>
        <v>-22.800191613581546</v>
      </c>
      <c r="I49" s="1">
        <f>'Team A 1'!I49-'Team A 1'!$AA49-('Team A 1'!I$2- 12.5)*'Team A 1'!$AC49</f>
        <v>-15.927429502021141</v>
      </c>
      <c r="J49" s="1">
        <f>'Team A 1'!J49-'Team A 1'!$AA49-('Team A 1'!J$2- 12.5)*'Team A 1'!$AC49</f>
        <v>-9.0546673904609634</v>
      </c>
      <c r="K49" s="1">
        <f>'Team A 1'!K49-'Team A 1'!$AA49-('Team A 1'!K$2- 12.5)*'Team A 1'!$AC49</f>
        <v>17.818094721099328</v>
      </c>
      <c r="L49" s="1">
        <f>'Team A 1'!L49-'Team A 1'!$AA49-('Team A 1'!L$2- 12.5)*'Team A 1'!$AC49</f>
        <v>14.69085683265962</v>
      </c>
      <c r="M49" s="1">
        <f>'Team A 1'!M49-'Team A 1'!$AA49-('Team A 1'!M$2- 12.5)*'Team A 1'!$AC49</f>
        <v>41.563618944219868</v>
      </c>
      <c r="N49" s="1">
        <f>'Team A 1'!N49-'Team A 1'!$AA49-('Team A 1'!N$2- 12.5)*'Team A 1'!$AC49</f>
        <v>-81.563618944219868</v>
      </c>
      <c r="O49" s="1">
        <f>'Team A 1'!O49-'Team A 1'!$AA49-('Team A 1'!O$2- 12.5)*'Team A 1'!$AC49</f>
        <v>-4.6908568326596196</v>
      </c>
      <c r="P49" s="1">
        <f>'Team A 1'!P49-'Team A 1'!$AA49-('Team A 1'!P$2- 12.5)*'Team A 1'!$AC49</f>
        <v>-57.818094721099328</v>
      </c>
      <c r="Q49" s="1">
        <f>'Team A 1'!Q49-'Team A 1'!$AA49-('Team A 1'!Q$2- 12.5)*'Team A 1'!$AC49</f>
        <v>9.0546673904609634</v>
      </c>
      <c r="R49" s="1">
        <f>'Team A 1'!R49-'Team A 1'!$AA49-('Team A 1'!R$2- 12.5)*'Team A 1'!$AC49</f>
        <v>-14.072570497978859</v>
      </c>
      <c r="S49" s="1">
        <f>'Team A 1'!S49-'Team A 1'!$AA49-('Team A 1'!S$2- 12.5)*'Team A 1'!$AC49</f>
        <v>12.800191613581546</v>
      </c>
      <c r="T49" s="1">
        <f>'Team A 1'!T49-'Team A 1'!$AA49-('Team A 1'!T$2- 12.5)*'Team A 1'!$AC49</f>
        <v>29.672953725141724</v>
      </c>
      <c r="U49" s="1">
        <f>'Team A 1'!U49-'Team A 1'!$AA49-('Team A 1'!U$2- 12.5)*'Team A 1'!$AC49</f>
        <v>6.5457158367019019</v>
      </c>
      <c r="V49" s="1">
        <f>'Team A 1'!V49-'Team A 1'!$AA49-('Team A 1'!V$2- 12.5)*'Team A 1'!$AC49</f>
        <v>3.4184779482623071</v>
      </c>
      <c r="W49" s="1">
        <f>'Team A 1'!W49-'Team A 1'!$AA49-('Team A 1'!W$2- 12.5)*'Team A 1'!$AC49</f>
        <v>-19.708759940177515</v>
      </c>
      <c r="X49" s="1">
        <f>'Team A 1'!X49-'Team A 1'!$AA49-('Team A 1'!X$2- 12.5)*'Team A 1'!$AC49</f>
        <v>27.164002171382663</v>
      </c>
      <c r="Y49" s="1">
        <f>'Team A 1'!Y49-'Team A 1'!$AA49-('Team A 1'!Y$2- 12.5)*'Team A 1'!$AC49</f>
        <v>84.036764282942841</v>
      </c>
      <c r="AB49" s="1">
        <f>STDEV(B49:Y49)</f>
        <v>34.49031525870673</v>
      </c>
      <c r="AD49" s="5">
        <v>9</v>
      </c>
      <c r="AE49" s="5" t="s">
        <v>47</v>
      </c>
      <c r="AF49" s="5">
        <v>1</v>
      </c>
      <c r="AG49" s="5" t="s">
        <v>46</v>
      </c>
      <c r="AH49" s="5">
        <v>7</v>
      </c>
      <c r="AI49" s="5" t="s">
        <v>45</v>
      </c>
      <c r="AJ49" s="5">
        <v>5</v>
      </c>
      <c r="AK49" s="5">
        <v>8</v>
      </c>
      <c r="AL49" s="5">
        <v>3</v>
      </c>
      <c r="AM49" s="5">
        <v>6</v>
      </c>
      <c r="AN49" s="5">
        <v>2</v>
      </c>
      <c r="AO49" s="5">
        <v>4</v>
      </c>
      <c r="AP49" s="5">
        <v>9</v>
      </c>
      <c r="AQ49" s="5">
        <v>1</v>
      </c>
      <c r="AR49" s="5" t="s">
        <v>47</v>
      </c>
      <c r="AS49" s="5" t="s">
        <v>46</v>
      </c>
      <c r="AT49" s="5" t="s">
        <v>45</v>
      </c>
      <c r="AU49" s="5">
        <v>7</v>
      </c>
      <c r="AV49" s="5">
        <v>8</v>
      </c>
      <c r="AW49" s="5">
        <v>5</v>
      </c>
      <c r="AX49" s="5">
        <v>6</v>
      </c>
      <c r="AY49" s="5">
        <v>3</v>
      </c>
      <c r="AZ49" s="5">
        <v>4</v>
      </c>
      <c r="BA49" s="5">
        <v>2</v>
      </c>
      <c r="BB49" s="5"/>
      <c r="BC49" s="1">
        <f ca="1">OFFSET(A49,0, 3) -0</f>
        <v>19.708759940177515</v>
      </c>
      <c r="BD49" s="1">
        <f ca="1">OFFSET(A49,0, 11) -0</f>
        <v>14.69085683265962</v>
      </c>
      <c r="BE49" s="1">
        <f ca="1">OFFSET(A49,0, 9) -0</f>
        <v>-9.0546673904609634</v>
      </c>
      <c r="BF49" s="1">
        <f ca="1">OFFSET(A49,0, 12) -0</f>
        <v>41.563618944219868</v>
      </c>
      <c r="BG49" s="1">
        <f ca="1">OFFSET(A49,0, 7) -0</f>
        <v>-22.800191613581546</v>
      </c>
      <c r="BH49" s="1">
        <f ca="1">OFFSET(A49,0, 10) -0</f>
        <v>17.818094721099328</v>
      </c>
      <c r="BI49" s="1">
        <f ca="1">OFFSET(A49,0, 5) -0</f>
        <v>3.4542841632980981</v>
      </c>
      <c r="BJ49" s="1">
        <f ca="1">OFFSET(A49,0, 8) -0</f>
        <v>-15.927429502021141</v>
      </c>
      <c r="BK49" s="1">
        <f ca="1">OFFSET(A49,0, 1) -0</f>
        <v>-64.036764282942841</v>
      </c>
      <c r="BL49" s="1">
        <f ca="1">OFFSET(A49,0, 6) -0</f>
        <v>10.327046274858276</v>
      </c>
      <c r="BM49" s="1">
        <f ca="1">OFFSET(A49,0, 4) -0</f>
        <v>6.5815220517376929</v>
      </c>
      <c r="BN49" s="1">
        <f ca="1">OFFSET(A49,0, 2) -0</f>
        <v>2.8359978286173373</v>
      </c>
      <c r="BO49" s="1">
        <f ca="1">OFFSET(A49,0, 14) -0</f>
        <v>-4.6908568326596196</v>
      </c>
      <c r="BP49" s="1">
        <f ca="1">OFFSET(A49,0, 24) -0</f>
        <v>84.036764282942841</v>
      </c>
      <c r="BQ49" s="1">
        <f ca="1">OFFSET(A49,0, 22) -0</f>
        <v>-19.708759940177515</v>
      </c>
      <c r="BR49" s="1">
        <f ca="1">OFFSET(A49,0, 23) -0</f>
        <v>27.164002171382663</v>
      </c>
      <c r="BS49" s="1">
        <f ca="1">OFFSET(A49,0, 20) -0</f>
        <v>6.5457158367019019</v>
      </c>
      <c r="BT49" s="1">
        <f ca="1">OFFSET(A49,0, 21) -0</f>
        <v>3.4184779482623071</v>
      </c>
      <c r="BU49" s="1">
        <f ca="1">OFFSET(A49,0, 18) -0</f>
        <v>12.800191613581546</v>
      </c>
      <c r="BV49" s="1">
        <f ca="1">OFFSET(A49,0, 19) -0</f>
        <v>29.672953725141724</v>
      </c>
      <c r="BW49" s="1">
        <f ca="1">OFFSET(A49,0, 13) -0</f>
        <v>-81.563618944219868</v>
      </c>
      <c r="BX49" s="1">
        <f ca="1">OFFSET(A49,0, 17) -0</f>
        <v>-14.072570497978859</v>
      </c>
      <c r="BY49" s="1">
        <f ca="1">OFFSET(A49,0, 16) -0</f>
        <v>9.0546673904609634</v>
      </c>
      <c r="BZ49" s="1">
        <f ca="1">OFFSET(A49,0, 15) -0</f>
        <v>-57.818094721099328</v>
      </c>
      <c r="CB49" s="1">
        <f>COUNTIF(B49,"&lt;-68")</f>
        <v>0</v>
      </c>
      <c r="CC49" s="1">
        <f ca="1">COUNTIF(BC49:BN49,"&lt;-48")</f>
        <v>1</v>
      </c>
      <c r="CD49" s="1">
        <f ca="1">COUNTIF(BC49:BN49,"&gt;+48")</f>
        <v>0</v>
      </c>
      <c r="CE49" s="1">
        <f ca="1">COUNTIF(BO49:BZ49,"&lt;-48")</f>
        <v>2</v>
      </c>
      <c r="CF49" s="1">
        <f ca="1">COUNTIF(BO49:BZ49,"&gt;+48")</f>
        <v>1</v>
      </c>
    </row>
    <row r="50" spans="1:84">
      <c r="A50" s="1">
        <v>47</v>
      </c>
      <c r="B50" s="1">
        <f>'Team A 1'!B50-'Team A 1'!$AA50-('Team A 1'!B$2- 12.5)*'Team A 1'!$AC50</f>
        <v>39.704380030008906</v>
      </c>
      <c r="C50" s="1">
        <f>'Team A 1'!C50-'Team A 1'!$AA50-('Team A 1'!C$2- 12.5)*'Team A 1'!$AC50</f>
        <v>-13.85687040738344</v>
      </c>
      <c r="D50" s="1">
        <f>'Team A 1'!D50-'Team A 1'!$AA50-('Team A 1'!D$2- 12.5)*'Team A 1'!$AC50</f>
        <v>-37.418120844775331</v>
      </c>
      <c r="E50" s="1">
        <f>'Team A 1'!E50-'Team A 1'!$AA50-('Team A 1'!E$2- 12.5)*'Team A 1'!$AC50</f>
        <v>-10.979371282167449</v>
      </c>
      <c r="F50" s="1">
        <f>'Team A 1'!F50-'Team A 1'!$AA50-('Team A 1'!F$2- 12.5)*'Team A 1'!$AC50</f>
        <v>-24.540621719559567</v>
      </c>
      <c r="G50" s="1">
        <f>'Team A 1'!G50-'Team A 1'!$AA50-('Team A 1'!G$2- 12.5)*'Team A 1'!$AC50</f>
        <v>1.8981278430483144</v>
      </c>
      <c r="H50" s="1">
        <f>'Team A 1'!H50-'Team A 1'!$AA50-('Team A 1'!H$2- 12.5)*'Team A 1'!$AC50</f>
        <v>8.3368774056564234</v>
      </c>
      <c r="I50" s="1">
        <f>'Team A 1'!I50-'Team A 1'!$AA50-('Team A 1'!I$2- 12.5)*'Team A 1'!$AC50</f>
        <v>4.7756269682643051</v>
      </c>
      <c r="J50" s="1">
        <f>'Team A 1'!J50-'Team A 1'!$AA50-('Team A 1'!J$2- 12.5)*'Team A 1'!$AC50</f>
        <v>1.2143765308721868</v>
      </c>
      <c r="K50" s="1">
        <f>'Team A 1'!K50-'Team A 1'!$AA50-('Team A 1'!K$2- 12.5)*'Team A 1'!$AC50</f>
        <v>27.653126093480182</v>
      </c>
      <c r="L50" s="1">
        <f>'Team A 1'!L50-'Team A 1'!$AA50-('Team A 1'!L$2- 12.5)*'Team A 1'!$AC50</f>
        <v>4.0918756560880638</v>
      </c>
      <c r="M50" s="1">
        <f>'Team A 1'!M50-'Team A 1'!$AA50-('Team A 1'!M$2- 12.5)*'Team A 1'!$AC50</f>
        <v>10.530625218696031</v>
      </c>
      <c r="N50" s="1">
        <f>'Team A 1'!N50-'Team A 1'!$AA50-('Team A 1'!N$2- 12.5)*'Team A 1'!$AC50</f>
        <v>-3.0306252186960307</v>
      </c>
      <c r="O50" s="1">
        <f>'Team A 1'!O50-'Team A 1'!$AA50-('Team A 1'!O$2- 12.5)*'Team A 1'!$AC50</f>
        <v>33.408124343911936</v>
      </c>
      <c r="P50" s="1">
        <f>'Team A 1'!P50-'Team A 1'!$AA50-('Team A 1'!P$2- 12.5)*'Team A 1'!$AC50</f>
        <v>-0.15312609348018213</v>
      </c>
      <c r="Q50" s="1">
        <f>'Team A 1'!Q50-'Team A 1'!$AA50-('Team A 1'!Q$2- 12.5)*'Team A 1'!$AC50</f>
        <v>46.285623469127813</v>
      </c>
      <c r="R50" s="1">
        <f>'Team A 1'!R50-'Team A 1'!$AA50-('Team A 1'!R$2- 12.5)*'Team A 1'!$AC50</f>
        <v>-17.275626968264305</v>
      </c>
      <c r="S50" s="1">
        <f>'Team A 1'!S50-'Team A 1'!$AA50-('Team A 1'!S$2- 12.5)*'Team A 1'!$AC50</f>
        <v>-30.836877405656423</v>
      </c>
      <c r="T50" s="1">
        <f>'Team A 1'!T50-'Team A 1'!$AA50-('Team A 1'!T$2- 12.5)*'Team A 1'!$AC50</f>
        <v>-44.398127843048314</v>
      </c>
      <c r="U50" s="1">
        <f>'Team A 1'!U50-'Team A 1'!$AA50-('Team A 1'!U$2- 12.5)*'Team A 1'!$AC50</f>
        <v>2.0406217195595673</v>
      </c>
      <c r="V50" s="1">
        <f>'Team A 1'!V50-'Team A 1'!$AA50-('Team A 1'!V$2- 12.5)*'Team A 1'!$AC50</f>
        <v>-21.520628717832551</v>
      </c>
      <c r="W50" s="1">
        <f>'Team A 1'!W50-'Team A 1'!$AA50-('Team A 1'!W$2- 12.5)*'Team A 1'!$AC50</f>
        <v>-5.0818791552246694</v>
      </c>
      <c r="X50" s="1">
        <f>'Team A 1'!X50-'Team A 1'!$AA50-('Team A 1'!X$2- 12.5)*'Team A 1'!$AC50</f>
        <v>11.35687040738344</v>
      </c>
      <c r="Y50" s="1">
        <f>'Team A 1'!Y50-'Team A 1'!$AA50-('Team A 1'!Y$2- 12.5)*'Team A 1'!$AC50</f>
        <v>17.795619969991094</v>
      </c>
      <c r="AB50" s="1">
        <f>STDEV(B50:Y50)</f>
        <v>23.132970400580433</v>
      </c>
      <c r="AD50" s="5">
        <v>1</v>
      </c>
      <c r="AE50" s="5">
        <v>9</v>
      </c>
      <c r="AF50" s="5" t="s">
        <v>46</v>
      </c>
      <c r="AG50" s="5" t="s">
        <v>47</v>
      </c>
      <c r="AH50" s="5">
        <v>7</v>
      </c>
      <c r="AI50" s="5" t="s">
        <v>45</v>
      </c>
      <c r="AJ50" s="5">
        <v>5</v>
      </c>
      <c r="AK50" s="5">
        <v>8</v>
      </c>
      <c r="AL50" s="5">
        <v>3</v>
      </c>
      <c r="AM50" s="5">
        <v>6</v>
      </c>
      <c r="AN50" s="5">
        <v>2</v>
      </c>
      <c r="AO50" s="5">
        <v>4</v>
      </c>
      <c r="AP50" s="5">
        <v>9</v>
      </c>
      <c r="AQ50" s="5">
        <v>1</v>
      </c>
      <c r="AR50" s="5" t="s">
        <v>46</v>
      </c>
      <c r="AS50" s="5">
        <v>7</v>
      </c>
      <c r="AT50" s="5" t="s">
        <v>47</v>
      </c>
      <c r="AU50" s="5">
        <v>5</v>
      </c>
      <c r="AV50" s="5" t="s">
        <v>45</v>
      </c>
      <c r="AW50" s="5">
        <v>3</v>
      </c>
      <c r="AX50" s="5">
        <v>8</v>
      </c>
      <c r="AY50" s="5">
        <v>2</v>
      </c>
      <c r="AZ50" s="5">
        <v>6</v>
      </c>
      <c r="BA50" s="5">
        <v>4</v>
      </c>
      <c r="BB50" s="5"/>
      <c r="BC50" s="1">
        <f ca="1">OFFSET(A50,0, 1) -0</f>
        <v>39.704380030008906</v>
      </c>
      <c r="BD50" s="1">
        <f ca="1">OFFSET(A50,0, 11) -0</f>
        <v>4.0918756560880638</v>
      </c>
      <c r="BE50" s="1">
        <f ca="1">OFFSET(A50,0, 9) -0</f>
        <v>1.2143765308721868</v>
      </c>
      <c r="BF50" s="1">
        <f ca="1">OFFSET(A50,0, 12) -0</f>
        <v>10.530625218696031</v>
      </c>
      <c r="BG50" s="1">
        <f ca="1">OFFSET(A50,0, 7) -0</f>
        <v>8.3368774056564234</v>
      </c>
      <c r="BH50" s="1">
        <f ca="1">OFFSET(A50,0, 10) -0</f>
        <v>27.653126093480182</v>
      </c>
      <c r="BI50" s="1">
        <f ca="1">OFFSET(A50,0, 5) -0</f>
        <v>-24.540621719559567</v>
      </c>
      <c r="BJ50" s="1">
        <f ca="1">OFFSET(A50,0, 8) -0</f>
        <v>4.7756269682643051</v>
      </c>
      <c r="BK50" s="1">
        <f ca="1">OFFSET(A50,0, 2) -0</f>
        <v>-13.85687040738344</v>
      </c>
      <c r="BL50" s="1">
        <f ca="1">OFFSET(A50,0, 6) -0</f>
        <v>1.8981278430483144</v>
      </c>
      <c r="BM50" s="1">
        <f ca="1">OFFSET(A50,0, 3) -0</f>
        <v>-37.418120844775331</v>
      </c>
      <c r="BN50" s="1">
        <f ca="1">OFFSET(A50,0, 4) -0</f>
        <v>-10.979371282167449</v>
      </c>
      <c r="BO50" s="1">
        <f ca="1">OFFSET(A50,0, 14) -0</f>
        <v>33.408124343911936</v>
      </c>
      <c r="BP50" s="1">
        <f ca="1">OFFSET(A50,0, 22) -0</f>
        <v>-5.0818791552246694</v>
      </c>
      <c r="BQ50" s="1">
        <f ca="1">OFFSET(A50,0, 20) -0</f>
        <v>2.0406217195595673</v>
      </c>
      <c r="BR50" s="1">
        <f ca="1">OFFSET(A50,0, 24) -0</f>
        <v>17.795619969991094</v>
      </c>
      <c r="BS50" s="1">
        <f ca="1">OFFSET(A50,0, 18) -0</f>
        <v>-30.836877405656423</v>
      </c>
      <c r="BT50" s="1">
        <f ca="1">OFFSET(A50,0, 23) -0</f>
        <v>11.35687040738344</v>
      </c>
      <c r="BU50" s="1">
        <f ca="1">OFFSET(A50,0, 16) -0</f>
        <v>46.285623469127813</v>
      </c>
      <c r="BV50" s="1">
        <f ca="1">OFFSET(A50,0, 21) -0</f>
        <v>-21.520628717832551</v>
      </c>
      <c r="BW50" s="1">
        <f ca="1">OFFSET(A50,0, 13) -0</f>
        <v>-3.0306252186960307</v>
      </c>
      <c r="BX50" s="1">
        <f ca="1">OFFSET(A50,0, 19) -0</f>
        <v>-44.398127843048314</v>
      </c>
      <c r="BY50" s="1">
        <f ca="1">OFFSET(A50,0, 15) -0</f>
        <v>-0.15312609348018213</v>
      </c>
      <c r="BZ50" s="1">
        <f ca="1">OFFSET(A50,0, 17) -0</f>
        <v>-17.275626968264305</v>
      </c>
      <c r="CB50" s="1">
        <f>COUNTIF(B50,"&lt;-68")</f>
        <v>0</v>
      </c>
      <c r="CC50" s="1">
        <f ca="1">COUNTIF(BC50:BN50,"&lt;-48")</f>
        <v>0</v>
      </c>
      <c r="CD50" s="1">
        <f ca="1">COUNTIF(BC50:BN50,"&gt;+48")</f>
        <v>0</v>
      </c>
      <c r="CE50" s="1">
        <f ca="1">COUNTIF(BO50:BZ50,"&lt;-48")</f>
        <v>0</v>
      </c>
      <c r="CF50" s="1">
        <f ca="1">COUNTIF(BO50:BZ50,"&gt;+48")</f>
        <v>0</v>
      </c>
    </row>
    <row r="51" spans="1:84">
      <c r="A51" s="1">
        <v>48</v>
      </c>
      <c r="B51" s="1">
        <f>'Team A 1'!B51-'Team A 1'!$AA51-('Team A 1'!B$2- 12.5)*'Team A 1'!$AC51</f>
        <v>21.589104509064782</v>
      </c>
      <c r="C51" s="1">
        <f>'Team A 1'!C51-'Team A 1'!$AA51-('Team A 1'!C$2- 12.5)*'Team A 1'!$AC51</f>
        <v>17.719037450303858</v>
      </c>
      <c r="D51" s="1">
        <f>'Team A 1'!D51-'Team A 1'!$AA51-('Team A 1'!D$2- 12.5)*'Team A 1'!$AC51</f>
        <v>43.848970391542935</v>
      </c>
      <c r="E51" s="1">
        <f>'Team A 1'!E51-'Team A 1'!$AA51-('Team A 1'!E$2- 12.5)*'Team A 1'!$AC51</f>
        <v>9.9789033327820107</v>
      </c>
      <c r="F51" s="1">
        <f>'Team A 1'!F51-'Team A 1'!$AA51-('Team A 1'!F$2- 12.5)*'Team A 1'!$AC51</f>
        <v>-3.8911637259789131</v>
      </c>
      <c r="G51" s="1">
        <f>'Team A 1'!G51-'Team A 1'!$AA51-('Team A 1'!G$2- 12.5)*'Team A 1'!$AC51</f>
        <v>12.238769215260163</v>
      </c>
      <c r="H51" s="1">
        <f>'Team A 1'!H51-'Team A 1'!$AA51-('Team A 1'!H$2- 12.5)*'Team A 1'!$AC51</f>
        <v>38.368702156499239</v>
      </c>
      <c r="I51" s="1">
        <f>'Team A 1'!I51-'Team A 1'!$AA51-('Team A 1'!I$2- 12.5)*'Team A 1'!$AC51</f>
        <v>4.4986350977382017</v>
      </c>
      <c r="J51" s="1">
        <f>'Team A 1'!J51-'Team A 1'!$AA51-('Team A 1'!J$2- 12.5)*'Team A 1'!$AC51</f>
        <v>-19.371431961022722</v>
      </c>
      <c r="K51" s="1">
        <f>'Team A 1'!K51-'Team A 1'!$AA51-('Team A 1'!K$2- 12.5)*'Team A 1'!$AC51</f>
        <v>-33.241499019783703</v>
      </c>
      <c r="L51" s="1">
        <f>'Team A 1'!L51-'Team A 1'!$AA51-('Team A 1'!L$2- 12.5)*'Team A 1'!$AC51</f>
        <v>-17.111566078544627</v>
      </c>
      <c r="M51" s="1">
        <f>'Team A 1'!M51-'Team A 1'!$AA51-('Team A 1'!M$2- 12.5)*'Team A 1'!$AC51</f>
        <v>-50.981633137305593</v>
      </c>
      <c r="N51" s="1">
        <f>'Team A 1'!N51-'Team A 1'!$AA51-('Team A 1'!N$2- 12.5)*'Team A 1'!$AC51</f>
        <v>-4.8517001960665453</v>
      </c>
      <c r="O51" s="1">
        <f>'Team A 1'!O51-'Team A 1'!$AA51-('Team A 1'!O$2- 12.5)*'Team A 1'!$AC51</f>
        <v>-48.721767254827512</v>
      </c>
      <c r="P51" s="1">
        <f>'Team A 1'!P51-'Team A 1'!$AA51-('Team A 1'!P$2- 12.5)*'Team A 1'!$AC51</f>
        <v>7.4081656864115644</v>
      </c>
      <c r="Q51" s="1">
        <f>'Team A 1'!Q51-'Team A 1'!$AA51-('Team A 1'!Q$2- 12.5)*'Team A 1'!$AC51</f>
        <v>23.538098627650584</v>
      </c>
      <c r="R51" s="1">
        <f>'Team A 1'!R51-'Team A 1'!$AA51-('Team A 1'!R$2- 12.5)*'Team A 1'!$AC51</f>
        <v>-0.33196843111034013</v>
      </c>
      <c r="S51" s="1">
        <f>'Team A 1'!S51-'Team A 1'!$AA51-('Team A 1'!S$2- 12.5)*'Team A 1'!$AC51</f>
        <v>5.7979645101286224</v>
      </c>
      <c r="T51" s="1">
        <f>'Team A 1'!T51-'Team A 1'!$AA51-('Team A 1'!T$2- 12.5)*'Team A 1'!$AC51</f>
        <v>-28.072102548632301</v>
      </c>
      <c r="U51" s="1">
        <f>'Team A 1'!U51-'Team A 1'!$AA51-('Team A 1'!U$2- 12.5)*'Team A 1'!$AC51</f>
        <v>-11.942169607393225</v>
      </c>
      <c r="V51" s="1">
        <f>'Team A 1'!V51-'Team A 1'!$AA51-('Team A 1'!V$2- 12.5)*'Team A 1'!$AC51</f>
        <v>24.187763333845851</v>
      </c>
      <c r="W51" s="1">
        <f>'Team A 1'!W51-'Team A 1'!$AA51-('Team A 1'!W$2- 12.5)*'Team A 1'!$AC51</f>
        <v>10.317696275084927</v>
      </c>
      <c r="X51" s="1">
        <f>'Team A 1'!X51-'Team A 1'!$AA51-('Team A 1'!X$2- 12.5)*'Team A 1'!$AC51</f>
        <v>-13.552370783675997</v>
      </c>
      <c r="Y51" s="1">
        <f>'Team A 1'!Y51-'Team A 1'!$AA51-('Team A 1'!Y$2- 12.5)*'Team A 1'!$AC51</f>
        <v>12.577562157563079</v>
      </c>
      <c r="AB51" s="1">
        <f>STDEV(B51:Y51)</f>
        <v>24.526731170802961</v>
      </c>
      <c r="AD51" s="5">
        <v>1</v>
      </c>
      <c r="AE51" s="5">
        <v>9</v>
      </c>
      <c r="AF51" s="5">
        <v>7</v>
      </c>
      <c r="AG51" s="5" t="s">
        <v>46</v>
      </c>
      <c r="AH51" s="5">
        <v>5</v>
      </c>
      <c r="AI51" s="5" t="s">
        <v>47</v>
      </c>
      <c r="AJ51" s="5">
        <v>3</v>
      </c>
      <c r="AK51" s="5" t="s">
        <v>45</v>
      </c>
      <c r="AL51" s="5">
        <v>2</v>
      </c>
      <c r="AM51" s="5">
        <v>8</v>
      </c>
      <c r="AN51" s="5">
        <v>4</v>
      </c>
      <c r="AO51" s="5">
        <v>6</v>
      </c>
      <c r="AP51" s="5">
        <v>1</v>
      </c>
      <c r="AQ51" s="5">
        <v>9</v>
      </c>
      <c r="AR51" s="5" t="s">
        <v>46</v>
      </c>
      <c r="AS51" s="5">
        <v>7</v>
      </c>
      <c r="AT51" s="5" t="s">
        <v>47</v>
      </c>
      <c r="AU51" s="5">
        <v>5</v>
      </c>
      <c r="AV51" s="5" t="s">
        <v>45</v>
      </c>
      <c r="AW51" s="5">
        <v>3</v>
      </c>
      <c r="AX51" s="5">
        <v>8</v>
      </c>
      <c r="AY51" s="5">
        <v>2</v>
      </c>
      <c r="AZ51" s="5">
        <v>6</v>
      </c>
      <c r="BA51" s="5">
        <v>4</v>
      </c>
      <c r="BB51" s="5"/>
      <c r="BC51" s="1">
        <f ca="1">OFFSET(A51,0, 1) -0</f>
        <v>21.589104509064782</v>
      </c>
      <c r="BD51" s="1">
        <f ca="1">OFFSET(A51,0, 9) -0</f>
        <v>-19.371431961022722</v>
      </c>
      <c r="BE51" s="1">
        <f ca="1">OFFSET(A51,0, 7) -0</f>
        <v>38.368702156499239</v>
      </c>
      <c r="BF51" s="1">
        <f ca="1">OFFSET(A51,0, 11) -0</f>
        <v>-17.111566078544627</v>
      </c>
      <c r="BG51" s="1">
        <f ca="1">OFFSET(A51,0, 5) -0</f>
        <v>-3.8911637259789131</v>
      </c>
      <c r="BH51" s="1">
        <f ca="1">OFFSET(A51,0, 12) -0</f>
        <v>-50.981633137305593</v>
      </c>
      <c r="BI51" s="1">
        <f ca="1">OFFSET(A51,0, 3) -0</f>
        <v>43.848970391542935</v>
      </c>
      <c r="BJ51" s="1">
        <f ca="1">OFFSET(A51,0, 10) -0</f>
        <v>-33.241499019783703</v>
      </c>
      <c r="BK51" s="1">
        <f ca="1">OFFSET(A51,0, 2) -0</f>
        <v>17.719037450303858</v>
      </c>
      <c r="BL51" s="1">
        <f ca="1">OFFSET(A51,0, 8) -0</f>
        <v>4.4986350977382017</v>
      </c>
      <c r="BM51" s="1">
        <f ca="1">OFFSET(A51,0, 4) -0</f>
        <v>9.9789033327820107</v>
      </c>
      <c r="BN51" s="1">
        <f ca="1">OFFSET(A51,0, 6) -0</f>
        <v>12.238769215260163</v>
      </c>
      <c r="BO51" s="1">
        <f ca="1">OFFSET(A51,0, 13) -0</f>
        <v>-4.8517001960665453</v>
      </c>
      <c r="BP51" s="1">
        <f ca="1">OFFSET(A51,0, 22) -0</f>
        <v>10.317696275084927</v>
      </c>
      <c r="BQ51" s="1">
        <f ca="1">OFFSET(A51,0, 20) -0</f>
        <v>-11.942169607393225</v>
      </c>
      <c r="BR51" s="1">
        <f ca="1">OFFSET(A51,0, 24) -0</f>
        <v>12.577562157563079</v>
      </c>
      <c r="BS51" s="1">
        <f ca="1">OFFSET(A51,0, 18) -0</f>
        <v>5.7979645101286224</v>
      </c>
      <c r="BT51" s="1">
        <f ca="1">OFFSET(A51,0, 23) -0</f>
        <v>-13.552370783675997</v>
      </c>
      <c r="BU51" s="1">
        <f ca="1">OFFSET(A51,0, 16) -0</f>
        <v>23.538098627650584</v>
      </c>
      <c r="BV51" s="1">
        <f ca="1">OFFSET(A51,0, 21) -0</f>
        <v>24.187763333845851</v>
      </c>
      <c r="BW51" s="1">
        <f ca="1">OFFSET(A51,0, 14) -0</f>
        <v>-48.721767254827512</v>
      </c>
      <c r="BX51" s="1">
        <f ca="1">OFFSET(A51,0, 19) -0</f>
        <v>-28.072102548632301</v>
      </c>
      <c r="BY51" s="1">
        <f ca="1">OFFSET(A51,0, 15) -0</f>
        <v>7.4081656864115644</v>
      </c>
      <c r="BZ51" s="1">
        <f ca="1">OFFSET(A51,0, 17) -0</f>
        <v>-0.33196843111034013</v>
      </c>
      <c r="CB51" s="1">
        <f>COUNTIF(B51,"&lt;-69")</f>
        <v>0</v>
      </c>
      <c r="CC51" s="1">
        <f ca="1">COUNTIF(BC51:BN51,"&lt;-48")</f>
        <v>1</v>
      </c>
      <c r="CD51" s="1">
        <f ca="1">COUNTIF(BC51:BN51,"&gt;+48")</f>
        <v>0</v>
      </c>
      <c r="CE51" s="1">
        <f ca="1">COUNTIF(BO51:BZ51,"&lt;-48")</f>
        <v>1</v>
      </c>
      <c r="CF51" s="1">
        <f ca="1">COUNTIF(BO51:BZ51,"&gt;+48")</f>
        <v>0</v>
      </c>
    </row>
    <row r="52" spans="1:84">
      <c r="A52" s="1">
        <v>49</v>
      </c>
      <c r="B52" s="1">
        <f>'Team A 1'!B52-'Team A 1'!$AA52-('Team A 1'!B$2- 12.5)*'Team A 1'!$AC52</f>
        <v>-0.95026974492884619</v>
      </c>
      <c r="C52" s="1">
        <f>'Team A 1'!C52-'Team A 1'!$AA52-('Team A 1'!C$2- 12.5)*'Team A 1'!$AC52</f>
        <v>-5.1792317960928358</v>
      </c>
      <c r="D52" s="1">
        <f>'Team A 1'!D52-'Team A 1'!$AA52-('Team A 1'!D$2- 12.5)*'Team A 1'!$AC52</f>
        <v>0.59180615274317461</v>
      </c>
      <c r="E52" s="1">
        <f>'Team A 1'!E52-'Team A 1'!$AA52-('Team A 1'!E$2- 12.5)*'Team A 1'!$AC52</f>
        <v>-13.637155898420815</v>
      </c>
      <c r="F52" s="1">
        <f>'Team A 1'!F52-'Team A 1'!$AA52-('Team A 1'!F$2- 12.5)*'Team A 1'!$AC52</f>
        <v>-17.866117949584577</v>
      </c>
      <c r="G52" s="1">
        <f>'Team A 1'!G52-'Team A 1'!$AA52-('Team A 1'!G$2- 12.5)*'Team A 1'!$AC52</f>
        <v>37.904919999251433</v>
      </c>
      <c r="H52" s="1">
        <f>'Team A 1'!H52-'Team A 1'!$AA52-('Team A 1'!H$2- 12.5)*'Team A 1'!$AC52</f>
        <v>33.675957948087444</v>
      </c>
      <c r="I52" s="1">
        <f>'Team A 1'!I52-'Team A 1'!$AA52-('Team A 1'!I$2- 12.5)*'Team A 1'!$AC52</f>
        <v>59.446995896923681</v>
      </c>
      <c r="J52" s="1">
        <f>'Team A 1'!J52-'Team A 1'!$AA52-('Team A 1'!J$2- 12.5)*'Team A 1'!$AC52</f>
        <v>25.218033845759692</v>
      </c>
      <c r="K52" s="1">
        <f>'Team A 1'!K52-'Team A 1'!$AA52-('Team A 1'!K$2- 12.5)*'Team A 1'!$AC52</f>
        <v>-9.0109282054041842</v>
      </c>
      <c r="L52" s="1">
        <f>'Team A 1'!L52-'Team A 1'!$AA52-('Team A 1'!L$2- 12.5)*'Team A 1'!$AC52</f>
        <v>16.76010974343194</v>
      </c>
      <c r="M52" s="1">
        <f>'Team A 1'!M52-'Team A 1'!$AA52-('Team A 1'!M$2- 12.5)*'Team A 1'!$AC52</f>
        <v>2.5311476922680214</v>
      </c>
      <c r="N52" s="1">
        <f>'Team A 1'!N52-'Team A 1'!$AA52-('Team A 1'!N$2- 12.5)*'Team A 1'!$AC52</f>
        <v>-21.697814358895883</v>
      </c>
      <c r="O52" s="1">
        <f>'Team A 1'!O52-'Team A 1'!$AA52-('Team A 1'!O$2- 12.5)*'Team A 1'!$AC52</f>
        <v>-45.926776410059801</v>
      </c>
      <c r="P52" s="1">
        <f>'Team A 1'!P52-'Team A 1'!$AA52-('Team A 1'!P$2- 12.5)*'Team A 1'!$AC52</f>
        <v>-30.155738461223677</v>
      </c>
      <c r="Q52" s="1">
        <f>'Team A 1'!Q52-'Team A 1'!$AA52-('Team A 1'!Q$2- 12.5)*'Team A 1'!$AC52</f>
        <v>-34.384700512387553</v>
      </c>
      <c r="R52" s="1">
        <f>'Team A 1'!R52-'Team A 1'!$AA52-('Team A 1'!R$2- 12.5)*'Team A 1'!$AC52</f>
        <v>-28.613662563551543</v>
      </c>
      <c r="S52" s="1">
        <f>'Team A 1'!S52-'Team A 1'!$AA52-('Team A 1'!S$2- 12.5)*'Team A 1'!$AC52</f>
        <v>-22.842624614715305</v>
      </c>
      <c r="T52" s="1">
        <f>'Team A 1'!T52-'Team A 1'!$AA52-('Team A 1'!T$2- 12.5)*'Team A 1'!$AC52</f>
        <v>22.928413334120705</v>
      </c>
      <c r="U52" s="1">
        <f>'Team A 1'!U52-'Team A 1'!$AA52-('Team A 1'!U$2- 12.5)*'Team A 1'!$AC52</f>
        <v>18.699451282956716</v>
      </c>
      <c r="V52" s="1">
        <f>'Team A 1'!V52-'Team A 1'!$AA52-('Team A 1'!V$2- 12.5)*'Team A 1'!$AC52</f>
        <v>-15.529510768207047</v>
      </c>
      <c r="W52" s="1">
        <f>'Team A 1'!W52-'Team A 1'!$AA52-('Team A 1'!W$2- 12.5)*'Team A 1'!$AC52</f>
        <v>0.24152718062896383</v>
      </c>
      <c r="X52" s="1">
        <f>'Team A 1'!X52-'Team A 1'!$AA52-('Team A 1'!X$2- 12.5)*'Team A 1'!$AC52</f>
        <v>16.012565129464974</v>
      </c>
      <c r="Y52" s="1">
        <f>'Team A 1'!Y52-'Team A 1'!$AA52-('Team A 1'!Y$2- 12.5)*'Team A 1'!$AC52</f>
        <v>11.783603078300985</v>
      </c>
      <c r="AB52" s="1">
        <f>STDEV(B52:Y52)</f>
        <v>25.679148084965828</v>
      </c>
      <c r="AD52" s="5">
        <v>9</v>
      </c>
      <c r="AE52" s="5">
        <v>1</v>
      </c>
      <c r="AF52" s="5">
        <v>7</v>
      </c>
      <c r="AG52" s="5" t="s">
        <v>46</v>
      </c>
      <c r="AH52" s="5">
        <v>5</v>
      </c>
      <c r="AI52" s="5" t="s">
        <v>47</v>
      </c>
      <c r="AJ52" s="5">
        <v>3</v>
      </c>
      <c r="AK52" s="5" t="s">
        <v>45</v>
      </c>
      <c r="AL52" s="5">
        <v>2</v>
      </c>
      <c r="AM52" s="5">
        <v>8</v>
      </c>
      <c r="AN52" s="5">
        <v>4</v>
      </c>
      <c r="AO52" s="5">
        <v>6</v>
      </c>
      <c r="AP52" s="5">
        <v>1</v>
      </c>
      <c r="AQ52" s="5">
        <v>9</v>
      </c>
      <c r="AR52" s="5">
        <v>7</v>
      </c>
      <c r="AS52" s="5">
        <v>5</v>
      </c>
      <c r="AT52" s="5" t="s">
        <v>46</v>
      </c>
      <c r="AU52" s="5">
        <v>3</v>
      </c>
      <c r="AV52" s="5" t="s">
        <v>47</v>
      </c>
      <c r="AW52" s="5">
        <v>2</v>
      </c>
      <c r="AX52" s="5" t="s">
        <v>45</v>
      </c>
      <c r="AY52" s="5">
        <v>4</v>
      </c>
      <c r="AZ52" s="5">
        <v>8</v>
      </c>
      <c r="BA52" s="5">
        <v>6</v>
      </c>
      <c r="BB52" s="5"/>
      <c r="BC52" s="1">
        <f ca="1">OFFSET(A52,0, 2) -0</f>
        <v>-5.1792317960928358</v>
      </c>
      <c r="BD52" s="1">
        <f ca="1">OFFSET(A52,0, 9) -0</f>
        <v>25.218033845759692</v>
      </c>
      <c r="BE52" s="1">
        <f ca="1">OFFSET(A52,0, 7) -0</f>
        <v>33.675957948087444</v>
      </c>
      <c r="BF52" s="1">
        <f ca="1">OFFSET(A52,0, 11) -0</f>
        <v>16.76010974343194</v>
      </c>
      <c r="BG52" s="1">
        <f ca="1">OFFSET(A52,0, 5) -0</f>
        <v>-17.866117949584577</v>
      </c>
      <c r="BH52" s="1">
        <f ca="1">OFFSET(A52,0, 12) -0</f>
        <v>2.5311476922680214</v>
      </c>
      <c r="BI52" s="1">
        <f ca="1">OFFSET(A52,0, 3) -0</f>
        <v>0.59180615274317461</v>
      </c>
      <c r="BJ52" s="1">
        <f ca="1">OFFSET(A52,0, 10) -0</f>
        <v>-9.0109282054041842</v>
      </c>
      <c r="BK52" s="1">
        <f ca="1">OFFSET(A52,0, 1) -0</f>
        <v>-0.95026974492884619</v>
      </c>
      <c r="BL52" s="1">
        <f ca="1">OFFSET(A52,0, 8) -0</f>
        <v>59.446995896923681</v>
      </c>
      <c r="BM52" s="1">
        <f ca="1">OFFSET(A52,0, 4) -0</f>
        <v>-13.637155898420815</v>
      </c>
      <c r="BN52" s="1">
        <f ca="1">OFFSET(A52,0, 6) -0</f>
        <v>37.904919999251433</v>
      </c>
      <c r="BO52" s="1">
        <f ca="1">OFFSET(A52,0, 13) -0</f>
        <v>-21.697814358895883</v>
      </c>
      <c r="BP52" s="1">
        <f ca="1">OFFSET(A52,0, 20) -0</f>
        <v>18.699451282956716</v>
      </c>
      <c r="BQ52" s="1">
        <f ca="1">OFFSET(A52,0, 18) -0</f>
        <v>-22.842624614715305</v>
      </c>
      <c r="BR52" s="1">
        <f ca="1">OFFSET(A52,0, 22) -0</f>
        <v>0.24152718062896383</v>
      </c>
      <c r="BS52" s="1">
        <f ca="1">OFFSET(A52,0, 16) -0</f>
        <v>-34.384700512387553</v>
      </c>
      <c r="BT52" s="1">
        <f ca="1">OFFSET(A52,0, 24) -0</f>
        <v>11.783603078300985</v>
      </c>
      <c r="BU52" s="1">
        <f ca="1">OFFSET(A52,0, 15) -0</f>
        <v>-30.155738461223677</v>
      </c>
      <c r="BV52" s="1">
        <f ca="1">OFFSET(A52,0, 23) -0</f>
        <v>16.012565129464974</v>
      </c>
      <c r="BW52" s="1">
        <f ca="1">OFFSET(A52,0, 14) -0</f>
        <v>-45.926776410059801</v>
      </c>
      <c r="BX52" s="1">
        <f ca="1">OFFSET(A52,0, 21) -0</f>
        <v>-15.529510768207047</v>
      </c>
      <c r="BY52" s="1">
        <f ca="1">OFFSET(A52,0, 17) -0</f>
        <v>-28.613662563551543</v>
      </c>
      <c r="BZ52" s="1">
        <f ca="1">OFFSET(A52,0, 19) -0</f>
        <v>22.928413334120705</v>
      </c>
      <c r="CB52" s="1">
        <f>COUNTIF(B52,"&lt;-69")</f>
        <v>0</v>
      </c>
      <c r="CC52" s="1">
        <f ca="1">COUNTIF(BC52:BN52,"&lt;-49")</f>
        <v>0</v>
      </c>
      <c r="CD52" s="1">
        <f ca="1">COUNTIF(BC52:BN52,"&gt;+49")</f>
        <v>1</v>
      </c>
      <c r="CE52" s="1">
        <f ca="1">COUNTIF(BO52:BZ52,"&lt;-49")</f>
        <v>0</v>
      </c>
      <c r="CF52" s="1">
        <f ca="1">COUNTIF(BO52:BZ52,"&gt;+49")</f>
        <v>0</v>
      </c>
    </row>
    <row r="53" spans="1:84">
      <c r="A53" s="1">
        <v>50</v>
      </c>
      <c r="B53" s="1">
        <f>'Team A 1'!B53-'Team A 1'!$AA53-('Team A 1'!B$2- 12.5)*'Team A 1'!$AC53</f>
        <v>-31.10950434517963</v>
      </c>
      <c r="C53" s="1">
        <f>'Team A 1'!C53-'Team A 1'!$AA53-('Team A 1'!C$2- 12.5)*'Team A 1'!$AC53</f>
        <v>34.711611974689276</v>
      </c>
      <c r="D53" s="1">
        <f>'Team A 1'!D53-'Team A 1'!$AA53-('Team A 1'!D$2- 12.5)*'Team A 1'!$AC53</f>
        <v>10.532728294558183</v>
      </c>
      <c r="E53" s="1">
        <f>'Team A 1'!E53-'Team A 1'!$AA53-('Team A 1'!E$2- 12.5)*'Team A 1'!$AC53</f>
        <v>6.3538446144273166</v>
      </c>
      <c r="F53" s="1">
        <f>'Team A 1'!F53-'Team A 1'!$AA53-('Team A 1'!F$2- 12.5)*'Team A 1'!$AC53</f>
        <v>-7.8250390657037769</v>
      </c>
      <c r="G53" s="1">
        <f>'Team A 1'!G53-'Team A 1'!$AA53-('Team A 1'!G$2- 12.5)*'Team A 1'!$AC53</f>
        <v>-22.003922745834643</v>
      </c>
      <c r="H53" s="1">
        <f>'Team A 1'!H53-'Team A 1'!$AA53-('Team A 1'!H$2- 12.5)*'Team A 1'!$AC53</f>
        <v>-46.182806425965737</v>
      </c>
      <c r="I53" s="1">
        <f>'Team A 1'!I53-'Team A 1'!$AA53-('Team A 1'!I$2- 12.5)*'Team A 1'!$AC53</f>
        <v>9.6383098939033971</v>
      </c>
      <c r="J53" s="1">
        <f>'Team A 1'!J53-'Team A 1'!$AA53-('Team A 1'!J$2- 12.5)*'Team A 1'!$AC53</f>
        <v>-14.540573786227696</v>
      </c>
      <c r="K53" s="1">
        <f>'Team A 1'!K53-'Team A 1'!$AA53-('Team A 1'!K$2- 12.5)*'Team A 1'!$AC53</f>
        <v>-8.7194574663586195</v>
      </c>
      <c r="L53" s="1">
        <f>'Team A 1'!L53-'Team A 1'!$AA53-('Team A 1'!L$2- 12.5)*'Team A 1'!$AC53</f>
        <v>27.101658853510401</v>
      </c>
      <c r="M53" s="1">
        <f>'Team A 1'!M53-'Team A 1'!$AA53-('Team A 1'!M$2- 12.5)*'Team A 1'!$AC53</f>
        <v>12.922775173379421</v>
      </c>
      <c r="N53" s="1">
        <f>'Team A 1'!N53-'Team A 1'!$AA53-('Team A 1'!N$2- 12.5)*'Team A 1'!$AC53</f>
        <v>-11.256108506751559</v>
      </c>
      <c r="O53" s="1">
        <f>'Team A 1'!O53-'Team A 1'!$AA53-('Team A 1'!O$2- 12.5)*'Team A 1'!$AC53</f>
        <v>-5.434992186882539</v>
      </c>
      <c r="P53" s="1">
        <f>'Team A 1'!P53-'Team A 1'!$AA53-('Team A 1'!P$2- 12.5)*'Team A 1'!$AC53</f>
        <v>10.386124132986481</v>
      </c>
      <c r="Q53" s="1">
        <f>'Team A 1'!Q53-'Team A 1'!$AA53-('Team A 1'!Q$2- 12.5)*'Team A 1'!$AC53</f>
        <v>-3.792759547144442</v>
      </c>
      <c r="R53" s="1">
        <f>'Team A 1'!R53-'Team A 1'!$AA53-('Team A 1'!R$2- 12.5)*'Team A 1'!$AC53</f>
        <v>-17.971643227275536</v>
      </c>
      <c r="S53" s="1">
        <f>'Team A 1'!S53-'Team A 1'!$AA53-('Team A 1'!S$2- 12.5)*'Team A 1'!$AC53</f>
        <v>-12.150526907406402</v>
      </c>
      <c r="T53" s="1">
        <f>'Team A 1'!T53-'Team A 1'!$AA53-('Team A 1'!T$2- 12.5)*'Team A 1'!$AC53</f>
        <v>-16.329410587537495</v>
      </c>
      <c r="U53" s="1">
        <f>'Team A 1'!U53-'Team A 1'!$AA53-('Team A 1'!U$2- 12.5)*'Team A 1'!$AC53</f>
        <v>-10.508294267668361</v>
      </c>
      <c r="V53" s="1">
        <f>'Team A 1'!V53-'Team A 1'!$AA53-('Team A 1'!V$2- 12.5)*'Team A 1'!$AC53</f>
        <v>-14.687177947799455</v>
      </c>
      <c r="W53" s="1">
        <f>'Team A 1'!W53-'Team A 1'!$AA53-('Team A 1'!W$2- 12.5)*'Team A 1'!$AC53</f>
        <v>41.133938372069679</v>
      </c>
      <c r="X53" s="1">
        <f>'Team A 1'!X53-'Team A 1'!$AA53-('Team A 1'!X$2- 12.5)*'Team A 1'!$AC53</f>
        <v>16.955054691938585</v>
      </c>
      <c r="Y53" s="1">
        <f>'Team A 1'!Y53-'Team A 1'!$AA53-('Team A 1'!Y$2- 12.5)*'Team A 1'!$AC53</f>
        <v>52.776171011807492</v>
      </c>
      <c r="AB53" s="1">
        <f>STDEV(B53:Y53)</f>
        <v>23.210578339542352</v>
      </c>
      <c r="AD53" s="5">
        <v>9</v>
      </c>
      <c r="AE53" s="5">
        <v>1</v>
      </c>
      <c r="AF53" s="5">
        <v>5</v>
      </c>
      <c r="AG53" s="5">
        <v>7</v>
      </c>
      <c r="AH53" s="5">
        <v>3</v>
      </c>
      <c r="AI53" s="5" t="s">
        <v>46</v>
      </c>
      <c r="AJ53" s="5">
        <v>2</v>
      </c>
      <c r="AK53" s="5" t="s">
        <v>47</v>
      </c>
      <c r="AL53" s="5">
        <v>4</v>
      </c>
      <c r="AM53" s="5" t="s">
        <v>45</v>
      </c>
      <c r="AN53" s="5">
        <v>6</v>
      </c>
      <c r="AO53" s="5">
        <v>8</v>
      </c>
      <c r="AP53" s="5">
        <v>9</v>
      </c>
      <c r="AQ53" s="5">
        <v>5</v>
      </c>
      <c r="AR53" s="5">
        <v>1</v>
      </c>
      <c r="AS53" s="5">
        <v>7</v>
      </c>
      <c r="AT53" s="5" t="s">
        <v>46</v>
      </c>
      <c r="AU53" s="5">
        <v>3</v>
      </c>
      <c r="AV53" s="5" t="s">
        <v>47</v>
      </c>
      <c r="AW53" s="5">
        <v>2</v>
      </c>
      <c r="AX53" s="5" t="s">
        <v>45</v>
      </c>
      <c r="AY53" s="5">
        <v>4</v>
      </c>
      <c r="AZ53" s="5">
        <v>8</v>
      </c>
      <c r="BA53" s="5">
        <v>6</v>
      </c>
      <c r="BB53" s="5"/>
      <c r="BC53" s="1">
        <f ca="1">OFFSET(A53,0, 2) -0</f>
        <v>34.711611974689276</v>
      </c>
      <c r="BD53" s="1">
        <f ca="1">OFFSET(A53,0, 7) -0</f>
        <v>-46.182806425965737</v>
      </c>
      <c r="BE53" s="1">
        <f ca="1">OFFSET(A53,0, 5) -0</f>
        <v>-7.8250390657037769</v>
      </c>
      <c r="BF53" s="1">
        <f ca="1">OFFSET(A53,0, 9) -0</f>
        <v>-14.540573786227696</v>
      </c>
      <c r="BG53" s="1">
        <f ca="1">OFFSET(A53,0, 3) -0</f>
        <v>10.532728294558183</v>
      </c>
      <c r="BH53" s="1">
        <f ca="1">OFFSET(A53,0, 11) -0</f>
        <v>27.101658853510401</v>
      </c>
      <c r="BI53" s="1">
        <f ca="1">OFFSET(A53,0, 4) -0</f>
        <v>6.3538446144273166</v>
      </c>
      <c r="BJ53" s="1">
        <f ca="1">OFFSET(A53,0, 12) -0</f>
        <v>12.922775173379421</v>
      </c>
      <c r="BK53" s="1">
        <f ca="1">OFFSET(A53,0, 1) -0</f>
        <v>-31.10950434517963</v>
      </c>
      <c r="BL53" s="1">
        <f ca="1">OFFSET(A53,0, 10) -0</f>
        <v>-8.7194574663586195</v>
      </c>
      <c r="BM53" s="1">
        <f ca="1">OFFSET(A53,0, 6) -0</f>
        <v>-22.003922745834643</v>
      </c>
      <c r="BN53" s="1">
        <f ca="1">OFFSET(A53,0, 8) -0</f>
        <v>9.6383098939033971</v>
      </c>
      <c r="BO53" s="1">
        <f ca="1">OFFSET(A53,0, 15) -0</f>
        <v>10.386124132986481</v>
      </c>
      <c r="BP53" s="1">
        <f ca="1">OFFSET(A53,0, 20) -0</f>
        <v>-10.508294267668361</v>
      </c>
      <c r="BQ53" s="1">
        <f ca="1">OFFSET(A53,0, 18) -0</f>
        <v>-12.150526907406402</v>
      </c>
      <c r="BR53" s="1">
        <f ca="1">OFFSET(A53,0, 22) -0</f>
        <v>41.133938372069679</v>
      </c>
      <c r="BS53" s="1">
        <f ca="1">OFFSET(A53,0, 14) -0</f>
        <v>-5.434992186882539</v>
      </c>
      <c r="BT53" s="1">
        <f ca="1">OFFSET(A53,0, 24) -0</f>
        <v>52.776171011807492</v>
      </c>
      <c r="BU53" s="1">
        <f ca="1">OFFSET(A53,0, 16) -0</f>
        <v>-3.792759547144442</v>
      </c>
      <c r="BV53" s="1">
        <f ca="1">OFFSET(A53,0, 23) -0</f>
        <v>16.955054691938585</v>
      </c>
      <c r="BW53" s="1">
        <f ca="1">OFFSET(A53,0, 13) -0</f>
        <v>-11.256108506751559</v>
      </c>
      <c r="BX53" s="1">
        <f ca="1">OFFSET(A53,0, 21) -0</f>
        <v>-14.687177947799455</v>
      </c>
      <c r="BY53" s="1">
        <f ca="1">OFFSET(A53,0, 17) -0</f>
        <v>-17.971643227275536</v>
      </c>
      <c r="BZ53" s="1">
        <f ca="1">OFFSET(A53,0, 19) -0</f>
        <v>-16.329410587537495</v>
      </c>
      <c r="CB53" s="1">
        <f>COUNTIF(B53,"&lt;-69")</f>
        <v>0</v>
      </c>
      <c r="CC53" s="1">
        <f ca="1">COUNTIF(BC53:BN53,"&lt;-49")</f>
        <v>0</v>
      </c>
      <c r="CD53" s="1">
        <f ca="1">COUNTIF(BC53:BN53,"&gt;+49")</f>
        <v>0</v>
      </c>
      <c r="CE53" s="1">
        <f ca="1">COUNTIF(BO53:BZ53,"&lt;-49")</f>
        <v>0</v>
      </c>
      <c r="CF53" s="1">
        <f ca="1">COUNTIF(BO53:BZ53,"&gt;+49")</f>
        <v>1</v>
      </c>
    </row>
    <row r="54" spans="1:84">
      <c r="A54" s="1">
        <v>51</v>
      </c>
      <c r="B54" s="1">
        <f>'Team A 1'!B54-'Team A 1'!$AA54-('Team A 1'!B$2- 12.5)*'Team A 1'!$AC54</f>
        <v>25.875631521949344</v>
      </c>
      <c r="C54" s="1">
        <f>'Team A 1'!C54-'Team A 1'!$AA54-('Team A 1'!C$2- 12.5)*'Team A 1'!$AC54</f>
        <v>21.596591099752459</v>
      </c>
      <c r="D54" s="1">
        <f>'Team A 1'!D54-'Team A 1'!$AA54-('Team A 1'!D$2- 12.5)*'Team A 1'!$AC54</f>
        <v>-12.682449322444427</v>
      </c>
      <c r="E54" s="1">
        <f>'Team A 1'!E54-'Team A 1'!$AA54-('Team A 1'!E$2- 12.5)*'Team A 1'!$AC54</f>
        <v>-16.961489744641085</v>
      </c>
      <c r="F54" s="1">
        <f>'Team A 1'!F54-'Team A 1'!$AA54-('Team A 1'!F$2- 12.5)*'Team A 1'!$AC54</f>
        <v>-11.240530166837971</v>
      </c>
      <c r="G54" s="1">
        <f>'Team A 1'!G54-'Team A 1'!$AA54-('Team A 1'!G$2- 12.5)*'Team A 1'!$AC54</f>
        <v>24.480429410965371</v>
      </c>
      <c r="H54" s="1">
        <f>'Team A 1'!H54-'Team A 1'!$AA54-('Team A 1'!H$2- 12.5)*'Team A 1'!$AC54</f>
        <v>10.201388988768485</v>
      </c>
      <c r="I54" s="1">
        <f>'Team A 1'!I54-'Team A 1'!$AA54-('Team A 1'!I$2- 12.5)*'Team A 1'!$AC54</f>
        <v>15.922348566571713</v>
      </c>
      <c r="J54" s="1">
        <f>'Team A 1'!J54-'Team A 1'!$AA54-('Team A 1'!J$2- 12.5)*'Team A 1'!$AC54</f>
        <v>-8.3566918556251721</v>
      </c>
      <c r="K54" s="1">
        <f>'Team A 1'!K54-'Team A 1'!$AA54-('Team A 1'!K$2- 12.5)*'Team A 1'!$AC54</f>
        <v>27.364267722178056</v>
      </c>
      <c r="L54" s="1">
        <f>'Team A 1'!L54-'Team A 1'!$AA54-('Team A 1'!L$2- 12.5)*'Team A 1'!$AC54</f>
        <v>-36.914772700018716</v>
      </c>
      <c r="M54" s="1">
        <f>'Team A 1'!M54-'Team A 1'!$AA54-('Team A 1'!M$2- 12.5)*'Team A 1'!$AC54</f>
        <v>-1.1938131222155306</v>
      </c>
      <c r="N54" s="1">
        <f>'Team A 1'!N54-'Team A 1'!$AA54-('Team A 1'!N$2- 12.5)*'Team A 1'!$AC54</f>
        <v>-15.472853544412331</v>
      </c>
      <c r="O54" s="1">
        <f>'Team A 1'!O54-'Team A 1'!$AA54-('Team A 1'!O$2- 12.5)*'Team A 1'!$AC54</f>
        <v>-9.7518939666091455</v>
      </c>
      <c r="P54" s="1">
        <f>'Team A 1'!P54-'Team A 1'!$AA54-('Team A 1'!P$2- 12.5)*'Team A 1'!$AC54</f>
        <v>25.969065611194083</v>
      </c>
      <c r="Q54" s="1">
        <f>'Team A 1'!Q54-'Team A 1'!$AA54-('Team A 1'!Q$2- 12.5)*'Team A 1'!$AC54</f>
        <v>1.6900251889973106</v>
      </c>
      <c r="R54" s="1">
        <f>'Team A 1'!R54-'Team A 1'!$AA54-('Team A 1'!R$2- 12.5)*'Team A 1'!$AC54</f>
        <v>-2.5890152331995751</v>
      </c>
      <c r="S54" s="1">
        <f>'Team A 1'!S54-'Team A 1'!$AA54-('Team A 1'!S$2- 12.5)*'Team A 1'!$AC54</f>
        <v>13.131944344603653</v>
      </c>
      <c r="T54" s="1">
        <f>'Team A 1'!T54-'Team A 1'!$AA54-('Team A 1'!T$2- 12.5)*'Team A 1'!$AC54</f>
        <v>8.8529039224067674</v>
      </c>
      <c r="U54" s="1">
        <f>'Team A 1'!U54-'Team A 1'!$AA54-('Team A 1'!U$2- 12.5)*'Team A 1'!$AC54</f>
        <v>-25.426136499789891</v>
      </c>
      <c r="V54" s="1">
        <f>'Team A 1'!V54-'Team A 1'!$AA54-('Team A 1'!V$2- 12.5)*'Team A 1'!$AC54</f>
        <v>-9.7051769219867765</v>
      </c>
      <c r="W54" s="1">
        <f>'Team A 1'!W54-'Team A 1'!$AA54-('Team A 1'!W$2- 12.5)*'Team A 1'!$AC54</f>
        <v>6.0157826558165652</v>
      </c>
      <c r="X54" s="1">
        <f>'Team A 1'!X54-'Team A 1'!$AA54-('Team A 1'!X$2- 12.5)*'Team A 1'!$AC54</f>
        <v>-48.26325776638032</v>
      </c>
      <c r="Y54" s="1">
        <f>'Team A 1'!Y54-'Team A 1'!$AA54-('Team A 1'!Y$2- 12.5)*'Team A 1'!$AC54</f>
        <v>17.457701811422794</v>
      </c>
      <c r="AB54" s="1">
        <f>STDEV(B54:Y54)</f>
        <v>20.356342062113779</v>
      </c>
      <c r="AD54" s="5">
        <v>5</v>
      </c>
      <c r="AE54" s="5">
        <v>9</v>
      </c>
      <c r="AF54" s="5">
        <v>7</v>
      </c>
      <c r="AG54" s="5">
        <v>1</v>
      </c>
      <c r="AH54" s="5">
        <v>3</v>
      </c>
      <c r="AI54" s="5" t="s">
        <v>46</v>
      </c>
      <c r="AJ54" s="5">
        <v>2</v>
      </c>
      <c r="AK54" s="5" t="s">
        <v>47</v>
      </c>
      <c r="AL54" s="5">
        <v>4</v>
      </c>
      <c r="AM54" s="5" t="s">
        <v>45</v>
      </c>
      <c r="AN54" s="5">
        <v>6</v>
      </c>
      <c r="AO54" s="5">
        <v>8</v>
      </c>
      <c r="AP54" s="5">
        <v>5</v>
      </c>
      <c r="AQ54" s="5">
        <v>9</v>
      </c>
      <c r="AR54" s="5">
        <v>1</v>
      </c>
      <c r="AS54" s="5">
        <v>7</v>
      </c>
      <c r="AT54" s="5">
        <v>3</v>
      </c>
      <c r="AU54" s="5">
        <v>2</v>
      </c>
      <c r="AV54" s="5" t="s">
        <v>46</v>
      </c>
      <c r="AW54" s="5">
        <v>4</v>
      </c>
      <c r="AX54" s="5" t="s">
        <v>47</v>
      </c>
      <c r="AY54" s="5">
        <v>6</v>
      </c>
      <c r="AZ54" s="5" t="s">
        <v>45</v>
      </c>
      <c r="BA54" s="5">
        <v>8</v>
      </c>
      <c r="BB54" s="5"/>
      <c r="BC54" s="1">
        <f ca="1">OFFSET(A54,0, 4) -0</f>
        <v>-16.961489744641085</v>
      </c>
      <c r="BD54" s="1">
        <f ca="1">OFFSET(A54,0, 7) -0</f>
        <v>10.201388988768485</v>
      </c>
      <c r="BE54" s="1">
        <f ca="1">OFFSET(A54,0, 5) -0</f>
        <v>-11.240530166837971</v>
      </c>
      <c r="BF54" s="1">
        <f ca="1">OFFSET(A54,0, 9) -0</f>
        <v>-8.3566918556251721</v>
      </c>
      <c r="BG54" s="1">
        <f ca="1">OFFSET(A54,0, 1) -0</f>
        <v>25.875631521949344</v>
      </c>
      <c r="BH54" s="1">
        <f ca="1">OFFSET(A54,0, 11) -0</f>
        <v>-36.914772700018716</v>
      </c>
      <c r="BI54" s="1">
        <f ca="1">OFFSET(A54,0, 3) -0</f>
        <v>-12.682449322444427</v>
      </c>
      <c r="BJ54" s="1">
        <f ca="1">OFFSET(A54,0, 12) -0</f>
        <v>-1.1938131222155306</v>
      </c>
      <c r="BK54" s="1">
        <f ca="1">OFFSET(A54,0, 2) -0</f>
        <v>21.596591099752459</v>
      </c>
      <c r="BL54" s="1">
        <f ca="1">OFFSET(A54,0, 10) -0</f>
        <v>27.364267722178056</v>
      </c>
      <c r="BM54" s="1">
        <f ca="1">OFFSET(A54,0, 6) -0</f>
        <v>24.480429410965371</v>
      </c>
      <c r="BN54" s="1">
        <f ca="1">OFFSET(A54,0, 8) -0</f>
        <v>15.922348566571713</v>
      </c>
      <c r="BO54" s="1">
        <f ca="1">OFFSET(A54,0, 15) -0</f>
        <v>25.969065611194083</v>
      </c>
      <c r="BP54" s="1">
        <f ca="1">OFFSET(A54,0, 18) -0</f>
        <v>13.131944344603653</v>
      </c>
      <c r="BQ54" s="1">
        <f ca="1">OFFSET(A54,0, 17) -0</f>
        <v>-2.5890152331995751</v>
      </c>
      <c r="BR54" s="1">
        <f ca="1">OFFSET(A54,0, 20) -0</f>
        <v>-25.426136499789891</v>
      </c>
      <c r="BS54" s="1">
        <f ca="1">OFFSET(A54,0, 13) -0</f>
        <v>-15.472853544412331</v>
      </c>
      <c r="BT54" s="1">
        <f ca="1">OFFSET(A54,0, 22) -0</f>
        <v>6.0157826558165652</v>
      </c>
      <c r="BU54" s="1">
        <f ca="1">OFFSET(A54,0, 16) -0</f>
        <v>1.6900251889973106</v>
      </c>
      <c r="BV54" s="1">
        <f ca="1">OFFSET(A54,0, 24) -0</f>
        <v>17.457701811422794</v>
      </c>
      <c r="BW54" s="1">
        <f ca="1">OFFSET(A54,0, 14) -0</f>
        <v>-9.7518939666091455</v>
      </c>
      <c r="BX54" s="1">
        <f ca="1">OFFSET(A54,0, 23) -0</f>
        <v>-48.26325776638032</v>
      </c>
      <c r="BY54" s="1">
        <f ca="1">OFFSET(A54,0, 19) -0</f>
        <v>8.8529039224067674</v>
      </c>
      <c r="BZ54" s="1">
        <f ca="1">OFFSET(A54,0, 21) -0</f>
        <v>-9.7051769219867765</v>
      </c>
      <c r="CB54" s="1">
        <f>COUNTIF(B54,"&lt;-69")</f>
        <v>0</v>
      </c>
      <c r="CC54" s="1">
        <f ca="1">COUNTIF(BC54:BN54,"&lt;-49")</f>
        <v>0</v>
      </c>
      <c r="CD54" s="1">
        <f ca="1">COUNTIF(BC54:BN54,"&gt;+49")</f>
        <v>0</v>
      </c>
      <c r="CE54" s="1">
        <f ca="1">COUNTIF(BO54:BZ54,"&lt;-49")</f>
        <v>0</v>
      </c>
      <c r="CF54" s="1">
        <f ca="1">COUNTIF(BO54:BZ54,"&gt;+49")</f>
        <v>0</v>
      </c>
    </row>
    <row r="55" spans="1:84">
      <c r="A55" s="1">
        <v>52</v>
      </c>
      <c r="B55" s="1">
        <f>'Team A 1'!B55-'Team A 1'!$AA55-('Team A 1'!B$2- 12.5)*'Team A 1'!$AC55</f>
        <v>52.156150088894719</v>
      </c>
      <c r="C55" s="1">
        <f>'Team A 1'!C55-'Team A 1'!$AA55-('Team A 1'!C$2- 12.5)*'Team A 1'!$AC55</f>
        <v>37.801992110148831</v>
      </c>
      <c r="D55" s="1">
        <f>'Team A 1'!D55-'Team A 1'!$AA55-('Team A 1'!D$2- 12.5)*'Team A 1'!$AC55</f>
        <v>3.4478341314024874</v>
      </c>
      <c r="E55" s="1">
        <f>'Team A 1'!E55-'Team A 1'!$AA55-('Team A 1'!E$2- 12.5)*'Team A 1'!$AC55</f>
        <v>49.093676152656371</v>
      </c>
      <c r="F55" s="1">
        <f>'Team A 1'!F55-'Team A 1'!$AA55-('Team A 1'!F$2- 12.5)*'Team A 1'!$AC55</f>
        <v>14.739518173910255</v>
      </c>
      <c r="G55" s="1">
        <f>'Team A 1'!G55-'Team A 1'!$AA55-('Team A 1'!G$2- 12.5)*'Team A 1'!$AC55</f>
        <v>20.385360195164139</v>
      </c>
      <c r="H55" s="1">
        <f>'Team A 1'!H55-'Team A 1'!$AA55-('Team A 1'!H$2- 12.5)*'Team A 1'!$AC55</f>
        <v>46.031202216417796</v>
      </c>
      <c r="I55" s="1">
        <f>'Team A 1'!I55-'Team A 1'!$AA55-('Team A 1'!I$2- 12.5)*'Team A 1'!$AC55</f>
        <v>1.6770442376716801</v>
      </c>
      <c r="J55" s="1">
        <f>'Team A 1'!J55-'Team A 1'!$AA55-('Team A 1'!J$2- 12.5)*'Team A 1'!$AC55</f>
        <v>17.322886258925564</v>
      </c>
      <c r="K55" s="1">
        <f>'Team A 1'!K55-'Team A 1'!$AA55-('Team A 1'!K$2- 12.5)*'Team A 1'!$AC55</f>
        <v>-7.0312717198206656</v>
      </c>
      <c r="L55" s="1">
        <f>'Team A 1'!L55-'Team A 1'!$AA55-('Team A 1'!L$2- 12.5)*'Team A 1'!$AC55</f>
        <v>-31.385429698566782</v>
      </c>
      <c r="M55" s="1">
        <f>'Team A 1'!M55-'Team A 1'!$AA55-('Team A 1'!M$2- 12.5)*'Team A 1'!$AC55</f>
        <v>-5.7395876773129828</v>
      </c>
      <c r="N55" s="1">
        <f>'Team A 1'!N55-'Team A 1'!$AA55-('Team A 1'!N$2- 12.5)*'Team A 1'!$AC55</f>
        <v>-30.093745656059156</v>
      </c>
      <c r="O55" s="1">
        <f>'Team A 1'!O55-'Team A 1'!$AA55-('Team A 1'!O$2- 12.5)*'Team A 1'!$AC55</f>
        <v>-14.447903634805357</v>
      </c>
      <c r="P55" s="1">
        <f>'Team A 1'!P55-'Team A 1'!$AA55-('Team A 1'!P$2- 12.5)*'Team A 1'!$AC55</f>
        <v>-28.802061613551473</v>
      </c>
      <c r="Q55" s="1">
        <f>'Team A 1'!Q55-'Team A 1'!$AA55-('Team A 1'!Q$2- 12.5)*'Team A 1'!$AC55</f>
        <v>-13.156219592297703</v>
      </c>
      <c r="R55" s="1">
        <f>'Team A 1'!R55-'Team A 1'!$AA55-('Team A 1'!R$2- 12.5)*'Team A 1'!$AC55</f>
        <v>32.489622428956181</v>
      </c>
      <c r="S55" s="1">
        <f>'Team A 1'!S55-'Team A 1'!$AA55-('Team A 1'!S$2- 12.5)*'Team A 1'!$AC55</f>
        <v>-1.8645355497899345</v>
      </c>
      <c r="T55" s="1">
        <f>'Team A 1'!T55-'Team A 1'!$AA55-('Team A 1'!T$2- 12.5)*'Team A 1'!$AC55</f>
        <v>-6.2186935285362779</v>
      </c>
      <c r="U55" s="1">
        <f>'Team A 1'!U55-'Team A 1'!$AA55-('Team A 1'!U$2- 12.5)*'Team A 1'!$AC55</f>
        <v>-60.572851507282394</v>
      </c>
      <c r="V55" s="1">
        <f>'Team A 1'!V55-'Team A 1'!$AA55-('Team A 1'!V$2- 12.5)*'Team A 1'!$AC55</f>
        <v>-34.92700948602851</v>
      </c>
      <c r="W55" s="1">
        <f>'Team A 1'!W55-'Team A 1'!$AA55-('Team A 1'!W$2- 12.5)*'Team A 1'!$AC55</f>
        <v>-9.2811674647746258</v>
      </c>
      <c r="X55" s="1">
        <f>'Team A 1'!X55-'Team A 1'!$AA55-('Team A 1'!X$2- 12.5)*'Team A 1'!$AC55</f>
        <v>-23.635325443520969</v>
      </c>
      <c r="Y55" s="1">
        <f>'Team A 1'!Y55-'Team A 1'!$AA55-('Team A 1'!Y$2- 12.5)*'Team A 1'!$AC55</f>
        <v>-7.9894834222668578</v>
      </c>
      <c r="AB55" s="1">
        <f>STDEV(B55:Y55)</f>
        <v>29.121672917165544</v>
      </c>
      <c r="AD55" s="5">
        <v>9</v>
      </c>
      <c r="AE55" s="5">
        <v>5</v>
      </c>
      <c r="AF55" s="5">
        <v>7</v>
      </c>
      <c r="AG55" s="5">
        <v>1</v>
      </c>
      <c r="AH55" s="5">
        <v>2</v>
      </c>
      <c r="AI55" s="5">
        <v>3</v>
      </c>
      <c r="AJ55" s="5">
        <v>4</v>
      </c>
      <c r="AK55" s="5" t="s">
        <v>46</v>
      </c>
      <c r="AL55" s="5">
        <v>6</v>
      </c>
      <c r="AM55" s="5" t="s">
        <v>47</v>
      </c>
      <c r="AN55" s="5">
        <v>8</v>
      </c>
      <c r="AO55" s="5" t="s">
        <v>45</v>
      </c>
      <c r="AP55" s="5">
        <v>5</v>
      </c>
      <c r="AQ55" s="5">
        <v>9</v>
      </c>
      <c r="AR55" s="5">
        <v>7</v>
      </c>
      <c r="AS55" s="5">
        <v>2</v>
      </c>
      <c r="AT55" s="5">
        <v>1</v>
      </c>
      <c r="AU55" s="5">
        <v>3</v>
      </c>
      <c r="AV55" s="5" t="s">
        <v>46</v>
      </c>
      <c r="AW55" s="5">
        <v>4</v>
      </c>
      <c r="AX55" s="5" t="s">
        <v>47</v>
      </c>
      <c r="AY55" s="5">
        <v>6</v>
      </c>
      <c r="AZ55" s="5" t="s">
        <v>45</v>
      </c>
      <c r="BA55" s="5">
        <v>8</v>
      </c>
      <c r="BB55" s="5"/>
      <c r="BC55" s="1">
        <f ca="1">OFFSET(A55,0, 4) -0</f>
        <v>49.093676152656371</v>
      </c>
      <c r="BD55" s="1">
        <f ca="1">OFFSET(A55,0, 5) -0</f>
        <v>14.739518173910255</v>
      </c>
      <c r="BE55" s="1">
        <f ca="1">OFFSET(A55,0, 6) -0</f>
        <v>20.385360195164139</v>
      </c>
      <c r="BF55" s="1">
        <f ca="1">OFFSET(A55,0, 7) -0</f>
        <v>46.031202216417796</v>
      </c>
      <c r="BG55" s="1">
        <f ca="1">OFFSET(A55,0, 2) -0</f>
        <v>37.801992110148831</v>
      </c>
      <c r="BH55" s="1">
        <f ca="1">OFFSET(A55,0, 9) -0</f>
        <v>17.322886258925564</v>
      </c>
      <c r="BI55" s="1">
        <f ca="1">OFFSET(A55,0, 3) -0</f>
        <v>3.4478341314024874</v>
      </c>
      <c r="BJ55" s="1">
        <f ca="1">OFFSET(A55,0, 11) -0</f>
        <v>-31.385429698566782</v>
      </c>
      <c r="BK55" s="1">
        <f ca="1">OFFSET(A55,0, 1) -0</f>
        <v>52.156150088894719</v>
      </c>
      <c r="BL55" s="1">
        <f ca="1">OFFSET(A55,0, 12) -0</f>
        <v>-5.7395876773129828</v>
      </c>
      <c r="BM55" s="1">
        <f ca="1">OFFSET(A55,0, 8) -0</f>
        <v>1.6770442376716801</v>
      </c>
      <c r="BN55" s="1">
        <f ca="1">OFFSET(A55,0, 10) -0</f>
        <v>-7.0312717198206656</v>
      </c>
      <c r="BO55" s="1">
        <f ca="1">OFFSET(A55,0, 17) -0</f>
        <v>32.489622428956181</v>
      </c>
      <c r="BP55" s="1">
        <f ca="1">OFFSET(A55,0, 16) -0</f>
        <v>-13.156219592297703</v>
      </c>
      <c r="BQ55" s="1">
        <f ca="1">OFFSET(A55,0, 18) -0</f>
        <v>-1.8645355497899345</v>
      </c>
      <c r="BR55" s="1">
        <f ca="1">OFFSET(A55,0, 20) -0</f>
        <v>-60.572851507282394</v>
      </c>
      <c r="BS55" s="1">
        <f ca="1">OFFSET(A55,0, 13) -0</f>
        <v>-30.093745656059156</v>
      </c>
      <c r="BT55" s="1">
        <f ca="1">OFFSET(A55,0, 22) -0</f>
        <v>-9.2811674647746258</v>
      </c>
      <c r="BU55" s="1">
        <f ca="1">OFFSET(A55,0, 15) -0</f>
        <v>-28.802061613551473</v>
      </c>
      <c r="BV55" s="1">
        <f ca="1">OFFSET(A55,0, 24) -0</f>
        <v>-7.9894834222668578</v>
      </c>
      <c r="BW55" s="1">
        <f ca="1">OFFSET(A55,0, 14) -0</f>
        <v>-14.447903634805357</v>
      </c>
      <c r="BX55" s="1">
        <f ca="1">OFFSET(A55,0, 23) -0</f>
        <v>-23.635325443520969</v>
      </c>
      <c r="BY55" s="1">
        <f ca="1">OFFSET(A55,0, 19) -0</f>
        <v>-6.2186935285362779</v>
      </c>
      <c r="BZ55" s="1">
        <f ca="1">OFFSET(A55,0, 21) -0</f>
        <v>-34.92700948602851</v>
      </c>
      <c r="CB55" s="1">
        <f>COUNTIF(B55,"&lt;-69")</f>
        <v>0</v>
      </c>
      <c r="CC55" s="1">
        <f ca="1">COUNTIF(BC55:BN55,"&lt;-49")</f>
        <v>0</v>
      </c>
      <c r="CD55" s="1">
        <f ca="1">COUNTIF(BC55:BN55,"&gt;+49")</f>
        <v>2</v>
      </c>
      <c r="CE55" s="1">
        <f ca="1">COUNTIF(BO55:BZ55,"&lt;-49")</f>
        <v>1</v>
      </c>
      <c r="CF55" s="1">
        <f ca="1">COUNTIF(BO55:BZ55,"&gt;+49")</f>
        <v>0</v>
      </c>
    </row>
    <row r="56" spans="1:84">
      <c r="A56" s="1">
        <v>53</v>
      </c>
      <c r="B56" s="1">
        <f>'Team A 1'!B56-'Team A 1'!$AA56-('Team A 1'!B$2- 12.5)*'Team A 1'!$AC56</f>
        <v>20.784075820995895</v>
      </c>
      <c r="C56" s="1">
        <f>'Team A 1'!C56-'Team A 1'!$AA56-('Team A 1'!C$2- 12.5)*'Team A 1'!$AC56</f>
        <v>66.730388068447155</v>
      </c>
      <c r="D56" s="1">
        <f>'Team A 1'!D56-'Team A 1'!$AA56-('Team A 1'!D$2- 12.5)*'Team A 1'!$AC56</f>
        <v>52.676700315898643</v>
      </c>
      <c r="E56" s="1">
        <f>'Team A 1'!E56-'Team A 1'!$AA56-('Team A 1'!E$2- 12.5)*'Team A 1'!$AC56</f>
        <v>28.623012563349903</v>
      </c>
      <c r="F56" s="1">
        <f>'Team A 1'!F56-'Team A 1'!$AA56-('Team A 1'!F$2- 12.5)*'Team A 1'!$AC56</f>
        <v>-15.430675189198837</v>
      </c>
      <c r="G56" s="1">
        <f>'Team A 1'!G56-'Team A 1'!$AA56-('Team A 1'!G$2- 12.5)*'Team A 1'!$AC56</f>
        <v>0.51563705825242323</v>
      </c>
      <c r="H56" s="1">
        <f>'Team A 1'!H56-'Team A 1'!$AA56-('Team A 1'!H$2- 12.5)*'Team A 1'!$AC56</f>
        <v>-3.5380506942960892</v>
      </c>
      <c r="I56" s="1">
        <f>'Team A 1'!I56-'Team A 1'!$AA56-('Team A 1'!I$2- 12.5)*'Team A 1'!$AC56</f>
        <v>2.408261553155171</v>
      </c>
      <c r="J56" s="1">
        <f>'Team A 1'!J56-'Team A 1'!$AA56-('Team A 1'!J$2- 12.5)*'Team A 1'!$AC56</f>
        <v>-11.645426199393569</v>
      </c>
      <c r="K56" s="1">
        <f>'Team A 1'!K56-'Team A 1'!$AA56-('Team A 1'!K$2- 12.5)*'Team A 1'!$AC56</f>
        <v>-15.699113951942195</v>
      </c>
      <c r="L56" s="1">
        <f>'Team A 1'!L56-'Team A 1'!$AA56-('Team A 1'!L$2- 12.5)*'Team A 1'!$AC56</f>
        <v>-39.752801704490935</v>
      </c>
      <c r="M56" s="1">
        <f>'Team A 1'!M56-'Team A 1'!$AA56-('Team A 1'!M$2- 12.5)*'Team A 1'!$AC56</f>
        <v>-3.8064894570395893</v>
      </c>
      <c r="N56" s="1">
        <f>'Team A 1'!N56-'Team A 1'!$AA56-('Team A 1'!N$2- 12.5)*'Team A 1'!$AC56</f>
        <v>-7.8601772095882723</v>
      </c>
      <c r="O56" s="1">
        <f>'Team A 1'!O56-'Team A 1'!$AA56-('Team A 1'!O$2- 12.5)*'Team A 1'!$AC56</f>
        <v>18.086135037863073</v>
      </c>
      <c r="P56" s="1">
        <f>'Team A 1'!P56-'Team A 1'!$AA56-('Team A 1'!P$2- 12.5)*'Team A 1'!$AC56</f>
        <v>-15.967552714685667</v>
      </c>
      <c r="Q56" s="1">
        <f>'Team A 1'!Q56-'Team A 1'!$AA56-('Team A 1'!Q$2- 12.5)*'Team A 1'!$AC56</f>
        <v>19.978759532765707</v>
      </c>
      <c r="R56" s="1">
        <f>'Team A 1'!R56-'Team A 1'!$AA56-('Team A 1'!R$2- 12.5)*'Team A 1'!$AC56</f>
        <v>5.9250717802169675</v>
      </c>
      <c r="S56" s="1">
        <f>'Team A 1'!S56-'Team A 1'!$AA56-('Team A 1'!S$2- 12.5)*'Team A 1'!$AC56</f>
        <v>-28.128615972331772</v>
      </c>
      <c r="T56" s="1">
        <f>'Team A 1'!T56-'Team A 1'!$AA56-('Team A 1'!T$2- 12.5)*'Team A 1'!$AC56</f>
        <v>-2.1823037248802848</v>
      </c>
      <c r="U56" s="1">
        <f>'Team A 1'!U56-'Team A 1'!$AA56-('Team A 1'!U$2- 12.5)*'Team A 1'!$AC56</f>
        <v>3.7640085225709754</v>
      </c>
      <c r="V56" s="1">
        <f>'Team A 1'!V56-'Team A 1'!$AA56-('Team A 1'!V$2- 12.5)*'Team A 1'!$AC56</f>
        <v>-20.289679229977764</v>
      </c>
      <c r="W56" s="1">
        <f>'Team A 1'!W56-'Team A 1'!$AA56-('Team A 1'!W$2- 12.5)*'Team A 1'!$AC56</f>
        <v>-24.343366982526504</v>
      </c>
      <c r="X56" s="1">
        <f>'Team A 1'!X56-'Team A 1'!$AA56-('Team A 1'!X$2- 12.5)*'Team A 1'!$AC56</f>
        <v>-8.3970547350750167</v>
      </c>
      <c r="Y56" s="1">
        <f>'Team A 1'!Y56-'Team A 1'!$AA56-('Team A 1'!Y$2- 12.5)*'Team A 1'!$AC56</f>
        <v>-22.450742487623756</v>
      </c>
      <c r="AB56" s="1">
        <f>STDEV(B56:Y56)</f>
        <v>24.829551914555029</v>
      </c>
      <c r="AD56" s="5">
        <v>9</v>
      </c>
      <c r="AE56" s="5">
        <v>5</v>
      </c>
      <c r="AF56" s="5">
        <v>2</v>
      </c>
      <c r="AG56" s="5">
        <v>7</v>
      </c>
      <c r="AH56" s="5">
        <v>3</v>
      </c>
      <c r="AI56" s="5">
        <v>1</v>
      </c>
      <c r="AJ56" s="5">
        <v>4</v>
      </c>
      <c r="AK56" s="5" t="s">
        <v>46</v>
      </c>
      <c r="AL56" s="5">
        <v>6</v>
      </c>
      <c r="AM56" s="5" t="s">
        <v>47</v>
      </c>
      <c r="AN56" s="5">
        <v>8</v>
      </c>
      <c r="AO56" s="5" t="s">
        <v>45</v>
      </c>
      <c r="AP56" s="5">
        <v>9</v>
      </c>
      <c r="AQ56" s="5">
        <v>2</v>
      </c>
      <c r="AR56" s="5">
        <v>5</v>
      </c>
      <c r="AS56" s="5">
        <v>7</v>
      </c>
      <c r="AT56" s="5">
        <v>1</v>
      </c>
      <c r="AU56" s="5">
        <v>3</v>
      </c>
      <c r="AV56" s="5">
        <v>4</v>
      </c>
      <c r="AW56" s="5">
        <v>6</v>
      </c>
      <c r="AX56" s="5" t="s">
        <v>46</v>
      </c>
      <c r="AY56" s="5">
        <v>8</v>
      </c>
      <c r="AZ56" s="5" t="s">
        <v>47</v>
      </c>
      <c r="BA56" s="5" t="s">
        <v>45</v>
      </c>
      <c r="BB56" s="5"/>
      <c r="BC56" s="1">
        <f ca="1">OFFSET(A56,0, 6) -0</f>
        <v>0.51563705825242323</v>
      </c>
      <c r="BD56" s="1">
        <f ca="1">OFFSET(A56,0, 3) -0</f>
        <v>52.676700315898643</v>
      </c>
      <c r="BE56" s="1">
        <f ca="1">OFFSET(A56,0, 5) -0</f>
        <v>-15.430675189198837</v>
      </c>
      <c r="BF56" s="1">
        <f ca="1">OFFSET(A56,0, 7) -0</f>
        <v>-3.5380506942960892</v>
      </c>
      <c r="BG56" s="1">
        <f ca="1">OFFSET(A56,0, 2) -0</f>
        <v>66.730388068447155</v>
      </c>
      <c r="BH56" s="1">
        <f ca="1">OFFSET(A56,0, 9) -0</f>
        <v>-11.645426199393569</v>
      </c>
      <c r="BI56" s="1">
        <f ca="1">OFFSET(A56,0, 4) -0</f>
        <v>28.623012563349903</v>
      </c>
      <c r="BJ56" s="1">
        <f ca="1">OFFSET(A56,0, 11) -0</f>
        <v>-39.752801704490935</v>
      </c>
      <c r="BK56" s="1">
        <f ca="1">OFFSET(A56,0, 1) -0</f>
        <v>20.784075820995895</v>
      </c>
      <c r="BL56" s="1">
        <f ca="1">OFFSET(A56,0, 12) -0</f>
        <v>-3.8064894570395893</v>
      </c>
      <c r="BM56" s="1">
        <f ca="1">OFFSET(A56,0, 8) -0</f>
        <v>2.408261553155171</v>
      </c>
      <c r="BN56" s="1">
        <f ca="1">OFFSET(A56,0, 10) -0</f>
        <v>-15.699113951942195</v>
      </c>
      <c r="BO56" s="1">
        <f ca="1">OFFSET(A56,0, 17) -0</f>
        <v>5.9250717802169675</v>
      </c>
      <c r="BP56" s="1">
        <f ca="1">OFFSET(A56,0, 14) -0</f>
        <v>18.086135037863073</v>
      </c>
      <c r="BQ56" s="1">
        <f ca="1">OFFSET(A56,0, 18) -0</f>
        <v>-28.128615972331772</v>
      </c>
      <c r="BR56" s="1">
        <f ca="1">OFFSET(A56,0, 19) -0</f>
        <v>-2.1823037248802848</v>
      </c>
      <c r="BS56" s="1">
        <f ca="1">OFFSET(A56,0, 15) -0</f>
        <v>-15.967552714685667</v>
      </c>
      <c r="BT56" s="1">
        <f ca="1">OFFSET(A56,0, 20) -0</f>
        <v>3.7640085225709754</v>
      </c>
      <c r="BU56" s="1">
        <f ca="1">OFFSET(A56,0, 16) -0</f>
        <v>19.978759532765707</v>
      </c>
      <c r="BV56" s="1">
        <f ca="1">OFFSET(A56,0, 22) -0</f>
        <v>-24.343366982526504</v>
      </c>
      <c r="BW56" s="1">
        <f ca="1">OFFSET(A56,0, 13) -0</f>
        <v>-7.8601772095882723</v>
      </c>
      <c r="BX56" s="1">
        <f ca="1">OFFSET(A56,0, 24) -0</f>
        <v>-22.450742487623756</v>
      </c>
      <c r="BY56" s="1">
        <f ca="1">OFFSET(A56,0, 21) -0</f>
        <v>-20.289679229977764</v>
      </c>
      <c r="BZ56" s="1">
        <f ca="1">OFFSET(A56,0, 23) -0</f>
        <v>-8.3970547350750167</v>
      </c>
      <c r="CB56" s="1">
        <f>COUNTIF(B56,"&lt;-69")</f>
        <v>0</v>
      </c>
      <c r="CC56" s="1">
        <f ca="1">COUNTIF(BC56:BN56,"&lt;-49")</f>
        <v>0</v>
      </c>
      <c r="CD56" s="1">
        <f ca="1">COUNTIF(BC56:BN56,"&gt;+49")</f>
        <v>2</v>
      </c>
      <c r="CE56" s="1">
        <f ca="1">COUNTIF(BO56:BZ56,"&lt;-49")</f>
        <v>0</v>
      </c>
      <c r="CF56" s="1">
        <f ca="1">COUNTIF(BO56:BZ56,"&gt;+49")</f>
        <v>0</v>
      </c>
    </row>
    <row r="57" spans="1:84">
      <c r="A57" s="1">
        <v>54</v>
      </c>
      <c r="B57" s="1">
        <f>'Team A 1'!B57-'Team A 1'!$AA57-('Team A 1'!B$2- 12.5)*'Team A 1'!$AC57</f>
        <v>9.5690222314724451</v>
      </c>
      <c r="C57" s="1">
        <f>'Team A 1'!C57-'Team A 1'!$AA57-('Team A 1'!C$2- 12.5)*'Team A 1'!$AC57</f>
        <v>5.6572231968498272</v>
      </c>
      <c r="D57" s="1">
        <f>'Team A 1'!D57-'Team A 1'!$AA57-('Team A 1'!D$2- 12.5)*'Team A 1'!$AC57</f>
        <v>41.745424162227437</v>
      </c>
      <c r="E57" s="1">
        <f>'Team A 1'!E57-'Team A 1'!$AA57-('Team A 1'!E$2- 12.5)*'Team A 1'!$AC57</f>
        <v>27.833625127605046</v>
      </c>
      <c r="F57" s="1">
        <f>'Team A 1'!F57-'Team A 1'!$AA57-('Team A 1'!F$2- 12.5)*'Team A 1'!$AC57</f>
        <v>33.921826092982428</v>
      </c>
      <c r="G57" s="1">
        <f>'Team A 1'!G57-'Team A 1'!$AA57-('Team A 1'!G$2- 12.5)*'Team A 1'!$AC57</f>
        <v>30.010027058360038</v>
      </c>
      <c r="H57" s="1">
        <f>'Team A 1'!H57-'Team A 1'!$AA57-('Team A 1'!H$2- 12.5)*'Team A 1'!$AC57</f>
        <v>56.098228023737647</v>
      </c>
      <c r="I57" s="1">
        <f>'Team A 1'!I57-'Team A 1'!$AA57-('Team A 1'!I$2- 12.5)*'Team A 1'!$AC57</f>
        <v>2.1864289891150293</v>
      </c>
      <c r="J57" s="1">
        <f>'Team A 1'!J57-'Team A 1'!$AA57-('Team A 1'!J$2- 12.5)*'Team A 1'!$AC57</f>
        <v>-41.725370045507361</v>
      </c>
      <c r="K57" s="1">
        <f>'Team A 1'!K57-'Team A 1'!$AA57-('Team A 1'!K$2- 12.5)*'Team A 1'!$AC57</f>
        <v>-45.637169080129866</v>
      </c>
      <c r="L57" s="1">
        <f>'Team A 1'!L57-'Team A 1'!$AA57-('Team A 1'!L$2- 12.5)*'Team A 1'!$AC57</f>
        <v>-39.54896811475237</v>
      </c>
      <c r="M57" s="1">
        <f>'Team A 1'!M57-'Team A 1'!$AA57-('Team A 1'!M$2- 12.5)*'Team A 1'!$AC57</f>
        <v>16.539232850625169</v>
      </c>
      <c r="N57" s="1">
        <f>'Team A 1'!N57-'Team A 1'!$AA57-('Team A 1'!N$2- 12.5)*'Team A 1'!$AC57</f>
        <v>-37.372566183997307</v>
      </c>
      <c r="O57" s="1">
        <f>'Team A 1'!O57-'Team A 1'!$AA57-('Team A 1'!O$2- 12.5)*'Team A 1'!$AC57</f>
        <v>18.715634781380231</v>
      </c>
      <c r="P57" s="1">
        <f>'Team A 1'!P57-'Team A 1'!$AA57-('Team A 1'!P$2- 12.5)*'Team A 1'!$AC57</f>
        <v>-35.196164253242273</v>
      </c>
      <c r="Q57" s="1">
        <f>'Team A 1'!Q57-'Team A 1'!$AA57-('Team A 1'!Q$2- 12.5)*'Team A 1'!$AC57</f>
        <v>0.89203671213522284</v>
      </c>
      <c r="R57" s="1">
        <f>'Team A 1'!R57-'Team A 1'!$AA57-('Team A 1'!R$2- 12.5)*'Team A 1'!$AC57</f>
        <v>6.9802376775128323</v>
      </c>
      <c r="S57" s="1">
        <f>'Team A 1'!S57-'Team A 1'!$AA57-('Team A 1'!S$2- 12.5)*'Team A 1'!$AC57</f>
        <v>33.068438642890214</v>
      </c>
      <c r="T57" s="1">
        <f>'Team A 1'!T57-'Team A 1'!$AA57-('Team A 1'!T$2- 12.5)*'Team A 1'!$AC57</f>
        <v>39.156639608267824</v>
      </c>
      <c r="U57" s="1">
        <f>'Team A 1'!U57-'Team A 1'!$AA57-('Team A 1'!U$2- 12.5)*'Team A 1'!$AC57</f>
        <v>-4.7551594263545667</v>
      </c>
      <c r="V57" s="1">
        <f>'Team A 1'!V57-'Team A 1'!$AA57-('Team A 1'!V$2- 12.5)*'Team A 1'!$AC57</f>
        <v>-28.666958460977185</v>
      </c>
      <c r="W57" s="1">
        <f>'Team A 1'!W57-'Team A 1'!$AA57-('Team A 1'!W$2- 12.5)*'Team A 1'!$AC57</f>
        <v>-52.578757495599575</v>
      </c>
      <c r="X57" s="1">
        <f>'Team A 1'!X57-'Team A 1'!$AA57-('Team A 1'!X$2- 12.5)*'Team A 1'!$AC57</f>
        <v>-6.4905565302219657</v>
      </c>
      <c r="Y57" s="1">
        <f>'Team A 1'!Y57-'Team A 1'!$AA57-('Team A 1'!Y$2- 12.5)*'Team A 1'!$AC57</f>
        <v>-30.402355564844584</v>
      </c>
      <c r="AB57" s="1">
        <f>STDEV(B57:Y57)</f>
        <v>32.129405111670451</v>
      </c>
      <c r="AD57" s="5">
        <v>2</v>
      </c>
      <c r="AE57" s="5">
        <v>9</v>
      </c>
      <c r="AF57" s="5">
        <v>7</v>
      </c>
      <c r="AG57" s="5">
        <v>5</v>
      </c>
      <c r="AH57" s="5">
        <v>3</v>
      </c>
      <c r="AI57" s="5">
        <v>1</v>
      </c>
      <c r="AJ57" s="5">
        <v>6</v>
      </c>
      <c r="AK57" s="5">
        <v>4</v>
      </c>
      <c r="AL57" s="5">
        <v>8</v>
      </c>
      <c r="AM57" s="5" t="s">
        <v>46</v>
      </c>
      <c r="AN57" s="5" t="s">
        <v>45</v>
      </c>
      <c r="AO57" s="5" t="s">
        <v>47</v>
      </c>
      <c r="AP57" s="5">
        <v>9</v>
      </c>
      <c r="AQ57" s="5">
        <v>2</v>
      </c>
      <c r="AR57" s="5">
        <v>5</v>
      </c>
      <c r="AS57" s="5">
        <v>7</v>
      </c>
      <c r="AT57" s="5">
        <v>3</v>
      </c>
      <c r="AU57" s="5">
        <v>6</v>
      </c>
      <c r="AV57" s="5">
        <v>1</v>
      </c>
      <c r="AW57" s="5">
        <v>4</v>
      </c>
      <c r="AX57" s="5" t="s">
        <v>46</v>
      </c>
      <c r="AY57" s="5">
        <v>8</v>
      </c>
      <c r="AZ57" s="5" t="s">
        <v>47</v>
      </c>
      <c r="BA57" s="5" t="s">
        <v>45</v>
      </c>
      <c r="BB57" s="5"/>
      <c r="BC57" s="1">
        <f ca="1">OFFSET(A57,0, 6) -0</f>
        <v>30.010027058360038</v>
      </c>
      <c r="BD57" s="1">
        <f ca="1">OFFSET(A57,0, 1) -0</f>
        <v>9.5690222314724451</v>
      </c>
      <c r="BE57" s="1">
        <f ca="1">OFFSET(A57,0, 5) -0</f>
        <v>33.921826092982428</v>
      </c>
      <c r="BF57" s="1">
        <f ca="1">OFFSET(A57,0, 8) -0</f>
        <v>2.1864289891150293</v>
      </c>
      <c r="BG57" s="1">
        <f ca="1">OFFSET(A57,0, 4) -0</f>
        <v>27.833625127605046</v>
      </c>
      <c r="BH57" s="1">
        <f ca="1">OFFSET(A57,0, 7) -0</f>
        <v>56.098228023737647</v>
      </c>
      <c r="BI57" s="1">
        <f ca="1">OFFSET(A57,0, 3) -0</f>
        <v>41.745424162227437</v>
      </c>
      <c r="BJ57" s="1">
        <f ca="1">OFFSET(A57,0, 9) -0</f>
        <v>-41.725370045507361</v>
      </c>
      <c r="BK57" s="1">
        <f ca="1">OFFSET(A57,0, 2) -0</f>
        <v>5.6572231968498272</v>
      </c>
      <c r="BL57" s="1">
        <f ca="1">OFFSET(A57,0, 11) -0</f>
        <v>-39.54896811475237</v>
      </c>
      <c r="BM57" s="1">
        <f ca="1">OFFSET(A57,0, 10) -0</f>
        <v>-45.637169080129866</v>
      </c>
      <c r="BN57" s="1">
        <f ca="1">OFFSET(A57,0, 12) -0</f>
        <v>16.539232850625169</v>
      </c>
      <c r="BO57" s="1">
        <f ca="1">OFFSET(A57,0, 19) -0</f>
        <v>39.156639608267824</v>
      </c>
      <c r="BP57" s="1">
        <f ca="1">OFFSET(A57,0, 14) -0</f>
        <v>18.715634781380231</v>
      </c>
      <c r="BQ57" s="1">
        <f ca="1">OFFSET(A57,0, 17) -0</f>
        <v>6.9802376775128323</v>
      </c>
      <c r="BR57" s="1">
        <f ca="1">OFFSET(A57,0, 20) -0</f>
        <v>-4.7551594263545667</v>
      </c>
      <c r="BS57" s="1">
        <f ca="1">OFFSET(A57,0, 15) -0</f>
        <v>-35.196164253242273</v>
      </c>
      <c r="BT57" s="1">
        <f ca="1">OFFSET(A57,0, 18) -0</f>
        <v>33.068438642890214</v>
      </c>
      <c r="BU57" s="1">
        <f ca="1">OFFSET(A57,0, 16) -0</f>
        <v>0.89203671213522284</v>
      </c>
      <c r="BV57" s="1">
        <f ca="1">OFFSET(A57,0, 22) -0</f>
        <v>-52.578757495599575</v>
      </c>
      <c r="BW57" s="1">
        <f ca="1">OFFSET(A57,0, 13) -0</f>
        <v>-37.372566183997307</v>
      </c>
      <c r="BX57" s="1">
        <f ca="1">OFFSET(A57,0, 24) -0</f>
        <v>-30.402355564844584</v>
      </c>
      <c r="BY57" s="1">
        <f ca="1">OFFSET(A57,0, 21) -0</f>
        <v>-28.666958460977185</v>
      </c>
      <c r="BZ57" s="1">
        <f ca="1">OFFSET(A57,0, 23) -0</f>
        <v>-6.4905565302219657</v>
      </c>
      <c r="CB57" s="1">
        <f>COUNTIF(B57,"&lt;-69")</f>
        <v>0</v>
      </c>
      <c r="CC57" s="1">
        <f ca="1">COUNTIF(BC57:BN57,"&lt;-48")</f>
        <v>0</v>
      </c>
      <c r="CD57" s="1">
        <f ca="1">COUNTIF(BC57:BN57,"&gt;+48")</f>
        <v>1</v>
      </c>
      <c r="CE57" s="1">
        <f ca="1">COUNTIF(BO57:BZ57,"&lt;-48")</f>
        <v>1</v>
      </c>
      <c r="CF57" s="1">
        <f ca="1">COUNTIF(BO57:BZ57,"&gt;+48")</f>
        <v>0</v>
      </c>
    </row>
    <row r="58" spans="1:84">
      <c r="A58" s="1">
        <v>55</v>
      </c>
      <c r="B58" s="1">
        <f>'Team A 1'!B58-'Team A 1'!$AA58-('Team A 1'!B$2- 12.5)*'Team A 1'!$AC58</f>
        <v>61.999129410461137</v>
      </c>
      <c r="C58" s="1">
        <f>'Team A 1'!C58-'Team A 1'!$AA58-('Team A 1'!C$2- 12.5)*'Team A 1'!$AC58</f>
        <v>37.803552939986275</v>
      </c>
      <c r="D58" s="1">
        <f>'Team A 1'!D58-'Team A 1'!$AA58-('Team A 1'!D$2- 12.5)*'Team A 1'!$AC58</f>
        <v>3.6079764695114136</v>
      </c>
      <c r="E58" s="1">
        <f>'Team A 1'!E58-'Team A 1'!$AA58-('Team A 1'!E$2- 12.5)*'Team A 1'!$AC58</f>
        <v>9.4123999990365519</v>
      </c>
      <c r="F58" s="1">
        <f>'Team A 1'!F58-'Team A 1'!$AA58-('Team A 1'!F$2- 12.5)*'Team A 1'!$AC58</f>
        <v>25.21682352856169</v>
      </c>
      <c r="G58" s="1">
        <f>'Team A 1'!G58-'Team A 1'!$AA58-('Team A 1'!G$2- 12.5)*'Team A 1'!$AC58</f>
        <v>21.021247058086828</v>
      </c>
      <c r="H58" s="1">
        <f>'Team A 1'!H58-'Team A 1'!$AA58-('Team A 1'!H$2- 12.5)*'Team A 1'!$AC58</f>
        <v>6.8256705876119668</v>
      </c>
      <c r="I58" s="1">
        <f>'Team A 1'!I58-'Team A 1'!$AA58-('Team A 1'!I$2- 12.5)*'Team A 1'!$AC58</f>
        <v>32.630094117136991</v>
      </c>
      <c r="J58" s="1">
        <f>'Team A 1'!J58-'Team A 1'!$AA58-('Team A 1'!J$2- 12.5)*'Team A 1'!$AC58</f>
        <v>-51.56548235333787</v>
      </c>
      <c r="K58" s="1">
        <f>'Team A 1'!K58-'Team A 1'!$AA58-('Team A 1'!K$2- 12.5)*'Team A 1'!$AC58</f>
        <v>-65.761058823812789</v>
      </c>
      <c r="L58" s="1">
        <f>'Team A 1'!L58-'Team A 1'!$AA58-('Team A 1'!L$2- 12.5)*'Team A 1'!$AC58</f>
        <v>-49.956635294287651</v>
      </c>
      <c r="M58" s="1">
        <f>'Team A 1'!M58-'Team A 1'!$AA58-('Team A 1'!M$2- 12.5)*'Team A 1'!$AC58</f>
        <v>25.847788235237445</v>
      </c>
      <c r="N58" s="1">
        <f>'Team A 1'!N58-'Team A 1'!$AA58-('Team A 1'!N$2- 12.5)*'Team A 1'!$AC58</f>
        <v>31.652211764762555</v>
      </c>
      <c r="O58" s="1">
        <f>'Team A 1'!O58-'Team A 1'!$AA58-('Team A 1'!O$2- 12.5)*'Team A 1'!$AC58</f>
        <v>27.456635294287651</v>
      </c>
      <c r="P58" s="1">
        <f>'Team A 1'!P58-'Team A 1'!$AA58-('Team A 1'!P$2- 12.5)*'Team A 1'!$AC58</f>
        <v>23.261058823812789</v>
      </c>
      <c r="Q58" s="1">
        <f>'Team A 1'!Q58-'Team A 1'!$AA58-('Team A 1'!Q$2- 12.5)*'Team A 1'!$AC58</f>
        <v>29.06548235333787</v>
      </c>
      <c r="R58" s="1">
        <f>'Team A 1'!R58-'Team A 1'!$AA58-('Team A 1'!R$2- 12.5)*'Team A 1'!$AC58</f>
        <v>14.869905882863009</v>
      </c>
      <c r="S58" s="1">
        <f>'Team A 1'!S58-'Team A 1'!$AA58-('Team A 1'!S$2- 12.5)*'Team A 1'!$AC58</f>
        <v>-19.325670587611967</v>
      </c>
      <c r="T58" s="1">
        <f>'Team A 1'!T58-'Team A 1'!$AA58-('Team A 1'!T$2- 12.5)*'Team A 1'!$AC58</f>
        <v>26.478752941913172</v>
      </c>
      <c r="U58" s="1">
        <f>'Team A 1'!U58-'Team A 1'!$AA58-('Team A 1'!U$2- 12.5)*'Team A 1'!$AC58</f>
        <v>-17.71682352856169</v>
      </c>
      <c r="V58" s="1">
        <f>'Team A 1'!V58-'Team A 1'!$AA58-('Team A 1'!V$2- 12.5)*'Team A 1'!$AC58</f>
        <v>-51.912399999036552</v>
      </c>
      <c r="W58" s="1">
        <f>'Team A 1'!W58-'Team A 1'!$AA58-('Team A 1'!W$2- 12.5)*'Team A 1'!$AC58</f>
        <v>-56.107976469511414</v>
      </c>
      <c r="X58" s="1">
        <f>'Team A 1'!X58-'Team A 1'!$AA58-('Team A 1'!X$2- 12.5)*'Team A 1'!$AC58</f>
        <v>-60.303552939986275</v>
      </c>
      <c r="Y58" s="1">
        <f>'Team A 1'!Y58-'Team A 1'!$AA58-('Team A 1'!Y$2- 12.5)*'Team A 1'!$AC58</f>
        <v>-4.499129410461137</v>
      </c>
      <c r="AB58" s="1">
        <f>STDEV(B58:Y58)</f>
        <v>37.278022382871569</v>
      </c>
      <c r="AD58" s="5">
        <v>2</v>
      </c>
      <c r="AE58" s="5">
        <v>9</v>
      </c>
      <c r="AF58" s="5">
        <v>7</v>
      </c>
      <c r="AG58" s="5">
        <v>5</v>
      </c>
      <c r="AH58" s="5">
        <v>6</v>
      </c>
      <c r="AI58" s="5">
        <v>3</v>
      </c>
      <c r="AJ58" s="5">
        <v>4</v>
      </c>
      <c r="AK58" s="5">
        <v>1</v>
      </c>
      <c r="AL58" s="5">
        <v>8</v>
      </c>
      <c r="AM58" s="5" t="s">
        <v>46</v>
      </c>
      <c r="AN58" s="5" t="s">
        <v>45</v>
      </c>
      <c r="AO58" s="5" t="s">
        <v>47</v>
      </c>
      <c r="AP58" s="5">
        <v>2</v>
      </c>
      <c r="AQ58" s="5">
        <v>7</v>
      </c>
      <c r="AR58" s="5">
        <v>9</v>
      </c>
      <c r="AS58" s="5">
        <v>6</v>
      </c>
      <c r="AT58" s="5">
        <v>5</v>
      </c>
      <c r="AU58" s="5">
        <v>3</v>
      </c>
      <c r="AV58" s="5">
        <v>1</v>
      </c>
      <c r="AW58" s="5">
        <v>4</v>
      </c>
      <c r="AX58" s="5">
        <v>8</v>
      </c>
      <c r="AY58" s="5" t="s">
        <v>45</v>
      </c>
      <c r="AZ58" s="5" t="s">
        <v>46</v>
      </c>
      <c r="BA58" s="5" t="s">
        <v>47</v>
      </c>
      <c r="BB58" s="5"/>
      <c r="BC58" s="1">
        <f ca="1">OFFSET(A58,0, 8) -0</f>
        <v>32.630094117136991</v>
      </c>
      <c r="BD58" s="1">
        <f ca="1">OFFSET(A58,0, 1) -0</f>
        <v>61.999129410461137</v>
      </c>
      <c r="BE58" s="1">
        <f ca="1">OFFSET(A58,0, 6) -0</f>
        <v>21.021247058086828</v>
      </c>
      <c r="BF58" s="1">
        <f ca="1">OFFSET(A58,0, 7) -0</f>
        <v>6.8256705876119668</v>
      </c>
      <c r="BG58" s="1">
        <f ca="1">OFFSET(A58,0, 4) -0</f>
        <v>9.4123999990365519</v>
      </c>
      <c r="BH58" s="1">
        <f ca="1">OFFSET(A58,0, 5) -0</f>
        <v>25.21682352856169</v>
      </c>
      <c r="BI58" s="1">
        <f ca="1">OFFSET(A58,0, 3) -0</f>
        <v>3.6079764695114136</v>
      </c>
      <c r="BJ58" s="1">
        <f ca="1">OFFSET(A58,0, 9) -0</f>
        <v>-51.56548235333787</v>
      </c>
      <c r="BK58" s="1">
        <f ca="1">OFFSET(A58,0, 2) -0</f>
        <v>37.803552939986275</v>
      </c>
      <c r="BL58" s="1">
        <f ca="1">OFFSET(A58,0, 11) -0</f>
        <v>-49.956635294287651</v>
      </c>
      <c r="BM58" s="1">
        <f ca="1">OFFSET(A58,0, 10) -0</f>
        <v>-65.761058823812789</v>
      </c>
      <c r="BN58" s="1">
        <f ca="1">OFFSET(A58,0, 12) -0</f>
        <v>25.847788235237445</v>
      </c>
      <c r="BO58" s="1">
        <f ca="1">OFFSET(A58,0, 19) -0</f>
        <v>26.478752941913172</v>
      </c>
      <c r="BP58" s="1">
        <f ca="1">OFFSET(A58,0, 13) -0</f>
        <v>31.652211764762555</v>
      </c>
      <c r="BQ58" s="1">
        <f ca="1">OFFSET(A58,0, 18) -0</f>
        <v>-19.325670587611967</v>
      </c>
      <c r="BR58" s="1">
        <f ca="1">OFFSET(A58,0, 20) -0</f>
        <v>-17.71682352856169</v>
      </c>
      <c r="BS58" s="1">
        <f ca="1">OFFSET(A58,0, 17) -0</f>
        <v>14.869905882863009</v>
      </c>
      <c r="BT58" s="1">
        <f ca="1">OFFSET(A58,0, 16) -0</f>
        <v>29.06548235333787</v>
      </c>
      <c r="BU58" s="1">
        <f ca="1">OFFSET(A58,0, 14) -0</f>
        <v>27.456635294287651</v>
      </c>
      <c r="BV58" s="1">
        <f ca="1">OFFSET(A58,0, 21) -0</f>
        <v>-51.912399999036552</v>
      </c>
      <c r="BW58" s="1">
        <f ca="1">OFFSET(A58,0, 15) -0</f>
        <v>23.261058823812789</v>
      </c>
      <c r="BX58" s="1">
        <f ca="1">OFFSET(A58,0, 22) -0</f>
        <v>-56.107976469511414</v>
      </c>
      <c r="BY58" s="1">
        <f ca="1">OFFSET(A58,0, 23) -0</f>
        <v>-60.303552939986275</v>
      </c>
      <c r="BZ58" s="1">
        <f ca="1">OFFSET(A58,0, 24) -0</f>
        <v>-4.499129410461137</v>
      </c>
      <c r="CB58" s="1">
        <f>COUNTIF(B58,"&lt;-69")</f>
        <v>0</v>
      </c>
      <c r="CC58" s="1">
        <f ca="1">COUNTIF(BC58:BN58,"&lt;-49")</f>
        <v>3</v>
      </c>
      <c r="CD58" s="1">
        <f ca="1">COUNTIF(BC58:BN58,"&gt;+49")</f>
        <v>1</v>
      </c>
      <c r="CE58" s="1">
        <f ca="1">COUNTIF(BO58:BZ58,"&lt;-49")</f>
        <v>3</v>
      </c>
      <c r="CF58" s="1">
        <f ca="1">COUNTIF(BO58:BZ58,"&gt;+49")</f>
        <v>0</v>
      </c>
    </row>
    <row r="59" spans="1:84">
      <c r="A59" s="1">
        <v>56</v>
      </c>
      <c r="B59" s="1">
        <f>'Team A 1'!B59-'Team A 1'!$AA59-('Team A 1'!B$2- 12.5)*'Team A 1'!$AC59</f>
        <v>18.921014221823953</v>
      </c>
      <c r="C59" s="1">
        <f>'Team A 1'!C59-'Team A 1'!$AA59-('Team A 1'!C$2- 12.5)*'Team A 1'!$AC59</f>
        <v>4.6670129851436286</v>
      </c>
      <c r="D59" s="1">
        <f>'Team A 1'!D59-'Team A 1'!$AA59-('Team A 1'!D$2- 12.5)*'Team A 1'!$AC59</f>
        <v>0.41301174846330468</v>
      </c>
      <c r="E59" s="1">
        <f>'Team A 1'!E59-'Team A 1'!$AA59-('Team A 1'!E$2- 12.5)*'Team A 1'!$AC59</f>
        <v>-13.840989488217019</v>
      </c>
      <c r="F59" s="1">
        <f>'Team A 1'!F59-'Team A 1'!$AA59-('Team A 1'!F$2- 12.5)*'Team A 1'!$AC59</f>
        <v>11.905009275102657</v>
      </c>
      <c r="G59" s="1">
        <f>'Team A 1'!G59-'Team A 1'!$AA59-('Team A 1'!G$2- 12.5)*'Team A 1'!$AC59</f>
        <v>7.6510080384223329</v>
      </c>
      <c r="H59" s="1">
        <f>'Team A 1'!H59-'Team A 1'!$AA59-('Team A 1'!H$2- 12.5)*'Team A 1'!$AC59</f>
        <v>53.397006801742009</v>
      </c>
      <c r="I59" s="1">
        <f>'Team A 1'!I59-'Team A 1'!$AA59-('Team A 1'!I$2- 12.5)*'Team A 1'!$AC59</f>
        <v>69.143005565061571</v>
      </c>
      <c r="J59" s="1">
        <f>'Team A 1'!J59-'Team A 1'!$AA59-('Team A 1'!J$2- 12.5)*'Team A 1'!$AC59</f>
        <v>34.889004328381247</v>
      </c>
      <c r="K59" s="1">
        <f>'Team A 1'!K59-'Team A 1'!$AA59-('Team A 1'!K$2- 12.5)*'Team A 1'!$AC59</f>
        <v>-29.364996908299133</v>
      </c>
      <c r="L59" s="1">
        <f>'Team A 1'!L59-'Team A 1'!$AA59-('Team A 1'!L$2- 12.5)*'Team A 1'!$AC59</f>
        <v>-63.618998144979457</v>
      </c>
      <c r="M59" s="1">
        <f>'Team A 1'!M59-'Team A 1'!$AA59-('Team A 1'!M$2- 12.5)*'Team A 1'!$AC59</f>
        <v>-57.872999381659824</v>
      </c>
      <c r="N59" s="1">
        <f>'Team A 1'!N59-'Team A 1'!$AA59-('Team A 1'!N$2- 12.5)*'Team A 1'!$AC59</f>
        <v>-12.127000618340176</v>
      </c>
      <c r="O59" s="1">
        <f>'Team A 1'!O59-'Team A 1'!$AA59-('Team A 1'!O$2- 12.5)*'Team A 1'!$AC59</f>
        <v>3.6189981449794573</v>
      </c>
      <c r="P59" s="1">
        <f>'Team A 1'!P59-'Team A 1'!$AA59-('Team A 1'!P$2- 12.5)*'Team A 1'!$AC59</f>
        <v>-20.635003091700867</v>
      </c>
      <c r="Q59" s="1">
        <f>'Team A 1'!Q59-'Team A 1'!$AA59-('Team A 1'!Q$2- 12.5)*'Team A 1'!$AC59</f>
        <v>25.110995671618753</v>
      </c>
      <c r="R59" s="1">
        <f>'Team A 1'!R59-'Team A 1'!$AA59-('Team A 1'!R$2- 12.5)*'Team A 1'!$AC59</f>
        <v>10.856994434938429</v>
      </c>
      <c r="S59" s="1">
        <f>'Team A 1'!S59-'Team A 1'!$AA59-('Team A 1'!S$2- 12.5)*'Team A 1'!$AC59</f>
        <v>-3.397006801742009</v>
      </c>
      <c r="T59" s="1">
        <f>'Team A 1'!T59-'Team A 1'!$AA59-('Team A 1'!T$2- 12.5)*'Team A 1'!$AC59</f>
        <v>12.348991961577667</v>
      </c>
      <c r="U59" s="1">
        <f>'Team A 1'!U59-'Team A 1'!$AA59-('Team A 1'!U$2- 12.5)*'Team A 1'!$AC59</f>
        <v>-1.9050092751026568</v>
      </c>
      <c r="V59" s="1">
        <f>'Team A 1'!V59-'Team A 1'!$AA59-('Team A 1'!V$2- 12.5)*'Team A 1'!$AC59</f>
        <v>3.8409894882170192</v>
      </c>
      <c r="W59" s="1">
        <f>'Team A 1'!W59-'Team A 1'!$AA59-('Team A 1'!W$2- 12.5)*'Team A 1'!$AC59</f>
        <v>9.5869882515366953</v>
      </c>
      <c r="X59" s="1">
        <f>'Team A 1'!X59-'Team A 1'!$AA59-('Team A 1'!X$2- 12.5)*'Team A 1'!$AC59</f>
        <v>-54.667012985143629</v>
      </c>
      <c r="Y59" s="1">
        <f>'Team A 1'!Y59-'Team A 1'!$AA59-('Team A 1'!Y$2- 12.5)*'Team A 1'!$AC59</f>
        <v>-8.9210142218239525</v>
      </c>
      <c r="AB59" s="1">
        <f>STDEV(B59:Y59)</f>
        <v>31.316613504630332</v>
      </c>
      <c r="AD59" s="5">
        <v>7</v>
      </c>
      <c r="AE59" s="5">
        <v>2</v>
      </c>
      <c r="AF59" s="5">
        <v>6</v>
      </c>
      <c r="AG59" s="5">
        <v>9</v>
      </c>
      <c r="AH59" s="5">
        <v>3</v>
      </c>
      <c r="AI59" s="5">
        <v>5</v>
      </c>
      <c r="AJ59" s="5">
        <v>4</v>
      </c>
      <c r="AK59" s="5">
        <v>1</v>
      </c>
      <c r="AL59" s="5" t="s">
        <v>45</v>
      </c>
      <c r="AM59" s="5">
        <v>8</v>
      </c>
      <c r="AN59" s="5" t="s">
        <v>47</v>
      </c>
      <c r="AO59" s="5" t="s">
        <v>46</v>
      </c>
      <c r="AP59" s="5">
        <v>2</v>
      </c>
      <c r="AQ59" s="5">
        <v>7</v>
      </c>
      <c r="AR59" s="5">
        <v>9</v>
      </c>
      <c r="AS59" s="5">
        <v>6</v>
      </c>
      <c r="AT59" s="5">
        <v>5</v>
      </c>
      <c r="AU59" s="5">
        <v>3</v>
      </c>
      <c r="AV59" s="5">
        <v>4</v>
      </c>
      <c r="AW59" s="5" t="s">
        <v>45</v>
      </c>
      <c r="AX59" s="5">
        <v>1</v>
      </c>
      <c r="AY59" s="5">
        <v>8</v>
      </c>
      <c r="AZ59" s="5" t="s">
        <v>46</v>
      </c>
      <c r="BA59" s="5" t="s">
        <v>47</v>
      </c>
      <c r="BB59" s="5"/>
      <c r="BC59" s="1">
        <f ca="1">OFFSET(A59,0, 8) -0</f>
        <v>69.143005565061571</v>
      </c>
      <c r="BD59" s="1">
        <f ca="1">OFFSET(A59,0, 2) -0</f>
        <v>4.6670129851436286</v>
      </c>
      <c r="BE59" s="1">
        <f ca="1">OFFSET(A59,0, 5) -0</f>
        <v>11.905009275102657</v>
      </c>
      <c r="BF59" s="1">
        <f ca="1">OFFSET(A59,0, 7) -0</f>
        <v>53.397006801742009</v>
      </c>
      <c r="BG59" s="1">
        <f ca="1">OFFSET(A59,0, 6) -0</f>
        <v>7.6510080384223329</v>
      </c>
      <c r="BH59" s="1">
        <f ca="1">OFFSET(A59,0, 3) -0</f>
        <v>0.41301174846330468</v>
      </c>
      <c r="BI59" s="1">
        <f ca="1">OFFSET(A59,0, 1) -0</f>
        <v>18.921014221823953</v>
      </c>
      <c r="BJ59" s="1">
        <f ca="1">OFFSET(A59,0, 10) -0</f>
        <v>-29.364996908299133</v>
      </c>
      <c r="BK59" s="1">
        <f ca="1">OFFSET(A59,0, 4) -0</f>
        <v>-13.840989488217019</v>
      </c>
      <c r="BL59" s="1">
        <f ca="1">OFFSET(A59,0, 9) -0</f>
        <v>34.889004328381247</v>
      </c>
      <c r="BM59" s="1">
        <f ca="1">OFFSET(A59,0, 12) -0</f>
        <v>-57.872999381659824</v>
      </c>
      <c r="BN59" s="1">
        <f ca="1">OFFSET(A59,0, 11) -0</f>
        <v>-63.618998144979457</v>
      </c>
      <c r="BO59" s="1">
        <f ca="1">OFFSET(A59,0, 21) -0</f>
        <v>3.8409894882170192</v>
      </c>
      <c r="BP59" s="1">
        <f ca="1">OFFSET(A59,0, 13) -0</f>
        <v>-12.127000618340176</v>
      </c>
      <c r="BQ59" s="1">
        <f ca="1">OFFSET(A59,0, 18) -0</f>
        <v>-3.397006801742009</v>
      </c>
      <c r="BR59" s="1">
        <f ca="1">OFFSET(A59,0, 19) -0</f>
        <v>12.348991961577667</v>
      </c>
      <c r="BS59" s="1">
        <f ca="1">OFFSET(A59,0, 17) -0</f>
        <v>10.856994434938429</v>
      </c>
      <c r="BT59" s="1">
        <f ca="1">OFFSET(A59,0, 16) -0</f>
        <v>25.110995671618753</v>
      </c>
      <c r="BU59" s="1">
        <f ca="1">OFFSET(A59,0, 14) -0</f>
        <v>3.6189981449794573</v>
      </c>
      <c r="BV59" s="1">
        <f ca="1">OFFSET(A59,0, 22) -0</f>
        <v>9.5869882515366953</v>
      </c>
      <c r="BW59" s="1">
        <f ca="1">OFFSET(A59,0, 15) -0</f>
        <v>-20.635003091700867</v>
      </c>
      <c r="BX59" s="1">
        <f ca="1">OFFSET(A59,0, 20) -0</f>
        <v>-1.9050092751026568</v>
      </c>
      <c r="BY59" s="1">
        <f ca="1">OFFSET(A59,0, 23) -0</f>
        <v>-54.667012985143629</v>
      </c>
      <c r="BZ59" s="1">
        <f ca="1">OFFSET(A59,0, 24) -0</f>
        <v>-8.9210142218239525</v>
      </c>
      <c r="CB59" s="1">
        <f>COUNTIF(B59,"&lt;-69")</f>
        <v>0</v>
      </c>
      <c r="CC59" s="1">
        <f ca="1">COUNTIF(BC59:BN59,"&lt;-49")</f>
        <v>2</v>
      </c>
      <c r="CD59" s="1">
        <f ca="1">COUNTIF(BC59:BN59,"&gt;+49")</f>
        <v>2</v>
      </c>
      <c r="CE59" s="1">
        <f ca="1">COUNTIF(BO59:BZ59,"&lt;-49")</f>
        <v>1</v>
      </c>
      <c r="CF59" s="1">
        <f ca="1">COUNTIF(BO59:BZ59,"&gt;+49")</f>
        <v>0</v>
      </c>
    </row>
    <row r="60" spans="1:84">
      <c r="A60" s="1">
        <v>57</v>
      </c>
      <c r="B60" s="1">
        <f>'Team A 1'!B60-'Team A 1'!$AA60-('Team A 1'!B$2- 12.5)*'Team A 1'!$AC60</f>
        <v>14.132906606647794</v>
      </c>
      <c r="C60" s="1">
        <f>'Team A 1'!C60-'Team A 1'!$AA60-('Team A 1'!C$2- 12.5)*'Team A 1'!$AC60</f>
        <v>0.8387408147655151</v>
      </c>
      <c r="D60" s="1">
        <f>'Team A 1'!D60-'Team A 1'!$AA60-('Team A 1'!D$2- 12.5)*'Team A 1'!$AC60</f>
        <v>-2.4554249771169907</v>
      </c>
      <c r="E60" s="1">
        <f>'Team A 1'!E60-'Team A 1'!$AA60-('Team A 1'!E$2- 12.5)*'Team A 1'!$AC60</f>
        <v>24.250409231000503</v>
      </c>
      <c r="F60" s="1">
        <f>'Team A 1'!F60-'Team A 1'!$AA60-('Team A 1'!F$2- 12.5)*'Team A 1'!$AC60</f>
        <v>10.956243439118225</v>
      </c>
      <c r="G60" s="1">
        <f>'Team A 1'!G60-'Team A 1'!$AA60-('Team A 1'!G$2- 12.5)*'Team A 1'!$AC60</f>
        <v>7.6620776472357193</v>
      </c>
      <c r="H60" s="1">
        <f>'Team A 1'!H60-'Team A 1'!$AA60-('Team A 1'!H$2- 12.5)*'Team A 1'!$AC60</f>
        <v>-5.6320881446467865</v>
      </c>
      <c r="I60" s="1">
        <f>'Team A 1'!I60-'Team A 1'!$AA60-('Team A 1'!I$2- 12.5)*'Team A 1'!$AC60</f>
        <v>21.073746063470935</v>
      </c>
      <c r="J60" s="1">
        <f>'Team A 1'!J60-'Team A 1'!$AA60-('Team A 1'!J$2- 12.5)*'Team A 1'!$AC60</f>
        <v>-22.220419728411571</v>
      </c>
      <c r="K60" s="1">
        <f>'Team A 1'!K60-'Team A 1'!$AA60-('Team A 1'!K$2- 12.5)*'Team A 1'!$AC60</f>
        <v>-5.5145855202939629</v>
      </c>
      <c r="L60" s="1">
        <f>'Team A 1'!L60-'Team A 1'!$AA60-('Team A 1'!L$2- 12.5)*'Team A 1'!$AC60</f>
        <v>-48.808751312176355</v>
      </c>
      <c r="M60" s="1">
        <f>'Team A 1'!M60-'Team A 1'!$AA60-('Team A 1'!M$2- 12.5)*'Team A 1'!$AC60</f>
        <v>-12.10291710405879</v>
      </c>
      <c r="N60" s="1">
        <f>'Team A 1'!N60-'Team A 1'!$AA60-('Team A 1'!N$2- 12.5)*'Team A 1'!$AC60</f>
        <v>-35.39708289594121</v>
      </c>
      <c r="O60" s="1">
        <f>'Team A 1'!O60-'Team A 1'!$AA60-('Team A 1'!O$2- 12.5)*'Team A 1'!$AC60</f>
        <v>-8.691248687823645</v>
      </c>
      <c r="P60" s="1">
        <f>'Team A 1'!P60-'Team A 1'!$AA60-('Team A 1'!P$2- 12.5)*'Team A 1'!$AC60</f>
        <v>18.014585520293963</v>
      </c>
      <c r="Q60" s="1">
        <f>'Team A 1'!Q60-'Team A 1'!$AA60-('Team A 1'!Q$2- 12.5)*'Team A 1'!$AC60</f>
        <v>14.720419728411571</v>
      </c>
      <c r="R60" s="1">
        <f>'Team A 1'!R60-'Team A 1'!$AA60-('Team A 1'!R$2- 12.5)*'Team A 1'!$AC60</f>
        <v>-8.573746063470935</v>
      </c>
      <c r="S60" s="1">
        <f>'Team A 1'!S60-'Team A 1'!$AA60-('Team A 1'!S$2- 12.5)*'Team A 1'!$AC60</f>
        <v>18.132088144646787</v>
      </c>
      <c r="T60" s="1">
        <f>'Team A 1'!T60-'Team A 1'!$AA60-('Team A 1'!T$2- 12.5)*'Team A 1'!$AC60</f>
        <v>14.837922352764281</v>
      </c>
      <c r="U60" s="1">
        <f>'Team A 1'!U60-'Team A 1'!$AA60-('Team A 1'!U$2- 12.5)*'Team A 1'!$AC60</f>
        <v>11.543756560881775</v>
      </c>
      <c r="V60" s="1">
        <f>'Team A 1'!V60-'Team A 1'!$AA60-('Team A 1'!V$2- 12.5)*'Team A 1'!$AC60</f>
        <v>18.249590768999497</v>
      </c>
      <c r="W60" s="1">
        <f>'Team A 1'!W60-'Team A 1'!$AA60-('Team A 1'!W$2- 12.5)*'Team A 1'!$AC60</f>
        <v>-15.044575022883009</v>
      </c>
      <c r="X60" s="1">
        <f>'Team A 1'!X60-'Team A 1'!$AA60-('Team A 1'!X$2- 12.5)*'Team A 1'!$AC60</f>
        <v>-18.338740814765515</v>
      </c>
      <c r="Y60" s="1">
        <f>'Team A 1'!Y60-'Team A 1'!$AA60-('Team A 1'!Y$2- 12.5)*'Team A 1'!$AC60</f>
        <v>8.3670933933522065</v>
      </c>
      <c r="AB60" s="1">
        <f>STDEV(B60:Y60)</f>
        <v>18.758386179177243</v>
      </c>
      <c r="AD60" s="5">
        <v>7</v>
      </c>
      <c r="AE60" s="5">
        <v>2</v>
      </c>
      <c r="AF60" s="5">
        <v>6</v>
      </c>
      <c r="AG60" s="5">
        <v>9</v>
      </c>
      <c r="AH60" s="5">
        <v>3</v>
      </c>
      <c r="AI60" s="5">
        <v>5</v>
      </c>
      <c r="AJ60" s="5" t="s">
        <v>45</v>
      </c>
      <c r="AK60" s="5">
        <v>4</v>
      </c>
      <c r="AL60" s="5">
        <v>8</v>
      </c>
      <c r="AM60" s="5">
        <v>1</v>
      </c>
      <c r="AN60" s="5" t="s">
        <v>47</v>
      </c>
      <c r="AO60" s="5" t="s">
        <v>46</v>
      </c>
      <c r="AP60" s="5">
        <v>7</v>
      </c>
      <c r="AQ60" s="5">
        <v>6</v>
      </c>
      <c r="AR60" s="5">
        <v>2</v>
      </c>
      <c r="AS60" s="5">
        <v>3</v>
      </c>
      <c r="AT60" s="5">
        <v>9</v>
      </c>
      <c r="AU60" s="5" t="s">
        <v>45</v>
      </c>
      <c r="AV60" s="5">
        <v>5</v>
      </c>
      <c r="AW60" s="5">
        <v>4</v>
      </c>
      <c r="AX60" s="5">
        <v>1</v>
      </c>
      <c r="AY60" s="5">
        <v>8</v>
      </c>
      <c r="AZ60" s="5" t="s">
        <v>46</v>
      </c>
      <c r="BA60" s="5" t="s">
        <v>47</v>
      </c>
      <c r="BB60" s="5"/>
      <c r="BC60" s="1">
        <f ca="1">OFFSET(A60,0, 10) -0</f>
        <v>-5.5145855202939629</v>
      </c>
      <c r="BD60" s="1">
        <f ca="1">OFFSET(A60,0, 2) -0</f>
        <v>0.8387408147655151</v>
      </c>
      <c r="BE60" s="1">
        <f ca="1">OFFSET(A60,0, 5) -0</f>
        <v>10.956243439118225</v>
      </c>
      <c r="BF60" s="1">
        <f ca="1">OFFSET(A60,0, 8) -0</f>
        <v>21.073746063470935</v>
      </c>
      <c r="BG60" s="1">
        <f ca="1">OFFSET(A60,0, 6) -0</f>
        <v>7.6620776472357193</v>
      </c>
      <c r="BH60" s="1">
        <f ca="1">OFFSET(A60,0, 3) -0</f>
        <v>-2.4554249771169907</v>
      </c>
      <c r="BI60" s="1">
        <f ca="1">OFFSET(A60,0, 1) -0</f>
        <v>14.132906606647794</v>
      </c>
      <c r="BJ60" s="1">
        <f ca="1">OFFSET(A60,0, 9) -0</f>
        <v>-22.220419728411571</v>
      </c>
      <c r="BK60" s="1">
        <f ca="1">OFFSET(A60,0, 4) -0</f>
        <v>24.250409231000503</v>
      </c>
      <c r="BL60" s="1">
        <f ca="1">OFFSET(A60,0, 7) -0</f>
        <v>-5.6320881446467865</v>
      </c>
      <c r="BM60" s="1">
        <f ca="1">OFFSET(A60,0, 12) -0</f>
        <v>-12.10291710405879</v>
      </c>
      <c r="BN60" s="1">
        <f ca="1">OFFSET(A60,0, 11) -0</f>
        <v>-48.808751312176355</v>
      </c>
      <c r="BO60" s="1">
        <f ca="1">OFFSET(A60,0, 21) -0</f>
        <v>18.249590768999497</v>
      </c>
      <c r="BP60" s="1">
        <f ca="1">OFFSET(A60,0, 15) -0</f>
        <v>18.014585520293963</v>
      </c>
      <c r="BQ60" s="1">
        <f ca="1">OFFSET(A60,0, 16) -0</f>
        <v>14.720419728411571</v>
      </c>
      <c r="BR60" s="1">
        <f ca="1">OFFSET(A60,0, 20) -0</f>
        <v>11.543756560881775</v>
      </c>
      <c r="BS60" s="1">
        <f ca="1">OFFSET(A60,0, 19) -0</f>
        <v>14.837922352764281</v>
      </c>
      <c r="BT60" s="1">
        <f ca="1">OFFSET(A60,0, 14) -0</f>
        <v>-8.691248687823645</v>
      </c>
      <c r="BU60" s="1">
        <f ca="1">OFFSET(A60,0, 13) -0</f>
        <v>-35.39708289594121</v>
      </c>
      <c r="BV60" s="1">
        <f ca="1">OFFSET(A60,0, 22) -0</f>
        <v>-15.044575022883009</v>
      </c>
      <c r="BW60" s="1">
        <f ca="1">OFFSET(A60,0, 17) -0</f>
        <v>-8.573746063470935</v>
      </c>
      <c r="BX60" s="1">
        <f ca="1">OFFSET(A60,0, 18) -0</f>
        <v>18.132088144646787</v>
      </c>
      <c r="BY60" s="1">
        <f ca="1">OFFSET(A60,0, 23) -0</f>
        <v>-18.338740814765515</v>
      </c>
      <c r="BZ60" s="1">
        <f ca="1">OFFSET(A60,0, 24) -0</f>
        <v>8.3670933933522065</v>
      </c>
      <c r="CB60" s="1">
        <f>COUNTIF(B60,"&lt;-68")</f>
        <v>0</v>
      </c>
      <c r="CC60" s="1">
        <f ca="1">COUNTIF(BC60:BN60,"&lt;-48")</f>
        <v>1</v>
      </c>
      <c r="CD60" s="1">
        <f ca="1">COUNTIF(BC60:BN60,"&gt;+48")</f>
        <v>0</v>
      </c>
      <c r="CE60" s="1">
        <f ca="1">COUNTIF(BO60:BZ60,"&lt;-48")</f>
        <v>0</v>
      </c>
      <c r="CF60" s="1">
        <f ca="1">COUNTIF(BO60:BZ60,"&gt;+48")</f>
        <v>0</v>
      </c>
    </row>
    <row r="61" spans="1:84">
      <c r="A61" s="1">
        <v>58</v>
      </c>
      <c r="B61" s="1">
        <f>'Team A 1'!B61-'Team A 1'!$AA61-('Team A 1'!B$2- 12.5)*'Team A 1'!$AC61</f>
        <v>-0.93255837081915161</v>
      </c>
      <c r="C61" s="1">
        <f>'Team A 1'!C61-'Team A 1'!$AA61-('Team A 1'!C$2- 12.5)*'Team A 1'!$AC61</f>
        <v>-14.293495324079458</v>
      </c>
      <c r="D61" s="1">
        <f>'Team A 1'!D61-'Team A 1'!$AA61-('Team A 1'!D$2- 12.5)*'Team A 1'!$AC61</f>
        <v>-7.6544322773399927</v>
      </c>
      <c r="E61" s="1">
        <f>'Team A 1'!E61-'Team A 1'!$AA61-('Team A 1'!E$2- 12.5)*'Team A 1'!$AC61</f>
        <v>-11.015369230600299</v>
      </c>
      <c r="F61" s="1">
        <f>'Team A 1'!F61-'Team A 1'!$AA61-('Team A 1'!F$2- 12.5)*'Team A 1'!$AC61</f>
        <v>5.6236938161391663</v>
      </c>
      <c r="G61" s="1">
        <f>'Team A 1'!G61-'Team A 1'!$AA61-('Team A 1'!G$2- 12.5)*'Team A 1'!$AC61</f>
        <v>22.262756862878859</v>
      </c>
      <c r="H61" s="1">
        <f>'Team A 1'!H61-'Team A 1'!$AA61-('Team A 1'!H$2- 12.5)*'Team A 1'!$AC61</f>
        <v>8.9018199096183253</v>
      </c>
      <c r="I61" s="1">
        <f>'Team A 1'!I61-'Team A 1'!$AA61-('Team A 1'!I$2- 12.5)*'Team A 1'!$AC61</f>
        <v>15.540882956358018</v>
      </c>
      <c r="J61" s="1">
        <f>'Team A 1'!J61-'Team A 1'!$AA61-('Team A 1'!J$2- 12.5)*'Team A 1'!$AC61</f>
        <v>2.1799460030974842</v>
      </c>
      <c r="K61" s="1">
        <f>'Team A 1'!K61-'Team A 1'!$AA61-('Team A 1'!K$2- 12.5)*'Team A 1'!$AC61</f>
        <v>8.8190090498371205</v>
      </c>
      <c r="L61" s="1">
        <f>'Team A 1'!L61-'Team A 1'!$AA61-('Team A 1'!L$2- 12.5)*'Team A 1'!$AC61</f>
        <v>-4.5419279034233</v>
      </c>
      <c r="M61" s="1">
        <f>'Team A 1'!M61-'Team A 1'!$AA61-('Team A 1'!M$2- 12.5)*'Team A 1'!$AC61</f>
        <v>2.0971351433162795</v>
      </c>
      <c r="N61" s="1">
        <f>'Team A 1'!N61-'Team A 1'!$AA61-('Team A 1'!N$2- 12.5)*'Team A 1'!$AC61</f>
        <v>8.736198190055859</v>
      </c>
      <c r="O61" s="1">
        <f>'Team A 1'!O61-'Team A 1'!$AA61-('Team A 1'!O$2- 12.5)*'Team A 1'!$AC61</f>
        <v>35.375261236795438</v>
      </c>
      <c r="P61" s="1">
        <f>'Team A 1'!P61-'Team A 1'!$AA61-('Team A 1'!P$2- 12.5)*'Team A 1'!$AC61</f>
        <v>32.014324283535018</v>
      </c>
      <c r="Q61" s="1">
        <f>'Team A 1'!Q61-'Team A 1'!$AA61-('Team A 1'!Q$2- 12.5)*'Team A 1'!$AC61</f>
        <v>8.6533873302746542</v>
      </c>
      <c r="R61" s="1">
        <f>'Team A 1'!R61-'Team A 1'!$AA61-('Team A 1'!R$2- 12.5)*'Team A 1'!$AC61</f>
        <v>-14.70754962298588</v>
      </c>
      <c r="S61" s="1">
        <f>'Team A 1'!S61-'Team A 1'!$AA61-('Team A 1'!S$2- 12.5)*'Team A 1'!$AC61</f>
        <v>-58.068486576246187</v>
      </c>
      <c r="T61" s="1">
        <f>'Team A 1'!T61-'Team A 1'!$AA61-('Team A 1'!T$2- 12.5)*'Team A 1'!$AC61</f>
        <v>-41.429423529506721</v>
      </c>
      <c r="U61" s="1">
        <f>'Team A 1'!U61-'Team A 1'!$AA61-('Team A 1'!U$2- 12.5)*'Team A 1'!$AC61</f>
        <v>-24.790360482767028</v>
      </c>
      <c r="V61" s="1">
        <f>'Team A 1'!V61-'Team A 1'!$AA61-('Team A 1'!V$2- 12.5)*'Team A 1'!$AC61</f>
        <v>-38.151297436027562</v>
      </c>
      <c r="W61" s="1">
        <f>'Team A 1'!W61-'Team A 1'!$AA61-('Team A 1'!W$2- 12.5)*'Team A 1'!$AC61</f>
        <v>28.487765610712131</v>
      </c>
      <c r="X61" s="1">
        <f>'Team A 1'!X61-'Team A 1'!$AA61-('Team A 1'!X$2- 12.5)*'Team A 1'!$AC61</f>
        <v>15.126828657451597</v>
      </c>
      <c r="Y61" s="1">
        <f>'Team A 1'!Y61-'Team A 1'!$AA61-('Team A 1'!Y$2- 12.5)*'Team A 1'!$AC61</f>
        <v>21.76589170419129</v>
      </c>
      <c r="AB61" s="1">
        <f>STDEV(B61:Y61)</f>
        <v>23.458633452060571</v>
      </c>
      <c r="AD61" s="5">
        <v>6</v>
      </c>
      <c r="AE61" s="5">
        <v>7</v>
      </c>
      <c r="AF61" s="5">
        <v>3</v>
      </c>
      <c r="AG61" s="5">
        <v>2</v>
      </c>
      <c r="AH61" s="5" t="s">
        <v>45</v>
      </c>
      <c r="AI61" s="5">
        <v>9</v>
      </c>
      <c r="AJ61" s="5">
        <v>4</v>
      </c>
      <c r="AK61" s="5">
        <v>5</v>
      </c>
      <c r="AL61" s="5">
        <v>8</v>
      </c>
      <c r="AM61" s="5">
        <v>1</v>
      </c>
      <c r="AN61" s="5" t="s">
        <v>47</v>
      </c>
      <c r="AO61" s="5" t="s">
        <v>46</v>
      </c>
      <c r="AP61" s="5">
        <v>7</v>
      </c>
      <c r="AQ61" s="5">
        <v>6</v>
      </c>
      <c r="AR61" s="5">
        <v>2</v>
      </c>
      <c r="AS61" s="5">
        <v>3</v>
      </c>
      <c r="AT61" s="5">
        <v>9</v>
      </c>
      <c r="AU61" s="5" t="s">
        <v>45</v>
      </c>
      <c r="AV61" s="5">
        <v>5</v>
      </c>
      <c r="AW61" s="5">
        <v>4</v>
      </c>
      <c r="AX61" s="5">
        <v>8</v>
      </c>
      <c r="AY61" s="5" t="s">
        <v>47</v>
      </c>
      <c r="AZ61" s="5">
        <v>1</v>
      </c>
      <c r="BA61" s="5" t="s">
        <v>46</v>
      </c>
      <c r="BB61" s="5"/>
      <c r="BC61" s="1">
        <f ca="1">OFFSET(A61,0, 10) -0</f>
        <v>8.8190090498371205</v>
      </c>
      <c r="BD61" s="1">
        <f ca="1">OFFSET(A61,0, 4) -0</f>
        <v>-11.015369230600299</v>
      </c>
      <c r="BE61" s="1">
        <f ca="1">OFFSET(A61,0, 3) -0</f>
        <v>-7.6544322773399927</v>
      </c>
      <c r="BF61" s="1">
        <f ca="1">OFFSET(A61,0, 7) -0</f>
        <v>8.9018199096183253</v>
      </c>
      <c r="BG61" s="1">
        <f ca="1">OFFSET(A61,0, 8) -0</f>
        <v>15.540882956358018</v>
      </c>
      <c r="BH61" s="1">
        <f ca="1">OFFSET(A61,0, 1) -0</f>
        <v>-0.93255837081915161</v>
      </c>
      <c r="BI61" s="1">
        <f ca="1">OFFSET(A61,0, 2) -0</f>
        <v>-14.293495324079458</v>
      </c>
      <c r="BJ61" s="1">
        <f ca="1">OFFSET(A61,0, 9) -0</f>
        <v>2.1799460030974842</v>
      </c>
      <c r="BK61" s="1">
        <f ca="1">OFFSET(A61,0, 6) -0</f>
        <v>22.262756862878859</v>
      </c>
      <c r="BL61" s="1">
        <f ca="1">OFFSET(A61,0, 5) -0</f>
        <v>5.6236938161391663</v>
      </c>
      <c r="BM61" s="1">
        <f ca="1">OFFSET(A61,0, 12) -0</f>
        <v>2.0971351433162795</v>
      </c>
      <c r="BN61" s="1">
        <f ca="1">OFFSET(A61,0, 11) -0</f>
        <v>-4.5419279034233</v>
      </c>
      <c r="BO61" s="1">
        <f ca="1">OFFSET(A61,0, 23) -0</f>
        <v>15.126828657451597</v>
      </c>
      <c r="BP61" s="1">
        <f ca="1">OFFSET(A61,0, 15) -0</f>
        <v>32.014324283535018</v>
      </c>
      <c r="BQ61" s="1">
        <f ca="1">OFFSET(A61,0, 16) -0</f>
        <v>8.6533873302746542</v>
      </c>
      <c r="BR61" s="1">
        <f ca="1">OFFSET(A61,0, 20) -0</f>
        <v>-24.790360482767028</v>
      </c>
      <c r="BS61" s="1">
        <f ca="1">OFFSET(A61,0, 19) -0</f>
        <v>-41.429423529506721</v>
      </c>
      <c r="BT61" s="1">
        <f ca="1">OFFSET(A61,0, 14) -0</f>
        <v>35.375261236795438</v>
      </c>
      <c r="BU61" s="1">
        <f ca="1">OFFSET(A61,0, 13) -0</f>
        <v>8.736198190055859</v>
      </c>
      <c r="BV61" s="1">
        <f ca="1">OFFSET(A61,0, 21) -0</f>
        <v>-38.151297436027562</v>
      </c>
      <c r="BW61" s="1">
        <f ca="1">OFFSET(A61,0, 17) -0</f>
        <v>-14.70754962298588</v>
      </c>
      <c r="BX61" s="1">
        <f ca="1">OFFSET(A61,0, 18) -0</f>
        <v>-58.068486576246187</v>
      </c>
      <c r="BY61" s="1">
        <f ca="1">OFFSET(A61,0, 24) -0</f>
        <v>21.76589170419129</v>
      </c>
      <c r="BZ61" s="1">
        <f ca="1">OFFSET(A61,0, 22) -0</f>
        <v>28.487765610712131</v>
      </c>
      <c r="CB61" s="1">
        <f>COUNTIF(B61,"&lt;-68")</f>
        <v>0</v>
      </c>
      <c r="CC61" s="1">
        <f ca="1">COUNTIF(BC61:BN61,"&lt;-48")</f>
        <v>0</v>
      </c>
      <c r="CD61" s="1">
        <f ca="1">COUNTIF(BC61:BN61,"&gt;+48")</f>
        <v>0</v>
      </c>
      <c r="CE61" s="1">
        <f ca="1">COUNTIF(BO61:BZ61,"&lt;-48")</f>
        <v>1</v>
      </c>
      <c r="CF61" s="1">
        <f ca="1">COUNTIF(BO61:BZ61,"&gt;+48")</f>
        <v>0</v>
      </c>
    </row>
    <row r="62" spans="1:84">
      <c r="A62" s="1">
        <v>59</v>
      </c>
      <c r="B62" s="1">
        <f>'Team A 1'!B62-'Team A 1'!$AA62-('Team A 1'!B$2- 12.5)*'Team A 1'!$AC62</f>
        <v>29.278857676274583</v>
      </c>
      <c r="C62" s="1">
        <f>'Team A 1'!C62-'Team A 1'!$AA62-('Team A 1'!C$2- 12.5)*'Team A 1'!$AC62</f>
        <v>15.283594689929942</v>
      </c>
      <c r="D62" s="1">
        <f>'Team A 1'!D62-'Team A 1'!$AA62-('Team A 1'!D$2- 12.5)*'Team A 1'!$AC62</f>
        <v>1.2883317035855271</v>
      </c>
      <c r="E62" s="1">
        <f>'Team A 1'!E62-'Team A 1'!$AA62-('Team A 1'!E$2- 12.5)*'Team A 1'!$AC62</f>
        <v>-2.7069312827588874</v>
      </c>
      <c r="F62" s="1">
        <f>'Team A 1'!F62-'Team A 1'!$AA62-('Team A 1'!F$2- 12.5)*'Team A 1'!$AC62</f>
        <v>-6.7021942691030745</v>
      </c>
      <c r="G62" s="1">
        <f>'Team A 1'!G62-'Team A 1'!$AA62-('Team A 1'!G$2- 12.5)*'Team A 1'!$AC62</f>
        <v>-20.697457255447489</v>
      </c>
      <c r="H62" s="1">
        <f>'Team A 1'!H62-'Team A 1'!$AA62-('Team A 1'!H$2- 12.5)*'Team A 1'!$AC62</f>
        <v>25.307279758208097</v>
      </c>
      <c r="I62" s="1">
        <f>'Team A 1'!I62-'Team A 1'!$AA62-('Team A 1'!I$2- 12.5)*'Team A 1'!$AC62</f>
        <v>1.3120167718636822</v>
      </c>
      <c r="J62" s="1">
        <f>'Team A 1'!J62-'Team A 1'!$AA62-('Team A 1'!J$2- 12.5)*'Team A 1'!$AC62</f>
        <v>-2.6832462144807323</v>
      </c>
      <c r="K62" s="1">
        <f>'Team A 1'!K62-'Team A 1'!$AA62-('Team A 1'!K$2- 12.5)*'Team A 1'!$AC62</f>
        <v>-36.67850920082509</v>
      </c>
      <c r="L62" s="1">
        <f>'Team A 1'!L62-'Team A 1'!$AA62-('Team A 1'!L$2- 12.5)*'Team A 1'!$AC62</f>
        <v>-30.673772187169504</v>
      </c>
      <c r="M62" s="1">
        <f>'Team A 1'!M62-'Team A 1'!$AA62-('Team A 1'!M$2- 12.5)*'Team A 1'!$AC62</f>
        <v>5.3309648264861238</v>
      </c>
      <c r="N62" s="1">
        <f>'Team A 1'!N62-'Team A 1'!$AA62-('Team A 1'!N$2- 12.5)*'Team A 1'!$AC62</f>
        <v>21.335701840141738</v>
      </c>
      <c r="O62" s="1">
        <f>'Team A 1'!O62-'Team A 1'!$AA62-('Team A 1'!O$2- 12.5)*'Team A 1'!$AC62</f>
        <v>27.340438853797366</v>
      </c>
      <c r="P62" s="1">
        <f>'Team A 1'!P62-'Team A 1'!$AA62-('Team A 1'!P$2- 12.5)*'Team A 1'!$AC62</f>
        <v>13.345175867452951</v>
      </c>
      <c r="Q62" s="1">
        <f>'Team A 1'!Q62-'Team A 1'!$AA62-('Team A 1'!Q$2- 12.5)*'Team A 1'!$AC62</f>
        <v>19.349912881108594</v>
      </c>
      <c r="R62" s="1">
        <f>'Team A 1'!R62-'Team A 1'!$AA62-('Team A 1'!R$2- 12.5)*'Team A 1'!$AC62</f>
        <v>15.354649894764179</v>
      </c>
      <c r="S62" s="1">
        <f>'Team A 1'!S62-'Team A 1'!$AA62-('Team A 1'!S$2- 12.5)*'Team A 1'!$AC62</f>
        <v>11.359386908419765</v>
      </c>
      <c r="T62" s="1">
        <f>'Team A 1'!T62-'Team A 1'!$AA62-('Team A 1'!T$2- 12.5)*'Team A 1'!$AC62</f>
        <v>-32.63587607792465</v>
      </c>
      <c r="U62" s="1">
        <f>'Team A 1'!U62-'Team A 1'!$AA62-('Team A 1'!U$2- 12.5)*'Team A 1'!$AC62</f>
        <v>-6.631139064269064</v>
      </c>
      <c r="V62" s="1">
        <f>'Team A 1'!V62-'Team A 1'!$AA62-('Team A 1'!V$2- 12.5)*'Team A 1'!$AC62</f>
        <v>-10.626402050613251</v>
      </c>
      <c r="W62" s="1">
        <f>'Team A 1'!W62-'Team A 1'!$AA62-('Team A 1'!W$2- 12.5)*'Team A 1'!$AC62</f>
        <v>-4.6216650369576655</v>
      </c>
      <c r="X62" s="1">
        <f>'Team A 1'!X62-'Team A 1'!$AA62-('Team A 1'!X$2- 12.5)*'Team A 1'!$AC62</f>
        <v>-18.61692802330208</v>
      </c>
      <c r="Y62" s="1">
        <f>'Team A 1'!Y62-'Team A 1'!$AA62-('Team A 1'!Y$2- 12.5)*'Team A 1'!$AC62</f>
        <v>-12.612191009646722</v>
      </c>
      <c r="AB62" s="1">
        <f>STDEV(B62:Y62)</f>
        <v>19.11766640044473</v>
      </c>
      <c r="AD62" s="5">
        <v>6</v>
      </c>
      <c r="AE62" s="5">
        <v>7</v>
      </c>
      <c r="AF62" s="5">
        <v>3</v>
      </c>
      <c r="AG62" s="5">
        <v>2</v>
      </c>
      <c r="AH62" s="5" t="s">
        <v>45</v>
      </c>
      <c r="AI62" s="5">
        <v>9</v>
      </c>
      <c r="AJ62" s="5">
        <v>4</v>
      </c>
      <c r="AK62" s="5">
        <v>5</v>
      </c>
      <c r="AL62" s="5" t="s">
        <v>47</v>
      </c>
      <c r="AM62" s="5">
        <v>8</v>
      </c>
      <c r="AN62" s="5" t="s">
        <v>46</v>
      </c>
      <c r="AO62" s="5">
        <v>1</v>
      </c>
      <c r="AP62" s="5">
        <v>6</v>
      </c>
      <c r="AQ62" s="5">
        <v>3</v>
      </c>
      <c r="AR62" s="5">
        <v>7</v>
      </c>
      <c r="AS62" s="5" t="s">
        <v>45</v>
      </c>
      <c r="AT62" s="5">
        <v>2</v>
      </c>
      <c r="AU62" s="5">
        <v>4</v>
      </c>
      <c r="AV62" s="5">
        <v>9</v>
      </c>
      <c r="AW62" s="5" t="s">
        <v>47</v>
      </c>
      <c r="AX62" s="5">
        <v>5</v>
      </c>
      <c r="AY62" s="5">
        <v>8</v>
      </c>
      <c r="AZ62" s="5">
        <v>1</v>
      </c>
      <c r="BA62" s="5" t="s">
        <v>46</v>
      </c>
      <c r="BB62" s="5"/>
      <c r="BC62" s="1">
        <f ca="1">OFFSET(A62,0, 12) -0</f>
        <v>5.3309648264861238</v>
      </c>
      <c r="BD62" s="1">
        <f ca="1">OFFSET(A62,0, 4) -0</f>
        <v>-2.7069312827588874</v>
      </c>
      <c r="BE62" s="1">
        <f ca="1">OFFSET(A62,0, 3) -0</f>
        <v>1.2883317035855271</v>
      </c>
      <c r="BF62" s="1">
        <f ca="1">OFFSET(A62,0, 7) -0</f>
        <v>25.307279758208097</v>
      </c>
      <c r="BG62" s="1">
        <f ca="1">OFFSET(A62,0, 8) -0</f>
        <v>1.3120167718636822</v>
      </c>
      <c r="BH62" s="1">
        <f ca="1">OFFSET(A62,0, 1) -0</f>
        <v>29.278857676274583</v>
      </c>
      <c r="BI62" s="1">
        <f ca="1">OFFSET(A62,0, 2) -0</f>
        <v>15.283594689929942</v>
      </c>
      <c r="BJ62" s="1">
        <f ca="1">OFFSET(A62,0, 10) -0</f>
        <v>-36.67850920082509</v>
      </c>
      <c r="BK62" s="1">
        <f ca="1">OFFSET(A62,0, 6) -0</f>
        <v>-20.697457255447489</v>
      </c>
      <c r="BL62" s="1">
        <f ca="1">OFFSET(A62,0, 5) -0</f>
        <v>-6.7021942691030745</v>
      </c>
      <c r="BM62" s="1">
        <f ca="1">OFFSET(A62,0, 11) -0</f>
        <v>-30.673772187169504</v>
      </c>
      <c r="BN62" s="1">
        <f ca="1">OFFSET(A62,0, 9) -0</f>
        <v>-2.6832462144807323</v>
      </c>
      <c r="BO62" s="1">
        <f ca="1">OFFSET(A62,0, 23) -0</f>
        <v>-18.61692802330208</v>
      </c>
      <c r="BP62" s="1">
        <f ca="1">OFFSET(A62,0, 17) -0</f>
        <v>15.354649894764179</v>
      </c>
      <c r="BQ62" s="1">
        <f ca="1">OFFSET(A62,0, 14) -0</f>
        <v>27.340438853797366</v>
      </c>
      <c r="BR62" s="1">
        <f ca="1">OFFSET(A62,0, 18) -0</f>
        <v>11.359386908419765</v>
      </c>
      <c r="BS62" s="1">
        <f ca="1">OFFSET(A62,0, 21) -0</f>
        <v>-10.626402050613251</v>
      </c>
      <c r="BT62" s="1">
        <f ca="1">OFFSET(A62,0, 13) -0</f>
        <v>21.335701840141738</v>
      </c>
      <c r="BU62" s="1">
        <f ca="1">OFFSET(A62,0, 15) -0</f>
        <v>13.345175867452951</v>
      </c>
      <c r="BV62" s="1">
        <f ca="1">OFFSET(A62,0, 22) -0</f>
        <v>-4.6216650369576655</v>
      </c>
      <c r="BW62" s="1">
        <f ca="1">OFFSET(A62,0, 19) -0</f>
        <v>-32.63587607792465</v>
      </c>
      <c r="BX62" s="1">
        <f ca="1">OFFSET(A62,0, 16) -0</f>
        <v>19.349912881108594</v>
      </c>
      <c r="BY62" s="1">
        <f ca="1">OFFSET(A62,0, 24) -0</f>
        <v>-12.612191009646722</v>
      </c>
      <c r="BZ62" s="1">
        <f ca="1">OFFSET(A62,0, 20) -0</f>
        <v>-6.631139064269064</v>
      </c>
      <c r="CB62" s="1">
        <f>COUNTIF(B62,"&lt;-69")</f>
        <v>0</v>
      </c>
      <c r="CC62" s="1">
        <f ca="1">COUNTIF(BC62:BN62,"&lt;-48")</f>
        <v>0</v>
      </c>
      <c r="CD62" s="1">
        <f ca="1">COUNTIF(BC62:BN62,"&gt;+48")</f>
        <v>0</v>
      </c>
      <c r="CE62" s="1">
        <f ca="1">COUNTIF(BO62:BZ62,"&lt;-48")</f>
        <v>0</v>
      </c>
      <c r="CF62" s="1">
        <f ca="1">COUNTIF(BO62:BZ62,"&gt;+48")</f>
        <v>0</v>
      </c>
    </row>
    <row r="63" spans="1:84">
      <c r="A63" s="1">
        <v>60</v>
      </c>
      <c r="B63" s="1">
        <f>'Team A 1'!B63-'Team A 1'!$AA63-('Team A 1'!B$2- 12.5)*'Team A 1'!$AC63</f>
        <v>-8.5090929571783818</v>
      </c>
      <c r="C63" s="1">
        <f>'Team A 1'!C63-'Team A 1'!$AA63-('Team A 1'!C$2- 12.5)*'Team A 1'!$AC63</f>
        <v>7.5206832419951297</v>
      </c>
      <c r="D63" s="1">
        <f>'Team A 1'!D63-'Team A 1'!$AA63-('Team A 1'!D$2- 12.5)*'Team A 1'!$AC63</f>
        <v>23.550459441168186</v>
      </c>
      <c r="E63" s="1">
        <f>'Team A 1'!E63-'Team A 1'!$AA63-('Team A 1'!E$2- 12.5)*'Team A 1'!$AC63</f>
        <v>19.580235640341471</v>
      </c>
      <c r="F63" s="1">
        <f>'Team A 1'!F63-'Team A 1'!$AA63-('Team A 1'!F$2- 12.5)*'Team A 1'!$AC63</f>
        <v>25.610011839514755</v>
      </c>
      <c r="G63" s="1">
        <f>'Team A 1'!G63-'Team A 1'!$AA63-('Team A 1'!G$2- 12.5)*'Team A 1'!$AC63</f>
        <v>41.639788038688039</v>
      </c>
      <c r="H63" s="1">
        <f>'Team A 1'!H63-'Team A 1'!$AA63-('Team A 1'!H$2- 12.5)*'Team A 1'!$AC63</f>
        <v>27.669564237861096</v>
      </c>
      <c r="I63" s="1">
        <f>'Team A 1'!I63-'Team A 1'!$AA63-('Team A 1'!I$2- 12.5)*'Team A 1'!$AC63</f>
        <v>-16.30065956296562</v>
      </c>
      <c r="J63" s="1">
        <f>'Team A 1'!J63-'Team A 1'!$AA63-('Team A 1'!J$2- 12.5)*'Team A 1'!$AC63</f>
        <v>-30.270883363792336</v>
      </c>
      <c r="K63" s="1">
        <f>'Team A 1'!K63-'Team A 1'!$AA63-('Team A 1'!K$2- 12.5)*'Team A 1'!$AC63</f>
        <v>-34.241107164619166</v>
      </c>
      <c r="L63" s="1">
        <f>'Team A 1'!L63-'Team A 1'!$AA63-('Team A 1'!L$2- 12.5)*'Team A 1'!$AC63</f>
        <v>-28.211330965445882</v>
      </c>
      <c r="M63" s="1">
        <f>'Team A 1'!M63-'Team A 1'!$AA63-('Team A 1'!M$2- 12.5)*'Team A 1'!$AC63</f>
        <v>-2.1815547662726829</v>
      </c>
      <c r="N63" s="1">
        <f>'Team A 1'!N63-'Team A 1'!$AA63-('Team A 1'!N$2- 12.5)*'Team A 1'!$AC63</f>
        <v>-26.151778567099456</v>
      </c>
      <c r="O63" s="1">
        <f>'Team A 1'!O63-'Team A 1'!$AA63-('Team A 1'!O$2- 12.5)*'Team A 1'!$AC63</f>
        <v>-20.122002367926257</v>
      </c>
      <c r="P63" s="1">
        <f>'Team A 1'!P63-'Team A 1'!$AA63-('Team A 1'!P$2- 12.5)*'Team A 1'!$AC63</f>
        <v>5.9077738312470274</v>
      </c>
      <c r="Q63" s="1">
        <f>'Team A 1'!Q63-'Team A 1'!$AA63-('Team A 1'!Q$2- 12.5)*'Team A 1'!$AC63</f>
        <v>11.937550030420198</v>
      </c>
      <c r="R63" s="1">
        <f>'Team A 1'!R63-'Team A 1'!$AA63-('Team A 1'!R$2- 12.5)*'Team A 1'!$AC63</f>
        <v>7.9673262295934819</v>
      </c>
      <c r="S63" s="1">
        <f>'Team A 1'!S63-'Team A 1'!$AA63-('Team A 1'!S$2- 12.5)*'Team A 1'!$AC63</f>
        <v>23.997102428766766</v>
      </c>
      <c r="T63" s="1">
        <f>'Team A 1'!T63-'Team A 1'!$AA63-('Team A 1'!T$2- 12.5)*'Team A 1'!$AC63</f>
        <v>2.6878627939822763E-2</v>
      </c>
      <c r="U63" s="1">
        <f>'Team A 1'!U63-'Team A 1'!$AA63-('Team A 1'!U$2- 12.5)*'Team A 1'!$AC63</f>
        <v>6.0566548271131069</v>
      </c>
      <c r="V63" s="1">
        <f>'Team A 1'!V63-'Team A 1'!$AA63-('Team A 1'!V$2- 12.5)*'Team A 1'!$AC63</f>
        <v>-47.913568973713609</v>
      </c>
      <c r="W63" s="1">
        <f>'Team A 1'!W63-'Team A 1'!$AA63-('Team A 1'!W$2- 12.5)*'Team A 1'!$AC63</f>
        <v>-11.883792774540325</v>
      </c>
      <c r="X63" s="1">
        <f>'Team A 1'!X63-'Team A 1'!$AA63-('Team A 1'!X$2- 12.5)*'Team A 1'!$AC63</f>
        <v>4.1459834246327318</v>
      </c>
      <c r="Y63" s="1">
        <f>'Team A 1'!Y63-'Team A 1'!$AA63-('Team A 1'!Y$2- 12.5)*'Team A 1'!$AC63</f>
        <v>20.175759623806243</v>
      </c>
      <c r="AB63" s="1">
        <f>STDEV(B63:Y63)</f>
        <v>23.013115067833759</v>
      </c>
      <c r="AD63" s="5">
        <v>3</v>
      </c>
      <c r="AE63" s="5">
        <v>6</v>
      </c>
      <c r="AF63" s="5" t="s">
        <v>45</v>
      </c>
      <c r="AG63" s="5">
        <v>7</v>
      </c>
      <c r="AH63" s="5">
        <v>4</v>
      </c>
      <c r="AI63" s="5">
        <v>2</v>
      </c>
      <c r="AJ63" s="5" t="s">
        <v>47</v>
      </c>
      <c r="AK63" s="5">
        <v>9</v>
      </c>
      <c r="AL63" s="5">
        <v>8</v>
      </c>
      <c r="AM63" s="5">
        <v>5</v>
      </c>
      <c r="AN63" s="5" t="s">
        <v>46</v>
      </c>
      <c r="AO63" s="5">
        <v>1</v>
      </c>
      <c r="AP63" s="5">
        <v>6</v>
      </c>
      <c r="AQ63" s="5">
        <v>3</v>
      </c>
      <c r="AR63" s="5">
        <v>7</v>
      </c>
      <c r="AS63" s="5" t="s">
        <v>45</v>
      </c>
      <c r="AT63" s="5">
        <v>2</v>
      </c>
      <c r="AU63" s="5">
        <v>4</v>
      </c>
      <c r="AV63" s="5">
        <v>9</v>
      </c>
      <c r="AW63" s="5" t="s">
        <v>47</v>
      </c>
      <c r="AX63" s="5">
        <v>5</v>
      </c>
      <c r="AY63" s="5">
        <v>8</v>
      </c>
      <c r="AZ63" s="5" t="s">
        <v>46</v>
      </c>
      <c r="BA63" s="5">
        <v>1</v>
      </c>
      <c r="BB63" s="5"/>
      <c r="BC63" s="1">
        <f ca="1">OFFSET(A63,0, 12) -0</f>
        <v>-2.1815547662726829</v>
      </c>
      <c r="BD63" s="1">
        <f ca="1">OFFSET(A63,0, 6) -0</f>
        <v>41.639788038688039</v>
      </c>
      <c r="BE63" s="1">
        <f ca="1">OFFSET(A63,0, 1) -0</f>
        <v>-8.5090929571783818</v>
      </c>
      <c r="BF63" s="1">
        <f ca="1">OFFSET(A63,0, 5) -0</f>
        <v>25.610011839514755</v>
      </c>
      <c r="BG63" s="1">
        <f ca="1">OFFSET(A63,0, 10) -0</f>
        <v>-34.241107164619166</v>
      </c>
      <c r="BH63" s="1">
        <f ca="1">OFFSET(A63,0, 2) -0</f>
        <v>7.5206832419951297</v>
      </c>
      <c r="BI63" s="1">
        <f ca="1">OFFSET(A63,0, 4) -0</f>
        <v>19.580235640341471</v>
      </c>
      <c r="BJ63" s="1">
        <f ca="1">OFFSET(A63,0, 9) -0</f>
        <v>-30.270883363792336</v>
      </c>
      <c r="BK63" s="1">
        <f ca="1">OFFSET(A63,0, 8) -0</f>
        <v>-16.30065956296562</v>
      </c>
      <c r="BL63" s="1">
        <f ca="1">OFFSET(A63,0, 3) -0</f>
        <v>23.550459441168186</v>
      </c>
      <c r="BM63" s="1">
        <f ca="1">OFFSET(A63,0, 11) -0</f>
        <v>-28.211330965445882</v>
      </c>
      <c r="BN63" s="1">
        <f ca="1">OFFSET(A63,0, 7) -0</f>
        <v>27.669564237861096</v>
      </c>
      <c r="BO63" s="1">
        <f ca="1">OFFSET(A63,0, 24) -0</f>
        <v>20.175759623806243</v>
      </c>
      <c r="BP63" s="1">
        <f ca="1">OFFSET(A63,0, 17) -0</f>
        <v>7.9673262295934819</v>
      </c>
      <c r="BQ63" s="1">
        <f ca="1">OFFSET(A63,0, 14) -0</f>
        <v>-20.122002367926257</v>
      </c>
      <c r="BR63" s="1">
        <f ca="1">OFFSET(A63,0, 18) -0</f>
        <v>23.997102428766766</v>
      </c>
      <c r="BS63" s="1">
        <f ca="1">OFFSET(A63,0, 21) -0</f>
        <v>-47.913568973713609</v>
      </c>
      <c r="BT63" s="1">
        <f ca="1">OFFSET(A63,0, 13) -0</f>
        <v>-26.151778567099456</v>
      </c>
      <c r="BU63" s="1">
        <f ca="1">OFFSET(A63,0, 15) -0</f>
        <v>5.9077738312470274</v>
      </c>
      <c r="BV63" s="1">
        <f ca="1">OFFSET(A63,0, 22) -0</f>
        <v>-11.883792774540325</v>
      </c>
      <c r="BW63" s="1">
        <f ca="1">OFFSET(A63,0, 19) -0</f>
        <v>2.6878627939822763E-2</v>
      </c>
      <c r="BX63" s="1">
        <f ca="1">OFFSET(A63,0, 16) -0</f>
        <v>11.937550030420198</v>
      </c>
      <c r="BY63" s="1">
        <f ca="1">OFFSET(A63,0, 23) -0</f>
        <v>4.1459834246327318</v>
      </c>
      <c r="BZ63" s="1">
        <f ca="1">OFFSET(A63,0, 20) -0</f>
        <v>6.0566548271131069</v>
      </c>
      <c r="CB63" s="1">
        <f>COUNTIF(B63,"&lt;-69")</f>
        <v>0</v>
      </c>
      <c r="CC63" s="1">
        <f ca="1">COUNTIF(BC63:BN63,"&lt;-48")</f>
        <v>0</v>
      </c>
      <c r="CD63" s="1">
        <f ca="1">COUNTIF(BC63:BN63,"&gt;+48")</f>
        <v>0</v>
      </c>
      <c r="CE63" s="1">
        <f ca="1">COUNTIF(BO63:BZ63,"&lt;-48")</f>
        <v>0</v>
      </c>
      <c r="CF63" s="1">
        <f ca="1">COUNTIF(BO63:BZ63,"&gt;+48")</f>
        <v>0</v>
      </c>
    </row>
    <row r="64" spans="1:84">
      <c r="A64" s="1">
        <v>61</v>
      </c>
      <c r="B64" s="1">
        <f>'Team A 1'!B64-'Team A 1'!$AA64-('Team A 1'!B$2- 12.5)*'Team A 1'!$AC64</f>
        <v>-37.527594632434102</v>
      </c>
      <c r="C64" s="1">
        <f>'Team A 1'!C64-'Team A 1'!$AA64-('Team A 1'!C$2- 12.5)*'Team A 1'!$AC64</f>
        <v>-22.090412490483232</v>
      </c>
      <c r="D64" s="1">
        <f>'Team A 1'!D64-'Team A 1'!$AA64-('Team A 1'!D$2- 12.5)*'Team A 1'!$AC64</f>
        <v>3.3467696514676391</v>
      </c>
      <c r="E64" s="1">
        <f>'Team A 1'!E64-'Team A 1'!$AA64-('Team A 1'!E$2- 12.5)*'Team A 1'!$AC64</f>
        <v>8.7839517934182823</v>
      </c>
      <c r="F64" s="1">
        <f>'Team A 1'!F64-'Team A 1'!$AA64-('Team A 1'!F$2- 12.5)*'Team A 1'!$AC64</f>
        <v>34.221133935369153</v>
      </c>
      <c r="G64" s="1">
        <f>'Team A 1'!G64-'Team A 1'!$AA64-('Team A 1'!G$2- 12.5)*'Team A 1'!$AC64</f>
        <v>59.658316077319796</v>
      </c>
      <c r="H64" s="1">
        <f>'Team A 1'!H64-'Team A 1'!$AA64-('Team A 1'!H$2- 12.5)*'Team A 1'!$AC64</f>
        <v>5.0954982192706666</v>
      </c>
      <c r="I64" s="1">
        <f>'Team A 1'!I64-'Team A 1'!$AA64-('Team A 1'!I$2- 12.5)*'Team A 1'!$AC64</f>
        <v>-19.467319638778577</v>
      </c>
      <c r="J64" s="1">
        <f>'Team A 1'!J64-'Team A 1'!$AA64-('Team A 1'!J$2- 12.5)*'Team A 1'!$AC64</f>
        <v>5.9698625031722941</v>
      </c>
      <c r="K64" s="1">
        <f>'Team A 1'!K64-'Team A 1'!$AA64-('Team A 1'!K$2- 12.5)*'Team A 1'!$AC64</f>
        <v>21.407044645123051</v>
      </c>
      <c r="L64" s="1">
        <f>'Team A 1'!L64-'Team A 1'!$AA64-('Team A 1'!L$2- 12.5)*'Team A 1'!$AC64</f>
        <v>6.8442267870738078</v>
      </c>
      <c r="M64" s="1">
        <f>'Team A 1'!M64-'Team A 1'!$AA64-('Team A 1'!M$2- 12.5)*'Team A 1'!$AC64</f>
        <v>-27.718591070975393</v>
      </c>
      <c r="N64" s="1">
        <f>'Team A 1'!N64-'Team A 1'!$AA64-('Team A 1'!N$2- 12.5)*'Team A 1'!$AC64</f>
        <v>-32.281408929024607</v>
      </c>
      <c r="O64" s="1">
        <f>'Team A 1'!O64-'Team A 1'!$AA64-('Team A 1'!O$2- 12.5)*'Team A 1'!$AC64</f>
        <v>13.155773212926192</v>
      </c>
      <c r="P64" s="1">
        <f>'Team A 1'!P64-'Team A 1'!$AA64-('Team A 1'!P$2- 12.5)*'Team A 1'!$AC64</f>
        <v>-1.4070446451230509</v>
      </c>
      <c r="Q64" s="1">
        <f>'Team A 1'!Q64-'Team A 1'!$AA64-('Team A 1'!Q$2- 12.5)*'Team A 1'!$AC64</f>
        <v>-5.9698625031722941</v>
      </c>
      <c r="R64" s="1">
        <f>'Team A 1'!R64-'Team A 1'!$AA64-('Team A 1'!R$2- 12.5)*'Team A 1'!$AC64</f>
        <v>39.467319638778577</v>
      </c>
      <c r="S64" s="1">
        <f>'Team A 1'!S64-'Team A 1'!$AA64-('Team A 1'!S$2- 12.5)*'Team A 1'!$AC64</f>
        <v>14.904501780729333</v>
      </c>
      <c r="T64" s="1">
        <f>'Team A 1'!T64-'Team A 1'!$AA64-('Team A 1'!T$2- 12.5)*'Team A 1'!$AC64</f>
        <v>-19.658316077319796</v>
      </c>
      <c r="U64" s="1">
        <f>'Team A 1'!U64-'Team A 1'!$AA64-('Team A 1'!U$2- 12.5)*'Team A 1'!$AC64</f>
        <v>-24.221133935369153</v>
      </c>
      <c r="V64" s="1">
        <f>'Team A 1'!V64-'Team A 1'!$AA64-('Team A 1'!V$2- 12.5)*'Team A 1'!$AC64</f>
        <v>-38.783951793418282</v>
      </c>
      <c r="W64" s="1">
        <f>'Team A 1'!W64-'Team A 1'!$AA64-('Team A 1'!W$2- 12.5)*'Team A 1'!$AC64</f>
        <v>-23.346769651467639</v>
      </c>
      <c r="X64" s="1">
        <f>'Team A 1'!X64-'Team A 1'!$AA64-('Team A 1'!X$2- 12.5)*'Team A 1'!$AC64</f>
        <v>-7.9095875095167685</v>
      </c>
      <c r="Y64" s="1">
        <f>'Team A 1'!Y64-'Team A 1'!$AA64-('Team A 1'!Y$2- 12.5)*'Team A 1'!$AC64</f>
        <v>47.527594632434102</v>
      </c>
      <c r="AB64" s="1">
        <f>STDEV(B64:Y64)</f>
        <v>27.030804169592361</v>
      </c>
      <c r="AD64" s="5">
        <v>3</v>
      </c>
      <c r="AE64" s="5">
        <v>6</v>
      </c>
      <c r="AF64" s="5" t="s">
        <v>45</v>
      </c>
      <c r="AG64" s="5">
        <v>7</v>
      </c>
      <c r="AH64" s="5">
        <v>4</v>
      </c>
      <c r="AI64" s="5">
        <v>2</v>
      </c>
      <c r="AJ64" s="5" t="s">
        <v>47</v>
      </c>
      <c r="AK64" s="5">
        <v>9</v>
      </c>
      <c r="AL64" s="5">
        <v>8</v>
      </c>
      <c r="AM64" s="5">
        <v>5</v>
      </c>
      <c r="AN64" s="5">
        <v>1</v>
      </c>
      <c r="AO64" s="5" t="s">
        <v>46</v>
      </c>
      <c r="AP64" s="5">
        <v>3</v>
      </c>
      <c r="AQ64" s="5" t="s">
        <v>45</v>
      </c>
      <c r="AR64" s="5">
        <v>6</v>
      </c>
      <c r="AS64" s="5">
        <v>4</v>
      </c>
      <c r="AT64" s="5">
        <v>7</v>
      </c>
      <c r="AU64" s="5" t="s">
        <v>47</v>
      </c>
      <c r="AV64" s="5">
        <v>2</v>
      </c>
      <c r="AW64" s="5">
        <v>8</v>
      </c>
      <c r="AX64" s="5">
        <v>9</v>
      </c>
      <c r="AY64" s="5">
        <v>5</v>
      </c>
      <c r="AZ64" s="5" t="s">
        <v>46</v>
      </c>
      <c r="BA64" s="5">
        <v>1</v>
      </c>
      <c r="BB64" s="5"/>
      <c r="BC64" s="1">
        <f ca="1">OFFSET(A64,0, 11) -0</f>
        <v>6.8442267870738078</v>
      </c>
      <c r="BD64" s="1">
        <f ca="1">OFFSET(A64,0, 6) -0</f>
        <v>59.658316077319796</v>
      </c>
      <c r="BE64" s="1">
        <f ca="1">OFFSET(A64,0, 1) -0</f>
        <v>-37.527594632434102</v>
      </c>
      <c r="BF64" s="1">
        <f ca="1">OFFSET(A64,0, 5) -0</f>
        <v>34.221133935369153</v>
      </c>
      <c r="BG64" s="1">
        <f ca="1">OFFSET(A64,0, 10) -0</f>
        <v>21.407044645123051</v>
      </c>
      <c r="BH64" s="1">
        <f ca="1">OFFSET(A64,0, 2) -0</f>
        <v>-22.090412490483232</v>
      </c>
      <c r="BI64" s="1">
        <f ca="1">OFFSET(A64,0, 4) -0</f>
        <v>8.7839517934182823</v>
      </c>
      <c r="BJ64" s="1">
        <f ca="1">OFFSET(A64,0, 9) -0</f>
        <v>5.9698625031722941</v>
      </c>
      <c r="BK64" s="1">
        <f ca="1">OFFSET(A64,0, 8) -0</f>
        <v>-19.467319638778577</v>
      </c>
      <c r="BL64" s="1">
        <f ca="1">OFFSET(A64,0, 3) -0</f>
        <v>3.3467696514676391</v>
      </c>
      <c r="BM64" s="1">
        <f ca="1">OFFSET(A64,0, 12) -0</f>
        <v>-27.718591070975393</v>
      </c>
      <c r="BN64" s="1">
        <f ca="1">OFFSET(A64,0, 7) -0</f>
        <v>5.0954982192706666</v>
      </c>
      <c r="BO64" s="1">
        <f ca="1">OFFSET(A64,0, 24) -0</f>
        <v>47.527594632434102</v>
      </c>
      <c r="BP64" s="1">
        <f ca="1">OFFSET(A64,0, 19) -0</f>
        <v>-19.658316077319796</v>
      </c>
      <c r="BQ64" s="1">
        <f ca="1">OFFSET(A64,0, 13) -0</f>
        <v>-32.281408929024607</v>
      </c>
      <c r="BR64" s="1">
        <f ca="1">OFFSET(A64,0, 16) -0</f>
        <v>-5.9698625031722941</v>
      </c>
      <c r="BS64" s="1">
        <f ca="1">OFFSET(A64,0, 22) -0</f>
        <v>-23.346769651467639</v>
      </c>
      <c r="BT64" s="1">
        <f ca="1">OFFSET(A64,0, 15) -0</f>
        <v>-1.4070446451230509</v>
      </c>
      <c r="BU64" s="1">
        <f ca="1">OFFSET(A64,0, 17) -0</f>
        <v>39.467319638778577</v>
      </c>
      <c r="BV64" s="1">
        <f ca="1">OFFSET(A64,0, 20) -0</f>
        <v>-24.221133935369153</v>
      </c>
      <c r="BW64" s="1">
        <f ca="1">OFFSET(A64,0, 21) -0</f>
        <v>-38.783951793418282</v>
      </c>
      <c r="BX64" s="1">
        <f ca="1">OFFSET(A64,0, 14) -0</f>
        <v>13.155773212926192</v>
      </c>
      <c r="BY64" s="1">
        <f ca="1">OFFSET(A64,0, 23) -0</f>
        <v>-7.9095875095167685</v>
      </c>
      <c r="BZ64" s="1">
        <f ca="1">OFFSET(A64,0, 18) -0</f>
        <v>14.904501780729333</v>
      </c>
      <c r="CB64" s="1">
        <f>COUNTIF(B64,"&lt;-69")</f>
        <v>0</v>
      </c>
      <c r="CC64" s="1">
        <f ca="1">COUNTIF(BC64:BN64,"&lt;-49")</f>
        <v>0</v>
      </c>
      <c r="CD64" s="1">
        <f ca="1">COUNTIF(BC64:BN64,"&gt;+49")</f>
        <v>1</v>
      </c>
      <c r="CE64" s="1">
        <f ca="1">COUNTIF(BO64:BZ64,"&lt;-49")</f>
        <v>0</v>
      </c>
      <c r="CF64" s="1">
        <f ca="1">COUNTIF(BO64:BZ64,"&gt;+49")</f>
        <v>0</v>
      </c>
    </row>
    <row r="65" spans="1:84">
      <c r="A65" s="1">
        <v>62</v>
      </c>
      <c r="B65" s="1">
        <f>'Team A 1'!B65-'Team A 1'!$AA65-('Team A 1'!B$2- 12.5)*'Team A 1'!$AC65</f>
        <v>30.860134069611831</v>
      </c>
      <c r="C65" s="1">
        <f>'Team A 1'!C65-'Team A 1'!$AA65-('Team A 1'!C$2- 12.5)*'Team A 1'!$AC65</f>
        <v>5.8215716867484844</v>
      </c>
      <c r="D65" s="1">
        <f>'Team A 1'!D65-'Team A 1'!$AA65-('Team A 1'!D$2- 12.5)*'Team A 1'!$AC65</f>
        <v>20.783009303885365</v>
      </c>
      <c r="E65" s="1">
        <f>'Team A 1'!E65-'Team A 1'!$AA65-('Team A 1'!E$2- 12.5)*'Team A 1'!$AC65</f>
        <v>35.744446921022245</v>
      </c>
      <c r="F65" s="1">
        <f>'Team A 1'!F65-'Team A 1'!$AA65-('Team A 1'!F$2- 12.5)*'Team A 1'!$AC65</f>
        <v>20.705884538159353</v>
      </c>
      <c r="G65" s="1">
        <f>'Team A 1'!G65-'Team A 1'!$AA65-('Team A 1'!G$2- 12.5)*'Team A 1'!$AC65</f>
        <v>-4.3326778447037668</v>
      </c>
      <c r="H65" s="1">
        <f>'Team A 1'!H65-'Team A 1'!$AA65-('Team A 1'!H$2- 12.5)*'Team A 1'!$AC65</f>
        <v>-19.371240227566886</v>
      </c>
      <c r="I65" s="1">
        <f>'Team A 1'!I65-'Team A 1'!$AA65-('Team A 1'!I$2- 12.5)*'Team A 1'!$AC65</f>
        <v>-14.409802610430006</v>
      </c>
      <c r="J65" s="1">
        <f>'Team A 1'!J65-'Team A 1'!$AA65-('Team A 1'!J$2- 12.5)*'Team A 1'!$AC65</f>
        <v>-9.4483649932931257</v>
      </c>
      <c r="K65" s="1">
        <f>'Team A 1'!K65-'Team A 1'!$AA65-('Team A 1'!K$2- 12.5)*'Team A 1'!$AC65</f>
        <v>-4.4869273761561885</v>
      </c>
      <c r="L65" s="1">
        <f>'Team A 1'!L65-'Team A 1'!$AA65-('Team A 1'!L$2- 12.5)*'Team A 1'!$AC65</f>
        <v>20.474510240980692</v>
      </c>
      <c r="M65" s="1">
        <f>'Team A 1'!M65-'Team A 1'!$AA65-('Team A 1'!M$2- 12.5)*'Team A 1'!$AC65</f>
        <v>-14.564052141882385</v>
      </c>
      <c r="N65" s="1">
        <f>'Team A 1'!N65-'Team A 1'!$AA65-('Team A 1'!N$2- 12.5)*'Team A 1'!$AC65</f>
        <v>10.397385475254524</v>
      </c>
      <c r="O65" s="1">
        <f>'Team A 1'!O65-'Team A 1'!$AA65-('Team A 1'!O$2- 12.5)*'Team A 1'!$AC65</f>
        <v>25.358823092391447</v>
      </c>
      <c r="P65" s="1">
        <f>'Team A 1'!P65-'Team A 1'!$AA65-('Team A 1'!P$2- 12.5)*'Team A 1'!$AC65</f>
        <v>-39.679739290471673</v>
      </c>
      <c r="Q65" s="1">
        <f>'Team A 1'!Q65-'Team A 1'!$AA65-('Team A 1'!Q$2- 12.5)*'Team A 1'!$AC65</f>
        <v>-24.718301673334736</v>
      </c>
      <c r="R65" s="1">
        <f>'Team A 1'!R65-'Team A 1'!$AA65-('Team A 1'!R$2- 12.5)*'Team A 1'!$AC65</f>
        <v>-19.756864056197855</v>
      </c>
      <c r="S65" s="1">
        <f>'Team A 1'!S65-'Team A 1'!$AA65-('Team A 1'!S$2- 12.5)*'Team A 1'!$AC65</f>
        <v>5.2045735609390249</v>
      </c>
      <c r="T65" s="1">
        <f>'Team A 1'!T65-'Team A 1'!$AA65-('Team A 1'!T$2- 12.5)*'Team A 1'!$AC65</f>
        <v>0.16601117807590526</v>
      </c>
      <c r="U65" s="1">
        <f>'Team A 1'!U65-'Team A 1'!$AA65-('Team A 1'!U$2- 12.5)*'Team A 1'!$AC65</f>
        <v>15.127448795212786</v>
      </c>
      <c r="V65" s="1">
        <f>'Team A 1'!V65-'Team A 1'!$AA65-('Team A 1'!V$2- 12.5)*'Team A 1'!$AC65</f>
        <v>-29.911113587650107</v>
      </c>
      <c r="W65" s="1">
        <f>'Team A 1'!W65-'Team A 1'!$AA65-('Team A 1'!W$2- 12.5)*'Team A 1'!$AC65</f>
        <v>5.0503240294867737</v>
      </c>
      <c r="X65" s="1">
        <f>'Team A 1'!X65-'Team A 1'!$AA65-('Team A 1'!X$2- 12.5)*'Team A 1'!$AC65</f>
        <v>10.011761646623654</v>
      </c>
      <c r="Y65" s="1">
        <f>'Team A 1'!Y65-'Team A 1'!$AA65-('Team A 1'!Y$2- 12.5)*'Team A 1'!$AC65</f>
        <v>-25.026800736239693</v>
      </c>
      <c r="AB65" s="1">
        <f>STDEV(B65:Y65)</f>
        <v>20.532740316985343</v>
      </c>
      <c r="AD65" s="5" t="s">
        <v>45</v>
      </c>
      <c r="AE65" s="5">
        <v>3</v>
      </c>
      <c r="AF65" s="5">
        <v>4</v>
      </c>
      <c r="AG65" s="5">
        <v>6</v>
      </c>
      <c r="AH65" s="5" t="s">
        <v>47</v>
      </c>
      <c r="AI65" s="5">
        <v>7</v>
      </c>
      <c r="AJ65" s="5">
        <v>8</v>
      </c>
      <c r="AK65" s="5">
        <v>2</v>
      </c>
      <c r="AL65" s="5">
        <v>5</v>
      </c>
      <c r="AM65" s="5">
        <v>9</v>
      </c>
      <c r="AN65" s="5">
        <v>1</v>
      </c>
      <c r="AO65" s="5" t="s">
        <v>46</v>
      </c>
      <c r="AP65" s="5">
        <v>3</v>
      </c>
      <c r="AQ65" s="5" t="s">
        <v>45</v>
      </c>
      <c r="AR65" s="5">
        <v>6</v>
      </c>
      <c r="AS65" s="5">
        <v>4</v>
      </c>
      <c r="AT65" s="5">
        <v>7</v>
      </c>
      <c r="AU65" s="5" t="s">
        <v>47</v>
      </c>
      <c r="AV65" s="5">
        <v>2</v>
      </c>
      <c r="AW65" s="5">
        <v>8</v>
      </c>
      <c r="AX65" s="5">
        <v>5</v>
      </c>
      <c r="AY65" s="5">
        <v>1</v>
      </c>
      <c r="AZ65" s="5">
        <v>9</v>
      </c>
      <c r="BA65" s="5" t="s">
        <v>46</v>
      </c>
      <c r="BB65" s="5"/>
      <c r="BC65" s="1">
        <f ca="1">OFFSET(A65,0, 11) -0</f>
        <v>20.474510240980692</v>
      </c>
      <c r="BD65" s="1">
        <f ca="1">OFFSET(A65,0, 8) -0</f>
        <v>-14.409802610430006</v>
      </c>
      <c r="BE65" s="1">
        <f ca="1">OFFSET(A65,0, 2) -0</f>
        <v>5.8215716867484844</v>
      </c>
      <c r="BF65" s="1">
        <f ca="1">OFFSET(A65,0, 3) -0</f>
        <v>20.783009303885365</v>
      </c>
      <c r="BG65" s="1">
        <f ca="1">OFFSET(A65,0, 9) -0</f>
        <v>-9.4483649932931257</v>
      </c>
      <c r="BH65" s="1">
        <f ca="1">OFFSET(A65,0, 4) -0</f>
        <v>35.744446921022245</v>
      </c>
      <c r="BI65" s="1">
        <f ca="1">OFFSET(A65,0, 6) -0</f>
        <v>-4.3326778447037668</v>
      </c>
      <c r="BJ65" s="1">
        <f ca="1">OFFSET(A65,0, 7) -0</f>
        <v>-19.371240227566886</v>
      </c>
      <c r="BK65" s="1">
        <f ca="1">OFFSET(A65,0, 10) -0</f>
        <v>-4.4869273761561885</v>
      </c>
      <c r="BL65" s="1">
        <f ca="1">OFFSET(A65,0, 1) -0</f>
        <v>30.860134069611831</v>
      </c>
      <c r="BM65" s="1">
        <f ca="1">OFFSET(A65,0, 12) -0</f>
        <v>-14.564052141882385</v>
      </c>
      <c r="BN65" s="1">
        <f ca="1">OFFSET(A65,0, 5) -0</f>
        <v>20.705884538159353</v>
      </c>
      <c r="BO65" s="1">
        <f ca="1">OFFSET(A65,0, 22) -0</f>
        <v>5.0503240294867737</v>
      </c>
      <c r="BP65" s="1">
        <f ca="1">OFFSET(A65,0, 19) -0</f>
        <v>0.16601117807590526</v>
      </c>
      <c r="BQ65" s="1">
        <f ca="1">OFFSET(A65,0, 13) -0</f>
        <v>10.397385475254524</v>
      </c>
      <c r="BR65" s="1">
        <f ca="1">OFFSET(A65,0, 16) -0</f>
        <v>-24.718301673334736</v>
      </c>
      <c r="BS65" s="1">
        <f ca="1">OFFSET(A65,0, 21) -0</f>
        <v>-29.911113587650107</v>
      </c>
      <c r="BT65" s="1">
        <f ca="1">OFFSET(A65,0, 15) -0</f>
        <v>-39.679739290471673</v>
      </c>
      <c r="BU65" s="1">
        <f ca="1">OFFSET(A65,0, 17) -0</f>
        <v>-19.756864056197855</v>
      </c>
      <c r="BV65" s="1">
        <f ca="1">OFFSET(A65,0, 20) -0</f>
        <v>15.127448795212786</v>
      </c>
      <c r="BW65" s="1">
        <f ca="1">OFFSET(A65,0, 23) -0</f>
        <v>10.011761646623654</v>
      </c>
      <c r="BX65" s="1">
        <f ca="1">OFFSET(A65,0, 14) -0</f>
        <v>25.358823092391447</v>
      </c>
      <c r="BY65" s="1">
        <f ca="1">OFFSET(A65,0, 24) -0</f>
        <v>-25.026800736239693</v>
      </c>
      <c r="BZ65" s="1">
        <f ca="1">OFFSET(A65,0, 18) -0</f>
        <v>5.2045735609390249</v>
      </c>
      <c r="CB65" s="1">
        <f>COUNTIF(B65,"&lt;-69")</f>
        <v>0</v>
      </c>
      <c r="CC65" s="1">
        <f ca="1">COUNTIF(BC65:BN65,"&lt;-49")</f>
        <v>0</v>
      </c>
      <c r="CD65" s="1">
        <f ca="1">COUNTIF(BC65:BN65,"&gt;+49")</f>
        <v>0</v>
      </c>
      <c r="CE65" s="1">
        <f ca="1">COUNTIF(BO65:BZ65,"&lt;-49")</f>
        <v>0</v>
      </c>
      <c r="CF65" s="1">
        <f ca="1">COUNTIF(BO65:BZ65,"&gt;+49")</f>
        <v>0</v>
      </c>
    </row>
    <row r="66" spans="1:84">
      <c r="A66" s="1">
        <v>63</v>
      </c>
      <c r="B66" s="1">
        <f>'Team A 1'!B66-'Team A 1'!$AA66-('Team A 1'!B$2- 12.5)*'Team A 1'!$AC66</f>
        <v>31.660734914162731</v>
      </c>
      <c r="C66" s="1">
        <f>'Team A 1'!C66-'Team A 1'!$AA66-('Team A 1'!C$2- 12.5)*'Team A 1'!$AC66</f>
        <v>36.588786950610938</v>
      </c>
      <c r="D66" s="1">
        <f>'Team A 1'!D66-'Team A 1'!$AA66-('Team A 1'!D$2- 12.5)*'Team A 1'!$AC66</f>
        <v>61.516838987058691</v>
      </c>
      <c r="E66" s="1">
        <f>'Team A 1'!E66-'Team A 1'!$AA66-('Team A 1'!E$2- 12.5)*'Team A 1'!$AC66</f>
        <v>76.444891023506671</v>
      </c>
      <c r="F66" s="1">
        <f>'Team A 1'!F66-'Team A 1'!$AA66-('Team A 1'!F$2- 12.5)*'Team A 1'!$AC66</f>
        <v>31.372943059954423</v>
      </c>
      <c r="G66" s="1">
        <f>'Team A 1'!G66-'Team A 1'!$AA66-('Team A 1'!G$2- 12.5)*'Team A 1'!$AC66</f>
        <v>-33.699004903597597</v>
      </c>
      <c r="H66" s="1">
        <f>'Team A 1'!H66-'Team A 1'!$AA66-('Team A 1'!H$2- 12.5)*'Team A 1'!$AC66</f>
        <v>1.2290471328503827</v>
      </c>
      <c r="I66" s="1">
        <f>'Team A 1'!I66-'Team A 1'!$AA66-('Team A 1'!I$2- 12.5)*'Team A 1'!$AC66</f>
        <v>6.1570991692982489</v>
      </c>
      <c r="J66" s="1">
        <f>'Team A 1'!J66-'Team A 1'!$AA66-('Team A 1'!J$2- 12.5)*'Team A 1'!$AC66</f>
        <v>21.085151205746229</v>
      </c>
      <c r="K66" s="1">
        <f>'Team A 1'!K66-'Team A 1'!$AA66-('Team A 1'!K$2- 12.5)*'Team A 1'!$AC66</f>
        <v>-3.9867967578059051</v>
      </c>
      <c r="L66" s="1">
        <f>'Team A 1'!L66-'Team A 1'!$AA66-('Team A 1'!L$2- 12.5)*'Team A 1'!$AC66</f>
        <v>-79.058744721357925</v>
      </c>
      <c r="M66" s="1">
        <f>'Team A 1'!M66-'Team A 1'!$AA66-('Team A 1'!M$2- 12.5)*'Team A 1'!$AC66</f>
        <v>-34.130692684910031</v>
      </c>
      <c r="N66" s="1">
        <f>'Team A 1'!N66-'Team A 1'!$AA66-('Team A 1'!N$2- 12.5)*'Team A 1'!$AC66</f>
        <v>-29.202640648462108</v>
      </c>
      <c r="O66" s="1">
        <f>'Team A 1'!O66-'Team A 1'!$AA66-('Team A 1'!O$2- 12.5)*'Team A 1'!$AC66</f>
        <v>5.7254113879857869</v>
      </c>
      <c r="P66" s="1">
        <f>'Team A 1'!P66-'Team A 1'!$AA66-('Team A 1'!P$2- 12.5)*'Team A 1'!$AC66</f>
        <v>30.653463424433767</v>
      </c>
      <c r="Q66" s="1">
        <f>'Team A 1'!Q66-'Team A 1'!$AA66-('Team A 1'!Q$2- 12.5)*'Team A 1'!$AC66</f>
        <v>-4.4184845391183671</v>
      </c>
      <c r="R66" s="1">
        <f>'Team A 1'!R66-'Team A 1'!$AA66-('Team A 1'!R$2- 12.5)*'Team A 1'!$AC66</f>
        <v>-9.4904325026703873</v>
      </c>
      <c r="S66" s="1">
        <f>'Team A 1'!S66-'Team A 1'!$AA66-('Team A 1'!S$2- 12.5)*'Team A 1'!$AC66</f>
        <v>-4.5623804662225211</v>
      </c>
      <c r="T66" s="1">
        <f>'Team A 1'!T66-'Team A 1'!$AA66-('Team A 1'!T$2- 12.5)*'Team A 1'!$AC66</f>
        <v>-29.634328429774541</v>
      </c>
      <c r="U66" s="1">
        <f>'Team A 1'!U66-'Team A 1'!$AA66-('Team A 1'!U$2- 12.5)*'Team A 1'!$AC66</f>
        <v>-4.7062763933265614</v>
      </c>
      <c r="V66" s="1">
        <f>'Team A 1'!V66-'Team A 1'!$AA66-('Team A 1'!V$2- 12.5)*'Team A 1'!$AC66</f>
        <v>-9.778224356878809</v>
      </c>
      <c r="W66" s="1">
        <f>'Team A 1'!W66-'Team A 1'!$AA66-('Team A 1'!W$2- 12.5)*'Team A 1'!$AC66</f>
        <v>5.1498276795691709</v>
      </c>
      <c r="X66" s="1">
        <f>'Team A 1'!X66-'Team A 1'!$AA66-('Team A 1'!X$2- 12.5)*'Team A 1'!$AC66</f>
        <v>-39.922120283983077</v>
      </c>
      <c r="Y66" s="1">
        <f>'Team A 1'!Y66-'Team A 1'!$AA66-('Team A 1'!Y$2- 12.5)*'Team A 1'!$AC66</f>
        <v>-24.994068247534869</v>
      </c>
      <c r="AB66" s="1">
        <f>STDEV(B66:Y66)</f>
        <v>34.389601986855311</v>
      </c>
      <c r="AD66" s="5" t="s">
        <v>45</v>
      </c>
      <c r="AE66" s="5">
        <v>3</v>
      </c>
      <c r="AF66" s="5">
        <v>4</v>
      </c>
      <c r="AG66" s="5">
        <v>6</v>
      </c>
      <c r="AH66" s="5" t="s">
        <v>47</v>
      </c>
      <c r="AI66" s="5">
        <v>7</v>
      </c>
      <c r="AJ66" s="5">
        <v>8</v>
      </c>
      <c r="AK66" s="5">
        <v>2</v>
      </c>
      <c r="AL66" s="5">
        <v>1</v>
      </c>
      <c r="AM66" s="5">
        <v>5</v>
      </c>
      <c r="AN66" s="5" t="s">
        <v>46</v>
      </c>
      <c r="AO66" s="5">
        <v>9</v>
      </c>
      <c r="AP66" s="5" t="s">
        <v>45</v>
      </c>
      <c r="AQ66" s="5">
        <v>4</v>
      </c>
      <c r="AR66" s="5">
        <v>3</v>
      </c>
      <c r="AS66" s="5" t="s">
        <v>47</v>
      </c>
      <c r="AT66" s="5">
        <v>6</v>
      </c>
      <c r="AU66" s="5">
        <v>8</v>
      </c>
      <c r="AV66" s="5">
        <v>7</v>
      </c>
      <c r="AW66" s="5">
        <v>2</v>
      </c>
      <c r="AX66" s="5">
        <v>5</v>
      </c>
      <c r="AY66" s="5">
        <v>1</v>
      </c>
      <c r="AZ66" s="5">
        <v>9</v>
      </c>
      <c r="BA66" s="5" t="s">
        <v>46</v>
      </c>
      <c r="BB66" s="5"/>
      <c r="BC66" s="1">
        <f ca="1">OFFSET(A66,0, 9) -0</f>
        <v>21.085151205746229</v>
      </c>
      <c r="BD66" s="1">
        <f ca="1">OFFSET(A66,0, 8) -0</f>
        <v>6.1570991692982489</v>
      </c>
      <c r="BE66" s="1">
        <f ca="1">OFFSET(A66,0, 2) -0</f>
        <v>36.588786950610938</v>
      </c>
      <c r="BF66" s="1">
        <f ca="1">OFFSET(A66,0, 3) -0</f>
        <v>61.516838987058691</v>
      </c>
      <c r="BG66" s="1">
        <f ca="1">OFFSET(A66,0, 10) -0</f>
        <v>-3.9867967578059051</v>
      </c>
      <c r="BH66" s="1">
        <f ca="1">OFFSET(A66,0, 4) -0</f>
        <v>76.444891023506671</v>
      </c>
      <c r="BI66" s="1">
        <f ca="1">OFFSET(A66,0, 6) -0</f>
        <v>-33.699004903597597</v>
      </c>
      <c r="BJ66" s="1">
        <f ca="1">OFFSET(A66,0, 7) -0</f>
        <v>1.2290471328503827</v>
      </c>
      <c r="BK66" s="1">
        <f ca="1">OFFSET(A66,0, 12) -0</f>
        <v>-34.130692684910031</v>
      </c>
      <c r="BL66" s="1">
        <f ca="1">OFFSET(A66,0, 1) -0</f>
        <v>31.660734914162731</v>
      </c>
      <c r="BM66" s="1">
        <f ca="1">OFFSET(A66,0, 11) -0</f>
        <v>-79.058744721357925</v>
      </c>
      <c r="BN66" s="1">
        <f ca="1">OFFSET(A66,0, 5) -0</f>
        <v>31.372943059954423</v>
      </c>
      <c r="BO66" s="1">
        <f ca="1">OFFSET(A66,0, 22) -0</f>
        <v>5.1498276795691709</v>
      </c>
      <c r="BP66" s="1">
        <f ca="1">OFFSET(A66,0, 20) -0</f>
        <v>-4.7062763933265614</v>
      </c>
      <c r="BQ66" s="1">
        <f ca="1">OFFSET(A66,0, 15) -0</f>
        <v>30.653463424433767</v>
      </c>
      <c r="BR66" s="1">
        <f ca="1">OFFSET(A66,0, 14) -0</f>
        <v>5.7254113879857869</v>
      </c>
      <c r="BS66" s="1">
        <f ca="1">OFFSET(A66,0, 21) -0</f>
        <v>-9.778224356878809</v>
      </c>
      <c r="BT66" s="1">
        <f ca="1">OFFSET(A66,0, 17) -0</f>
        <v>-9.4904325026703873</v>
      </c>
      <c r="BU66" s="1">
        <f ca="1">OFFSET(A66,0, 19) -0</f>
        <v>-29.634328429774541</v>
      </c>
      <c r="BV66" s="1">
        <f ca="1">OFFSET(A66,0, 18) -0</f>
        <v>-4.5623804662225211</v>
      </c>
      <c r="BW66" s="1">
        <f ca="1">OFFSET(A66,0, 23) -0</f>
        <v>-39.922120283983077</v>
      </c>
      <c r="BX66" s="1">
        <f ca="1">OFFSET(A66,0, 13) -0</f>
        <v>-29.202640648462108</v>
      </c>
      <c r="BY66" s="1">
        <f ca="1">OFFSET(A66,0, 24) -0</f>
        <v>-24.994068247534869</v>
      </c>
      <c r="BZ66" s="1">
        <f ca="1">OFFSET(A66,0, 16) -0</f>
        <v>-4.4184845391183671</v>
      </c>
      <c r="CB66" s="1">
        <f>COUNTIF(B66,"&lt;-69")</f>
        <v>0</v>
      </c>
      <c r="CC66" s="1">
        <f ca="1">COUNTIF(BC66:BN66,"&lt;-49")</f>
        <v>1</v>
      </c>
      <c r="CD66" s="1">
        <f ca="1">COUNTIF(BC66:BN66,"&gt;+49")</f>
        <v>2</v>
      </c>
      <c r="CE66" s="1">
        <f ca="1">COUNTIF(BO66:BZ66,"&lt;-49")</f>
        <v>0</v>
      </c>
      <c r="CF66" s="1">
        <f ca="1">COUNTIF(BO66:BZ66,"&gt;+49")</f>
        <v>0</v>
      </c>
    </row>
    <row r="67" spans="1:84">
      <c r="A67" s="1">
        <v>64</v>
      </c>
      <c r="B67" s="1">
        <f>'Team A 1'!B67-'Team A 1'!$AA67-('Team A 1'!B$2- 12.5)*'Team A 1'!$AC67</f>
        <v>-25.169594196259823</v>
      </c>
      <c r="C67" s="1">
        <f>'Team A 1'!C67-'Team A 1'!$AA67-('Team A 1'!C$2- 12.5)*'Team A 1'!$AC67</f>
        <v>-10.40847006325339</v>
      </c>
      <c r="D67" s="1">
        <f>'Team A 1'!D67-'Team A 1'!$AA67-('Team A 1'!D$2- 12.5)*'Team A 1'!$AC67</f>
        <v>24.352654069753044</v>
      </c>
      <c r="E67" s="1">
        <f>'Team A 1'!E67-'Team A 1'!$AA67-('Team A 1'!E$2- 12.5)*'Team A 1'!$AC67</f>
        <v>49.113778202759477</v>
      </c>
      <c r="F67" s="1">
        <f>'Team A 1'!F67-'Team A 1'!$AA67-('Team A 1'!F$2- 12.5)*'Team A 1'!$AC67</f>
        <v>-16.12509766423409</v>
      </c>
      <c r="G67" s="1">
        <f>'Team A 1'!G67-'Team A 1'!$AA67-('Team A 1'!G$2- 12.5)*'Team A 1'!$AC67</f>
        <v>38.636026468772343</v>
      </c>
      <c r="H67" s="1">
        <f>'Team A 1'!H67-'Team A 1'!$AA67-('Team A 1'!H$2- 12.5)*'Team A 1'!$AC67</f>
        <v>13.397150601778776</v>
      </c>
      <c r="I67" s="1">
        <f>'Team A 1'!I67-'Team A 1'!$AA67-('Team A 1'!I$2- 12.5)*'Team A 1'!$AC67</f>
        <v>8.1582747347850955</v>
      </c>
      <c r="J67" s="1">
        <f>'Team A 1'!J67-'Team A 1'!$AA67-('Team A 1'!J$2- 12.5)*'Team A 1'!$AC67</f>
        <v>2.9193988677915286</v>
      </c>
      <c r="K67" s="1">
        <f>'Team A 1'!K67-'Team A 1'!$AA67-('Team A 1'!K$2- 12.5)*'Team A 1'!$AC67</f>
        <v>-12.319476999202095</v>
      </c>
      <c r="L67" s="1">
        <f>'Team A 1'!L67-'Team A 1'!$AA67-('Team A 1'!L$2- 12.5)*'Team A 1'!$AC67</f>
        <v>-47.558352866195662</v>
      </c>
      <c r="M67" s="1">
        <f>'Team A 1'!M67-'Team A 1'!$AA67-('Team A 1'!M$2- 12.5)*'Team A 1'!$AC67</f>
        <v>-42.797228733189272</v>
      </c>
      <c r="N67" s="1">
        <f>'Team A 1'!N67-'Team A 1'!$AA67-('Team A 1'!N$2- 12.5)*'Team A 1'!$AC67</f>
        <v>1.9638953998171331</v>
      </c>
      <c r="O67" s="1">
        <f>'Team A 1'!O67-'Team A 1'!$AA67-('Team A 1'!O$2- 12.5)*'Team A 1'!$AC67</f>
        <v>16.725019532823524</v>
      </c>
      <c r="P67" s="1">
        <f>'Team A 1'!P67-'Team A 1'!$AA67-('Team A 1'!P$2- 12.5)*'Team A 1'!$AC67</f>
        <v>1.4861436658299567</v>
      </c>
      <c r="Q67" s="1">
        <f>'Team A 1'!Q67-'Team A 1'!$AA67-('Team A 1'!Q$2- 12.5)*'Team A 1'!$AC67</f>
        <v>-3.752732201163667</v>
      </c>
      <c r="R67" s="1">
        <f>'Team A 1'!R67-'Team A 1'!$AA67-('Team A 1'!R$2- 12.5)*'Team A 1'!$AC67</f>
        <v>-8.9916080681572339</v>
      </c>
      <c r="S67" s="1">
        <f>'Team A 1'!S67-'Team A 1'!$AA67-('Team A 1'!S$2- 12.5)*'Team A 1'!$AC67</f>
        <v>5.7695160648490855</v>
      </c>
      <c r="T67" s="1">
        <f>'Team A 1'!T67-'Team A 1'!$AA67-('Team A 1'!T$2- 12.5)*'Team A 1'!$AC67</f>
        <v>0.53064019785551864</v>
      </c>
      <c r="U67" s="1">
        <f>'Team A 1'!U67-'Team A 1'!$AA67-('Team A 1'!U$2- 12.5)*'Team A 1'!$AC67</f>
        <v>35.291764330861952</v>
      </c>
      <c r="V67" s="1">
        <f>'Team A 1'!V67-'Team A 1'!$AA67-('Team A 1'!V$2- 12.5)*'Team A 1'!$AC67</f>
        <v>40.052888463868385</v>
      </c>
      <c r="W67" s="1">
        <f>'Team A 1'!W67-'Team A 1'!$AA67-('Team A 1'!W$2- 12.5)*'Team A 1'!$AC67</f>
        <v>-15.185987403125182</v>
      </c>
      <c r="X67" s="1">
        <f>'Team A 1'!X67-'Team A 1'!$AA67-('Team A 1'!X$2- 12.5)*'Team A 1'!$AC67</f>
        <v>-50.424863270118749</v>
      </c>
      <c r="Y67" s="1">
        <f>'Team A 1'!Y67-'Team A 1'!$AA67-('Team A 1'!Y$2- 12.5)*'Team A 1'!$AC67</f>
        <v>-5.6637391371123158</v>
      </c>
      <c r="AB67" s="1">
        <f>STDEV(B67:Y67)</f>
        <v>26.431986884543129</v>
      </c>
      <c r="AD67" s="5">
        <v>4</v>
      </c>
      <c r="AE67" s="5" t="s">
        <v>45</v>
      </c>
      <c r="AF67" s="5" t="s">
        <v>47</v>
      </c>
      <c r="AG67" s="5">
        <v>3</v>
      </c>
      <c r="AH67" s="5">
        <v>8</v>
      </c>
      <c r="AI67" s="5">
        <v>6</v>
      </c>
      <c r="AJ67" s="5">
        <v>2</v>
      </c>
      <c r="AK67" s="5">
        <v>7</v>
      </c>
      <c r="AL67" s="5">
        <v>1</v>
      </c>
      <c r="AM67" s="5">
        <v>5</v>
      </c>
      <c r="AN67" s="5" t="s">
        <v>46</v>
      </c>
      <c r="AO67" s="5">
        <v>9</v>
      </c>
      <c r="AP67" s="5" t="s">
        <v>45</v>
      </c>
      <c r="AQ67" s="5">
        <v>4</v>
      </c>
      <c r="AR67" s="5">
        <v>3</v>
      </c>
      <c r="AS67" s="5" t="s">
        <v>47</v>
      </c>
      <c r="AT67" s="5">
        <v>6</v>
      </c>
      <c r="AU67" s="5">
        <v>8</v>
      </c>
      <c r="AV67" s="5">
        <v>2</v>
      </c>
      <c r="AW67" s="5">
        <v>1</v>
      </c>
      <c r="AX67" s="5">
        <v>7</v>
      </c>
      <c r="AY67" s="5">
        <v>5</v>
      </c>
      <c r="AZ67" s="5">
        <v>9</v>
      </c>
      <c r="BA67" s="5" t="s">
        <v>46</v>
      </c>
      <c r="BB67" s="5"/>
      <c r="BC67" s="1">
        <f ca="1">OFFSET(A67,0, 9) -0</f>
        <v>2.9193988677915286</v>
      </c>
      <c r="BD67" s="1">
        <f ca="1">OFFSET(A67,0, 7) -0</f>
        <v>13.397150601778776</v>
      </c>
      <c r="BE67" s="1">
        <f ca="1">OFFSET(A67,0, 4) -0</f>
        <v>49.113778202759477</v>
      </c>
      <c r="BF67" s="1">
        <f ca="1">OFFSET(A67,0, 1) -0</f>
        <v>-25.169594196259823</v>
      </c>
      <c r="BG67" s="1">
        <f ca="1">OFFSET(A67,0, 10) -0</f>
        <v>-12.319476999202095</v>
      </c>
      <c r="BH67" s="1">
        <f ca="1">OFFSET(A67,0, 6) -0</f>
        <v>38.636026468772343</v>
      </c>
      <c r="BI67" s="1">
        <f ca="1">OFFSET(A67,0, 8) -0</f>
        <v>8.1582747347850955</v>
      </c>
      <c r="BJ67" s="1">
        <f ca="1">OFFSET(A67,0, 5) -0</f>
        <v>-16.12509766423409</v>
      </c>
      <c r="BK67" s="1">
        <f ca="1">OFFSET(A67,0, 12) -0</f>
        <v>-42.797228733189272</v>
      </c>
      <c r="BL67" s="1">
        <f ca="1">OFFSET(A67,0, 2) -0</f>
        <v>-10.40847006325339</v>
      </c>
      <c r="BM67" s="1">
        <f ca="1">OFFSET(A67,0, 11) -0</f>
        <v>-47.558352866195662</v>
      </c>
      <c r="BN67" s="1">
        <f ca="1">OFFSET(A67,0, 3) -0</f>
        <v>24.352654069753044</v>
      </c>
      <c r="BO67" s="1">
        <f ca="1">OFFSET(A67,0, 20) -0</f>
        <v>35.291764330861952</v>
      </c>
      <c r="BP67" s="1">
        <f ca="1">OFFSET(A67,0, 19) -0</f>
        <v>0.53064019785551864</v>
      </c>
      <c r="BQ67" s="1">
        <f ca="1">OFFSET(A67,0, 15) -0</f>
        <v>1.4861436658299567</v>
      </c>
      <c r="BR67" s="1">
        <f ca="1">OFFSET(A67,0, 14) -0</f>
        <v>16.725019532823524</v>
      </c>
      <c r="BS67" s="1">
        <f ca="1">OFFSET(A67,0, 22) -0</f>
        <v>-15.185987403125182</v>
      </c>
      <c r="BT67" s="1">
        <f ca="1">OFFSET(A67,0, 17) -0</f>
        <v>-8.9916080681572339</v>
      </c>
      <c r="BU67" s="1">
        <f ca="1">OFFSET(A67,0, 21) -0</f>
        <v>40.052888463868385</v>
      </c>
      <c r="BV67" s="1">
        <f ca="1">OFFSET(A67,0, 18) -0</f>
        <v>5.7695160648490855</v>
      </c>
      <c r="BW67" s="1">
        <f ca="1">OFFSET(A67,0, 23) -0</f>
        <v>-50.424863270118749</v>
      </c>
      <c r="BX67" s="1">
        <f ca="1">OFFSET(A67,0, 13) -0</f>
        <v>1.9638953998171331</v>
      </c>
      <c r="BY67" s="1">
        <f ca="1">OFFSET(A67,0, 24) -0</f>
        <v>-5.6637391371123158</v>
      </c>
      <c r="BZ67" s="1">
        <f ca="1">OFFSET(A67,0, 16) -0</f>
        <v>-3.752732201163667</v>
      </c>
      <c r="CB67" s="1">
        <f>COUNTIF(B67,"&lt;-69")</f>
        <v>0</v>
      </c>
      <c r="CC67" s="1">
        <f ca="1">COUNTIF(BC67:BN67,"&lt;-49")</f>
        <v>0</v>
      </c>
      <c r="CD67" s="1">
        <f ca="1">COUNTIF(BC67:BN67,"&gt;+49")</f>
        <v>1</v>
      </c>
      <c r="CE67" s="1">
        <f ca="1">COUNTIF(BO67:BZ67,"&lt;-49")</f>
        <v>1</v>
      </c>
      <c r="CF67" s="1">
        <f ca="1">COUNTIF(BO67:BZ67,"&gt;+49")</f>
        <v>0</v>
      </c>
    </row>
    <row r="68" spans="1:84">
      <c r="A68" s="1">
        <v>65</v>
      </c>
      <c r="B68" s="1">
        <f>'Team A 1'!B68-'Team A 1'!$AA68-('Team A 1'!B$2- 12.5)*'Team A 1'!$AC68</f>
        <v>-47.519215283057747</v>
      </c>
      <c r="C68" s="1">
        <f>'Team A 1'!C68-'Team A 1'!$AA68-('Team A 1'!C$2- 12.5)*'Team A 1'!$AC68</f>
        <v>6.757817929963494</v>
      </c>
      <c r="D68" s="1">
        <f>'Team A 1'!D68-'Team A 1'!$AA68-('Team A 1'!D$2- 12.5)*'Team A 1'!$AC68</f>
        <v>21.034851142984735</v>
      </c>
      <c r="E68" s="1">
        <f>'Team A 1'!E68-'Team A 1'!$AA68-('Team A 1'!E$2- 12.5)*'Team A 1'!$AC68</f>
        <v>15.311884356005976</v>
      </c>
      <c r="F68" s="1">
        <f>'Team A 1'!F68-'Team A 1'!$AA68-('Team A 1'!F$2- 12.5)*'Team A 1'!$AC68</f>
        <v>-0.41108243097278319</v>
      </c>
      <c r="G68" s="1">
        <f>'Team A 1'!G68-'Team A 1'!$AA68-('Team A 1'!G$2- 12.5)*'Team A 1'!$AC68</f>
        <v>33.865950782048458</v>
      </c>
      <c r="H68" s="1">
        <f>'Team A 1'!H68-'Team A 1'!$AA68-('Team A 1'!H$2- 12.5)*'Team A 1'!$AC68</f>
        <v>8.1429839950694713</v>
      </c>
      <c r="I68" s="1">
        <f>'Team A 1'!I68-'Team A 1'!$AA68-('Team A 1'!I$2- 12.5)*'Team A 1'!$AC68</f>
        <v>-7.5799827919092877</v>
      </c>
      <c r="J68" s="1">
        <f>'Team A 1'!J68-'Team A 1'!$AA68-('Team A 1'!J$2- 12.5)*'Team A 1'!$AC68</f>
        <v>-13.302949578888047</v>
      </c>
      <c r="K68" s="1">
        <f>'Team A 1'!K68-'Team A 1'!$AA68-('Team A 1'!K$2- 12.5)*'Team A 1'!$AC68</f>
        <v>20.974083634133081</v>
      </c>
      <c r="L68" s="1">
        <f>'Team A 1'!L68-'Team A 1'!$AA68-('Team A 1'!L$2- 12.5)*'Team A 1'!$AC68</f>
        <v>-34.748883152845679</v>
      </c>
      <c r="M68" s="1">
        <f>'Team A 1'!M68-'Team A 1'!$AA68-('Team A 1'!M$2- 12.5)*'Team A 1'!$AC68</f>
        <v>9.5281500601754772</v>
      </c>
      <c r="N68" s="1">
        <f>'Team A 1'!N68-'Team A 1'!$AA68-('Team A 1'!N$2- 12.5)*'Team A 1'!$AC68</f>
        <v>-6.1948167268033387</v>
      </c>
      <c r="O68" s="1">
        <f>'Team A 1'!O68-'Team A 1'!$AA68-('Team A 1'!O$2- 12.5)*'Team A 1'!$AC68</f>
        <v>-31.917783513782183</v>
      </c>
      <c r="P68" s="1">
        <f>'Team A 1'!P68-'Team A 1'!$AA68-('Team A 1'!P$2- 12.5)*'Team A 1'!$AC68</f>
        <v>2.3592496992390579</v>
      </c>
      <c r="Q68" s="1">
        <f>'Team A 1'!Q68-'Team A 1'!$AA68-('Team A 1'!Q$2- 12.5)*'Team A 1'!$AC68</f>
        <v>6.6362829122601852</v>
      </c>
      <c r="R68" s="1">
        <f>'Team A 1'!R68-'Team A 1'!$AA68-('Team A 1'!R$2- 12.5)*'Team A 1'!$AC68</f>
        <v>-19.086683874718574</v>
      </c>
      <c r="S68" s="1">
        <f>'Team A 1'!S68-'Team A 1'!$AA68-('Team A 1'!S$2- 12.5)*'Team A 1'!$AC68</f>
        <v>65.190349338302667</v>
      </c>
      <c r="T68" s="1">
        <f>'Team A 1'!T68-'Team A 1'!$AA68-('Team A 1'!T$2- 12.5)*'Team A 1'!$AC68</f>
        <v>19.467382551323681</v>
      </c>
      <c r="U68" s="1">
        <f>'Team A 1'!U68-'Team A 1'!$AA68-('Team A 1'!U$2- 12.5)*'Team A 1'!$AC68</f>
        <v>33.744415764344922</v>
      </c>
      <c r="V68" s="1">
        <f>'Team A 1'!V68-'Team A 1'!$AA68-('Team A 1'!V$2- 12.5)*'Team A 1'!$AC68</f>
        <v>-11.978551022633837</v>
      </c>
      <c r="W68" s="1">
        <f>'Team A 1'!W68-'Team A 1'!$AA68-('Team A 1'!W$2- 12.5)*'Team A 1'!$AC68</f>
        <v>2.2984821903874035</v>
      </c>
      <c r="X68" s="1">
        <f>'Team A 1'!X68-'Team A 1'!$AA68-('Team A 1'!X$2- 12.5)*'Team A 1'!$AC68</f>
        <v>-43.424484596591356</v>
      </c>
      <c r="Y68" s="1">
        <f>'Team A 1'!Y68-'Team A 1'!$AA68-('Team A 1'!Y$2- 12.5)*'Team A 1'!$AC68</f>
        <v>-29.147451383570115</v>
      </c>
      <c r="AB68" s="1">
        <f>STDEV(B68:Y68)</f>
        <v>26.6124790840625</v>
      </c>
      <c r="AD68" s="5">
        <v>4</v>
      </c>
      <c r="AE68" s="5" t="s">
        <v>45</v>
      </c>
      <c r="AF68" s="5" t="s">
        <v>47</v>
      </c>
      <c r="AG68" s="5">
        <v>3</v>
      </c>
      <c r="AH68" s="5">
        <v>8</v>
      </c>
      <c r="AI68" s="5">
        <v>6</v>
      </c>
      <c r="AJ68" s="5">
        <v>1</v>
      </c>
      <c r="AK68" s="5">
        <v>2</v>
      </c>
      <c r="AL68" s="5">
        <v>5</v>
      </c>
      <c r="AM68" s="5">
        <v>7</v>
      </c>
      <c r="AN68" s="5" t="s">
        <v>46</v>
      </c>
      <c r="AO68" s="5">
        <v>9</v>
      </c>
      <c r="AP68" s="5">
        <v>4</v>
      </c>
      <c r="AQ68" s="5" t="s">
        <v>47</v>
      </c>
      <c r="AR68" s="5" t="s">
        <v>45</v>
      </c>
      <c r="AS68" s="5">
        <v>8</v>
      </c>
      <c r="AT68" s="5">
        <v>3</v>
      </c>
      <c r="AU68" s="5">
        <v>6</v>
      </c>
      <c r="AV68" s="5">
        <v>2</v>
      </c>
      <c r="AW68" s="5">
        <v>1</v>
      </c>
      <c r="AX68" s="5">
        <v>5</v>
      </c>
      <c r="AY68" s="5" t="s">
        <v>46</v>
      </c>
      <c r="AZ68" s="5">
        <v>7</v>
      </c>
      <c r="BA68" s="5">
        <v>9</v>
      </c>
      <c r="BB68" s="5"/>
      <c r="BC68" s="1">
        <f ca="1">OFFSET(A68,0, 7) -0</f>
        <v>8.1429839950694713</v>
      </c>
      <c r="BD68" s="1">
        <f ca="1">OFFSET(A68,0, 8) -0</f>
        <v>-7.5799827919092877</v>
      </c>
      <c r="BE68" s="1">
        <f ca="1">OFFSET(A68,0, 4) -0</f>
        <v>15.311884356005976</v>
      </c>
      <c r="BF68" s="1">
        <f ca="1">OFFSET(A68,0, 1) -0</f>
        <v>-47.519215283057747</v>
      </c>
      <c r="BG68" s="1">
        <f ca="1">OFFSET(A68,0, 9) -0</f>
        <v>-13.302949578888047</v>
      </c>
      <c r="BH68" s="1">
        <f ca="1">OFFSET(A68,0, 6) -0</f>
        <v>33.865950782048458</v>
      </c>
      <c r="BI68" s="1">
        <f ca="1">OFFSET(A68,0, 10) -0</f>
        <v>20.974083634133081</v>
      </c>
      <c r="BJ68" s="1">
        <f ca="1">OFFSET(A68,0, 5) -0</f>
        <v>-0.41108243097278319</v>
      </c>
      <c r="BK68" s="1">
        <f ca="1">OFFSET(A68,0, 12) -0</f>
        <v>9.5281500601754772</v>
      </c>
      <c r="BL68" s="1">
        <f ca="1">OFFSET(A68,0, 2) -0</f>
        <v>6.757817929963494</v>
      </c>
      <c r="BM68" s="1">
        <f ca="1">OFFSET(A68,0, 11) -0</f>
        <v>-34.748883152845679</v>
      </c>
      <c r="BN68" s="1">
        <f ca="1">OFFSET(A68,0, 3) -0</f>
        <v>21.034851142984735</v>
      </c>
      <c r="BO68" s="1">
        <f ca="1">OFFSET(A68,0, 20) -0</f>
        <v>33.744415764344922</v>
      </c>
      <c r="BP68" s="1">
        <f ca="1">OFFSET(A68,0, 19) -0</f>
        <v>19.467382551323681</v>
      </c>
      <c r="BQ68" s="1">
        <f ca="1">OFFSET(A68,0, 17) -0</f>
        <v>-19.086683874718574</v>
      </c>
      <c r="BR68" s="1">
        <f ca="1">OFFSET(A68,0, 13) -0</f>
        <v>-6.1948167268033387</v>
      </c>
      <c r="BS68" s="1">
        <f ca="1">OFFSET(A68,0, 21) -0</f>
        <v>-11.978551022633837</v>
      </c>
      <c r="BT68" s="1">
        <f ca="1">OFFSET(A68,0, 18) -0</f>
        <v>65.190349338302667</v>
      </c>
      <c r="BU68" s="1">
        <f ca="1">OFFSET(A68,0, 23) -0</f>
        <v>-43.424484596591356</v>
      </c>
      <c r="BV68" s="1">
        <f ca="1">OFFSET(A68,0, 16) -0</f>
        <v>6.6362829122601852</v>
      </c>
      <c r="BW68" s="1">
        <f ca="1">OFFSET(A68,0, 24) -0</f>
        <v>-29.147451383570115</v>
      </c>
      <c r="BX68" s="1">
        <f ca="1">OFFSET(A68,0, 15) -0</f>
        <v>2.3592496992390579</v>
      </c>
      <c r="BY68" s="1">
        <f ca="1">OFFSET(A68,0, 22) -0</f>
        <v>2.2984821903874035</v>
      </c>
      <c r="BZ68" s="1">
        <f ca="1">OFFSET(A68,0, 14) -0</f>
        <v>-31.917783513782183</v>
      </c>
      <c r="CB68" s="1">
        <f>COUNTIF(B68,"&lt;-69")</f>
        <v>0</v>
      </c>
      <c r="CC68" s="1">
        <f ca="1">COUNTIF(BC68:BN68,"&lt;-49")</f>
        <v>0</v>
      </c>
      <c r="CD68" s="1">
        <f ca="1">COUNTIF(BC68:BN68,"&gt;+49")</f>
        <v>0</v>
      </c>
      <c r="CE68" s="1">
        <f ca="1">COUNTIF(BO68:BZ68,"&lt;-49")</f>
        <v>0</v>
      </c>
      <c r="CF68" s="1">
        <f ca="1">COUNTIF(BO68:BZ68,"&gt;+49")</f>
        <v>1</v>
      </c>
    </row>
    <row r="69" spans="1:84">
      <c r="A69" s="1">
        <v>66</v>
      </c>
      <c r="B69" s="1">
        <f>'Team A 1'!B69-'Team A 1'!$AA69-('Team A 1'!B$2- 12.5)*'Team A 1'!$AC69</f>
        <v>35.532809182120218</v>
      </c>
      <c r="C69" s="1">
        <f>'Team A 1'!C69-'Team A 1'!$AA69-('Team A 1'!C$2- 12.5)*'Team A 1'!$AC69</f>
        <v>10.160390992370594</v>
      </c>
      <c r="D69" s="1">
        <f>'Team A 1'!D69-'Team A 1'!$AA69-('Team A 1'!D$2- 12.5)*'Team A 1'!$AC69</f>
        <v>-25.212027197378802</v>
      </c>
      <c r="E69" s="1">
        <f>'Team A 1'!E69-'Team A 1'!$AA69-('Team A 1'!E$2- 12.5)*'Team A 1'!$AC69</f>
        <v>29.415554612871574</v>
      </c>
      <c r="F69" s="1">
        <f>'Team A 1'!F69-'Team A 1'!$AA69-('Team A 1'!F$2- 12.5)*'Team A 1'!$AC69</f>
        <v>34.04313642312195</v>
      </c>
      <c r="G69" s="1">
        <f>'Team A 1'!G69-'Team A 1'!$AA69-('Team A 1'!G$2- 12.5)*'Team A 1'!$AC69</f>
        <v>28.670718233372327</v>
      </c>
      <c r="H69" s="1">
        <f>'Team A 1'!H69-'Team A 1'!$AA69-('Team A 1'!H$2- 12.5)*'Team A 1'!$AC69</f>
        <v>23.298300043622703</v>
      </c>
      <c r="I69" s="1">
        <f>'Team A 1'!I69-'Team A 1'!$AA69-('Team A 1'!I$2- 12.5)*'Team A 1'!$AC69</f>
        <v>27.925881853873193</v>
      </c>
      <c r="J69" s="1">
        <f>'Team A 1'!J69-'Team A 1'!$AA69-('Team A 1'!J$2- 12.5)*'Team A 1'!$AC69</f>
        <v>-17.446536335876431</v>
      </c>
      <c r="K69" s="1">
        <f>'Team A 1'!K69-'Team A 1'!$AA69-('Team A 1'!K$2- 12.5)*'Team A 1'!$AC69</f>
        <v>-12.818954525625998</v>
      </c>
      <c r="L69" s="1">
        <f>'Team A 1'!L69-'Team A 1'!$AA69-('Team A 1'!L$2- 12.5)*'Team A 1'!$AC69</f>
        <v>-28.191372715375621</v>
      </c>
      <c r="M69" s="1">
        <f>'Team A 1'!M69-'Team A 1'!$AA69-('Team A 1'!M$2- 12.5)*'Team A 1'!$AC69</f>
        <v>-63.563790905125202</v>
      </c>
      <c r="N69" s="1">
        <f>'Team A 1'!N69-'Team A 1'!$AA69-('Team A 1'!N$2- 12.5)*'Team A 1'!$AC69</f>
        <v>-28.936209094874798</v>
      </c>
      <c r="O69" s="1">
        <f>'Team A 1'!O69-'Team A 1'!$AA69-('Team A 1'!O$2- 12.5)*'Team A 1'!$AC69</f>
        <v>-4.3086272846243787</v>
      </c>
      <c r="P69" s="1">
        <f>'Team A 1'!P69-'Team A 1'!$AA69-('Team A 1'!P$2- 12.5)*'Team A 1'!$AC69</f>
        <v>10.318954525625998</v>
      </c>
      <c r="Q69" s="1">
        <f>'Team A 1'!Q69-'Team A 1'!$AA69-('Team A 1'!Q$2- 12.5)*'Team A 1'!$AC69</f>
        <v>4.9465363358764307</v>
      </c>
      <c r="R69" s="1">
        <f>'Team A 1'!R69-'Team A 1'!$AA69-('Team A 1'!R$2- 12.5)*'Team A 1'!$AC69</f>
        <v>9.574118146126807</v>
      </c>
      <c r="S69" s="1">
        <f>'Team A 1'!S69-'Team A 1'!$AA69-('Team A 1'!S$2- 12.5)*'Team A 1'!$AC69</f>
        <v>14.201699956377297</v>
      </c>
      <c r="T69" s="1">
        <f>'Team A 1'!T69-'Team A 1'!$AA69-('Team A 1'!T$2- 12.5)*'Team A 1'!$AC69</f>
        <v>-1.1707182333723267</v>
      </c>
      <c r="U69" s="1">
        <f>'Team A 1'!U69-'Team A 1'!$AA69-('Team A 1'!U$2- 12.5)*'Team A 1'!$AC69</f>
        <v>3.4568635768780496</v>
      </c>
      <c r="V69" s="1">
        <f>'Team A 1'!V69-'Team A 1'!$AA69-('Team A 1'!V$2- 12.5)*'Team A 1'!$AC69</f>
        <v>-1.9155546128715741</v>
      </c>
      <c r="W69" s="1">
        <f>'Team A 1'!W69-'Team A 1'!$AA69-('Team A 1'!W$2- 12.5)*'Team A 1'!$AC69</f>
        <v>12.712027197378802</v>
      </c>
      <c r="X69" s="1">
        <f>'Team A 1'!X69-'Team A 1'!$AA69-('Team A 1'!X$2- 12.5)*'Team A 1'!$AC69</f>
        <v>-42.660390992370594</v>
      </c>
      <c r="Y69" s="1">
        <f>'Team A 1'!Y69-'Team A 1'!$AA69-('Team A 1'!Y$2- 12.5)*'Team A 1'!$AC69</f>
        <v>-18.032809182120218</v>
      </c>
      <c r="AB69" s="1">
        <f>STDEV(B69:Y69)</f>
        <v>25.60401508039779</v>
      </c>
      <c r="AD69" s="5" t="s">
        <v>47</v>
      </c>
      <c r="AE69" s="5">
        <v>4</v>
      </c>
      <c r="AF69" s="5">
        <v>8</v>
      </c>
      <c r="AG69" s="5" t="s">
        <v>45</v>
      </c>
      <c r="AH69" s="5">
        <v>6</v>
      </c>
      <c r="AI69" s="5">
        <v>3</v>
      </c>
      <c r="AJ69" s="5">
        <v>1</v>
      </c>
      <c r="AK69" s="5">
        <v>2</v>
      </c>
      <c r="AL69" s="5" t="s">
        <v>46</v>
      </c>
      <c r="AM69" s="5">
        <v>5</v>
      </c>
      <c r="AN69" s="5">
        <v>9</v>
      </c>
      <c r="AO69" s="5">
        <v>7</v>
      </c>
      <c r="AP69" s="5">
        <v>4</v>
      </c>
      <c r="AQ69" s="5" t="s">
        <v>47</v>
      </c>
      <c r="AR69" s="5" t="s">
        <v>45</v>
      </c>
      <c r="AS69" s="5">
        <v>8</v>
      </c>
      <c r="AT69" s="5">
        <v>6</v>
      </c>
      <c r="AU69" s="5">
        <v>1</v>
      </c>
      <c r="AV69" s="5">
        <v>3</v>
      </c>
      <c r="AW69" s="5">
        <v>2</v>
      </c>
      <c r="AX69" s="5">
        <v>5</v>
      </c>
      <c r="AY69" s="5" t="s">
        <v>46</v>
      </c>
      <c r="AZ69" s="5">
        <v>7</v>
      </c>
      <c r="BA69" s="5">
        <v>9</v>
      </c>
      <c r="BB69" s="5"/>
      <c r="BC69" s="1">
        <f ca="1">OFFSET(A69,0, 7) -0</f>
        <v>23.298300043622703</v>
      </c>
      <c r="BD69" s="1">
        <f ca="1">OFFSET(A69,0, 8) -0</f>
        <v>27.925881853873193</v>
      </c>
      <c r="BE69" s="1">
        <f ca="1">OFFSET(A69,0, 6) -0</f>
        <v>28.670718233372327</v>
      </c>
      <c r="BF69" s="1">
        <f ca="1">OFFSET(A69,0, 2) -0</f>
        <v>10.160390992370594</v>
      </c>
      <c r="BG69" s="1">
        <f ca="1">OFFSET(A69,0, 10) -0</f>
        <v>-12.818954525625998</v>
      </c>
      <c r="BH69" s="1">
        <f ca="1">OFFSET(A69,0, 5) -0</f>
        <v>34.04313642312195</v>
      </c>
      <c r="BI69" s="1">
        <f ca="1">OFFSET(A69,0, 12) -0</f>
        <v>-63.563790905125202</v>
      </c>
      <c r="BJ69" s="1">
        <f ca="1">OFFSET(A69,0, 3) -0</f>
        <v>-25.212027197378802</v>
      </c>
      <c r="BK69" s="1">
        <f ca="1">OFFSET(A69,0, 11) -0</f>
        <v>-28.191372715375621</v>
      </c>
      <c r="BL69" s="1">
        <f ca="1">OFFSET(A69,0, 4) -0</f>
        <v>29.415554612871574</v>
      </c>
      <c r="BM69" s="1">
        <f ca="1">OFFSET(A69,0, 9) -0</f>
        <v>-17.446536335876431</v>
      </c>
      <c r="BN69" s="1">
        <f ca="1">OFFSET(A69,0, 1) -0</f>
        <v>35.532809182120218</v>
      </c>
      <c r="BO69" s="1">
        <f ca="1">OFFSET(A69,0, 18) -0</f>
        <v>14.201699956377297</v>
      </c>
      <c r="BP69" s="1">
        <f ca="1">OFFSET(A69,0, 20) -0</f>
        <v>3.4568635768780496</v>
      </c>
      <c r="BQ69" s="1">
        <f ca="1">OFFSET(A69,0, 19) -0</f>
        <v>-1.1707182333723267</v>
      </c>
      <c r="BR69" s="1">
        <f ca="1">OFFSET(A69,0, 13) -0</f>
        <v>-28.936209094874798</v>
      </c>
      <c r="BS69" s="1">
        <f ca="1">OFFSET(A69,0, 21) -0</f>
        <v>-1.9155546128715741</v>
      </c>
      <c r="BT69" s="1">
        <f ca="1">OFFSET(A69,0, 17) -0</f>
        <v>9.574118146126807</v>
      </c>
      <c r="BU69" s="1">
        <f ca="1">OFFSET(A69,0, 23) -0</f>
        <v>-42.660390992370594</v>
      </c>
      <c r="BV69" s="1">
        <f ca="1">OFFSET(A69,0, 16) -0</f>
        <v>4.9465363358764307</v>
      </c>
      <c r="BW69" s="1">
        <f ca="1">OFFSET(A69,0, 24) -0</f>
        <v>-18.032809182120218</v>
      </c>
      <c r="BX69" s="1">
        <f ca="1">OFFSET(A69,0, 15) -0</f>
        <v>10.318954525625998</v>
      </c>
      <c r="BY69" s="1">
        <f ca="1">OFFSET(A69,0, 22) -0</f>
        <v>12.712027197378802</v>
      </c>
      <c r="BZ69" s="1">
        <f ca="1">OFFSET(A69,0, 14) -0</f>
        <v>-4.3086272846243787</v>
      </c>
      <c r="CB69" s="1">
        <f>COUNTIF(B69,"&lt;-69")</f>
        <v>0</v>
      </c>
      <c r="CC69" s="1">
        <f ca="1">COUNTIF(BC69:BN69,"&lt;-49")</f>
        <v>1</v>
      </c>
      <c r="CD69" s="1">
        <f ca="1">COUNTIF(BC69:BN69,"&gt;+49")</f>
        <v>0</v>
      </c>
      <c r="CE69" s="1">
        <f ca="1">COUNTIF(BO69:BZ69,"&lt;-49")</f>
        <v>0</v>
      </c>
      <c r="CF69" s="1">
        <f ca="1">COUNTIF(BO69:BZ69,"&gt;+49")</f>
        <v>0</v>
      </c>
    </row>
    <row r="70" spans="1:84">
      <c r="A70" s="1">
        <v>67</v>
      </c>
      <c r="B70" s="1">
        <f>'Team A 1'!B70-'Team A 1'!$AA70-('Team A 1'!B$2- 12.5)*'Team A 1'!$AC70</f>
        <v>21.948685547588866</v>
      </c>
      <c r="C70" s="1">
        <f>'Team A 1'!C70-'Team A 1'!$AA70-('Team A 1'!C$2- 12.5)*'Team A 1'!$AC70</f>
        <v>-23.148301601478579</v>
      </c>
      <c r="D70" s="1">
        <f>'Team A 1'!D70-'Team A 1'!$AA70-('Team A 1'!D$2- 12.5)*'Team A 1'!$AC70</f>
        <v>-38.245288750545797</v>
      </c>
      <c r="E70" s="1">
        <f>'Team A 1'!E70-'Team A 1'!$AA70-('Team A 1'!E$2- 12.5)*'Team A 1'!$AC70</f>
        <v>26.657724100386758</v>
      </c>
      <c r="F70" s="1">
        <f>'Team A 1'!F70-'Team A 1'!$AA70-('Team A 1'!F$2- 12.5)*'Team A 1'!$AC70</f>
        <v>21.560736951319313</v>
      </c>
      <c r="G70" s="1">
        <f>'Team A 1'!G70-'Team A 1'!$AA70-('Team A 1'!G$2- 12.5)*'Team A 1'!$AC70</f>
        <v>46.463749802251868</v>
      </c>
      <c r="H70" s="1">
        <f>'Team A 1'!H70-'Team A 1'!$AA70-('Team A 1'!H$2- 12.5)*'Team A 1'!$AC70</f>
        <v>31.366762653184651</v>
      </c>
      <c r="I70" s="1">
        <f>'Team A 1'!I70-'Team A 1'!$AA70-('Team A 1'!I$2- 12.5)*'Team A 1'!$AC70</f>
        <v>6.2697755041172059</v>
      </c>
      <c r="J70" s="1">
        <f>'Team A 1'!J70-'Team A 1'!$AA70-('Team A 1'!J$2- 12.5)*'Team A 1'!$AC70</f>
        <v>21.172788355049761</v>
      </c>
      <c r="K70" s="1">
        <f>'Team A 1'!K70-'Team A 1'!$AA70-('Team A 1'!K$2- 12.5)*'Team A 1'!$AC70</f>
        <v>-23.92419879401757</v>
      </c>
      <c r="L70" s="1">
        <f>'Team A 1'!L70-'Team A 1'!$AA70-('Team A 1'!L$2- 12.5)*'Team A 1'!$AC70</f>
        <v>-9.0211859430850154</v>
      </c>
      <c r="M70" s="1">
        <f>'Team A 1'!M70-'Team A 1'!$AA70-('Team A 1'!M$2- 12.5)*'Team A 1'!$AC70</f>
        <v>-14.118173092152375</v>
      </c>
      <c r="N70" s="1">
        <f>'Team A 1'!N70-'Team A 1'!$AA70-('Team A 1'!N$2- 12.5)*'Team A 1'!$AC70</f>
        <v>0.78483975878023671</v>
      </c>
      <c r="O70" s="1">
        <f>'Team A 1'!O70-'Team A 1'!$AA70-('Team A 1'!O$2- 12.5)*'Team A 1'!$AC70</f>
        <v>-14.312147390287123</v>
      </c>
      <c r="P70" s="1">
        <f>'Team A 1'!P70-'Team A 1'!$AA70-('Team A 1'!P$2- 12.5)*'Team A 1'!$AC70</f>
        <v>-29.409134539354568</v>
      </c>
      <c r="Q70" s="1">
        <f>'Team A 1'!Q70-'Team A 1'!$AA70-('Team A 1'!Q$2- 12.5)*'Team A 1'!$AC70</f>
        <v>-4.5061216884218993</v>
      </c>
      <c r="R70" s="1">
        <f>'Team A 1'!R70-'Team A 1'!$AA70-('Team A 1'!R$2- 12.5)*'Team A 1'!$AC70</f>
        <v>10.396891162510656</v>
      </c>
      <c r="S70" s="1">
        <f>'Team A 1'!S70-'Team A 1'!$AA70-('Team A 1'!S$2- 12.5)*'Team A 1'!$AC70</f>
        <v>-4.7000959865567893</v>
      </c>
      <c r="T70" s="1">
        <f>'Team A 1'!T70-'Team A 1'!$AA70-('Team A 1'!T$2- 12.5)*'Team A 1'!$AC70</f>
        <v>-29.797083135624007</v>
      </c>
      <c r="U70" s="1">
        <f>'Team A 1'!U70-'Team A 1'!$AA70-('Team A 1'!U$2- 12.5)*'Team A 1'!$AC70</f>
        <v>5.1059297153085481</v>
      </c>
      <c r="V70" s="1">
        <f>'Team A 1'!V70-'Team A 1'!$AA70-('Team A 1'!V$2- 12.5)*'Team A 1'!$AC70</f>
        <v>-9.9910574337588969</v>
      </c>
      <c r="W70" s="1">
        <f>'Team A 1'!W70-'Team A 1'!$AA70-('Team A 1'!W$2- 12.5)*'Team A 1'!$AC70</f>
        <v>-15.088044582826342</v>
      </c>
      <c r="X70" s="1">
        <f>'Team A 1'!X70-'Team A 1'!$AA70-('Team A 1'!X$2- 12.5)*'Team A 1'!$AC70</f>
        <v>-20.185031731893559</v>
      </c>
      <c r="Y70" s="1">
        <f>'Team A 1'!Y70-'Team A 1'!$AA70-('Team A 1'!Y$2- 12.5)*'Team A 1'!$AC70</f>
        <v>44.717981119038996</v>
      </c>
      <c r="AB70" s="1">
        <f>STDEV(B70:Y70)</f>
        <v>23.782159601702624</v>
      </c>
      <c r="AD70" s="5" t="s">
        <v>47</v>
      </c>
      <c r="AE70" s="5">
        <v>4</v>
      </c>
      <c r="AF70" s="5">
        <v>8</v>
      </c>
      <c r="AG70" s="5" t="s">
        <v>45</v>
      </c>
      <c r="AH70" s="5">
        <v>1</v>
      </c>
      <c r="AI70" s="5">
        <v>6</v>
      </c>
      <c r="AJ70" s="5">
        <v>2</v>
      </c>
      <c r="AK70" s="5">
        <v>3</v>
      </c>
      <c r="AL70" s="5" t="s">
        <v>46</v>
      </c>
      <c r="AM70" s="5">
        <v>5</v>
      </c>
      <c r="AN70" s="5">
        <v>9</v>
      </c>
      <c r="AO70" s="5">
        <v>7</v>
      </c>
      <c r="AP70" s="5" t="s">
        <v>47</v>
      </c>
      <c r="AQ70" s="5">
        <v>8</v>
      </c>
      <c r="AR70" s="5">
        <v>4</v>
      </c>
      <c r="AS70" s="5" t="s">
        <v>45</v>
      </c>
      <c r="AT70" s="5">
        <v>6</v>
      </c>
      <c r="AU70" s="5">
        <v>1</v>
      </c>
      <c r="AV70" s="5">
        <v>2</v>
      </c>
      <c r="AW70" s="5" t="s">
        <v>46</v>
      </c>
      <c r="AX70" s="5">
        <v>3</v>
      </c>
      <c r="AY70" s="5">
        <v>9</v>
      </c>
      <c r="AZ70" s="5">
        <v>5</v>
      </c>
      <c r="BA70" s="5">
        <v>7</v>
      </c>
      <c r="BB70" s="5"/>
      <c r="BC70" s="1">
        <f ca="1">OFFSET(A70,0, 5) -0</f>
        <v>21.560736951319313</v>
      </c>
      <c r="BD70" s="1">
        <f ca="1">OFFSET(A70,0, 7) -0</f>
        <v>31.366762653184651</v>
      </c>
      <c r="BE70" s="1">
        <f ca="1">OFFSET(A70,0, 8) -0</f>
        <v>6.2697755041172059</v>
      </c>
      <c r="BF70" s="1">
        <f ca="1">OFFSET(A70,0, 2) -0</f>
        <v>-23.148301601478579</v>
      </c>
      <c r="BG70" s="1">
        <f ca="1">OFFSET(A70,0, 10) -0</f>
        <v>-23.92419879401757</v>
      </c>
      <c r="BH70" s="1">
        <f ca="1">OFFSET(A70,0, 6) -0</f>
        <v>46.463749802251868</v>
      </c>
      <c r="BI70" s="1">
        <f ca="1">OFFSET(A70,0, 12) -0</f>
        <v>-14.118173092152375</v>
      </c>
      <c r="BJ70" s="1">
        <f ca="1">OFFSET(A70,0, 3) -0</f>
        <v>-38.245288750545797</v>
      </c>
      <c r="BK70" s="1">
        <f ca="1">OFFSET(A70,0, 11) -0</f>
        <v>-9.0211859430850154</v>
      </c>
      <c r="BL70" s="1">
        <f ca="1">OFFSET(A70,0, 4) -0</f>
        <v>26.657724100386758</v>
      </c>
      <c r="BM70" s="1">
        <f ca="1">OFFSET(A70,0, 9) -0</f>
        <v>21.172788355049761</v>
      </c>
      <c r="BN70" s="1">
        <f ca="1">OFFSET(A70,0, 1) -0</f>
        <v>21.948685547588866</v>
      </c>
      <c r="BO70" s="1">
        <f ca="1">OFFSET(A70,0, 18) -0</f>
        <v>-4.7000959865567893</v>
      </c>
      <c r="BP70" s="1">
        <f ca="1">OFFSET(A70,0, 19) -0</f>
        <v>-29.797083135624007</v>
      </c>
      <c r="BQ70" s="1">
        <f ca="1">OFFSET(A70,0, 21) -0</f>
        <v>-9.9910574337588969</v>
      </c>
      <c r="BR70" s="1">
        <f ca="1">OFFSET(A70,0, 15) -0</f>
        <v>-29.409134539354568</v>
      </c>
      <c r="BS70" s="1">
        <f ca="1">OFFSET(A70,0, 23) -0</f>
        <v>-20.185031731893559</v>
      </c>
      <c r="BT70" s="1">
        <f ca="1">OFFSET(A70,0, 17) -0</f>
        <v>10.396891162510656</v>
      </c>
      <c r="BU70" s="1">
        <f ca="1">OFFSET(A70,0, 24) -0</f>
        <v>44.717981119038996</v>
      </c>
      <c r="BV70" s="1">
        <f ca="1">OFFSET(A70,0, 14) -0</f>
        <v>-14.312147390287123</v>
      </c>
      <c r="BW70" s="1">
        <f ca="1">OFFSET(A70,0, 22) -0</f>
        <v>-15.088044582826342</v>
      </c>
      <c r="BX70" s="1">
        <f ca="1">OFFSET(A70,0, 16) -0</f>
        <v>-4.5061216884218993</v>
      </c>
      <c r="BY70" s="1">
        <f ca="1">OFFSET(A70,0, 20) -0</f>
        <v>5.1059297153085481</v>
      </c>
      <c r="BZ70" s="1">
        <f ca="1">OFFSET(A70,0, 13) -0</f>
        <v>0.78483975878023671</v>
      </c>
      <c r="CB70" s="1">
        <f>COUNTIF(B70,"&lt;-69")</f>
        <v>0</v>
      </c>
      <c r="CC70" s="1">
        <f ca="1">COUNTIF(BC70:BN70,"&lt;-49")</f>
        <v>0</v>
      </c>
      <c r="CD70" s="1">
        <f ca="1">COUNTIF(BC70:BN70,"&gt;+49")</f>
        <v>0</v>
      </c>
      <c r="CE70" s="1">
        <f ca="1">COUNTIF(BO70:BZ70,"&lt;-49")</f>
        <v>0</v>
      </c>
      <c r="CF70" s="1">
        <f ca="1">COUNTIF(BO70:BZ70,"&gt;+49")</f>
        <v>0</v>
      </c>
    </row>
    <row r="71" spans="1:84">
      <c r="A71" s="1">
        <v>68</v>
      </c>
      <c r="B71" s="1">
        <f>'Team A 1'!B71-'Team A 1'!$AA71-('Team A 1'!B$2- 12.5)*'Team A 1'!$AC71</f>
        <v>-32.994705161934235</v>
      </c>
      <c r="C71" s="1">
        <f>'Team A 1'!C71-'Team A 1'!$AA71-('Team A 1'!C$2- 12.5)*'Team A 1'!$AC71</f>
        <v>-18.458933698575947</v>
      </c>
      <c r="D71" s="1">
        <f>'Team A 1'!D71-'Team A 1'!$AA71-('Team A 1'!D$2- 12.5)*'Team A 1'!$AC71</f>
        <v>6.0768377647823399</v>
      </c>
      <c r="E71" s="1">
        <f>'Team A 1'!E71-'Team A 1'!$AA71-('Team A 1'!E$2- 12.5)*'Team A 1'!$AC71</f>
        <v>-19.387390771859373</v>
      </c>
      <c r="F71" s="1">
        <f>'Team A 1'!F71-'Team A 1'!$AA71-('Team A 1'!F$2- 12.5)*'Team A 1'!$AC71</f>
        <v>35.148380691498915</v>
      </c>
      <c r="G71" s="1">
        <f>'Team A 1'!G71-'Team A 1'!$AA71-('Team A 1'!G$2- 12.5)*'Team A 1'!$AC71</f>
        <v>9.6841521548572018</v>
      </c>
      <c r="H71" s="1">
        <f>'Team A 1'!H71-'Team A 1'!$AA71-('Team A 1'!H$2- 12.5)*'Team A 1'!$AC71</f>
        <v>-25.780076381784511</v>
      </c>
      <c r="I71" s="1">
        <f>'Team A 1'!I71-'Team A 1'!$AA71-('Team A 1'!I$2- 12.5)*'Team A 1'!$AC71</f>
        <v>-21.244304918426224</v>
      </c>
      <c r="J71" s="1">
        <f>'Team A 1'!J71-'Team A 1'!$AA71-('Team A 1'!J$2- 12.5)*'Team A 1'!$AC71</f>
        <v>-26.708533455067936</v>
      </c>
      <c r="K71" s="1">
        <f>'Team A 1'!K71-'Team A 1'!$AA71-('Team A 1'!K$2- 12.5)*'Team A 1'!$AC71</f>
        <v>-2.172761991709649</v>
      </c>
      <c r="L71" s="1">
        <f>'Team A 1'!L71-'Team A 1'!$AA71-('Team A 1'!L$2- 12.5)*'Team A 1'!$AC71</f>
        <v>72.363009471648638</v>
      </c>
      <c r="M71" s="1">
        <f>'Team A 1'!M71-'Team A 1'!$AA71-('Team A 1'!M$2- 12.5)*'Team A 1'!$AC71</f>
        <v>16.898780935006926</v>
      </c>
      <c r="N71" s="1">
        <f>'Team A 1'!N71-'Team A 1'!$AA71-('Team A 1'!N$2- 12.5)*'Team A 1'!$AC71</f>
        <v>-8.5654476016347871</v>
      </c>
      <c r="O71" s="1">
        <f>'Team A 1'!O71-'Team A 1'!$AA71-('Team A 1'!O$2- 12.5)*'Team A 1'!$AC71</f>
        <v>35.9703238617235</v>
      </c>
      <c r="P71" s="1">
        <f>'Team A 1'!P71-'Team A 1'!$AA71-('Team A 1'!P$2- 12.5)*'Team A 1'!$AC71</f>
        <v>-19.493904674918213</v>
      </c>
      <c r="Q71" s="1">
        <f>'Team A 1'!Q71-'Team A 1'!$AA71-('Team A 1'!Q$2- 12.5)*'Team A 1'!$AC71</f>
        <v>25.041866788440075</v>
      </c>
      <c r="R71" s="1">
        <f>'Team A 1'!R71-'Team A 1'!$AA71-('Team A 1'!R$2- 12.5)*'Team A 1'!$AC71</f>
        <v>39.577638251798362</v>
      </c>
      <c r="S71" s="1">
        <f>'Team A 1'!S71-'Team A 1'!$AA71-('Team A 1'!S$2- 12.5)*'Team A 1'!$AC71</f>
        <v>54.113409715156649</v>
      </c>
      <c r="T71" s="1">
        <f>'Team A 1'!T71-'Team A 1'!$AA71-('Team A 1'!T$2- 12.5)*'Team A 1'!$AC71</f>
        <v>8.6491811785149366</v>
      </c>
      <c r="U71" s="1">
        <f>'Team A 1'!U71-'Team A 1'!$AA71-('Team A 1'!U$2- 12.5)*'Team A 1'!$AC71</f>
        <v>-6.8150473581267761</v>
      </c>
      <c r="V71" s="1">
        <f>'Team A 1'!V71-'Team A 1'!$AA71-('Team A 1'!V$2- 12.5)*'Team A 1'!$AC71</f>
        <v>-52.279275894768489</v>
      </c>
      <c r="W71" s="1">
        <f>'Team A 1'!W71-'Team A 1'!$AA71-('Team A 1'!W$2- 12.5)*'Team A 1'!$AC71</f>
        <v>-37.743504431410202</v>
      </c>
      <c r="X71" s="1">
        <f>'Team A 1'!X71-'Team A 1'!$AA71-('Team A 1'!X$2- 12.5)*'Team A 1'!$AC71</f>
        <v>-53.207732968051914</v>
      </c>
      <c r="Y71" s="1">
        <f>'Team A 1'!Y71-'Team A 1'!$AA71-('Team A 1'!Y$2- 12.5)*'Team A 1'!$AC71</f>
        <v>21.328038495306373</v>
      </c>
      <c r="AB71" s="1">
        <f>STDEV(B71:Y71)</f>
        <v>32.943450709321233</v>
      </c>
      <c r="AD71" s="5">
        <v>8</v>
      </c>
      <c r="AE71" s="5" t="s">
        <v>47</v>
      </c>
      <c r="AF71" s="5" t="s">
        <v>45</v>
      </c>
      <c r="AG71" s="5">
        <v>4</v>
      </c>
      <c r="AH71" s="5">
        <v>1</v>
      </c>
      <c r="AI71" s="5">
        <v>6</v>
      </c>
      <c r="AJ71" s="5" t="s">
        <v>46</v>
      </c>
      <c r="AK71" s="5">
        <v>2</v>
      </c>
      <c r="AL71" s="5">
        <v>9</v>
      </c>
      <c r="AM71" s="5">
        <v>3</v>
      </c>
      <c r="AN71" s="5">
        <v>7</v>
      </c>
      <c r="AO71" s="5">
        <v>5</v>
      </c>
      <c r="AP71" s="5" t="s">
        <v>47</v>
      </c>
      <c r="AQ71" s="5">
        <v>8</v>
      </c>
      <c r="AR71" s="5" t="s">
        <v>45</v>
      </c>
      <c r="AS71" s="5">
        <v>1</v>
      </c>
      <c r="AT71" s="5">
        <v>4</v>
      </c>
      <c r="AU71" s="5">
        <v>6</v>
      </c>
      <c r="AV71" s="5">
        <v>2</v>
      </c>
      <c r="AW71" s="5" t="s">
        <v>46</v>
      </c>
      <c r="AX71" s="5">
        <v>3</v>
      </c>
      <c r="AY71" s="5">
        <v>9</v>
      </c>
      <c r="AZ71" s="5">
        <v>5</v>
      </c>
      <c r="BA71" s="5">
        <v>7</v>
      </c>
      <c r="BB71" s="5"/>
      <c r="BC71" s="1">
        <f ca="1">OFFSET(A71,0, 5) -0</f>
        <v>35.148380691498915</v>
      </c>
      <c r="BD71" s="1">
        <f ca="1">OFFSET(A71,0, 8) -0</f>
        <v>-21.244304918426224</v>
      </c>
      <c r="BE71" s="1">
        <f ca="1">OFFSET(A71,0, 10) -0</f>
        <v>-2.172761991709649</v>
      </c>
      <c r="BF71" s="1">
        <f ca="1">OFFSET(A71,0, 4) -0</f>
        <v>-19.387390771859373</v>
      </c>
      <c r="BG71" s="1">
        <f ca="1">OFFSET(A71,0, 12) -0</f>
        <v>16.898780935006926</v>
      </c>
      <c r="BH71" s="1">
        <f ca="1">OFFSET(A71,0, 6) -0</f>
        <v>9.6841521548572018</v>
      </c>
      <c r="BI71" s="1">
        <f ca="1">OFFSET(A71,0, 11) -0</f>
        <v>72.363009471648638</v>
      </c>
      <c r="BJ71" s="1">
        <f ca="1">OFFSET(A71,0, 1) -0</f>
        <v>-32.994705161934235</v>
      </c>
      <c r="BK71" s="1">
        <f ca="1">OFFSET(A71,0, 9) -0</f>
        <v>-26.708533455067936</v>
      </c>
      <c r="BL71" s="1">
        <f ca="1">OFFSET(A71,0, 3) -0</f>
        <v>6.0768377647823399</v>
      </c>
      <c r="BM71" s="1">
        <f ca="1">OFFSET(A71,0, 7) -0</f>
        <v>-25.780076381784511</v>
      </c>
      <c r="BN71" s="1">
        <f ca="1">OFFSET(A71,0, 2) -0</f>
        <v>-18.458933698575947</v>
      </c>
      <c r="BO71" s="1">
        <f ca="1">OFFSET(A71,0, 16) -0</f>
        <v>25.041866788440075</v>
      </c>
      <c r="BP71" s="1">
        <f ca="1">OFFSET(A71,0, 19) -0</f>
        <v>8.6491811785149366</v>
      </c>
      <c r="BQ71" s="1">
        <f ca="1">OFFSET(A71,0, 21) -0</f>
        <v>-52.279275894768489</v>
      </c>
      <c r="BR71" s="1">
        <f ca="1">OFFSET(A71,0, 17) -0</f>
        <v>39.577638251798362</v>
      </c>
      <c r="BS71" s="1">
        <f ca="1">OFFSET(A71,0, 23) -0</f>
        <v>-53.207732968051914</v>
      </c>
      <c r="BT71" s="1">
        <f ca="1">OFFSET(A71,0, 18) -0</f>
        <v>54.113409715156649</v>
      </c>
      <c r="BU71" s="1">
        <f ca="1">OFFSET(A71,0, 24) -0</f>
        <v>21.328038495306373</v>
      </c>
      <c r="BV71" s="1">
        <f ca="1">OFFSET(A71,0, 14) -0</f>
        <v>35.9703238617235</v>
      </c>
      <c r="BW71" s="1">
        <f ca="1">OFFSET(A71,0, 22) -0</f>
        <v>-37.743504431410202</v>
      </c>
      <c r="BX71" s="1">
        <f ca="1">OFFSET(A71,0, 15) -0</f>
        <v>-19.493904674918213</v>
      </c>
      <c r="BY71" s="1">
        <f ca="1">OFFSET(A71,0, 20) -0</f>
        <v>-6.8150473581267761</v>
      </c>
      <c r="BZ71" s="1">
        <f ca="1">OFFSET(A71,0, 13) -0</f>
        <v>-8.5654476016347871</v>
      </c>
      <c r="CB71" s="1">
        <f>COUNTIF(B71,"&lt;-69")</f>
        <v>0</v>
      </c>
      <c r="CC71" s="1">
        <f ca="1">COUNTIF(BC71:BN71,"&lt;-49")</f>
        <v>0</v>
      </c>
      <c r="CD71" s="1">
        <f ca="1">COUNTIF(BC71:BN71,"&gt;+49")</f>
        <v>1</v>
      </c>
      <c r="CE71" s="1">
        <f ca="1">COUNTIF(BO71:BZ71,"&lt;-49")</f>
        <v>2</v>
      </c>
      <c r="CF71" s="1">
        <f ca="1">COUNTIF(BO71:BZ71,"&gt;+49")</f>
        <v>1</v>
      </c>
    </row>
    <row r="72" spans="1:84">
      <c r="A72" s="1">
        <v>69</v>
      </c>
      <c r="B72" s="1">
        <f>'Team A 1'!B72-'Team A 1'!$AA72-('Team A 1'!B$2- 12.5)*'Team A 1'!$AC72</f>
        <v>-5.9679811190253531</v>
      </c>
      <c r="C72" s="1">
        <f>'Team A 1'!C72-'Team A 1'!$AA72-('Team A 1'!C$2- 12.5)*'Team A 1'!$AC72</f>
        <v>-1.0649682680941623</v>
      </c>
      <c r="D72" s="1">
        <f>'Team A 1'!D72-'Team A 1'!$AA72-('Team A 1'!D$2- 12.5)*'Team A 1'!$AC72</f>
        <v>3.8380445828372558</v>
      </c>
      <c r="E72" s="1">
        <f>'Team A 1'!E72-'Team A 1'!$AA72-('Team A 1'!E$2- 12.5)*'Team A 1'!$AC72</f>
        <v>8.7410574337686739</v>
      </c>
      <c r="F72" s="1">
        <f>'Team A 1'!F72-'Team A 1'!$AA72-('Team A 1'!F$2- 12.5)*'Team A 1'!$AC72</f>
        <v>-6.3559297152996805</v>
      </c>
      <c r="G72" s="1">
        <f>'Team A 1'!G72-'Team A 1'!$AA72-('Team A 1'!G$2- 12.5)*'Team A 1'!$AC72</f>
        <v>68.547083135631738</v>
      </c>
      <c r="H72" s="1">
        <f>'Team A 1'!H72-'Team A 1'!$AA72-('Team A 1'!H$2- 12.5)*'Team A 1'!$AC72</f>
        <v>-6.5499040134368443</v>
      </c>
      <c r="I72" s="1">
        <f>'Team A 1'!I72-'Team A 1'!$AA72-('Team A 1'!I$2- 12.5)*'Team A 1'!$AC72</f>
        <v>-1.6468911625054261</v>
      </c>
      <c r="J72" s="1">
        <f>'Team A 1'!J72-'Team A 1'!$AA72-('Team A 1'!J$2- 12.5)*'Team A 1'!$AC72</f>
        <v>3.256121688425992</v>
      </c>
      <c r="K72" s="1">
        <f>'Team A 1'!K72-'Team A 1'!$AA72-('Team A 1'!K$2- 12.5)*'Team A 1'!$AC72</f>
        <v>-11.840865460642533</v>
      </c>
      <c r="L72" s="1">
        <f>'Team A 1'!L72-'Team A 1'!$AA72-('Team A 1'!L$2- 12.5)*'Team A 1'!$AC72</f>
        <v>3.0621473902888852</v>
      </c>
      <c r="M72" s="1">
        <f>'Team A 1'!M72-'Team A 1'!$AA72-('Team A 1'!M$2- 12.5)*'Team A 1'!$AC72</f>
        <v>27.965160241220346</v>
      </c>
      <c r="N72" s="1">
        <f>'Team A 1'!N72-'Team A 1'!$AA72-('Team A 1'!N$2- 12.5)*'Team A 1'!$AC72</f>
        <v>-17.131826907848207</v>
      </c>
      <c r="O72" s="1">
        <f>'Team A 1'!O72-'Team A 1'!$AA72-('Team A 1'!O$2- 12.5)*'Team A 1'!$AC72</f>
        <v>7.7711859430832533</v>
      </c>
      <c r="P72" s="1">
        <f>'Team A 1'!P72-'Team A 1'!$AA72-('Team A 1'!P$2- 12.5)*'Team A 1'!$AC72</f>
        <v>-17.325801205985329</v>
      </c>
      <c r="Q72" s="1">
        <f>'Team A 1'!Q72-'Team A 1'!$AA72-('Team A 1'!Q$2- 12.5)*'Team A 1'!$AC72</f>
        <v>37.577211644946146</v>
      </c>
      <c r="R72" s="1">
        <f>'Team A 1'!R72-'Team A 1'!$AA72-('Team A 1'!R$2- 12.5)*'Team A 1'!$AC72</f>
        <v>-17.519775504122435</v>
      </c>
      <c r="S72" s="1">
        <f>'Team A 1'!S72-'Team A 1'!$AA72-('Team A 1'!S$2- 12.5)*'Team A 1'!$AC72</f>
        <v>17.383237346808983</v>
      </c>
      <c r="T72" s="1">
        <f>'Team A 1'!T72-'Team A 1'!$AA72-('Team A 1'!T$2- 12.5)*'Team A 1'!$AC72</f>
        <v>-37.713749802259599</v>
      </c>
      <c r="U72" s="1">
        <f>'Team A 1'!U72-'Team A 1'!$AA72-('Team A 1'!U$2- 12.5)*'Team A 1'!$AC72</f>
        <v>-22.810736951328181</v>
      </c>
      <c r="V72" s="1">
        <f>'Team A 1'!V72-'Team A 1'!$AA72-('Team A 1'!V$2- 12.5)*'Team A 1'!$AC72</f>
        <v>2.0922758996034645</v>
      </c>
      <c r="W72" s="1">
        <f>'Team A 1'!W72-'Team A 1'!$AA72-('Team A 1'!W$2- 12.5)*'Team A 1'!$AC72</f>
        <v>6.9952887505348826</v>
      </c>
      <c r="X72" s="1">
        <f>'Team A 1'!X72-'Team A 1'!$AA72-('Team A 1'!X$2- 12.5)*'Team A 1'!$AC72</f>
        <v>-28.101698398533699</v>
      </c>
      <c r="Y72" s="1">
        <f>'Team A 1'!Y72-'Team A 1'!$AA72-('Team A 1'!Y$2- 12.5)*'Team A 1'!$AC72</f>
        <v>-13.198685547602508</v>
      </c>
      <c r="AB72" s="1">
        <f>STDEV(B72:Y72)</f>
        <v>22.350913344065255</v>
      </c>
      <c r="AD72" s="5">
        <v>8</v>
      </c>
      <c r="AE72" s="5" t="s">
        <v>47</v>
      </c>
      <c r="AF72" s="5">
        <v>1</v>
      </c>
      <c r="AG72" s="5" t="s">
        <v>45</v>
      </c>
      <c r="AH72" s="5">
        <v>6</v>
      </c>
      <c r="AI72" s="5">
        <v>4</v>
      </c>
      <c r="AJ72" s="5" t="s">
        <v>46</v>
      </c>
      <c r="AK72" s="5">
        <v>2</v>
      </c>
      <c r="AL72" s="5">
        <v>9</v>
      </c>
      <c r="AM72" s="5">
        <v>3</v>
      </c>
      <c r="AN72" s="5">
        <v>7</v>
      </c>
      <c r="AO72" s="5">
        <v>5</v>
      </c>
      <c r="AP72" s="5">
        <v>8</v>
      </c>
      <c r="AQ72" s="5" t="s">
        <v>47</v>
      </c>
      <c r="AR72" s="5" t="s">
        <v>45</v>
      </c>
      <c r="AS72" s="5">
        <v>1</v>
      </c>
      <c r="AT72" s="5">
        <v>6</v>
      </c>
      <c r="AU72" s="5" t="s">
        <v>46</v>
      </c>
      <c r="AV72" s="5">
        <v>4</v>
      </c>
      <c r="AW72" s="5">
        <v>9</v>
      </c>
      <c r="AX72" s="5">
        <v>2</v>
      </c>
      <c r="AY72" s="5">
        <v>7</v>
      </c>
      <c r="AZ72" s="5">
        <v>3</v>
      </c>
      <c r="BA72" s="5">
        <v>5</v>
      </c>
      <c r="BB72" s="5"/>
      <c r="BC72" s="1">
        <f ca="1">OFFSET(A72,0, 3) -0</f>
        <v>3.8380445828372558</v>
      </c>
      <c r="BD72" s="1">
        <f ca="1">OFFSET(A72,0, 8) -0</f>
        <v>-1.6468911625054261</v>
      </c>
      <c r="BE72" s="1">
        <f ca="1">OFFSET(A72,0, 10) -0</f>
        <v>-11.840865460642533</v>
      </c>
      <c r="BF72" s="1">
        <f ca="1">OFFSET(A72,0, 6) -0</f>
        <v>68.547083135631738</v>
      </c>
      <c r="BG72" s="1">
        <f ca="1">OFFSET(A72,0, 12) -0</f>
        <v>27.965160241220346</v>
      </c>
      <c r="BH72" s="1">
        <f ca="1">OFFSET(A72,0, 5) -0</f>
        <v>-6.3559297152996805</v>
      </c>
      <c r="BI72" s="1">
        <f ca="1">OFFSET(A72,0, 11) -0</f>
        <v>3.0621473902888852</v>
      </c>
      <c r="BJ72" s="1">
        <f ca="1">OFFSET(A72,0, 1) -0</f>
        <v>-5.9679811190253531</v>
      </c>
      <c r="BK72" s="1">
        <f ca="1">OFFSET(A72,0, 9) -0</f>
        <v>3.256121688425992</v>
      </c>
      <c r="BL72" s="1">
        <f ca="1">OFFSET(A72,0, 4) -0</f>
        <v>8.7410574337686739</v>
      </c>
      <c r="BM72" s="1">
        <f ca="1">OFFSET(A72,0, 7) -0</f>
        <v>-6.5499040134368443</v>
      </c>
      <c r="BN72" s="1">
        <f ca="1">OFFSET(A72,0, 2) -0</f>
        <v>-1.0649682680941623</v>
      </c>
      <c r="BO72" s="1">
        <f ca="1">OFFSET(A72,0, 16) -0</f>
        <v>37.577211644946146</v>
      </c>
      <c r="BP72" s="1">
        <f ca="1">OFFSET(A72,0, 21) -0</f>
        <v>2.0922758996034645</v>
      </c>
      <c r="BQ72" s="1">
        <f ca="1">OFFSET(A72,0, 23) -0</f>
        <v>-28.101698398533699</v>
      </c>
      <c r="BR72" s="1">
        <f ca="1">OFFSET(A72,0, 19) -0</f>
        <v>-37.713749802259599</v>
      </c>
      <c r="BS72" s="1">
        <f ca="1">OFFSET(A72,0, 24) -0</f>
        <v>-13.198685547602508</v>
      </c>
      <c r="BT72" s="1">
        <f ca="1">OFFSET(A72,0, 17) -0</f>
        <v>-17.519775504122435</v>
      </c>
      <c r="BU72" s="1">
        <f ca="1">OFFSET(A72,0, 22) -0</f>
        <v>6.9952887505348826</v>
      </c>
      <c r="BV72" s="1">
        <f ca="1">OFFSET(A72,0, 13) -0</f>
        <v>-17.131826907848207</v>
      </c>
      <c r="BW72" s="1">
        <f ca="1">OFFSET(A72,0, 20) -0</f>
        <v>-22.810736951328181</v>
      </c>
      <c r="BX72" s="1">
        <f ca="1">OFFSET(A72,0, 15) -0</f>
        <v>-17.325801205985329</v>
      </c>
      <c r="BY72" s="1">
        <f ca="1">OFFSET(A72,0, 18) -0</f>
        <v>17.383237346808983</v>
      </c>
      <c r="BZ72" s="1">
        <f ca="1">OFFSET(A72,0, 14) -0</f>
        <v>7.7711859430832533</v>
      </c>
      <c r="CB72" s="1">
        <f>COUNTIF(B72,"&lt;-69")</f>
        <v>0</v>
      </c>
      <c r="CC72" s="1">
        <f ca="1">COUNTIF(BC72:BN72,"&lt;-49")</f>
        <v>0</v>
      </c>
      <c r="CD72" s="1">
        <f ca="1">COUNTIF(BC72:BN72,"&gt;+49")</f>
        <v>1</v>
      </c>
      <c r="CE72" s="1">
        <f ca="1">COUNTIF(BO72:BZ72,"&lt;-49")</f>
        <v>0</v>
      </c>
      <c r="CF72" s="1">
        <f ca="1">COUNTIF(BO72:BZ72,"&gt;+49")</f>
        <v>0</v>
      </c>
    </row>
    <row r="73" spans="1:84">
      <c r="A73" s="1">
        <v>70</v>
      </c>
      <c r="B73" s="1">
        <f>'Team A 1'!B73-'Team A 1'!$AA73-('Team A 1'!B$2- 12.5)*'Team A 1'!$AC73</f>
        <v>37.535656423287946</v>
      </c>
      <c r="C73" s="1">
        <f>'Team A 1'!C73-'Team A 1'!$AA73-('Team A 1'!C$2- 12.5)*'Team A 1'!$AC73</f>
        <v>-7.0688934106231045</v>
      </c>
      <c r="D73" s="1">
        <f>'Team A 1'!D73-'Team A 1'!$AA73-('Team A 1'!D$2- 12.5)*'Team A 1'!$AC73</f>
        <v>18.326556755466299</v>
      </c>
      <c r="E73" s="1">
        <f>'Team A 1'!E73-'Team A 1'!$AA73-('Team A 1'!E$2- 12.5)*'Team A 1'!$AC73</f>
        <v>-16.277993078444524</v>
      </c>
      <c r="F73" s="1">
        <f>'Team A 1'!F73-'Team A 1'!$AA73-('Team A 1'!F$2- 12.5)*'Team A 1'!$AC73</f>
        <v>9.1174570876446523</v>
      </c>
      <c r="G73" s="1">
        <f>'Team A 1'!G73-'Team A 1'!$AA73-('Team A 1'!G$2- 12.5)*'Team A 1'!$AC73</f>
        <v>-35.487092746266171</v>
      </c>
      <c r="H73" s="1">
        <f>'Team A 1'!H73-'Team A 1'!$AA73-('Team A 1'!H$2- 12.5)*'Team A 1'!$AC73</f>
        <v>-40.091642580176767</v>
      </c>
      <c r="I73" s="1">
        <f>'Team A 1'!I73-'Team A 1'!$AA73-('Team A 1'!I$2- 12.5)*'Team A 1'!$AC73</f>
        <v>5.3038075859124092</v>
      </c>
      <c r="J73" s="1">
        <f>'Team A 1'!J73-'Team A 1'!$AA73-('Team A 1'!J$2- 12.5)*'Team A 1'!$AC73</f>
        <v>30.699257752001586</v>
      </c>
      <c r="K73" s="1">
        <f>'Team A 1'!K73-'Team A 1'!$AA73-('Team A 1'!K$2- 12.5)*'Team A 1'!$AC73</f>
        <v>26.094707918090876</v>
      </c>
      <c r="L73" s="1">
        <f>'Team A 1'!L73-'Team A 1'!$AA73-('Team A 1'!L$2- 12.5)*'Team A 1'!$AC73</f>
        <v>11.490158084180052</v>
      </c>
      <c r="M73" s="1">
        <f>'Team A 1'!M73-'Team A 1'!$AA73-('Team A 1'!M$2- 12.5)*'Team A 1'!$AC73</f>
        <v>-3.1143917497306859</v>
      </c>
      <c r="N73" s="1">
        <f>'Team A 1'!N73-'Team A 1'!$AA73-('Team A 1'!N$2- 12.5)*'Team A 1'!$AC73</f>
        <v>22.281058416358547</v>
      </c>
      <c r="O73" s="1">
        <f>'Team A 1'!O73-'Team A 1'!$AA73-('Team A 1'!O$2- 12.5)*'Team A 1'!$AC73</f>
        <v>57.676508582447809</v>
      </c>
      <c r="P73" s="1">
        <f>'Team A 1'!P73-'Team A 1'!$AA73-('Team A 1'!P$2- 12.5)*'Team A 1'!$AC73</f>
        <v>3.0719587485369857</v>
      </c>
      <c r="Q73" s="1">
        <f>'Team A 1'!Q73-'Team A 1'!$AA73-('Team A 1'!Q$2- 12.5)*'Team A 1'!$AC73</f>
        <v>-21.532591085373724</v>
      </c>
      <c r="R73" s="1">
        <f>'Team A 1'!R73-'Team A 1'!$AA73-('Team A 1'!R$2- 12.5)*'Team A 1'!$AC73</f>
        <v>13.862859080715452</v>
      </c>
      <c r="S73" s="1">
        <f>'Team A 1'!S73-'Team A 1'!$AA73-('Team A 1'!S$2- 12.5)*'Team A 1'!$AC73</f>
        <v>-0.74169075319537114</v>
      </c>
      <c r="T73" s="1">
        <f>'Team A 1'!T73-'Team A 1'!$AA73-('Team A 1'!T$2- 12.5)*'Team A 1'!$AC73</f>
        <v>-45.346240587105967</v>
      </c>
      <c r="U73" s="1">
        <f>'Team A 1'!U73-'Team A 1'!$AA73-('Team A 1'!U$2- 12.5)*'Team A 1'!$AC73</f>
        <v>-29.950790421016791</v>
      </c>
      <c r="V73" s="1">
        <f>'Team A 1'!V73-'Team A 1'!$AA73-('Team A 1'!V$2- 12.5)*'Team A 1'!$AC73</f>
        <v>-14.555340254927614</v>
      </c>
      <c r="W73" s="1">
        <f>'Team A 1'!W73-'Team A 1'!$AA73-('Team A 1'!W$2- 12.5)*'Team A 1'!$AC73</f>
        <v>0.8401099111615622</v>
      </c>
      <c r="X73" s="1">
        <f>'Team A 1'!X73-'Team A 1'!$AA73-('Team A 1'!X$2- 12.5)*'Team A 1'!$AC73</f>
        <v>-3.7644399227490339</v>
      </c>
      <c r="Y73" s="1">
        <f>'Team A 1'!Y73-'Team A 1'!$AA73-('Team A 1'!Y$2- 12.5)*'Team A 1'!$AC73</f>
        <v>-18.368989756660085</v>
      </c>
      <c r="AB73" s="1">
        <f>STDEV(B73:Y73)</f>
        <v>25.374664960143345</v>
      </c>
      <c r="AD73" s="5" t="s">
        <v>47</v>
      </c>
      <c r="AE73" s="5">
        <v>8</v>
      </c>
      <c r="AF73" s="5">
        <v>1</v>
      </c>
      <c r="AG73" s="5" t="s">
        <v>45</v>
      </c>
      <c r="AH73" s="5" t="s">
        <v>46</v>
      </c>
      <c r="AI73" s="5">
        <v>6</v>
      </c>
      <c r="AJ73" s="5">
        <v>9</v>
      </c>
      <c r="AK73" s="5">
        <v>4</v>
      </c>
      <c r="AL73" s="5">
        <v>7</v>
      </c>
      <c r="AM73" s="5">
        <v>2</v>
      </c>
      <c r="AN73" s="5">
        <v>5</v>
      </c>
      <c r="AO73" s="5">
        <v>3</v>
      </c>
      <c r="AP73" s="5" t="s">
        <v>47</v>
      </c>
      <c r="AQ73" s="5">
        <v>1</v>
      </c>
      <c r="AR73" s="5">
        <v>8</v>
      </c>
      <c r="AS73" s="5" t="s">
        <v>45</v>
      </c>
      <c r="AT73" s="5">
        <v>6</v>
      </c>
      <c r="AU73" s="5" t="s">
        <v>46</v>
      </c>
      <c r="AV73" s="5">
        <v>4</v>
      </c>
      <c r="AW73" s="5">
        <v>9</v>
      </c>
      <c r="AX73" s="5">
        <v>2</v>
      </c>
      <c r="AY73" s="5">
        <v>7</v>
      </c>
      <c r="AZ73" s="5">
        <v>3</v>
      </c>
      <c r="BA73" s="5">
        <v>5</v>
      </c>
      <c r="BB73" s="5"/>
      <c r="BC73" s="1">
        <f ca="1">OFFSET(A73,0, 3) -0</f>
        <v>18.326556755466299</v>
      </c>
      <c r="BD73" s="1">
        <f ca="1">OFFSET(A73,0, 10) -0</f>
        <v>26.094707918090876</v>
      </c>
      <c r="BE73" s="1">
        <f ca="1">OFFSET(A73,0, 12) -0</f>
        <v>-3.1143917497306859</v>
      </c>
      <c r="BF73" s="1">
        <f ca="1">OFFSET(A73,0, 8) -0</f>
        <v>5.3038075859124092</v>
      </c>
      <c r="BG73" s="1">
        <f ca="1">OFFSET(A73,0, 11) -0</f>
        <v>11.490158084180052</v>
      </c>
      <c r="BH73" s="1">
        <f ca="1">OFFSET(A73,0, 6) -0</f>
        <v>-35.487092746266171</v>
      </c>
      <c r="BI73" s="1">
        <f ca="1">OFFSET(A73,0, 9) -0</f>
        <v>30.699257752001586</v>
      </c>
      <c r="BJ73" s="1">
        <f ca="1">OFFSET(A73,0, 2) -0</f>
        <v>-7.0688934106231045</v>
      </c>
      <c r="BK73" s="1">
        <f ca="1">OFFSET(A73,0, 7) -0</f>
        <v>-40.091642580176767</v>
      </c>
      <c r="BL73" s="1">
        <f ca="1">OFFSET(A73,0, 4) -0</f>
        <v>-16.277993078444524</v>
      </c>
      <c r="BM73" s="1">
        <f ca="1">OFFSET(A73,0, 5) -0</f>
        <v>9.1174570876446523</v>
      </c>
      <c r="BN73" s="1">
        <f ca="1">OFFSET(A73,0, 1) -0</f>
        <v>37.535656423287946</v>
      </c>
      <c r="BO73" s="1">
        <f ca="1">OFFSET(A73,0, 14) -0</f>
        <v>57.676508582447809</v>
      </c>
      <c r="BP73" s="1">
        <f ca="1">OFFSET(A73,0, 21) -0</f>
        <v>-14.555340254927614</v>
      </c>
      <c r="BQ73" s="1">
        <f ca="1">OFFSET(A73,0, 23) -0</f>
        <v>-3.7644399227490339</v>
      </c>
      <c r="BR73" s="1">
        <f ca="1">OFFSET(A73,0, 19) -0</f>
        <v>-45.346240587105967</v>
      </c>
      <c r="BS73" s="1">
        <f ca="1">OFFSET(A73,0, 24) -0</f>
        <v>-18.368989756660085</v>
      </c>
      <c r="BT73" s="1">
        <f ca="1">OFFSET(A73,0, 17) -0</f>
        <v>13.862859080715452</v>
      </c>
      <c r="BU73" s="1">
        <f ca="1">OFFSET(A73,0, 22) -0</f>
        <v>0.8401099111615622</v>
      </c>
      <c r="BV73" s="1">
        <f ca="1">OFFSET(A73,0, 15) -0</f>
        <v>3.0719587485369857</v>
      </c>
      <c r="BW73" s="1">
        <f ca="1">OFFSET(A73,0, 20) -0</f>
        <v>-29.950790421016791</v>
      </c>
      <c r="BX73" s="1">
        <f ca="1">OFFSET(A73,0, 16) -0</f>
        <v>-21.532591085373724</v>
      </c>
      <c r="BY73" s="1">
        <f ca="1">OFFSET(A73,0, 18) -0</f>
        <v>-0.74169075319537114</v>
      </c>
      <c r="BZ73" s="1">
        <f ca="1">OFFSET(A73,0, 13) -0</f>
        <v>22.281058416358547</v>
      </c>
      <c r="CB73" s="1">
        <f>COUNTIF(B73,"&lt;-69")</f>
        <v>0</v>
      </c>
      <c r="CC73" s="1">
        <f ca="1">COUNTIF(BC73:BN73,"&lt;-49")</f>
        <v>0</v>
      </c>
      <c r="CD73" s="1">
        <f ca="1">COUNTIF(BC73:BN73,"&gt;+49")</f>
        <v>0</v>
      </c>
      <c r="CE73" s="1">
        <f ca="1">COUNTIF(BO73:BZ73,"&lt;-49")</f>
        <v>0</v>
      </c>
      <c r="CF73" s="1">
        <f ca="1">COUNTIF(BO73:BZ73,"&gt;+49")</f>
        <v>1</v>
      </c>
    </row>
    <row r="74" spans="1:84">
      <c r="A74" s="1">
        <v>71</v>
      </c>
      <c r="B74" s="1">
        <f>'Team A 1'!B74-'Team A 1'!$AA74-('Team A 1'!B$2- 12.5)*'Team A 1'!$AC74</f>
        <v>27.705960632345523</v>
      </c>
      <c r="C74" s="1">
        <f>'Team A 1'!C74-'Team A 1'!$AA74-('Team A 1'!C$2- 12.5)*'Team A 1'!$AC74</f>
        <v>53.593848113592458</v>
      </c>
      <c r="D74" s="1">
        <f>'Team A 1'!D74-'Team A 1'!$AA74-('Team A 1'!D$2- 12.5)*'Team A 1'!$AC74</f>
        <v>29.481735594839392</v>
      </c>
      <c r="E74" s="1">
        <f>'Team A 1'!E74-'Team A 1'!$AA74-('Team A 1'!E$2- 12.5)*'Team A 1'!$AC74</f>
        <v>5.3696230760863273</v>
      </c>
      <c r="F74" s="1">
        <f>'Team A 1'!F74-'Team A 1'!$AA74-('Team A 1'!F$2- 12.5)*'Team A 1'!$AC74</f>
        <v>-8.7424894426665105</v>
      </c>
      <c r="G74" s="1">
        <f>'Team A 1'!G74-'Team A 1'!$AA74-('Team A 1'!G$2- 12.5)*'Team A 1'!$AC74</f>
        <v>17.145398038580424</v>
      </c>
      <c r="H74" s="1">
        <f>'Team A 1'!H74-'Team A 1'!$AA74-('Team A 1'!H$2- 12.5)*'Team A 1'!$AC74</f>
        <v>-16.966714480172641</v>
      </c>
      <c r="I74" s="1">
        <f>'Team A 1'!I74-'Team A 1'!$AA74-('Team A 1'!I$2- 12.5)*'Team A 1'!$AC74</f>
        <v>-71.078826998925479</v>
      </c>
      <c r="J74" s="1">
        <f>'Team A 1'!J74-'Team A 1'!$AA74-('Team A 1'!J$2- 12.5)*'Team A 1'!$AC74</f>
        <v>4.8090604823214562</v>
      </c>
      <c r="K74" s="1">
        <f>'Team A 1'!K74-'Team A 1'!$AA74-('Team A 1'!K$2- 12.5)*'Team A 1'!$AC74</f>
        <v>0.69694796356850475</v>
      </c>
      <c r="L74" s="1">
        <f>'Team A 1'!L74-'Team A 1'!$AA74-('Team A 1'!L$2- 12.5)*'Team A 1'!$AC74</f>
        <v>-33.415164555184447</v>
      </c>
      <c r="M74" s="1">
        <f>'Team A 1'!M74-'Team A 1'!$AA74-('Team A 1'!M$2- 12.5)*'Team A 1'!$AC74</f>
        <v>-27.527277073937441</v>
      </c>
      <c r="N74" s="1">
        <f>'Team A 1'!N74-'Team A 1'!$AA74-('Team A 1'!N$2- 12.5)*'Team A 1'!$AC74</f>
        <v>8.3606104073095793</v>
      </c>
      <c r="O74" s="1">
        <f>'Team A 1'!O74-'Team A 1'!$AA74-('Team A 1'!O$2- 12.5)*'Team A 1'!$AC74</f>
        <v>24.248497888556585</v>
      </c>
      <c r="P74" s="1">
        <f>'Team A 1'!P74-'Team A 1'!$AA74-('Team A 1'!P$2- 12.5)*'Team A 1'!$AC74</f>
        <v>-9.8636146301963663</v>
      </c>
      <c r="Q74" s="1">
        <f>'Team A 1'!Q74-'Team A 1'!$AA74-('Team A 1'!Q$2- 12.5)*'Team A 1'!$AC74</f>
        <v>26.024272851050682</v>
      </c>
      <c r="R74" s="1">
        <f>'Team A 1'!R74-'Team A 1'!$AA74-('Team A 1'!R$2- 12.5)*'Team A 1'!$AC74</f>
        <v>1.9121603322976171</v>
      </c>
      <c r="S74" s="1">
        <f>'Team A 1'!S74-'Team A 1'!$AA74-('Team A 1'!S$2- 12.5)*'Team A 1'!$AC74</f>
        <v>-2.1999521864552207</v>
      </c>
      <c r="T74" s="1">
        <f>'Team A 1'!T74-'Team A 1'!$AA74-('Team A 1'!T$2- 12.5)*'Team A 1'!$AC74</f>
        <v>-16.312064705208286</v>
      </c>
      <c r="U74" s="1">
        <f>'Team A 1'!U74-'Team A 1'!$AA74-('Team A 1'!U$2- 12.5)*'Team A 1'!$AC74</f>
        <v>19.575822776038649</v>
      </c>
      <c r="V74" s="1">
        <f>'Team A 1'!V74-'Team A 1'!$AA74-('Team A 1'!V$2- 12.5)*'Team A 1'!$AC74</f>
        <v>5.4637102572858112</v>
      </c>
      <c r="W74" s="1">
        <f>'Team A 1'!W74-'Team A 1'!$AA74-('Team A 1'!W$2- 12.5)*'Team A 1'!$AC74</f>
        <v>-38.648402261467254</v>
      </c>
      <c r="X74" s="1">
        <f>'Team A 1'!X74-'Team A 1'!$AA74-('Team A 1'!X$2- 12.5)*'Team A 1'!$AC74</f>
        <v>-2.7605147802203192</v>
      </c>
      <c r="Y74" s="1">
        <f>'Team A 1'!Y74-'Team A 1'!$AA74-('Team A 1'!Y$2- 12.5)*'Team A 1'!$AC74</f>
        <v>3.1273727010266157</v>
      </c>
      <c r="AB74" s="1">
        <f>STDEV(B74:Y74)</f>
        <v>26.19119984887152</v>
      </c>
      <c r="AD74" s="5">
        <v>1</v>
      </c>
      <c r="AE74" s="5" t="s">
        <v>47</v>
      </c>
      <c r="AF74" s="5" t="s">
        <v>45</v>
      </c>
      <c r="AG74" s="5">
        <v>8</v>
      </c>
      <c r="AH74" s="5" t="s">
        <v>46</v>
      </c>
      <c r="AI74" s="5">
        <v>6</v>
      </c>
      <c r="AJ74" s="5">
        <v>9</v>
      </c>
      <c r="AK74" s="5">
        <v>4</v>
      </c>
      <c r="AL74" s="5">
        <v>7</v>
      </c>
      <c r="AM74" s="5">
        <v>2</v>
      </c>
      <c r="AN74" s="5">
        <v>5</v>
      </c>
      <c r="AO74" s="5">
        <v>3</v>
      </c>
      <c r="AP74" s="5" t="s">
        <v>47</v>
      </c>
      <c r="AQ74" s="5">
        <v>1</v>
      </c>
      <c r="AR74" s="5" t="s">
        <v>45</v>
      </c>
      <c r="AS74" s="5" t="s">
        <v>46</v>
      </c>
      <c r="AT74" s="5">
        <v>8</v>
      </c>
      <c r="AU74" s="5">
        <v>9</v>
      </c>
      <c r="AV74" s="5">
        <v>6</v>
      </c>
      <c r="AW74" s="5">
        <v>7</v>
      </c>
      <c r="AX74" s="5">
        <v>4</v>
      </c>
      <c r="AY74" s="5">
        <v>5</v>
      </c>
      <c r="AZ74" s="5">
        <v>2</v>
      </c>
      <c r="BA74" s="5">
        <v>3</v>
      </c>
      <c r="BB74" s="5"/>
      <c r="BC74" s="1">
        <f ca="1">OFFSET(A74,0, 1) -0</f>
        <v>27.705960632345523</v>
      </c>
      <c r="BD74" s="1">
        <f ca="1">OFFSET(A74,0, 10) -0</f>
        <v>0.69694796356850475</v>
      </c>
      <c r="BE74" s="1">
        <f ca="1">OFFSET(A74,0, 12) -0</f>
        <v>-27.527277073937441</v>
      </c>
      <c r="BF74" s="1">
        <f ca="1">OFFSET(A74,0, 8) -0</f>
        <v>-71.078826998925479</v>
      </c>
      <c r="BG74" s="1">
        <f ca="1">OFFSET(A74,0, 11) -0</f>
        <v>-33.415164555184447</v>
      </c>
      <c r="BH74" s="1">
        <f ca="1">OFFSET(A74,0, 6) -0</f>
        <v>17.145398038580424</v>
      </c>
      <c r="BI74" s="1">
        <f ca="1">OFFSET(A74,0, 9) -0</f>
        <v>4.8090604823214562</v>
      </c>
      <c r="BJ74" s="1">
        <f ca="1">OFFSET(A74,0, 4) -0</f>
        <v>5.3696230760863273</v>
      </c>
      <c r="BK74" s="1">
        <f ca="1">OFFSET(A74,0, 7) -0</f>
        <v>-16.966714480172641</v>
      </c>
      <c r="BL74" s="1">
        <f ca="1">OFFSET(A74,0, 3) -0</f>
        <v>29.481735594839392</v>
      </c>
      <c r="BM74" s="1">
        <f ca="1">OFFSET(A74,0, 5) -0</f>
        <v>-8.7424894426665105</v>
      </c>
      <c r="BN74" s="1">
        <f ca="1">OFFSET(A74,0, 2) -0</f>
        <v>53.593848113592458</v>
      </c>
      <c r="BO74" s="1">
        <f ca="1">OFFSET(A74,0, 14) -0</f>
        <v>24.248497888556585</v>
      </c>
      <c r="BP74" s="1">
        <f ca="1">OFFSET(A74,0, 23) -0</f>
        <v>-2.7605147802203192</v>
      </c>
      <c r="BQ74" s="1">
        <f ca="1">OFFSET(A74,0, 24) -0</f>
        <v>3.1273727010266157</v>
      </c>
      <c r="BR74" s="1">
        <f ca="1">OFFSET(A74,0, 21) -0</f>
        <v>5.4637102572858112</v>
      </c>
      <c r="BS74" s="1">
        <f ca="1">OFFSET(A74,0, 22) -0</f>
        <v>-38.648402261467254</v>
      </c>
      <c r="BT74" s="1">
        <f ca="1">OFFSET(A74,0, 19) -0</f>
        <v>-16.312064705208286</v>
      </c>
      <c r="BU74" s="1">
        <f ca="1">OFFSET(A74,0, 20) -0</f>
        <v>19.575822776038649</v>
      </c>
      <c r="BV74" s="1">
        <f ca="1">OFFSET(A74,0, 17) -0</f>
        <v>1.9121603322976171</v>
      </c>
      <c r="BW74" s="1">
        <f ca="1">OFFSET(A74,0, 18) -0</f>
        <v>-2.1999521864552207</v>
      </c>
      <c r="BX74" s="1">
        <f ca="1">OFFSET(A74,0, 15) -0</f>
        <v>-9.8636146301963663</v>
      </c>
      <c r="BY74" s="1">
        <f ca="1">OFFSET(A74,0, 16) -0</f>
        <v>26.024272851050682</v>
      </c>
      <c r="BZ74" s="1">
        <f ca="1">OFFSET(A74,0, 13) -0</f>
        <v>8.3606104073095793</v>
      </c>
      <c r="CB74" s="1">
        <f>COUNTIF(B74,"&lt;-69")</f>
        <v>0</v>
      </c>
      <c r="CC74" s="1">
        <f ca="1">COUNTIF(BC74:BN74,"&lt;-49")</f>
        <v>1</v>
      </c>
      <c r="CD74" s="1">
        <f ca="1">COUNTIF(BC74:BN74,"&gt;+49")</f>
        <v>1</v>
      </c>
      <c r="CE74" s="1">
        <f ca="1">COUNTIF(BO74:BZ74,"&lt;-49")</f>
        <v>0</v>
      </c>
      <c r="CF74" s="1">
        <f ca="1">COUNTIF(BO74:BZ74,"&gt;+49")</f>
        <v>0</v>
      </c>
    </row>
    <row r="75" spans="1:84">
      <c r="A75" s="1">
        <v>72</v>
      </c>
      <c r="B75" s="1">
        <f>'Team A 1'!B75-'Team A 1'!$AA75-('Team A 1'!B$2- 12.5)*'Team A 1'!$AC75</f>
        <v>17.040717586285609</v>
      </c>
      <c r="C75" s="1">
        <f>'Team A 1'!C75-'Team A 1'!$AA75-('Team A 1'!C$2- 12.5)*'Team A 1'!$AC75</f>
        <v>13.312539245450807</v>
      </c>
      <c r="D75" s="1">
        <f>'Team A 1'!D75-'Team A 1'!$AA75-('Team A 1'!D$2- 12.5)*'Team A 1'!$AC75</f>
        <v>-20.415639095383767</v>
      </c>
      <c r="E75" s="1">
        <f>'Team A 1'!E75-'Team A 1'!$AA75-('Team A 1'!E$2- 12.5)*'Team A 1'!$AC75</f>
        <v>15.856182563781431</v>
      </c>
      <c r="F75" s="1">
        <f>'Team A 1'!F75-'Team A 1'!$AA75-('Team A 1'!F$2- 12.5)*'Team A 1'!$AC75</f>
        <v>-27.871995777053371</v>
      </c>
      <c r="G75" s="1">
        <f>'Team A 1'!G75-'Team A 1'!$AA75-('Team A 1'!G$2- 12.5)*'Team A 1'!$AC75</f>
        <v>-21.600174117888173</v>
      </c>
      <c r="H75" s="1">
        <f>'Team A 1'!H75-'Team A 1'!$AA75-('Team A 1'!H$2- 12.5)*'Team A 1'!$AC75</f>
        <v>-15.328352458722748</v>
      </c>
      <c r="I75" s="1">
        <f>'Team A 1'!I75-'Team A 1'!$AA75-('Team A 1'!I$2- 12.5)*'Team A 1'!$AC75</f>
        <v>50.943469200442451</v>
      </c>
      <c r="J75" s="1">
        <f>'Team A 1'!J75-'Team A 1'!$AA75-('Team A 1'!J$2- 12.5)*'Team A 1'!$AC75</f>
        <v>27.215290859607649</v>
      </c>
      <c r="K75" s="1">
        <f>'Team A 1'!K75-'Team A 1'!$AA75-('Team A 1'!K$2- 12.5)*'Team A 1'!$AC75</f>
        <v>23.48711251877296</v>
      </c>
      <c r="L75" s="1">
        <f>'Team A 1'!L75-'Team A 1'!$AA75-('Team A 1'!L$2- 12.5)*'Team A 1'!$AC75</f>
        <v>-0.24106582206184157</v>
      </c>
      <c r="M75" s="1">
        <f>'Team A 1'!M75-'Team A 1'!$AA75-('Team A 1'!M$2- 12.5)*'Team A 1'!$AC75</f>
        <v>-13.969244162896558</v>
      </c>
      <c r="N75" s="1">
        <f>'Team A 1'!N75-'Team A 1'!$AA75-('Team A 1'!N$2- 12.5)*'Team A 1'!$AC75</f>
        <v>32.302577496268697</v>
      </c>
      <c r="O75" s="1">
        <f>'Team A 1'!O75-'Team A 1'!$AA75-('Team A 1'!O$2- 12.5)*'Team A 1'!$AC75</f>
        <v>-1.42560084456602</v>
      </c>
      <c r="P75" s="1">
        <f>'Team A 1'!P75-'Team A 1'!$AA75-('Team A 1'!P$2- 12.5)*'Team A 1'!$AC75</f>
        <v>-45.153779185400822</v>
      </c>
      <c r="Q75" s="1">
        <f>'Team A 1'!Q75-'Team A 1'!$AA75-('Team A 1'!Q$2- 12.5)*'Team A 1'!$AC75</f>
        <v>1.1180424737644898</v>
      </c>
      <c r="R75" s="1">
        <f>'Team A 1'!R75-'Team A 1'!$AA75-('Team A 1'!R$2- 12.5)*'Team A 1'!$AC75</f>
        <v>-42.610135867070312</v>
      </c>
      <c r="S75" s="1">
        <f>'Team A 1'!S75-'Team A 1'!$AA75-('Team A 1'!S$2- 12.5)*'Team A 1'!$AC75</f>
        <v>-36.338314207905114</v>
      </c>
      <c r="T75" s="1">
        <f>'Team A 1'!T75-'Team A 1'!$AA75-('Team A 1'!T$2- 12.5)*'Team A 1'!$AC75</f>
        <v>29.933507451260311</v>
      </c>
      <c r="U75" s="1">
        <f>'Team A 1'!U75-'Team A 1'!$AA75-('Team A 1'!U$2- 12.5)*'Team A 1'!$AC75</f>
        <v>36.205329110425509</v>
      </c>
      <c r="V75" s="1">
        <f>'Team A 1'!V75-'Team A 1'!$AA75-('Team A 1'!V$2- 12.5)*'Team A 1'!$AC75</f>
        <v>-7.5228492304092924</v>
      </c>
      <c r="W75" s="1">
        <f>'Team A 1'!W75-'Team A 1'!$AA75-('Team A 1'!W$2- 12.5)*'Team A 1'!$AC75</f>
        <v>-31.251027571244094</v>
      </c>
      <c r="X75" s="1">
        <f>'Team A 1'!X75-'Team A 1'!$AA75-('Team A 1'!X$2- 12.5)*'Team A 1'!$AC75</f>
        <v>5.0207940879213311</v>
      </c>
      <c r="Y75" s="1">
        <f>'Team A 1'!Y75-'Team A 1'!$AA75-('Team A 1'!Y$2- 12.5)*'Team A 1'!$AC75</f>
        <v>11.292615747086529</v>
      </c>
      <c r="AB75" s="1">
        <f>STDEV(B75:Y75)</f>
        <v>26.630681698324668</v>
      </c>
      <c r="AD75" s="5">
        <v>1</v>
      </c>
      <c r="AE75" s="5" t="s">
        <v>47</v>
      </c>
      <c r="AF75" s="5" t="s">
        <v>46</v>
      </c>
      <c r="AG75" s="5" t="s">
        <v>45</v>
      </c>
      <c r="AH75" s="5">
        <v>9</v>
      </c>
      <c r="AI75" s="5">
        <v>8</v>
      </c>
      <c r="AJ75" s="5">
        <v>7</v>
      </c>
      <c r="AK75" s="5">
        <v>6</v>
      </c>
      <c r="AL75" s="5">
        <v>5</v>
      </c>
      <c r="AM75" s="5">
        <v>4</v>
      </c>
      <c r="AN75" s="5">
        <v>3</v>
      </c>
      <c r="AO75" s="5">
        <v>2</v>
      </c>
      <c r="AP75" s="5">
        <v>1</v>
      </c>
      <c r="AQ75" s="5" t="s">
        <v>47</v>
      </c>
      <c r="AR75" s="5" t="s">
        <v>45</v>
      </c>
      <c r="AS75" s="5" t="s">
        <v>46</v>
      </c>
      <c r="AT75" s="5">
        <v>8</v>
      </c>
      <c r="AU75" s="5">
        <v>9</v>
      </c>
      <c r="AV75" s="5">
        <v>6</v>
      </c>
      <c r="AW75" s="5">
        <v>7</v>
      </c>
      <c r="AX75" s="5">
        <v>4</v>
      </c>
      <c r="AY75" s="5">
        <v>5</v>
      </c>
      <c r="AZ75" s="5">
        <v>2</v>
      </c>
      <c r="BA75" s="5">
        <v>3</v>
      </c>
      <c r="BB75" s="5"/>
      <c r="BC75" s="1">
        <f ca="1">OFFSET(A75,0, 1) -0</f>
        <v>17.040717586285609</v>
      </c>
      <c r="BD75" s="1">
        <f ca="1">OFFSET(A75,0, 12) -0</f>
        <v>-13.969244162896558</v>
      </c>
      <c r="BE75" s="1">
        <f ca="1">OFFSET(A75,0, 11) -0</f>
        <v>-0.24106582206184157</v>
      </c>
      <c r="BF75" s="1">
        <f ca="1">OFFSET(A75,0, 10) -0</f>
        <v>23.48711251877296</v>
      </c>
      <c r="BG75" s="1">
        <f ca="1">OFFSET(A75,0, 9) -0</f>
        <v>27.215290859607649</v>
      </c>
      <c r="BH75" s="1">
        <f ca="1">OFFSET(A75,0, 8) -0</f>
        <v>50.943469200442451</v>
      </c>
      <c r="BI75" s="1">
        <f ca="1">OFFSET(A75,0, 7) -0</f>
        <v>-15.328352458722748</v>
      </c>
      <c r="BJ75" s="1">
        <f ca="1">OFFSET(A75,0, 6) -0</f>
        <v>-21.600174117888173</v>
      </c>
      <c r="BK75" s="1">
        <f ca="1">OFFSET(A75,0, 5) -0</f>
        <v>-27.871995777053371</v>
      </c>
      <c r="BL75" s="1">
        <f ca="1">OFFSET(A75,0, 4) -0</f>
        <v>15.856182563781431</v>
      </c>
      <c r="BM75" s="1">
        <f ca="1">OFFSET(A75,0, 3) -0</f>
        <v>-20.415639095383767</v>
      </c>
      <c r="BN75" s="1">
        <f ca="1">OFFSET(A75,0, 2) -0</f>
        <v>13.312539245450807</v>
      </c>
      <c r="BO75" s="1">
        <f ca="1">OFFSET(A75,0, 13) -0</f>
        <v>32.302577496268697</v>
      </c>
      <c r="BP75" s="1">
        <f ca="1">OFFSET(A75,0, 23) -0</f>
        <v>5.0207940879213311</v>
      </c>
      <c r="BQ75" s="1">
        <f ca="1">OFFSET(A75,0, 24) -0</f>
        <v>11.292615747086529</v>
      </c>
      <c r="BR75" s="1">
        <f ca="1">OFFSET(A75,0, 21) -0</f>
        <v>-7.5228492304092924</v>
      </c>
      <c r="BS75" s="1">
        <f ca="1">OFFSET(A75,0, 22) -0</f>
        <v>-31.251027571244094</v>
      </c>
      <c r="BT75" s="1">
        <f ca="1">OFFSET(A75,0, 19) -0</f>
        <v>29.933507451260311</v>
      </c>
      <c r="BU75" s="1">
        <f ca="1">OFFSET(A75,0, 20) -0</f>
        <v>36.205329110425509</v>
      </c>
      <c r="BV75" s="1">
        <f ca="1">OFFSET(A75,0, 17) -0</f>
        <v>-42.610135867070312</v>
      </c>
      <c r="BW75" s="1">
        <f ca="1">OFFSET(A75,0, 18) -0</f>
        <v>-36.338314207905114</v>
      </c>
      <c r="BX75" s="1">
        <f ca="1">OFFSET(A75,0, 15) -0</f>
        <v>-45.153779185400822</v>
      </c>
      <c r="BY75" s="1">
        <f ca="1">OFFSET(A75,0, 16) -0</f>
        <v>1.1180424737644898</v>
      </c>
      <c r="BZ75" s="1">
        <f ca="1">OFFSET(A75,0, 14) -0</f>
        <v>-1.42560084456602</v>
      </c>
      <c r="CB75" s="1">
        <f>COUNTIF(B75,"&lt;-68")</f>
        <v>0</v>
      </c>
      <c r="CC75" s="1">
        <f ca="1">COUNTIF(BC75:BN75,"&lt;-48")</f>
        <v>0</v>
      </c>
      <c r="CD75" s="1">
        <f ca="1">COUNTIF(BC75:BN75,"&gt;+48")</f>
        <v>1</v>
      </c>
      <c r="CE75" s="1">
        <f ca="1">COUNTIF(BO75:BZ75,"&lt;-48")</f>
        <v>0</v>
      </c>
      <c r="CF75" s="1">
        <f ca="1">COUNTIF(BO75:BZ75,"&gt;+48")</f>
        <v>0</v>
      </c>
    </row>
    <row r="76" spans="1:84">
      <c r="A76" s="1">
        <v>73</v>
      </c>
      <c r="B76" s="1">
        <f>'Team A 1'!B76-'Team A 1'!$AA76-('Team A 1'!B$2- 12.5)*'Team A 1'!$AC76</f>
        <v>11.272849230452266</v>
      </c>
      <c r="C76" s="1">
        <f>'Team A 1'!C76-'Team A 1'!$AA76-('Team A 1'!C$2- 12.5)*'Team A 1'!$AC76</f>
        <v>27.611442050994128</v>
      </c>
      <c r="D76" s="1">
        <f>'Team A 1'!D76-'Team A 1'!$AA76-('Team A 1'!D$2- 12.5)*'Team A 1'!$AC76</f>
        <v>-6.0499651284637821</v>
      </c>
      <c r="E76" s="1">
        <f>'Team A 1'!E76-'Team A 1'!$AA76-('Team A 1'!E$2- 12.5)*'Team A 1'!$AC76</f>
        <v>10.288627692078308</v>
      </c>
      <c r="F76" s="1">
        <f>'Team A 1'!F76-'Team A 1'!$AA76-('Team A 1'!F$2- 12.5)*'Team A 1'!$AC76</f>
        <v>-13.372779487379603</v>
      </c>
      <c r="G76" s="1">
        <f>'Team A 1'!G76-'Team A 1'!$AA76-('Team A 1'!G$2- 12.5)*'Team A 1'!$AC76</f>
        <v>-7.0341866668375133</v>
      </c>
      <c r="H76" s="1">
        <f>'Team A 1'!H76-'Team A 1'!$AA76-('Team A 1'!H$2- 12.5)*'Team A 1'!$AC76</f>
        <v>-20.695593846295424</v>
      </c>
      <c r="I76" s="1">
        <f>'Team A 1'!I76-'Team A 1'!$AA76-('Team A 1'!I$2- 12.5)*'Team A 1'!$AC76</f>
        <v>35.642998974246666</v>
      </c>
      <c r="J76" s="1">
        <f>'Team A 1'!J76-'Team A 1'!$AA76-('Team A 1'!J$2- 12.5)*'Team A 1'!$AC76</f>
        <v>11.981591794788756</v>
      </c>
      <c r="K76" s="1">
        <f>'Team A 1'!K76-'Team A 1'!$AA76-('Team A 1'!K$2- 12.5)*'Team A 1'!$AC76</f>
        <v>8.3201846153308452</v>
      </c>
      <c r="L76" s="1">
        <f>'Team A 1'!L76-'Team A 1'!$AA76-('Team A 1'!L$2- 12.5)*'Team A 1'!$AC76</f>
        <v>-15.341222564127065</v>
      </c>
      <c r="M76" s="1">
        <f>'Team A 1'!M76-'Team A 1'!$AA76-('Team A 1'!M$2- 12.5)*'Team A 1'!$AC76</f>
        <v>-19.002629743584976</v>
      </c>
      <c r="N76" s="1">
        <f>'Team A 1'!N76-'Team A 1'!$AA76-('Team A 1'!N$2- 12.5)*'Team A 1'!$AC76</f>
        <v>7.335963076957114</v>
      </c>
      <c r="O76" s="1">
        <f>'Team A 1'!O76-'Team A 1'!$AA76-('Team A 1'!O$2- 12.5)*'Team A 1'!$AC76</f>
        <v>-26.325444102500796</v>
      </c>
      <c r="P76" s="1">
        <f>'Team A 1'!P76-'Team A 1'!$AA76-('Team A 1'!P$2- 12.5)*'Team A 1'!$AC76</f>
        <v>10.013148718041293</v>
      </c>
      <c r="Q76" s="1">
        <f>'Team A 1'!Q76-'Team A 1'!$AA76-('Team A 1'!Q$2- 12.5)*'Team A 1'!$AC76</f>
        <v>-13.648258461416617</v>
      </c>
      <c r="R76" s="1">
        <f>'Team A 1'!R76-'Team A 1'!$AA76-('Team A 1'!R$2- 12.5)*'Team A 1'!$AC76</f>
        <v>-27.309665640874528</v>
      </c>
      <c r="S76" s="1">
        <f>'Team A 1'!S76-'Team A 1'!$AA76-('Team A 1'!S$2- 12.5)*'Team A 1'!$AC76</f>
        <v>29.028927179667562</v>
      </c>
      <c r="T76" s="1">
        <f>'Team A 1'!T76-'Team A 1'!$AA76-('Team A 1'!T$2- 12.5)*'Team A 1'!$AC76</f>
        <v>5.3675200002096517</v>
      </c>
      <c r="U76" s="1">
        <f>'Team A 1'!U76-'Team A 1'!$AA76-('Team A 1'!U$2- 12.5)*'Team A 1'!$AC76</f>
        <v>-28.293887179248259</v>
      </c>
      <c r="V76" s="1">
        <f>'Team A 1'!V76-'Team A 1'!$AA76-('Team A 1'!V$2- 12.5)*'Team A 1'!$AC76</f>
        <v>-21.955294358706169</v>
      </c>
      <c r="W76" s="1">
        <f>'Team A 1'!W76-'Team A 1'!$AA76-('Team A 1'!W$2- 12.5)*'Team A 1'!$AC76</f>
        <v>-5.6167015381640795</v>
      </c>
      <c r="X76" s="1">
        <f>'Team A 1'!X76-'Team A 1'!$AA76-('Team A 1'!X$2- 12.5)*'Team A 1'!$AC76</f>
        <v>10.72189128237801</v>
      </c>
      <c r="Y76" s="1">
        <f>'Team A 1'!Y76-'Team A 1'!$AA76-('Team A 1'!Y$2- 12.5)*'Team A 1'!$AC76</f>
        <v>37.060484102919872</v>
      </c>
      <c r="AB76" s="1">
        <f>STDEV(B76:Y76)</f>
        <v>20.023313386767288</v>
      </c>
      <c r="AD76" s="5" t="s">
        <v>47</v>
      </c>
      <c r="AE76" s="5">
        <v>1</v>
      </c>
      <c r="AF76" s="5" t="s">
        <v>46</v>
      </c>
      <c r="AG76" s="5" t="s">
        <v>45</v>
      </c>
      <c r="AH76" s="5">
        <v>9</v>
      </c>
      <c r="AI76" s="5">
        <v>8</v>
      </c>
      <c r="AJ76" s="5">
        <v>7</v>
      </c>
      <c r="AK76" s="5">
        <v>6</v>
      </c>
      <c r="AL76" s="5">
        <v>5</v>
      </c>
      <c r="AM76" s="5">
        <v>4</v>
      </c>
      <c r="AN76" s="5">
        <v>3</v>
      </c>
      <c r="AO76" s="5">
        <v>2</v>
      </c>
      <c r="AP76" s="5">
        <v>1</v>
      </c>
      <c r="AQ76" s="5" t="s">
        <v>47</v>
      </c>
      <c r="AR76" s="5" t="s">
        <v>46</v>
      </c>
      <c r="AS76" s="5">
        <v>9</v>
      </c>
      <c r="AT76" s="5" t="s">
        <v>45</v>
      </c>
      <c r="AU76" s="5">
        <v>7</v>
      </c>
      <c r="AV76" s="5">
        <v>8</v>
      </c>
      <c r="AW76" s="5">
        <v>5</v>
      </c>
      <c r="AX76" s="5">
        <v>6</v>
      </c>
      <c r="AY76" s="5">
        <v>3</v>
      </c>
      <c r="AZ76" s="5">
        <v>4</v>
      </c>
      <c r="BA76" s="5">
        <v>2</v>
      </c>
      <c r="BB76" s="5"/>
      <c r="BC76" s="1">
        <f ca="1">OFFSET(A76,0, 2) -0</f>
        <v>27.611442050994128</v>
      </c>
      <c r="BD76" s="1">
        <f ca="1">OFFSET(A76,0, 12) -0</f>
        <v>-19.002629743584976</v>
      </c>
      <c r="BE76" s="1">
        <f ca="1">OFFSET(A76,0, 11) -0</f>
        <v>-15.341222564127065</v>
      </c>
      <c r="BF76" s="1">
        <f ca="1">OFFSET(A76,0, 10) -0</f>
        <v>8.3201846153308452</v>
      </c>
      <c r="BG76" s="1">
        <f ca="1">OFFSET(A76,0, 9) -0</f>
        <v>11.981591794788756</v>
      </c>
      <c r="BH76" s="1">
        <f ca="1">OFFSET(A76,0, 8) -0</f>
        <v>35.642998974246666</v>
      </c>
      <c r="BI76" s="1">
        <f ca="1">OFFSET(A76,0, 7) -0</f>
        <v>-20.695593846295424</v>
      </c>
      <c r="BJ76" s="1">
        <f ca="1">OFFSET(A76,0, 6) -0</f>
        <v>-7.0341866668375133</v>
      </c>
      <c r="BK76" s="1">
        <f ca="1">OFFSET(A76,0, 5) -0</f>
        <v>-13.372779487379603</v>
      </c>
      <c r="BL76" s="1">
        <f ca="1">OFFSET(A76,0, 4) -0</f>
        <v>10.288627692078308</v>
      </c>
      <c r="BM76" s="1">
        <f ca="1">OFFSET(A76,0, 3) -0</f>
        <v>-6.0499651284637821</v>
      </c>
      <c r="BN76" s="1">
        <f ca="1">OFFSET(A76,0, 1) -0</f>
        <v>11.272849230452266</v>
      </c>
      <c r="BO76" s="1">
        <f ca="1">OFFSET(A76,0, 13) -0</f>
        <v>7.335963076957114</v>
      </c>
      <c r="BP76" s="1">
        <f ca="1">OFFSET(A76,0, 24) -0</f>
        <v>37.060484102919872</v>
      </c>
      <c r="BQ76" s="1">
        <f ca="1">OFFSET(A76,0, 22) -0</f>
        <v>-5.6167015381640795</v>
      </c>
      <c r="BR76" s="1">
        <f ca="1">OFFSET(A76,0, 23) -0</f>
        <v>10.72189128237801</v>
      </c>
      <c r="BS76" s="1">
        <f ca="1">OFFSET(A76,0, 20) -0</f>
        <v>-28.293887179248259</v>
      </c>
      <c r="BT76" s="1">
        <f ca="1">OFFSET(A76,0, 21) -0</f>
        <v>-21.955294358706169</v>
      </c>
      <c r="BU76" s="1">
        <f ca="1">OFFSET(A76,0, 18) -0</f>
        <v>29.028927179667562</v>
      </c>
      <c r="BV76" s="1">
        <f ca="1">OFFSET(A76,0, 19) -0</f>
        <v>5.3675200002096517</v>
      </c>
      <c r="BW76" s="1">
        <f ca="1">OFFSET(A76,0, 16) -0</f>
        <v>-13.648258461416617</v>
      </c>
      <c r="BX76" s="1">
        <f ca="1">OFFSET(A76,0, 17) -0</f>
        <v>-27.309665640874528</v>
      </c>
      <c r="BY76" s="1">
        <f ca="1">OFFSET(A76,0, 15) -0</f>
        <v>10.013148718041293</v>
      </c>
      <c r="BZ76" s="1">
        <f ca="1">OFFSET(A76,0, 14) -0</f>
        <v>-26.325444102500796</v>
      </c>
      <c r="CB76" s="1">
        <f>COUNTIF(B76,"&lt;-68")</f>
        <v>0</v>
      </c>
      <c r="CC76" s="1">
        <f ca="1">COUNTIF(BC76:BN76,"&lt;-48")</f>
        <v>0</v>
      </c>
      <c r="CD76" s="1">
        <f ca="1">COUNTIF(BC76:BN76,"&gt;+48")</f>
        <v>0</v>
      </c>
      <c r="CE76" s="1">
        <f ca="1">COUNTIF(BO76:BZ76,"&lt;-48")</f>
        <v>0</v>
      </c>
      <c r="CF76" s="1">
        <f ca="1">COUNTIF(BO76:BZ76,"&gt;+48")</f>
        <v>0</v>
      </c>
    </row>
    <row r="77" spans="1:84">
      <c r="A77" s="1">
        <v>74</v>
      </c>
      <c r="B77" s="1">
        <f>'Team A 1'!B77-'Team A 1'!$AA77-('Team A 1'!B$2- 12.5)*'Team A 1'!$AC77</f>
        <v>8.452166108250367</v>
      </c>
      <c r="C77" s="1">
        <f>'Team A 1'!C77-'Team A 1'!$AA77-('Team A 1'!C$2- 12.5)*'Team A 1'!$AC77</f>
        <v>44.782412533619663</v>
      </c>
      <c r="D77" s="1">
        <f>'Team A 1'!D77-'Team A 1'!$AA77-('Team A 1'!D$2- 12.5)*'Team A 1'!$AC77</f>
        <v>-18.887341041010814</v>
      </c>
      <c r="E77" s="1">
        <f>'Team A 1'!E77-'Team A 1'!$AA77-('Team A 1'!E$2- 12.5)*'Team A 1'!$AC77</f>
        <v>-32.55709461564129</v>
      </c>
      <c r="F77" s="1">
        <f>'Team A 1'!F77-'Team A 1'!$AA77-('Team A 1'!F$2- 12.5)*'Team A 1'!$AC77</f>
        <v>-26.226848190271539</v>
      </c>
      <c r="G77" s="1">
        <f>'Team A 1'!G77-'Team A 1'!$AA77-('Team A 1'!G$2- 12.5)*'Team A 1'!$AC77</f>
        <v>-19.896601764902016</v>
      </c>
      <c r="H77" s="1">
        <f>'Team A 1'!H77-'Team A 1'!$AA77-('Team A 1'!H$2- 12.5)*'Team A 1'!$AC77</f>
        <v>-3.5663553395324925</v>
      </c>
      <c r="I77" s="1">
        <f>'Team A 1'!I77-'Team A 1'!$AA77-('Team A 1'!I$2- 12.5)*'Team A 1'!$AC77</f>
        <v>-27.236108914162969</v>
      </c>
      <c r="J77" s="1">
        <f>'Team A 1'!J77-'Team A 1'!$AA77-('Team A 1'!J$2- 12.5)*'Team A 1'!$AC77</f>
        <v>-40.905862488793446</v>
      </c>
      <c r="K77" s="1">
        <f>'Team A 1'!K77-'Team A 1'!$AA77-('Team A 1'!K$2- 12.5)*'Team A 1'!$AC77</f>
        <v>-4.5756160634238654</v>
      </c>
      <c r="L77" s="1">
        <f>'Team A 1'!L77-'Team A 1'!$AA77-('Team A 1'!L$2- 12.5)*'Team A 1'!$AC77</f>
        <v>1.754630361945658</v>
      </c>
      <c r="M77" s="1">
        <f>'Team A 1'!M77-'Team A 1'!$AA77-('Team A 1'!M$2- 12.5)*'Team A 1'!$AC77</f>
        <v>38.084876787315224</v>
      </c>
      <c r="N77" s="1">
        <f>'Team A 1'!N77-'Team A 1'!$AA77-('Team A 1'!N$2- 12.5)*'Team A 1'!$AC77</f>
        <v>24.415123212684776</v>
      </c>
      <c r="O77" s="1">
        <f>'Team A 1'!O77-'Team A 1'!$AA77-('Team A 1'!O$2- 12.5)*'Team A 1'!$AC77</f>
        <v>0.74536963805434198</v>
      </c>
      <c r="P77" s="1">
        <f>'Team A 1'!P77-'Team A 1'!$AA77-('Team A 1'!P$2- 12.5)*'Team A 1'!$AC77</f>
        <v>27.075616063423865</v>
      </c>
      <c r="Q77" s="1">
        <f>'Team A 1'!Q77-'Team A 1'!$AA77-('Team A 1'!Q$2- 12.5)*'Team A 1'!$AC77</f>
        <v>-6.5941375112065543</v>
      </c>
      <c r="R77" s="1">
        <f>'Team A 1'!R77-'Team A 1'!$AA77-('Team A 1'!R$2- 12.5)*'Team A 1'!$AC77</f>
        <v>-10.263891085837031</v>
      </c>
      <c r="S77" s="1">
        <f>'Team A 1'!S77-'Team A 1'!$AA77-('Team A 1'!S$2- 12.5)*'Team A 1'!$AC77</f>
        <v>6.0663553395324925</v>
      </c>
      <c r="T77" s="1">
        <f>'Team A 1'!T77-'Team A 1'!$AA77-('Team A 1'!T$2- 12.5)*'Team A 1'!$AC77</f>
        <v>32.396601764902016</v>
      </c>
      <c r="U77" s="1">
        <f>'Team A 1'!U77-'Team A 1'!$AA77-('Team A 1'!U$2- 12.5)*'Team A 1'!$AC77</f>
        <v>-21.273151809728461</v>
      </c>
      <c r="V77" s="1">
        <f>'Team A 1'!V77-'Team A 1'!$AA77-('Team A 1'!V$2- 12.5)*'Team A 1'!$AC77</f>
        <v>-14.94290538435871</v>
      </c>
      <c r="W77" s="1">
        <f>'Team A 1'!W77-'Team A 1'!$AA77-('Team A 1'!W$2- 12.5)*'Team A 1'!$AC77</f>
        <v>-38.612658958989186</v>
      </c>
      <c r="X77" s="1">
        <f>'Team A 1'!X77-'Team A 1'!$AA77-('Team A 1'!X$2- 12.5)*'Team A 1'!$AC77</f>
        <v>17.717587466380337</v>
      </c>
      <c r="Y77" s="1">
        <f>'Team A 1'!Y77-'Team A 1'!$AA77-('Team A 1'!Y$2- 12.5)*'Team A 1'!$AC77</f>
        <v>64.047833891749633</v>
      </c>
      <c r="AB77" s="1">
        <f>STDEV(B77:Y77)</f>
        <v>27.684036419465777</v>
      </c>
      <c r="AD77" s="5" t="s">
        <v>47</v>
      </c>
      <c r="AE77" s="5">
        <v>1</v>
      </c>
      <c r="AF77" s="5">
        <v>9</v>
      </c>
      <c r="AG77" s="5" t="s">
        <v>46</v>
      </c>
      <c r="AH77" s="5">
        <v>7</v>
      </c>
      <c r="AI77" s="5" t="s">
        <v>45</v>
      </c>
      <c r="AJ77" s="5">
        <v>5</v>
      </c>
      <c r="AK77" s="5">
        <v>8</v>
      </c>
      <c r="AL77" s="5">
        <v>3</v>
      </c>
      <c r="AM77" s="5">
        <v>6</v>
      </c>
      <c r="AN77" s="5">
        <v>2</v>
      </c>
      <c r="AO77" s="5">
        <v>4</v>
      </c>
      <c r="AP77" s="5" t="s">
        <v>47</v>
      </c>
      <c r="AQ77" s="5">
        <v>9</v>
      </c>
      <c r="AR77" s="5">
        <v>1</v>
      </c>
      <c r="AS77" s="5" t="s">
        <v>46</v>
      </c>
      <c r="AT77" s="5" t="s">
        <v>45</v>
      </c>
      <c r="AU77" s="5">
        <v>7</v>
      </c>
      <c r="AV77" s="5">
        <v>8</v>
      </c>
      <c r="AW77" s="5">
        <v>5</v>
      </c>
      <c r="AX77" s="5">
        <v>6</v>
      </c>
      <c r="AY77" s="5">
        <v>3</v>
      </c>
      <c r="AZ77" s="5">
        <v>4</v>
      </c>
      <c r="BA77" s="5">
        <v>2</v>
      </c>
      <c r="BB77" s="5"/>
      <c r="BC77" s="1">
        <f ca="1">OFFSET(A77,0, 2) -0</f>
        <v>44.782412533619663</v>
      </c>
      <c r="BD77" s="1">
        <f ca="1">OFFSET(A77,0, 11) -0</f>
        <v>1.754630361945658</v>
      </c>
      <c r="BE77" s="1">
        <f ca="1">OFFSET(A77,0, 9) -0</f>
        <v>-40.905862488793446</v>
      </c>
      <c r="BF77" s="1">
        <f ca="1">OFFSET(A77,0, 12) -0</f>
        <v>38.084876787315224</v>
      </c>
      <c r="BG77" s="1">
        <f ca="1">OFFSET(A77,0, 7) -0</f>
        <v>-3.5663553395324925</v>
      </c>
      <c r="BH77" s="1">
        <f ca="1">OFFSET(A77,0, 10) -0</f>
        <v>-4.5756160634238654</v>
      </c>
      <c r="BI77" s="1">
        <f ca="1">OFFSET(A77,0, 5) -0</f>
        <v>-26.226848190271539</v>
      </c>
      <c r="BJ77" s="1">
        <f ca="1">OFFSET(A77,0, 8) -0</f>
        <v>-27.236108914162969</v>
      </c>
      <c r="BK77" s="1">
        <f ca="1">OFFSET(A77,0, 3) -0</f>
        <v>-18.887341041010814</v>
      </c>
      <c r="BL77" s="1">
        <f ca="1">OFFSET(A77,0, 6) -0</f>
        <v>-19.896601764902016</v>
      </c>
      <c r="BM77" s="1">
        <f ca="1">OFFSET(A77,0, 4) -0</f>
        <v>-32.55709461564129</v>
      </c>
      <c r="BN77" s="1">
        <f ca="1">OFFSET(A77,0, 1) -0</f>
        <v>8.452166108250367</v>
      </c>
      <c r="BO77" s="1">
        <f ca="1">OFFSET(A77,0, 15) -0</f>
        <v>27.075616063423865</v>
      </c>
      <c r="BP77" s="1">
        <f ca="1">OFFSET(A77,0, 24) -0</f>
        <v>64.047833891749633</v>
      </c>
      <c r="BQ77" s="1">
        <f ca="1">OFFSET(A77,0, 22) -0</f>
        <v>-38.612658958989186</v>
      </c>
      <c r="BR77" s="1">
        <f ca="1">OFFSET(A77,0, 23) -0</f>
        <v>17.717587466380337</v>
      </c>
      <c r="BS77" s="1">
        <f ca="1">OFFSET(A77,0, 20) -0</f>
        <v>-21.273151809728461</v>
      </c>
      <c r="BT77" s="1">
        <f ca="1">OFFSET(A77,0, 21) -0</f>
        <v>-14.94290538435871</v>
      </c>
      <c r="BU77" s="1">
        <f ca="1">OFFSET(A77,0, 18) -0</f>
        <v>6.0663553395324925</v>
      </c>
      <c r="BV77" s="1">
        <f ca="1">OFFSET(A77,0, 19) -0</f>
        <v>32.396601764902016</v>
      </c>
      <c r="BW77" s="1">
        <f ca="1">OFFSET(A77,0, 14) -0</f>
        <v>0.74536963805434198</v>
      </c>
      <c r="BX77" s="1">
        <f ca="1">OFFSET(A77,0, 17) -0</f>
        <v>-10.263891085837031</v>
      </c>
      <c r="BY77" s="1">
        <f ca="1">OFFSET(A77,0, 16) -0</f>
        <v>-6.5941375112065543</v>
      </c>
      <c r="BZ77" s="1">
        <f ca="1">OFFSET(A77,0, 13) -0</f>
        <v>24.415123212684776</v>
      </c>
      <c r="CB77" s="1">
        <f>COUNTIF(B77,"&lt;-68")</f>
        <v>0</v>
      </c>
      <c r="CC77" s="1">
        <f ca="1">COUNTIF(BC77:BN77,"&lt;-48")</f>
        <v>0</v>
      </c>
      <c r="CD77" s="1">
        <f ca="1">COUNTIF(BC77:BN77,"&gt;+48")</f>
        <v>0</v>
      </c>
      <c r="CE77" s="1">
        <f ca="1">COUNTIF(BO77:BZ77,"&lt;-48")</f>
        <v>0</v>
      </c>
      <c r="CF77" s="1">
        <f ca="1">COUNTIF(BO77:BZ77,"&gt;+48")</f>
        <v>1</v>
      </c>
    </row>
    <row r="78" spans="1:84">
      <c r="A78" s="1">
        <v>75</v>
      </c>
      <c r="B78" s="1">
        <f>'Team A 1'!B78-'Team A 1'!$AA78-('Team A 1'!B$2- 12.5)*'Team A 1'!$AC78</f>
        <v>21.883696907793819</v>
      </c>
      <c r="C78" s="1">
        <f>'Team A 1'!C78-'Team A 1'!$AA78-('Team A 1'!C$2- 12.5)*'Team A 1'!$AC78</f>
        <v>-11.685899924769728</v>
      </c>
      <c r="D78" s="1">
        <f>'Team A 1'!D78-'Team A 1'!$AA78-('Team A 1'!D$2- 12.5)*'Team A 1'!$AC78</f>
        <v>-15.255496757333276</v>
      </c>
      <c r="E78" s="1">
        <f>'Team A 1'!E78-'Team A 1'!$AA78-('Team A 1'!E$2- 12.5)*'Team A 1'!$AC78</f>
        <v>-18.825093589896596</v>
      </c>
      <c r="F78" s="1">
        <f>'Team A 1'!F78-'Team A 1'!$AA78-('Team A 1'!F$2- 12.5)*'Team A 1'!$AC78</f>
        <v>-12.394690422460144</v>
      </c>
      <c r="G78" s="1">
        <f>'Team A 1'!G78-'Team A 1'!$AA78-('Team A 1'!G$2- 12.5)*'Team A 1'!$AC78</f>
        <v>4.0357127449765358</v>
      </c>
      <c r="H78" s="1">
        <f>'Team A 1'!H78-'Team A 1'!$AA78-('Team A 1'!H$2- 12.5)*'Team A 1'!$AC78</f>
        <v>20.466115912412988</v>
      </c>
      <c r="I78" s="1">
        <f>'Team A 1'!I78-'Team A 1'!$AA78-('Team A 1'!I$2- 12.5)*'Team A 1'!$AC78</f>
        <v>6.8965190798495541</v>
      </c>
      <c r="J78" s="1">
        <f>'Team A 1'!J78-'Team A 1'!$AA78-('Team A 1'!J$2- 12.5)*'Team A 1'!$AC78</f>
        <v>13.326922247286006</v>
      </c>
      <c r="K78" s="1">
        <f>'Team A 1'!K78-'Team A 1'!$AA78-('Team A 1'!K$2- 12.5)*'Team A 1'!$AC78</f>
        <v>49.757325414722573</v>
      </c>
      <c r="L78" s="1">
        <f>'Team A 1'!L78-'Team A 1'!$AA78-('Team A 1'!L$2- 12.5)*'Team A 1'!$AC78</f>
        <v>26.187728582159139</v>
      </c>
      <c r="M78" s="1">
        <f>'Team A 1'!M78-'Team A 1'!$AA78-('Team A 1'!M$2- 12.5)*'Team A 1'!$AC78</f>
        <v>2.618131749595662</v>
      </c>
      <c r="N78" s="1">
        <f>'Team A 1'!N78-'Team A 1'!$AA78-('Team A 1'!N$2- 12.5)*'Team A 1'!$AC78</f>
        <v>-60.9514650829678</v>
      </c>
      <c r="O78" s="1">
        <f>'Team A 1'!O78-'Team A 1'!$AA78-('Team A 1'!O$2- 12.5)*'Team A 1'!$AC78</f>
        <v>-24.521061915531277</v>
      </c>
      <c r="P78" s="1">
        <f>'Team A 1'!P78-'Team A 1'!$AA78-('Team A 1'!P$2- 12.5)*'Team A 1'!$AC78</f>
        <v>-8.090658748094711</v>
      </c>
      <c r="Q78" s="1">
        <f>'Team A 1'!Q78-'Team A 1'!$AA78-('Team A 1'!Q$2- 12.5)*'Team A 1'!$AC78</f>
        <v>-1.6602555806581449</v>
      </c>
      <c r="R78" s="1">
        <f>'Team A 1'!R78-'Team A 1'!$AA78-('Team A 1'!R$2- 12.5)*'Team A 1'!$AC78</f>
        <v>-15.229852413221693</v>
      </c>
      <c r="S78" s="1">
        <f>'Team A 1'!S78-'Team A 1'!$AA78-('Team A 1'!S$2- 12.5)*'Team A 1'!$AC78</f>
        <v>-8.7994492457851265</v>
      </c>
      <c r="T78" s="1">
        <f>'Team A 1'!T78-'Team A 1'!$AA78-('Team A 1'!T$2- 12.5)*'Team A 1'!$AC78</f>
        <v>-2.3690460783486742</v>
      </c>
      <c r="U78" s="1">
        <f>'Team A 1'!U78-'Team A 1'!$AA78-('Team A 1'!U$2- 12.5)*'Team A 1'!$AC78</f>
        <v>4.0613570890880055</v>
      </c>
      <c r="V78" s="1">
        <f>'Team A 1'!V78-'Team A 1'!$AA78-('Team A 1'!V$2- 12.5)*'Team A 1'!$AC78</f>
        <v>30.491760256524458</v>
      </c>
      <c r="W78" s="1">
        <f>'Team A 1'!W78-'Team A 1'!$AA78-('Team A 1'!W$2- 12.5)*'Team A 1'!$AC78</f>
        <v>6.9221634239611376</v>
      </c>
      <c r="X78" s="1">
        <f>'Team A 1'!X78-'Team A 1'!$AA78-('Team A 1'!X$2- 12.5)*'Team A 1'!$AC78</f>
        <v>-6.6474334086024101</v>
      </c>
      <c r="Y78" s="1">
        <f>'Team A 1'!Y78-'Team A 1'!$AA78-('Team A 1'!Y$2- 12.5)*'Team A 1'!$AC78</f>
        <v>-0.2170302411659577</v>
      </c>
      <c r="AB78" s="1">
        <f>STDEV(B78:Y78)</f>
        <v>21.792423662198736</v>
      </c>
      <c r="AD78" s="5">
        <v>9</v>
      </c>
      <c r="AE78" s="5" t="s">
        <v>47</v>
      </c>
      <c r="AF78" s="5" t="s">
        <v>46</v>
      </c>
      <c r="AG78" s="5">
        <v>1</v>
      </c>
      <c r="AH78" s="5">
        <v>7</v>
      </c>
      <c r="AI78" s="5" t="s">
        <v>45</v>
      </c>
      <c r="AJ78" s="5">
        <v>5</v>
      </c>
      <c r="AK78" s="5">
        <v>8</v>
      </c>
      <c r="AL78" s="5">
        <v>3</v>
      </c>
      <c r="AM78" s="5">
        <v>6</v>
      </c>
      <c r="AN78" s="5">
        <v>2</v>
      </c>
      <c r="AO78" s="5">
        <v>4</v>
      </c>
      <c r="AP78" s="5">
        <v>9</v>
      </c>
      <c r="AQ78" s="5" t="s">
        <v>47</v>
      </c>
      <c r="AR78" s="5">
        <v>1</v>
      </c>
      <c r="AS78" s="5" t="s">
        <v>46</v>
      </c>
      <c r="AT78" s="5">
        <v>7</v>
      </c>
      <c r="AU78" s="5">
        <v>5</v>
      </c>
      <c r="AV78" s="5" t="s">
        <v>45</v>
      </c>
      <c r="AW78" s="5">
        <v>3</v>
      </c>
      <c r="AX78" s="5">
        <v>8</v>
      </c>
      <c r="AY78" s="5">
        <v>2</v>
      </c>
      <c r="AZ78" s="5">
        <v>6</v>
      </c>
      <c r="BA78" s="5">
        <v>4</v>
      </c>
      <c r="BB78" s="5"/>
      <c r="BC78" s="1">
        <f ca="1">OFFSET(A78,0, 4) -0</f>
        <v>-18.825093589896596</v>
      </c>
      <c r="BD78" s="1">
        <f ca="1">OFFSET(A78,0, 11) -0</f>
        <v>26.187728582159139</v>
      </c>
      <c r="BE78" s="1">
        <f ca="1">OFFSET(A78,0, 9) -0</f>
        <v>13.326922247286006</v>
      </c>
      <c r="BF78" s="1">
        <f ca="1">OFFSET(A78,0, 12) -0</f>
        <v>2.618131749595662</v>
      </c>
      <c r="BG78" s="1">
        <f ca="1">OFFSET(A78,0, 7) -0</f>
        <v>20.466115912412988</v>
      </c>
      <c r="BH78" s="1">
        <f ca="1">OFFSET(A78,0, 10) -0</f>
        <v>49.757325414722573</v>
      </c>
      <c r="BI78" s="1">
        <f ca="1">OFFSET(A78,0, 5) -0</f>
        <v>-12.394690422460144</v>
      </c>
      <c r="BJ78" s="1">
        <f ca="1">OFFSET(A78,0, 8) -0</f>
        <v>6.8965190798495541</v>
      </c>
      <c r="BK78" s="1">
        <f ca="1">OFFSET(A78,0, 1) -0</f>
        <v>21.883696907793819</v>
      </c>
      <c r="BL78" s="1">
        <f ca="1">OFFSET(A78,0, 6) -0</f>
        <v>4.0357127449765358</v>
      </c>
      <c r="BM78" s="1">
        <f ca="1">OFFSET(A78,0, 3) -0</f>
        <v>-15.255496757333276</v>
      </c>
      <c r="BN78" s="1">
        <f ca="1">OFFSET(A78,0, 2) -0</f>
        <v>-11.685899924769728</v>
      </c>
      <c r="BO78" s="1">
        <f ca="1">OFFSET(A78,0, 15) -0</f>
        <v>-8.090658748094711</v>
      </c>
      <c r="BP78" s="1">
        <f ca="1">OFFSET(A78,0, 22) -0</f>
        <v>6.9221634239611376</v>
      </c>
      <c r="BQ78" s="1">
        <f ca="1">OFFSET(A78,0, 20) -0</f>
        <v>4.0613570890880055</v>
      </c>
      <c r="BR78" s="1">
        <f ca="1">OFFSET(A78,0, 24) -0</f>
        <v>-0.2170302411659577</v>
      </c>
      <c r="BS78" s="1">
        <f ca="1">OFFSET(A78,0, 18) -0</f>
        <v>-8.7994492457851265</v>
      </c>
      <c r="BT78" s="1">
        <f ca="1">OFFSET(A78,0, 23) -0</f>
        <v>-6.6474334086024101</v>
      </c>
      <c r="BU78" s="1">
        <f ca="1">OFFSET(A78,0, 17) -0</f>
        <v>-15.229852413221693</v>
      </c>
      <c r="BV78" s="1">
        <f ca="1">OFFSET(A78,0, 21) -0</f>
        <v>30.491760256524458</v>
      </c>
      <c r="BW78" s="1">
        <f ca="1">OFFSET(A78,0, 13) -0</f>
        <v>-60.9514650829678</v>
      </c>
      <c r="BX78" s="1">
        <f ca="1">OFFSET(A78,0, 19) -0</f>
        <v>-2.3690460783486742</v>
      </c>
      <c r="BY78" s="1">
        <f ca="1">OFFSET(A78,0, 16) -0</f>
        <v>-1.6602555806581449</v>
      </c>
      <c r="BZ78" s="1">
        <f ca="1">OFFSET(A78,0, 14) -0</f>
        <v>-24.521061915531277</v>
      </c>
      <c r="CB78" s="1">
        <f>COUNTIF(B78,"&lt;-68")</f>
        <v>0</v>
      </c>
      <c r="CC78" s="1">
        <f ca="1">COUNTIF(BC78:BN78,"&lt;-48")</f>
        <v>0</v>
      </c>
      <c r="CD78" s="1">
        <f ca="1">COUNTIF(BC78:BN78,"&gt;+48")</f>
        <v>1</v>
      </c>
      <c r="CE78" s="1">
        <f ca="1">COUNTIF(BO78:BZ78,"&lt;-48")</f>
        <v>1</v>
      </c>
      <c r="CF78" s="1">
        <f ca="1">COUNTIF(BO78:BZ78,"&gt;+48")</f>
        <v>0</v>
      </c>
    </row>
    <row r="79" spans="1:84">
      <c r="A79" s="1">
        <v>76</v>
      </c>
      <c r="B79" s="1">
        <f>'Team A 1'!B79-'Team A 1'!$AA79-('Team A 1'!B$2- 12.5)*'Team A 1'!$AC79</f>
        <v>15.118832774922794</v>
      </c>
      <c r="C79" s="1">
        <f>'Team A 1'!C79-'Team A 1'!$AA79-('Team A 1'!C$2- 12.5)*'Team A 1'!$AC79</f>
        <v>-8.5509207997065459</v>
      </c>
      <c r="D79" s="1">
        <f>'Team A 1'!D79-'Team A 1'!$AA79-('Team A 1'!D$2- 12.5)*'Team A 1'!$AC79</f>
        <v>-32.220674374335658</v>
      </c>
      <c r="E79" s="1">
        <f>'Team A 1'!E79-'Team A 1'!$AA79-('Team A 1'!E$2- 12.5)*'Team A 1'!$AC79</f>
        <v>14.109572051035002</v>
      </c>
      <c r="F79" s="1">
        <f>'Team A 1'!F79-'Team A 1'!$AA79-('Team A 1'!F$2- 12.5)*'Team A 1'!$AC79</f>
        <v>10.439818476405662</v>
      </c>
      <c r="G79" s="1">
        <f>'Team A 1'!G79-'Team A 1'!$AA79-('Team A 1'!G$2- 12.5)*'Team A 1'!$AC79</f>
        <v>-13.229935098223677</v>
      </c>
      <c r="H79" s="1">
        <f>'Team A 1'!H79-'Team A 1'!$AA79-('Team A 1'!H$2- 12.5)*'Team A 1'!$AC79</f>
        <v>-16.89968867285279</v>
      </c>
      <c r="I79" s="1">
        <f>'Team A 1'!I79-'Team A 1'!$AA79-('Team A 1'!I$2- 12.5)*'Team A 1'!$AC79</f>
        <v>49.430557752517871</v>
      </c>
      <c r="J79" s="1">
        <f>'Team A 1'!J79-'Team A 1'!$AA79-('Team A 1'!J$2- 12.5)*'Team A 1'!$AC79</f>
        <v>15.760804177888531</v>
      </c>
      <c r="K79" s="1">
        <f>'Team A 1'!K79-'Team A 1'!$AA79-('Team A 1'!K$2- 12.5)*'Team A 1'!$AC79</f>
        <v>32.091050603259305</v>
      </c>
      <c r="L79" s="1">
        <f>'Team A 1'!L79-'Team A 1'!$AA79-('Team A 1'!L$2- 12.5)*'Team A 1'!$AC79</f>
        <v>-21.578702971370035</v>
      </c>
      <c r="M79" s="1">
        <f>'Team A 1'!M79-'Team A 1'!$AA79-('Team A 1'!M$2- 12.5)*'Team A 1'!$AC79</f>
        <v>-25.248456545999289</v>
      </c>
      <c r="N79" s="1">
        <f>'Team A 1'!N79-'Team A 1'!$AA79-('Team A 1'!N$2- 12.5)*'Team A 1'!$AC79</f>
        <v>11.081789879371428</v>
      </c>
      <c r="O79" s="1">
        <f>'Team A 1'!O79-'Team A 1'!$AA79-('Team A 1'!O$2- 12.5)*'Team A 1'!$AC79</f>
        <v>-32.587963695257827</v>
      </c>
      <c r="P79" s="1">
        <f>'Team A 1'!P79-'Team A 1'!$AA79-('Team A 1'!P$2- 12.5)*'Team A 1'!$AC79</f>
        <v>-26.257717269887166</v>
      </c>
      <c r="Q79" s="1">
        <f>'Team A 1'!Q79-'Team A 1'!$AA79-('Team A 1'!Q$2- 12.5)*'Team A 1'!$AC79</f>
        <v>-19.927470844516392</v>
      </c>
      <c r="R79" s="1">
        <f>'Team A 1'!R79-'Team A 1'!$AA79-('Team A 1'!R$2- 12.5)*'Team A 1'!$AC79</f>
        <v>26.402775580854268</v>
      </c>
      <c r="S79" s="1">
        <f>'Team A 1'!S79-'Team A 1'!$AA79-('Team A 1'!S$2- 12.5)*'Team A 1'!$AC79</f>
        <v>-7.2669779937750718</v>
      </c>
      <c r="T79" s="1">
        <f>'Team A 1'!T79-'Team A 1'!$AA79-('Team A 1'!T$2- 12.5)*'Team A 1'!$AC79</f>
        <v>-0.93673156840418415</v>
      </c>
      <c r="U79" s="1">
        <f>'Team A 1'!U79-'Team A 1'!$AA79-('Team A 1'!U$2- 12.5)*'Team A 1'!$AC79</f>
        <v>-34.606485143033524</v>
      </c>
      <c r="V79" s="1">
        <f>'Team A 1'!V79-'Team A 1'!$AA79-('Team A 1'!V$2- 12.5)*'Team A 1'!$AC79</f>
        <v>11.723761282337136</v>
      </c>
      <c r="W79" s="1">
        <f>'Team A 1'!W79-'Team A 1'!$AA79-('Team A 1'!W$2- 12.5)*'Team A 1'!$AC79</f>
        <v>18.054007707707797</v>
      </c>
      <c r="X79" s="1">
        <f>'Team A 1'!X79-'Team A 1'!$AA79-('Team A 1'!X$2- 12.5)*'Team A 1'!$AC79</f>
        <v>14.384254133078684</v>
      </c>
      <c r="Y79" s="1">
        <f>'Team A 1'!Y79-'Team A 1'!$AA79-('Team A 1'!Y$2- 12.5)*'Team A 1'!$AC79</f>
        <v>20.714500558449345</v>
      </c>
      <c r="AB79" s="1">
        <f>STDEV(B79:Y79)</f>
        <v>23.080633076738117</v>
      </c>
      <c r="AD79" s="5" t="s">
        <v>47</v>
      </c>
      <c r="AE79" s="5">
        <v>9</v>
      </c>
      <c r="AF79" s="5" t="s">
        <v>46</v>
      </c>
      <c r="AG79" s="5">
        <v>1</v>
      </c>
      <c r="AH79" s="5">
        <v>5</v>
      </c>
      <c r="AI79" s="5">
        <v>7</v>
      </c>
      <c r="AJ79" s="5">
        <v>3</v>
      </c>
      <c r="AK79" s="5" t="s">
        <v>45</v>
      </c>
      <c r="AL79" s="5">
        <v>2</v>
      </c>
      <c r="AM79" s="5">
        <v>8</v>
      </c>
      <c r="AN79" s="5">
        <v>4</v>
      </c>
      <c r="AO79" s="5">
        <v>6</v>
      </c>
      <c r="AP79" s="5">
        <v>9</v>
      </c>
      <c r="AQ79" s="5" t="s">
        <v>47</v>
      </c>
      <c r="AR79" s="5" t="s">
        <v>46</v>
      </c>
      <c r="AS79" s="5">
        <v>5</v>
      </c>
      <c r="AT79" s="5">
        <v>1</v>
      </c>
      <c r="AU79" s="5">
        <v>7</v>
      </c>
      <c r="AV79" s="5" t="s">
        <v>45</v>
      </c>
      <c r="AW79" s="5">
        <v>3</v>
      </c>
      <c r="AX79" s="5">
        <v>8</v>
      </c>
      <c r="AY79" s="5">
        <v>2</v>
      </c>
      <c r="AZ79" s="5">
        <v>6</v>
      </c>
      <c r="BA79" s="5">
        <v>4</v>
      </c>
      <c r="BB79" s="5"/>
      <c r="BC79" s="1">
        <f ca="1">OFFSET(A79,0, 4) -0</f>
        <v>14.109572051035002</v>
      </c>
      <c r="BD79" s="1">
        <f ca="1">OFFSET(A79,0, 9) -0</f>
        <v>15.760804177888531</v>
      </c>
      <c r="BE79" s="1">
        <f ca="1">OFFSET(A79,0, 7) -0</f>
        <v>-16.89968867285279</v>
      </c>
      <c r="BF79" s="1">
        <f ca="1">OFFSET(A79,0, 11) -0</f>
        <v>-21.578702971370035</v>
      </c>
      <c r="BG79" s="1">
        <f ca="1">OFFSET(A79,0, 5) -0</f>
        <v>10.439818476405662</v>
      </c>
      <c r="BH79" s="1">
        <f ca="1">OFFSET(A79,0, 12) -0</f>
        <v>-25.248456545999289</v>
      </c>
      <c r="BI79" s="1">
        <f ca="1">OFFSET(A79,0, 6) -0</f>
        <v>-13.229935098223677</v>
      </c>
      <c r="BJ79" s="1">
        <f ca="1">OFFSET(A79,0, 10) -0</f>
        <v>32.091050603259305</v>
      </c>
      <c r="BK79" s="1">
        <f ca="1">OFFSET(A79,0, 2) -0</f>
        <v>-8.5509207997065459</v>
      </c>
      <c r="BL79" s="1">
        <f ca="1">OFFSET(A79,0, 8) -0</f>
        <v>49.430557752517871</v>
      </c>
      <c r="BM79" s="1">
        <f ca="1">OFFSET(A79,0, 3) -0</f>
        <v>-32.220674374335658</v>
      </c>
      <c r="BN79" s="1">
        <f ca="1">OFFSET(A79,0, 1) -0</f>
        <v>15.118832774922794</v>
      </c>
      <c r="BO79" s="1">
        <f ca="1">OFFSET(A79,0, 17) -0</f>
        <v>26.402775580854268</v>
      </c>
      <c r="BP79" s="1">
        <f ca="1">OFFSET(A79,0, 22) -0</f>
        <v>18.054007707707797</v>
      </c>
      <c r="BQ79" s="1">
        <f ca="1">OFFSET(A79,0, 20) -0</f>
        <v>-34.606485143033524</v>
      </c>
      <c r="BR79" s="1">
        <f ca="1">OFFSET(A79,0, 24) -0</f>
        <v>20.714500558449345</v>
      </c>
      <c r="BS79" s="1">
        <f ca="1">OFFSET(A79,0, 16) -0</f>
        <v>-19.927470844516392</v>
      </c>
      <c r="BT79" s="1">
        <f ca="1">OFFSET(A79,0, 23) -0</f>
        <v>14.384254133078684</v>
      </c>
      <c r="BU79" s="1">
        <f ca="1">OFFSET(A79,0, 18) -0</f>
        <v>-7.2669779937750718</v>
      </c>
      <c r="BV79" s="1">
        <f ca="1">OFFSET(A79,0, 21) -0</f>
        <v>11.723761282337136</v>
      </c>
      <c r="BW79" s="1">
        <f ca="1">OFFSET(A79,0, 13) -0</f>
        <v>11.081789879371428</v>
      </c>
      <c r="BX79" s="1">
        <f ca="1">OFFSET(A79,0, 19) -0</f>
        <v>-0.93673156840418415</v>
      </c>
      <c r="BY79" s="1">
        <f ca="1">OFFSET(A79,0, 15) -0</f>
        <v>-26.257717269887166</v>
      </c>
      <c r="BZ79" s="1">
        <f ca="1">OFFSET(A79,0, 14) -0</f>
        <v>-32.587963695257827</v>
      </c>
      <c r="CB79" s="1">
        <f>COUNTIF(B79,"&lt;-68")</f>
        <v>0</v>
      </c>
      <c r="CC79" s="1">
        <f ca="1">COUNTIF(BC79:BN79,"&lt;-48")</f>
        <v>0</v>
      </c>
      <c r="CD79" s="1">
        <f ca="1">COUNTIF(BC79:BN79,"&gt;+48")</f>
        <v>1</v>
      </c>
      <c r="CE79" s="1">
        <f ca="1">COUNTIF(BO79:BZ79,"&lt;-48")</f>
        <v>0</v>
      </c>
      <c r="CF79" s="1">
        <f ca="1">COUNTIF(BO79:BZ79,"&gt;+48")</f>
        <v>0</v>
      </c>
    </row>
    <row r="80" spans="1:84">
      <c r="A80" s="1">
        <v>77</v>
      </c>
      <c r="B80" s="1">
        <f>'Team A 1'!B80-'Team A 1'!$AA80-('Team A 1'!B$2- 12.5)*'Team A 1'!$AC80</f>
        <v>11.996915488702598</v>
      </c>
      <c r="C80" s="1">
        <f>'Team A 1'!C80-'Team A 1'!$AA80-('Team A 1'!C$2- 12.5)*'Team A 1'!$AC80</f>
        <v>17.692835880989378</v>
      </c>
      <c r="D80" s="1">
        <f>'Team A 1'!D80-'Team A 1'!$AA80-('Team A 1'!D$2- 12.5)*'Team A 1'!$AC80</f>
        <v>13.388756273276158</v>
      </c>
      <c r="E80" s="1">
        <f>'Team A 1'!E80-'Team A 1'!$AA80-('Team A 1'!E$2- 12.5)*'Team A 1'!$AC80</f>
        <v>-40.915323334437062</v>
      </c>
      <c r="F80" s="1">
        <f>'Team A 1'!F80-'Team A 1'!$AA80-('Team A 1'!F$2- 12.5)*'Team A 1'!$AC80</f>
        <v>-25.219402942150509</v>
      </c>
      <c r="G80" s="1">
        <f>'Team A 1'!G80-'Team A 1'!$AA80-('Team A 1'!G$2- 12.5)*'Team A 1'!$AC80</f>
        <v>40.476517450136271</v>
      </c>
      <c r="H80" s="1">
        <f>'Team A 1'!H80-'Team A 1'!$AA80-('Team A 1'!H$2- 12.5)*'Team A 1'!$AC80</f>
        <v>16.172437842423051</v>
      </c>
      <c r="I80" s="1">
        <f>'Team A 1'!I80-'Team A 1'!$AA80-('Team A 1'!I$2- 12.5)*'Team A 1'!$AC80</f>
        <v>11.868358234709717</v>
      </c>
      <c r="J80" s="1">
        <f>'Team A 1'!J80-'Team A 1'!$AA80-('Team A 1'!J$2- 12.5)*'Team A 1'!$AC80</f>
        <v>-12.435721373003503</v>
      </c>
      <c r="K80" s="1">
        <f>'Team A 1'!K80-'Team A 1'!$AA80-('Team A 1'!K$2- 12.5)*'Team A 1'!$AC80</f>
        <v>13.260199019283164</v>
      </c>
      <c r="L80" s="1">
        <f>'Team A 1'!L80-'Team A 1'!$AA80-('Team A 1'!L$2- 12.5)*'Team A 1'!$AC80</f>
        <v>-1.0438805884300564</v>
      </c>
      <c r="M80" s="1">
        <f>'Team A 1'!M80-'Team A 1'!$AA80-('Team A 1'!M$2- 12.5)*'Team A 1'!$AC80</f>
        <v>-35.347960196143362</v>
      </c>
      <c r="N80" s="1">
        <f>'Team A 1'!N80-'Team A 1'!$AA80-('Team A 1'!N$2- 12.5)*'Team A 1'!$AC80</f>
        <v>-9.6520398038566384</v>
      </c>
      <c r="O80" s="1">
        <f>'Team A 1'!O80-'Team A 1'!$AA80-('Team A 1'!O$2- 12.5)*'Team A 1'!$AC80</f>
        <v>-3.9561194115699436</v>
      </c>
      <c r="P80" s="1">
        <f>'Team A 1'!P80-'Team A 1'!$AA80-('Team A 1'!P$2- 12.5)*'Team A 1'!$AC80</f>
        <v>-28.260199019283164</v>
      </c>
      <c r="Q80" s="1">
        <f>'Team A 1'!Q80-'Team A 1'!$AA80-('Team A 1'!Q$2- 12.5)*'Team A 1'!$AC80</f>
        <v>-32.564278626996497</v>
      </c>
      <c r="R80" s="1">
        <f>'Team A 1'!R80-'Team A 1'!$AA80-('Team A 1'!R$2- 12.5)*'Team A 1'!$AC80</f>
        <v>33.131641765290283</v>
      </c>
      <c r="S80" s="1">
        <f>'Team A 1'!S80-'Team A 1'!$AA80-('Team A 1'!S$2- 12.5)*'Team A 1'!$AC80</f>
        <v>38.827562157576949</v>
      </c>
      <c r="T80" s="1">
        <f>'Team A 1'!T80-'Team A 1'!$AA80-('Team A 1'!T$2- 12.5)*'Team A 1'!$AC80</f>
        <v>14.523482549863729</v>
      </c>
      <c r="U80" s="1">
        <f>'Team A 1'!U80-'Team A 1'!$AA80-('Team A 1'!U$2- 12.5)*'Team A 1'!$AC80</f>
        <v>-9.7805970578494907</v>
      </c>
      <c r="V80" s="1">
        <f>'Team A 1'!V80-'Team A 1'!$AA80-('Team A 1'!V$2- 12.5)*'Team A 1'!$AC80</f>
        <v>-34.084676665562938</v>
      </c>
      <c r="W80" s="1">
        <f>'Team A 1'!W80-'Team A 1'!$AA80-('Team A 1'!W$2- 12.5)*'Team A 1'!$AC80</f>
        <v>-8.388756273276158</v>
      </c>
      <c r="X80" s="1">
        <f>'Team A 1'!X80-'Team A 1'!$AA80-('Team A 1'!X$2- 12.5)*'Team A 1'!$AC80</f>
        <v>17.307164119010622</v>
      </c>
      <c r="Y80" s="1">
        <f>'Team A 1'!Y80-'Team A 1'!$AA80-('Team A 1'!Y$2- 12.5)*'Team A 1'!$AC80</f>
        <v>13.003084511297402</v>
      </c>
      <c r="AB80" s="1">
        <f>STDEV(B80:Y80)</f>
        <v>23.909813006161972</v>
      </c>
      <c r="AD80" s="5" t="s">
        <v>47</v>
      </c>
      <c r="AE80" s="5">
        <v>9</v>
      </c>
      <c r="AF80" s="5">
        <v>5</v>
      </c>
      <c r="AG80" s="5" t="s">
        <v>46</v>
      </c>
      <c r="AH80" s="5">
        <v>7</v>
      </c>
      <c r="AI80" s="5">
        <v>1</v>
      </c>
      <c r="AJ80" s="5">
        <v>3</v>
      </c>
      <c r="AK80" s="5" t="s">
        <v>45</v>
      </c>
      <c r="AL80" s="5">
        <v>2</v>
      </c>
      <c r="AM80" s="5">
        <v>8</v>
      </c>
      <c r="AN80" s="5">
        <v>4</v>
      </c>
      <c r="AO80" s="5">
        <v>6</v>
      </c>
      <c r="AP80" s="5" t="s">
        <v>47</v>
      </c>
      <c r="AQ80" s="5">
        <v>5</v>
      </c>
      <c r="AR80" s="5">
        <v>9</v>
      </c>
      <c r="AS80" s="5" t="s">
        <v>46</v>
      </c>
      <c r="AT80" s="5">
        <v>1</v>
      </c>
      <c r="AU80" s="5">
        <v>7</v>
      </c>
      <c r="AV80" s="5">
        <v>3</v>
      </c>
      <c r="AW80" s="5">
        <v>2</v>
      </c>
      <c r="AX80" s="5" t="s">
        <v>45</v>
      </c>
      <c r="AY80" s="5">
        <v>4</v>
      </c>
      <c r="AZ80" s="5">
        <v>8</v>
      </c>
      <c r="BA80" s="5">
        <v>6</v>
      </c>
      <c r="BB80" s="5"/>
      <c r="BC80" s="1">
        <f ca="1">OFFSET(A80,0, 6) -0</f>
        <v>40.476517450136271</v>
      </c>
      <c r="BD80" s="1">
        <f ca="1">OFFSET(A80,0, 9) -0</f>
        <v>-12.435721373003503</v>
      </c>
      <c r="BE80" s="1">
        <f ca="1">OFFSET(A80,0, 7) -0</f>
        <v>16.172437842423051</v>
      </c>
      <c r="BF80" s="1">
        <f ca="1">OFFSET(A80,0, 11) -0</f>
        <v>-1.0438805884300564</v>
      </c>
      <c r="BG80" s="1">
        <f ca="1">OFFSET(A80,0, 3) -0</f>
        <v>13.388756273276158</v>
      </c>
      <c r="BH80" s="1">
        <f ca="1">OFFSET(A80,0, 12) -0</f>
        <v>-35.347960196143362</v>
      </c>
      <c r="BI80" s="1">
        <f ca="1">OFFSET(A80,0, 5) -0</f>
        <v>-25.219402942150509</v>
      </c>
      <c r="BJ80" s="1">
        <f ca="1">OFFSET(A80,0, 10) -0</f>
        <v>13.260199019283164</v>
      </c>
      <c r="BK80" s="1">
        <f ca="1">OFFSET(A80,0, 2) -0</f>
        <v>17.692835880989378</v>
      </c>
      <c r="BL80" s="1">
        <f ca="1">OFFSET(A80,0, 8) -0</f>
        <v>11.868358234709717</v>
      </c>
      <c r="BM80" s="1">
        <f ca="1">OFFSET(A80,0, 4) -0</f>
        <v>-40.915323334437062</v>
      </c>
      <c r="BN80" s="1">
        <f ca="1">OFFSET(A80,0, 1) -0</f>
        <v>11.996915488702598</v>
      </c>
      <c r="BO80" s="1">
        <f ca="1">OFFSET(A80,0, 17) -0</f>
        <v>33.131641765290283</v>
      </c>
      <c r="BP80" s="1">
        <f ca="1">OFFSET(A80,0, 20) -0</f>
        <v>-9.7805970578494907</v>
      </c>
      <c r="BQ80" s="1">
        <f ca="1">OFFSET(A80,0, 19) -0</f>
        <v>14.523482549863729</v>
      </c>
      <c r="BR80" s="1">
        <f ca="1">OFFSET(A80,0, 22) -0</f>
        <v>-8.388756273276158</v>
      </c>
      <c r="BS80" s="1">
        <f ca="1">OFFSET(A80,0, 14) -0</f>
        <v>-3.9561194115699436</v>
      </c>
      <c r="BT80" s="1">
        <f ca="1">OFFSET(A80,0, 24) -0</f>
        <v>13.003084511297402</v>
      </c>
      <c r="BU80" s="1">
        <f ca="1">OFFSET(A80,0, 18) -0</f>
        <v>38.827562157576949</v>
      </c>
      <c r="BV80" s="1">
        <f ca="1">OFFSET(A80,0, 23) -0</f>
        <v>17.307164119010622</v>
      </c>
      <c r="BW80" s="1">
        <f ca="1">OFFSET(A80,0, 15) -0</f>
        <v>-28.260199019283164</v>
      </c>
      <c r="BX80" s="1">
        <f ca="1">OFFSET(A80,0, 21) -0</f>
        <v>-34.084676665562938</v>
      </c>
      <c r="BY80" s="1">
        <f ca="1">OFFSET(A80,0, 16) -0</f>
        <v>-32.564278626996497</v>
      </c>
      <c r="BZ80" s="1">
        <f ca="1">OFFSET(A80,0, 13) -0</f>
        <v>-9.6520398038566384</v>
      </c>
      <c r="CB80" s="1">
        <f>COUNTIF(B80,"&lt;-69")</f>
        <v>0</v>
      </c>
      <c r="CC80" s="1">
        <f ca="1">COUNTIF(BC80:BN80,"&lt;-49")</f>
        <v>0</v>
      </c>
      <c r="CD80" s="1">
        <f ca="1">COUNTIF(BC80:BN80,"&gt;+49")</f>
        <v>0</v>
      </c>
      <c r="CE80" s="1">
        <f ca="1">COUNTIF(BO80:BZ80,"&lt;-49")</f>
        <v>0</v>
      </c>
      <c r="CF80" s="1">
        <f ca="1">COUNTIF(BO80:BZ80,"&gt;+49")</f>
        <v>0</v>
      </c>
    </row>
    <row r="81" spans="1:84">
      <c r="A81" s="1">
        <v>78</v>
      </c>
      <c r="B81" s="1">
        <f>'Team A 1'!B81-'Team A 1'!$AA81-('Team A 1'!B$2- 12.5)*'Team A 1'!$AC81</f>
        <v>35.964973301144255</v>
      </c>
      <c r="C81" s="1">
        <f>'Team A 1'!C81-'Team A 1'!$AA81-('Team A 1'!C$2- 12.5)*'Team A 1'!$AC81</f>
        <v>11.352077072060865</v>
      </c>
      <c r="D81" s="1">
        <f>'Team A 1'!D81-'Team A 1'!$AA81-('Team A 1'!D$2- 12.5)*'Team A 1'!$AC81</f>
        <v>-3.2608191570225245</v>
      </c>
      <c r="E81" s="1">
        <f>'Team A 1'!E81-'Team A 1'!$AA81-('Team A 1'!E$2- 12.5)*'Team A 1'!$AC81</f>
        <v>-37.873715386105914</v>
      </c>
      <c r="F81" s="1">
        <f>'Team A 1'!F81-'Team A 1'!$AA81-('Team A 1'!F$2- 12.5)*'Team A 1'!$AC81</f>
        <v>-12.486611615189076</v>
      </c>
      <c r="G81" s="1">
        <f>'Team A 1'!G81-'Team A 1'!$AA81-('Team A 1'!G$2- 12.5)*'Team A 1'!$AC81</f>
        <v>32.900492155727534</v>
      </c>
      <c r="H81" s="1">
        <f>'Team A 1'!H81-'Team A 1'!$AA81-('Team A 1'!H$2- 12.5)*'Team A 1'!$AC81</f>
        <v>18.287595926644144</v>
      </c>
      <c r="I81" s="1">
        <f>'Team A 1'!I81-'Team A 1'!$AA81-('Team A 1'!I$2- 12.5)*'Team A 1'!$AC81</f>
        <v>-6.3253003024390182</v>
      </c>
      <c r="J81" s="1">
        <f>'Team A 1'!J81-'Team A 1'!$AA81-('Team A 1'!J$2- 12.5)*'Team A 1'!$AC81</f>
        <v>49.061803468477592</v>
      </c>
      <c r="K81" s="1">
        <f>'Team A 1'!K81-'Team A 1'!$AA81-('Team A 1'!K$2- 12.5)*'Team A 1'!$AC81</f>
        <v>34.448907239394316</v>
      </c>
      <c r="L81" s="1">
        <f>'Team A 1'!L81-'Team A 1'!$AA81-('Team A 1'!L$2- 12.5)*'Team A 1'!$AC81</f>
        <v>-0.16398898968895992</v>
      </c>
      <c r="M81" s="1">
        <f>'Team A 1'!M81-'Team A 1'!$AA81-('Team A 1'!M$2- 12.5)*'Team A 1'!$AC81</f>
        <v>-14.776885218772279</v>
      </c>
      <c r="N81" s="1">
        <f>'Team A 1'!N81-'Team A 1'!$AA81-('Team A 1'!N$2- 12.5)*'Team A 1'!$AC81</f>
        <v>-19.389781447855583</v>
      </c>
      <c r="O81" s="1">
        <f>'Team A 1'!O81-'Team A 1'!$AA81-('Team A 1'!O$2- 12.5)*'Team A 1'!$AC81</f>
        <v>-14.002677676938902</v>
      </c>
      <c r="P81" s="1">
        <f>'Team A 1'!P81-'Team A 1'!$AA81-('Team A 1'!P$2- 12.5)*'Team A 1'!$AC81</f>
        <v>-68.615573906022178</v>
      </c>
      <c r="Q81" s="1">
        <f>'Team A 1'!Q81-'Team A 1'!$AA81-('Team A 1'!Q$2- 12.5)*'Team A 1'!$AC81</f>
        <v>-13.228470135105454</v>
      </c>
      <c r="R81" s="1">
        <f>'Team A 1'!R81-'Team A 1'!$AA81-('Team A 1'!R$2- 12.5)*'Team A 1'!$AC81</f>
        <v>-37.841366364188843</v>
      </c>
      <c r="S81" s="1">
        <f>'Team A 1'!S81-'Team A 1'!$AA81-('Team A 1'!S$2- 12.5)*'Team A 1'!$AC81</f>
        <v>-2.4542625932720057</v>
      </c>
      <c r="T81" s="1">
        <f>'Team A 1'!T81-'Team A 1'!$AA81-('Team A 1'!T$2- 12.5)*'Team A 1'!$AC81</f>
        <v>42.932841177644605</v>
      </c>
      <c r="U81" s="1">
        <f>'Team A 1'!U81-'Team A 1'!$AA81-('Team A 1'!U$2- 12.5)*'Team A 1'!$AC81</f>
        <v>8.3199449485612149</v>
      </c>
      <c r="V81" s="1">
        <f>'Team A 1'!V81-'Team A 1'!$AA81-('Team A 1'!V$2- 12.5)*'Team A 1'!$AC81</f>
        <v>-16.292951280521947</v>
      </c>
      <c r="W81" s="1">
        <f>'Team A 1'!W81-'Team A 1'!$AA81-('Team A 1'!W$2- 12.5)*'Team A 1'!$AC81</f>
        <v>-0.90584750960533711</v>
      </c>
      <c r="X81" s="1">
        <f>'Team A 1'!X81-'Team A 1'!$AA81-('Team A 1'!X$2- 12.5)*'Team A 1'!$AC81</f>
        <v>-5.5187437386887268</v>
      </c>
      <c r="Y81" s="1">
        <f>'Team A 1'!Y81-'Team A 1'!$AA81-('Team A 1'!Y$2- 12.5)*'Team A 1'!$AC81</f>
        <v>19.868360032227883</v>
      </c>
      <c r="AB81" s="1">
        <f>STDEV(B81:Y81)</f>
        <v>27.811035112162916</v>
      </c>
      <c r="AD81" s="5">
        <v>5</v>
      </c>
      <c r="AE81" s="5" t="s">
        <v>47</v>
      </c>
      <c r="AF81" s="5" t="s">
        <v>46</v>
      </c>
      <c r="AG81" s="5">
        <v>9</v>
      </c>
      <c r="AH81" s="5">
        <v>7</v>
      </c>
      <c r="AI81" s="5">
        <v>1</v>
      </c>
      <c r="AJ81" s="5">
        <v>2</v>
      </c>
      <c r="AK81" s="5">
        <v>3</v>
      </c>
      <c r="AL81" s="5">
        <v>4</v>
      </c>
      <c r="AM81" s="5" t="s">
        <v>45</v>
      </c>
      <c r="AN81" s="5">
        <v>6</v>
      </c>
      <c r="AO81" s="5">
        <v>8</v>
      </c>
      <c r="AP81" s="5" t="s">
        <v>47</v>
      </c>
      <c r="AQ81" s="5">
        <v>5</v>
      </c>
      <c r="AR81" s="5">
        <v>9</v>
      </c>
      <c r="AS81" s="5" t="s">
        <v>46</v>
      </c>
      <c r="AT81" s="5">
        <v>7</v>
      </c>
      <c r="AU81" s="5">
        <v>2</v>
      </c>
      <c r="AV81" s="5">
        <v>1</v>
      </c>
      <c r="AW81" s="5">
        <v>3</v>
      </c>
      <c r="AX81" s="5" t="s">
        <v>45</v>
      </c>
      <c r="AY81" s="5">
        <v>4</v>
      </c>
      <c r="AZ81" s="5">
        <v>8</v>
      </c>
      <c r="BA81" s="5">
        <v>6</v>
      </c>
      <c r="BB81" s="5"/>
      <c r="BC81" s="1">
        <f ca="1">OFFSET(A81,0, 6) -0</f>
        <v>32.900492155727534</v>
      </c>
      <c r="BD81" s="1">
        <f ca="1">OFFSET(A81,0, 7) -0</f>
        <v>18.287595926644144</v>
      </c>
      <c r="BE81" s="1">
        <f ca="1">OFFSET(A81,0, 8) -0</f>
        <v>-6.3253003024390182</v>
      </c>
      <c r="BF81" s="1">
        <f ca="1">OFFSET(A81,0, 9) -0</f>
        <v>49.061803468477592</v>
      </c>
      <c r="BG81" s="1">
        <f ca="1">OFFSET(A81,0, 1) -0</f>
        <v>35.964973301144255</v>
      </c>
      <c r="BH81" s="1">
        <f ca="1">OFFSET(A81,0, 11) -0</f>
        <v>-0.16398898968895992</v>
      </c>
      <c r="BI81" s="1">
        <f ca="1">OFFSET(A81,0, 5) -0</f>
        <v>-12.486611615189076</v>
      </c>
      <c r="BJ81" s="1">
        <f ca="1">OFFSET(A81,0, 12) -0</f>
        <v>-14.776885218772279</v>
      </c>
      <c r="BK81" s="1">
        <f ca="1">OFFSET(A81,0, 4) -0</f>
        <v>-37.873715386105914</v>
      </c>
      <c r="BL81" s="1">
        <f ca="1">OFFSET(A81,0, 10) -0</f>
        <v>34.448907239394316</v>
      </c>
      <c r="BM81" s="1">
        <f ca="1">OFFSET(A81,0, 3) -0</f>
        <v>-3.2608191570225245</v>
      </c>
      <c r="BN81" s="1">
        <f ca="1">OFFSET(A81,0, 2) -0</f>
        <v>11.352077072060865</v>
      </c>
      <c r="BO81" s="1">
        <f ca="1">OFFSET(A81,0, 19) -0</f>
        <v>42.932841177644605</v>
      </c>
      <c r="BP81" s="1">
        <f ca="1">OFFSET(A81,0, 18) -0</f>
        <v>-2.4542625932720057</v>
      </c>
      <c r="BQ81" s="1">
        <f ca="1">OFFSET(A81,0, 20) -0</f>
        <v>8.3199449485612149</v>
      </c>
      <c r="BR81" s="1">
        <f ca="1">OFFSET(A81,0, 22) -0</f>
        <v>-0.90584750960533711</v>
      </c>
      <c r="BS81" s="1">
        <f ca="1">OFFSET(A81,0, 14) -0</f>
        <v>-14.002677676938902</v>
      </c>
      <c r="BT81" s="1">
        <f ca="1">OFFSET(A81,0, 24) -0</f>
        <v>19.868360032227883</v>
      </c>
      <c r="BU81" s="1">
        <f ca="1">OFFSET(A81,0, 17) -0</f>
        <v>-37.841366364188843</v>
      </c>
      <c r="BV81" s="1">
        <f ca="1">OFFSET(A81,0, 23) -0</f>
        <v>-5.5187437386887268</v>
      </c>
      <c r="BW81" s="1">
        <f ca="1">OFFSET(A81,0, 15) -0</f>
        <v>-68.615573906022178</v>
      </c>
      <c r="BX81" s="1">
        <f ca="1">OFFSET(A81,0, 21) -0</f>
        <v>-16.292951280521947</v>
      </c>
      <c r="BY81" s="1">
        <f ca="1">OFFSET(A81,0, 16) -0</f>
        <v>-13.228470135105454</v>
      </c>
      <c r="BZ81" s="1">
        <f ca="1">OFFSET(A81,0, 13) -0</f>
        <v>-19.389781447855583</v>
      </c>
      <c r="CB81" s="1">
        <f>COUNTIF(B81,"&lt;-69")</f>
        <v>0</v>
      </c>
      <c r="CC81" s="1">
        <f ca="1">COUNTIF(BC81:BN81,"&lt;-49")</f>
        <v>0</v>
      </c>
      <c r="CD81" s="1">
        <f ca="1">COUNTIF(BC81:BN81,"&gt;+49")</f>
        <v>1</v>
      </c>
      <c r="CE81" s="1">
        <f ca="1">COUNTIF(BO81:BZ81,"&lt;-49")</f>
        <v>1</v>
      </c>
      <c r="CF81" s="1">
        <f ca="1">COUNTIF(BO81:BZ81,"&gt;+49")</f>
        <v>0</v>
      </c>
    </row>
    <row r="82" spans="1:84">
      <c r="A82" s="1">
        <v>79</v>
      </c>
      <c r="B82" s="1">
        <f>'Team A 1'!B82-'Team A 1'!$AA82-('Team A 1'!B$2- 12.5)*'Team A 1'!$AC82</f>
        <v>37.252133633379344</v>
      </c>
      <c r="C82" s="1">
        <f>'Team A 1'!C82-'Team A 1'!$AA82-('Team A 1'!C$2- 12.5)*'Team A 1'!$AC82</f>
        <v>22.889629259460662</v>
      </c>
      <c r="D82" s="1">
        <f>'Team A 1'!D82-'Team A 1'!$AA82-('Team A 1'!D$2- 12.5)*'Team A 1'!$AC82</f>
        <v>-1.4728751144580201</v>
      </c>
      <c r="E82" s="1">
        <f>'Team A 1'!E82-'Team A 1'!$AA82-('Team A 1'!E$2- 12.5)*'Team A 1'!$AC82</f>
        <v>-45.835379488376702</v>
      </c>
      <c r="F82" s="1">
        <f>'Team A 1'!F82-'Team A 1'!$AA82-('Team A 1'!F$2- 12.5)*'Team A 1'!$AC82</f>
        <v>9.8021161377043882</v>
      </c>
      <c r="G82" s="1">
        <f>'Team A 1'!G82-'Team A 1'!$AA82-('Team A 1'!G$2- 12.5)*'Team A 1'!$AC82</f>
        <v>5.439611763785706</v>
      </c>
      <c r="H82" s="1">
        <f>'Team A 1'!H82-'Team A 1'!$AA82-('Team A 1'!H$2- 12.5)*'Team A 1'!$AC82</f>
        <v>21.077107389867024</v>
      </c>
      <c r="I82" s="1">
        <f>'Team A 1'!I82-'Team A 1'!$AA82-('Team A 1'!I$2- 12.5)*'Team A 1'!$AC82</f>
        <v>26.714603015948228</v>
      </c>
      <c r="J82" s="1">
        <f>'Team A 1'!J82-'Team A 1'!$AA82-('Team A 1'!J$2- 12.5)*'Team A 1'!$AC82</f>
        <v>12.352098642029546</v>
      </c>
      <c r="K82" s="1">
        <f>'Team A 1'!K82-'Team A 1'!$AA82-('Team A 1'!K$2- 12.5)*'Team A 1'!$AC82</f>
        <v>27.98959426811075</v>
      </c>
      <c r="L82" s="1">
        <f>'Team A 1'!L82-'Team A 1'!$AA82-('Team A 1'!L$2- 12.5)*'Team A 1'!$AC82</f>
        <v>-6.3729101058079323</v>
      </c>
      <c r="M82" s="1">
        <f>'Team A 1'!M82-'Team A 1'!$AA82-('Team A 1'!M$2- 12.5)*'Team A 1'!$AC82</f>
        <v>-20.7354144797267</v>
      </c>
      <c r="N82" s="1">
        <f>'Team A 1'!N82-'Team A 1'!$AA82-('Team A 1'!N$2- 12.5)*'Team A 1'!$AC82</f>
        <v>-55.097918853645439</v>
      </c>
      <c r="O82" s="1">
        <f>'Team A 1'!O82-'Team A 1'!$AA82-('Team A 1'!O$2- 12.5)*'Team A 1'!$AC82</f>
        <v>-9.4604232275642062</v>
      </c>
      <c r="P82" s="1">
        <f>'Team A 1'!P82-'Team A 1'!$AA82-('Team A 1'!P$2- 12.5)*'Team A 1'!$AC82</f>
        <v>-13.822927601482888</v>
      </c>
      <c r="Q82" s="1">
        <f>'Team A 1'!Q82-'Team A 1'!$AA82-('Team A 1'!Q$2- 12.5)*'Team A 1'!$AC82</f>
        <v>21.814568024598316</v>
      </c>
      <c r="R82" s="1">
        <f>'Team A 1'!R82-'Team A 1'!$AA82-('Team A 1'!R$2- 12.5)*'Team A 1'!$AC82</f>
        <v>-22.547936349320366</v>
      </c>
      <c r="S82" s="1">
        <f>'Team A 1'!S82-'Team A 1'!$AA82-('Team A 1'!S$2- 12.5)*'Team A 1'!$AC82</f>
        <v>-26.910440723239162</v>
      </c>
      <c r="T82" s="1">
        <f>'Team A 1'!T82-'Team A 1'!$AA82-('Team A 1'!T$2- 12.5)*'Team A 1'!$AC82</f>
        <v>28.727054902842156</v>
      </c>
      <c r="U82" s="1">
        <f>'Team A 1'!U82-'Team A 1'!$AA82-('Team A 1'!U$2- 12.5)*'Team A 1'!$AC82</f>
        <v>4.3645505289234734</v>
      </c>
      <c r="V82" s="1">
        <f>'Team A 1'!V82-'Team A 1'!$AA82-('Team A 1'!V$2- 12.5)*'Team A 1'!$AC82</f>
        <v>2.0461550045638432E-3</v>
      </c>
      <c r="W82" s="1">
        <f>'Team A 1'!W82-'Team A 1'!$AA82-('Team A 1'!W$2- 12.5)*'Team A 1'!$AC82</f>
        <v>15.639541781085882</v>
      </c>
      <c r="X82" s="1">
        <f>'Team A 1'!X82-'Team A 1'!$AA82-('Team A 1'!X$2- 12.5)*'Team A 1'!$AC82</f>
        <v>-28.722962592832801</v>
      </c>
      <c r="Y82" s="1">
        <f>'Team A 1'!Y82-'Team A 1'!$AA82-('Team A 1'!Y$2- 12.5)*'Team A 1'!$AC82</f>
        <v>-3.0854669667514827</v>
      </c>
      <c r="AB82" s="1">
        <f>STDEV(B82:Y82)</f>
        <v>24.364160765235901</v>
      </c>
      <c r="AD82" s="5">
        <v>5</v>
      </c>
      <c r="AE82" s="5" t="s">
        <v>47</v>
      </c>
      <c r="AF82" s="5" t="s">
        <v>46</v>
      </c>
      <c r="AG82" s="5">
        <v>9</v>
      </c>
      <c r="AH82" s="5">
        <v>2</v>
      </c>
      <c r="AI82" s="5">
        <v>7</v>
      </c>
      <c r="AJ82" s="5">
        <v>3</v>
      </c>
      <c r="AK82" s="5">
        <v>1</v>
      </c>
      <c r="AL82" s="5">
        <v>4</v>
      </c>
      <c r="AM82" s="5" t="s">
        <v>45</v>
      </c>
      <c r="AN82" s="5">
        <v>6</v>
      </c>
      <c r="AO82" s="5">
        <v>8</v>
      </c>
      <c r="AP82" s="5">
        <v>5</v>
      </c>
      <c r="AQ82" s="5" t="s">
        <v>46</v>
      </c>
      <c r="AR82" s="5" t="s">
        <v>47</v>
      </c>
      <c r="AS82" s="5">
        <v>2</v>
      </c>
      <c r="AT82" s="5">
        <v>9</v>
      </c>
      <c r="AU82" s="5">
        <v>7</v>
      </c>
      <c r="AV82" s="5">
        <v>1</v>
      </c>
      <c r="AW82" s="5">
        <v>3</v>
      </c>
      <c r="AX82" s="5">
        <v>4</v>
      </c>
      <c r="AY82" s="5">
        <v>6</v>
      </c>
      <c r="AZ82" s="5" t="s">
        <v>45</v>
      </c>
      <c r="BA82" s="5">
        <v>8</v>
      </c>
      <c r="BB82" s="5"/>
      <c r="BC82" s="1">
        <f ca="1">OFFSET(A82,0, 8) -0</f>
        <v>26.714603015948228</v>
      </c>
      <c r="BD82" s="1">
        <f ca="1">OFFSET(A82,0, 5) -0</f>
        <v>9.8021161377043882</v>
      </c>
      <c r="BE82" s="1">
        <f ca="1">OFFSET(A82,0, 7) -0</f>
        <v>21.077107389867024</v>
      </c>
      <c r="BF82" s="1">
        <f ca="1">OFFSET(A82,0, 9) -0</f>
        <v>12.352098642029546</v>
      </c>
      <c r="BG82" s="1">
        <f ca="1">OFFSET(A82,0, 1) -0</f>
        <v>37.252133633379344</v>
      </c>
      <c r="BH82" s="1">
        <f ca="1">OFFSET(A82,0, 11) -0</f>
        <v>-6.3729101058079323</v>
      </c>
      <c r="BI82" s="1">
        <f ca="1">OFFSET(A82,0, 6) -0</f>
        <v>5.439611763785706</v>
      </c>
      <c r="BJ82" s="1">
        <f ca="1">OFFSET(A82,0, 12) -0</f>
        <v>-20.7354144797267</v>
      </c>
      <c r="BK82" s="1">
        <f ca="1">OFFSET(A82,0, 4) -0</f>
        <v>-45.835379488376702</v>
      </c>
      <c r="BL82" s="1">
        <f ca="1">OFFSET(A82,0, 10) -0</f>
        <v>27.98959426811075</v>
      </c>
      <c r="BM82" s="1">
        <f ca="1">OFFSET(A82,0, 3) -0</f>
        <v>-1.4728751144580201</v>
      </c>
      <c r="BN82" s="1">
        <f ca="1">OFFSET(A82,0, 2) -0</f>
        <v>22.889629259460662</v>
      </c>
      <c r="BO82" s="1">
        <f ca="1">OFFSET(A82,0, 19) -0</f>
        <v>28.727054902842156</v>
      </c>
      <c r="BP82" s="1">
        <f ca="1">OFFSET(A82,0, 16) -0</f>
        <v>21.814568024598316</v>
      </c>
      <c r="BQ82" s="1">
        <f ca="1">OFFSET(A82,0, 20) -0</f>
        <v>4.3645505289234734</v>
      </c>
      <c r="BR82" s="1">
        <f ca="1">OFFSET(A82,0, 21) -0</f>
        <v>2.0461550045638432E-3</v>
      </c>
      <c r="BS82" s="1">
        <f ca="1">OFFSET(A82,0, 13) -0</f>
        <v>-55.097918853645439</v>
      </c>
      <c r="BT82" s="1">
        <f ca="1">OFFSET(A82,0, 22) -0</f>
        <v>15.639541781085882</v>
      </c>
      <c r="BU82" s="1">
        <f ca="1">OFFSET(A82,0, 18) -0</f>
        <v>-26.910440723239162</v>
      </c>
      <c r="BV82" s="1">
        <f ca="1">OFFSET(A82,0, 24) -0</f>
        <v>-3.0854669667514827</v>
      </c>
      <c r="BW82" s="1">
        <f ca="1">OFFSET(A82,0, 17) -0</f>
        <v>-22.547936349320366</v>
      </c>
      <c r="BX82" s="1">
        <f ca="1">OFFSET(A82,0, 23) -0</f>
        <v>-28.722962592832801</v>
      </c>
      <c r="BY82" s="1">
        <f ca="1">OFFSET(A82,0, 14) -0</f>
        <v>-9.4604232275642062</v>
      </c>
      <c r="BZ82" s="1">
        <f ca="1">OFFSET(A82,0, 15) -0</f>
        <v>-13.822927601482888</v>
      </c>
      <c r="CB82" s="1">
        <f>COUNTIF(B82,"&lt;-69")</f>
        <v>0</v>
      </c>
      <c r="CC82" s="1">
        <f ca="1">COUNTIF(BC82:BN82,"&lt;-49")</f>
        <v>0</v>
      </c>
      <c r="CD82" s="1">
        <f ca="1">COUNTIF(BC82:BN82,"&gt;+49")</f>
        <v>0</v>
      </c>
      <c r="CE82" s="1">
        <f ca="1">COUNTIF(BO82:BZ82,"&lt;-49")</f>
        <v>1</v>
      </c>
      <c r="CF82" s="1">
        <f ca="1">COUNTIF(BO82:BZ82,"&gt;+49")</f>
        <v>0</v>
      </c>
    </row>
    <row r="83" spans="1:84">
      <c r="A83" s="1">
        <v>80</v>
      </c>
      <c r="B83" s="1">
        <f>'Team A 1'!B83-'Team A 1'!$AA83-('Team A 1'!B$2- 12.5)*'Team A 1'!$AC83</f>
        <v>-25.607923742829826</v>
      </c>
      <c r="C83" s="1">
        <f>'Team A 1'!C83-'Team A 1'!$AA83-('Team A 1'!C$2- 12.5)*'Team A 1'!$AC83</f>
        <v>-10.337669504322776</v>
      </c>
      <c r="D83" s="1">
        <f>'Team A 1'!D83-'Team A 1'!$AA83-('Team A 1'!D$2- 12.5)*'Team A 1'!$AC83</f>
        <v>14.932584734184047</v>
      </c>
      <c r="E83" s="1">
        <f>'Team A 1'!E83-'Team A 1'!$AA83-('Team A 1'!E$2- 12.5)*'Team A 1'!$AC83</f>
        <v>60.202838972691097</v>
      </c>
      <c r="F83" s="1">
        <f>'Team A 1'!F83-'Team A 1'!$AA83-('Team A 1'!F$2- 12.5)*'Team A 1'!$AC83</f>
        <v>-14.52690678880208</v>
      </c>
      <c r="G83" s="1">
        <f>'Team A 1'!G83-'Team A 1'!$AA83-('Team A 1'!G$2- 12.5)*'Team A 1'!$AC83</f>
        <v>-9.2566525502950299</v>
      </c>
      <c r="H83" s="1">
        <f>'Team A 1'!H83-'Team A 1'!$AA83-('Team A 1'!H$2- 12.5)*'Team A 1'!$AC83</f>
        <v>-3.9863983117882071</v>
      </c>
      <c r="I83" s="1">
        <f>'Team A 1'!I83-'Team A 1'!$AA83-('Team A 1'!I$2- 12.5)*'Team A 1'!$AC83</f>
        <v>41.283855926718843</v>
      </c>
      <c r="J83" s="1">
        <f>'Team A 1'!J83-'Team A 1'!$AA83-('Team A 1'!J$2- 12.5)*'Team A 1'!$AC83</f>
        <v>-3.4458898347743343</v>
      </c>
      <c r="K83" s="1">
        <f>'Team A 1'!K83-'Team A 1'!$AA83-('Team A 1'!K$2- 12.5)*'Team A 1'!$AC83</f>
        <v>21.824364403732659</v>
      </c>
      <c r="L83" s="1">
        <f>'Team A 1'!L83-'Team A 1'!$AA83-('Team A 1'!L$2- 12.5)*'Team A 1'!$AC83</f>
        <v>-12.905381357760405</v>
      </c>
      <c r="M83" s="1">
        <f>'Team A 1'!M83-'Team A 1'!$AA83-('Team A 1'!M$2- 12.5)*'Team A 1'!$AC83</f>
        <v>32.364872880746532</v>
      </c>
      <c r="N83" s="1">
        <f>'Team A 1'!N83-'Team A 1'!$AA83-('Team A 1'!N$2- 12.5)*'Team A 1'!$AC83</f>
        <v>-32.364872880746532</v>
      </c>
      <c r="O83" s="1">
        <f>'Team A 1'!O83-'Team A 1'!$AA83-('Team A 1'!O$2- 12.5)*'Team A 1'!$AC83</f>
        <v>-27.094618642239595</v>
      </c>
      <c r="P83" s="1">
        <f>'Team A 1'!P83-'Team A 1'!$AA83-('Team A 1'!P$2- 12.5)*'Team A 1'!$AC83</f>
        <v>-21.824364403732659</v>
      </c>
      <c r="Q83" s="1">
        <f>'Team A 1'!Q83-'Team A 1'!$AA83-('Team A 1'!Q$2- 12.5)*'Team A 1'!$AC83</f>
        <v>-6.5541101652256657</v>
      </c>
      <c r="R83" s="1">
        <f>'Team A 1'!R83-'Team A 1'!$AA83-('Team A 1'!R$2- 12.5)*'Team A 1'!$AC83</f>
        <v>-1.283855926718843</v>
      </c>
      <c r="S83" s="1">
        <f>'Team A 1'!S83-'Team A 1'!$AA83-('Team A 1'!S$2- 12.5)*'Team A 1'!$AC83</f>
        <v>-36.013601688211793</v>
      </c>
      <c r="T83" s="1">
        <f>'Team A 1'!T83-'Team A 1'!$AA83-('Team A 1'!T$2- 12.5)*'Team A 1'!$AC83</f>
        <v>9.2566525502950299</v>
      </c>
      <c r="U83" s="1">
        <f>'Team A 1'!U83-'Team A 1'!$AA83-('Team A 1'!U$2- 12.5)*'Team A 1'!$AC83</f>
        <v>4.52690678880208</v>
      </c>
      <c r="V83" s="1">
        <f>'Team A 1'!V83-'Team A 1'!$AA83-('Team A 1'!V$2- 12.5)*'Team A 1'!$AC83</f>
        <v>29.797161027308903</v>
      </c>
      <c r="W83" s="1">
        <f>'Team A 1'!W83-'Team A 1'!$AA83-('Team A 1'!W$2- 12.5)*'Team A 1'!$AC83</f>
        <v>-4.9325847341840472</v>
      </c>
      <c r="X83" s="1">
        <f>'Team A 1'!X83-'Team A 1'!$AA83-('Team A 1'!X$2- 12.5)*'Team A 1'!$AC83</f>
        <v>-9.6623304956772245</v>
      </c>
      <c r="Y83" s="1">
        <f>'Team A 1'!Y83-'Team A 1'!$AA83-('Team A 1'!Y$2- 12.5)*'Team A 1'!$AC83</f>
        <v>5.6079237428298256</v>
      </c>
      <c r="AB83" s="1">
        <f>STDEV(B83:Y83)</f>
        <v>23.839911982663534</v>
      </c>
      <c r="AD83" s="5" t="s">
        <v>46</v>
      </c>
      <c r="AE83" s="5">
        <v>5</v>
      </c>
      <c r="AF83" s="5">
        <v>2</v>
      </c>
      <c r="AG83" s="5" t="s">
        <v>47</v>
      </c>
      <c r="AH83" s="5">
        <v>7</v>
      </c>
      <c r="AI83" s="5">
        <v>9</v>
      </c>
      <c r="AJ83" s="5">
        <v>3</v>
      </c>
      <c r="AK83" s="5">
        <v>1</v>
      </c>
      <c r="AL83" s="5">
        <v>6</v>
      </c>
      <c r="AM83" s="5">
        <v>4</v>
      </c>
      <c r="AN83" s="5">
        <v>8</v>
      </c>
      <c r="AO83" s="5" t="s">
        <v>45</v>
      </c>
      <c r="AP83" s="5">
        <v>5</v>
      </c>
      <c r="AQ83" s="5" t="s">
        <v>46</v>
      </c>
      <c r="AR83" s="5" t="s">
        <v>47</v>
      </c>
      <c r="AS83" s="5">
        <v>2</v>
      </c>
      <c r="AT83" s="5">
        <v>9</v>
      </c>
      <c r="AU83" s="5">
        <v>7</v>
      </c>
      <c r="AV83" s="5">
        <v>3</v>
      </c>
      <c r="AW83" s="5">
        <v>6</v>
      </c>
      <c r="AX83" s="5">
        <v>1</v>
      </c>
      <c r="AY83" s="5">
        <v>4</v>
      </c>
      <c r="AZ83" s="5" t="s">
        <v>45</v>
      </c>
      <c r="BA83" s="5">
        <v>8</v>
      </c>
      <c r="BB83" s="5"/>
      <c r="BC83" s="1">
        <f ca="1">OFFSET(A83,0, 8) -0</f>
        <v>41.283855926718843</v>
      </c>
      <c r="BD83" s="1">
        <f ca="1">OFFSET(A83,0, 3) -0</f>
        <v>14.932584734184047</v>
      </c>
      <c r="BE83" s="1">
        <f ca="1">OFFSET(A83,0, 7) -0</f>
        <v>-3.9863983117882071</v>
      </c>
      <c r="BF83" s="1">
        <f ca="1">OFFSET(A83,0, 10) -0</f>
        <v>21.824364403732659</v>
      </c>
      <c r="BG83" s="1">
        <f ca="1">OFFSET(A83,0, 2) -0</f>
        <v>-10.337669504322776</v>
      </c>
      <c r="BH83" s="1">
        <f ca="1">OFFSET(A83,0, 9) -0</f>
        <v>-3.4458898347743343</v>
      </c>
      <c r="BI83" s="1">
        <f ca="1">OFFSET(A83,0, 5) -0</f>
        <v>-14.52690678880208</v>
      </c>
      <c r="BJ83" s="1">
        <f ca="1">OFFSET(A83,0, 11) -0</f>
        <v>-12.905381357760405</v>
      </c>
      <c r="BK83" s="1">
        <f ca="1">OFFSET(A83,0, 6) -0</f>
        <v>-9.2566525502950299</v>
      </c>
      <c r="BL83" s="1">
        <f ca="1">OFFSET(A83,0, 12) -0</f>
        <v>32.364872880746532</v>
      </c>
      <c r="BM83" s="1">
        <f ca="1">OFFSET(A83,0, 1) -0</f>
        <v>-25.607923742829826</v>
      </c>
      <c r="BN83" s="1">
        <f ca="1">OFFSET(A83,0, 4) -0</f>
        <v>60.202838972691097</v>
      </c>
      <c r="BO83" s="1">
        <f ca="1">OFFSET(A83,0, 21) -0</f>
        <v>29.797161027308903</v>
      </c>
      <c r="BP83" s="1">
        <f ca="1">OFFSET(A83,0, 16) -0</f>
        <v>-6.5541101652256657</v>
      </c>
      <c r="BQ83" s="1">
        <f ca="1">OFFSET(A83,0, 19) -0</f>
        <v>9.2566525502950299</v>
      </c>
      <c r="BR83" s="1">
        <f ca="1">OFFSET(A83,0, 22) -0</f>
        <v>-4.9325847341840472</v>
      </c>
      <c r="BS83" s="1">
        <f ca="1">OFFSET(A83,0, 13) -0</f>
        <v>-32.364872880746532</v>
      </c>
      <c r="BT83" s="1">
        <f ca="1">OFFSET(A83,0, 20) -0</f>
        <v>4.52690678880208</v>
      </c>
      <c r="BU83" s="1">
        <f ca="1">OFFSET(A83,0, 18) -0</f>
        <v>-36.013601688211793</v>
      </c>
      <c r="BV83" s="1">
        <f ca="1">OFFSET(A83,0, 24) -0</f>
        <v>5.6079237428298256</v>
      </c>
      <c r="BW83" s="1">
        <f ca="1">OFFSET(A83,0, 17) -0</f>
        <v>-1.283855926718843</v>
      </c>
      <c r="BX83" s="1">
        <f ca="1">OFFSET(A83,0, 23) -0</f>
        <v>-9.6623304956772245</v>
      </c>
      <c r="BY83" s="1">
        <f ca="1">OFFSET(A83,0, 14) -0</f>
        <v>-27.094618642239595</v>
      </c>
      <c r="BZ83" s="1">
        <f ca="1">OFFSET(A83,0, 15) -0</f>
        <v>-21.824364403732659</v>
      </c>
      <c r="CB83" s="1">
        <f>COUNTIF(B83,"&lt;-69")</f>
        <v>0</v>
      </c>
      <c r="CC83" s="1">
        <f ca="1">COUNTIF(BC83:BN83,"&lt;-49")</f>
        <v>0</v>
      </c>
      <c r="CD83" s="1">
        <f ca="1">COUNTIF(BC83:BN83,"&gt;+49")</f>
        <v>1</v>
      </c>
      <c r="CE83" s="1">
        <f ca="1">COUNTIF(BO83:BZ83,"&lt;-49")</f>
        <v>0</v>
      </c>
      <c r="CF83" s="1">
        <f ca="1">COUNTIF(BO83:BZ83,"&gt;+49")</f>
        <v>0</v>
      </c>
    </row>
    <row r="84" spans="1:84">
      <c r="A84" s="1">
        <v>81</v>
      </c>
      <c r="B84" s="1">
        <f>'Team A 1'!B84-'Team A 1'!$AA84-('Team A 1'!B$2- 12.5)*'Team A 1'!$AC84</f>
        <v>-18.544515705384583</v>
      </c>
      <c r="C84" s="1">
        <f>'Team A 1'!C84-'Team A 1'!$AA84-('Team A 1'!C$2- 12.5)*'Team A 1'!$AC84</f>
        <v>5.7492102979804258</v>
      </c>
      <c r="D84" s="1">
        <f>'Team A 1'!D84-'Team A 1'!$AA84-('Team A 1'!D$2- 12.5)*'Team A 1'!$AC84</f>
        <v>4.2936301345434913E-2</v>
      </c>
      <c r="E84" s="1">
        <f>'Team A 1'!E84-'Team A 1'!$AA84-('Team A 1'!E$2- 12.5)*'Team A 1'!$AC84</f>
        <v>14.336662304710671</v>
      </c>
      <c r="F84" s="1">
        <f>'Team A 1'!F84-'Team A 1'!$AA84-('Team A 1'!F$2- 12.5)*'Team A 1'!$AC84</f>
        <v>18.63038830807568</v>
      </c>
      <c r="G84" s="1">
        <f>'Team A 1'!G84-'Team A 1'!$AA84-('Team A 1'!G$2- 12.5)*'Team A 1'!$AC84</f>
        <v>-37.075885688559083</v>
      </c>
      <c r="H84" s="1">
        <f>'Team A 1'!H84-'Team A 1'!$AA84-('Team A 1'!H$2- 12.5)*'Team A 1'!$AC84</f>
        <v>37.217840314805926</v>
      </c>
      <c r="I84" s="1">
        <f>'Team A 1'!I84-'Team A 1'!$AA84-('Team A 1'!I$2- 12.5)*'Team A 1'!$AC84</f>
        <v>-28.488433681828951</v>
      </c>
      <c r="J84" s="1">
        <f>'Team A 1'!J84-'Team A 1'!$AA84-('Team A 1'!J$2- 12.5)*'Team A 1'!$AC84</f>
        <v>45.805292321536058</v>
      </c>
      <c r="K84" s="1">
        <f>'Team A 1'!K84-'Team A 1'!$AA84-('Team A 1'!K$2- 12.5)*'Team A 1'!$AC84</f>
        <v>50.099018324901181</v>
      </c>
      <c r="L84" s="1">
        <f>'Team A 1'!L84-'Team A 1'!$AA84-('Team A 1'!L$2- 12.5)*'Team A 1'!$AC84</f>
        <v>-25.607255671733697</v>
      </c>
      <c r="M84" s="1">
        <f>'Team A 1'!M84-'Team A 1'!$AA84-('Team A 1'!M$2- 12.5)*'Team A 1'!$AC84</f>
        <v>8.6864703316313836</v>
      </c>
      <c r="N84" s="1">
        <f>'Team A 1'!N84-'Team A 1'!$AA84-('Team A 1'!N$2- 12.5)*'Team A 1'!$AC84</f>
        <v>-37.019803665003522</v>
      </c>
      <c r="O84" s="1">
        <f>'Team A 1'!O84-'Team A 1'!$AA84-('Team A 1'!O$2- 12.5)*'Team A 1'!$AC84</f>
        <v>-2.7260776616384419</v>
      </c>
      <c r="P84" s="1">
        <f>'Team A 1'!P84-'Team A 1'!$AA84-('Team A 1'!P$2- 12.5)*'Team A 1'!$AC84</f>
        <v>11.567648341726681</v>
      </c>
      <c r="Q84" s="1">
        <f>'Team A 1'!Q84-'Team A 1'!$AA84-('Team A 1'!Q$2- 12.5)*'Team A 1'!$AC84</f>
        <v>25.861374345091804</v>
      </c>
      <c r="R84" s="1">
        <f>'Team A 1'!R84-'Team A 1'!$AA84-('Team A 1'!R$2- 12.5)*'Team A 1'!$AC84</f>
        <v>-29.844899651543187</v>
      </c>
      <c r="S84" s="1">
        <f>'Team A 1'!S84-'Team A 1'!$AA84-('Team A 1'!S$2- 12.5)*'Team A 1'!$AC84</f>
        <v>-5.5511736481780645</v>
      </c>
      <c r="T84" s="1">
        <f>'Team A 1'!T84-'Team A 1'!$AA84-('Team A 1'!T$2- 12.5)*'Team A 1'!$AC84</f>
        <v>-41.257447644813055</v>
      </c>
      <c r="U84" s="1">
        <f>'Team A 1'!U84-'Team A 1'!$AA84-('Team A 1'!U$2- 12.5)*'Team A 1'!$AC84</f>
        <v>-6.9637216414478189</v>
      </c>
      <c r="V84" s="1">
        <f>'Team A 1'!V84-'Team A 1'!$AA84-('Team A 1'!V$2- 12.5)*'Team A 1'!$AC84</f>
        <v>27.33000436191719</v>
      </c>
      <c r="W84" s="1">
        <f>'Team A 1'!W84-'Team A 1'!$AA84-('Team A 1'!W$2- 12.5)*'Team A 1'!$AC84</f>
        <v>11.623730365282427</v>
      </c>
      <c r="X84" s="1">
        <f>'Team A 1'!X84-'Team A 1'!$AA84-('Team A 1'!X$2- 12.5)*'Team A 1'!$AC84</f>
        <v>-24.082543631352564</v>
      </c>
      <c r="Y84" s="1">
        <f>'Team A 1'!Y84-'Team A 1'!$AA84-('Team A 1'!Y$2- 12.5)*'Team A 1'!$AC84</f>
        <v>0.21118237201244483</v>
      </c>
      <c r="AB84" s="1">
        <f>STDEV(B84:Y84)</f>
        <v>26.502636765914467</v>
      </c>
      <c r="AD84" s="5" t="s">
        <v>46</v>
      </c>
      <c r="AE84" s="5">
        <v>5</v>
      </c>
      <c r="AF84" s="5">
        <v>2</v>
      </c>
      <c r="AG84" s="5" t="s">
        <v>47</v>
      </c>
      <c r="AH84" s="5">
        <v>7</v>
      </c>
      <c r="AI84" s="5">
        <v>9</v>
      </c>
      <c r="AJ84" s="5">
        <v>6</v>
      </c>
      <c r="AK84" s="5">
        <v>3</v>
      </c>
      <c r="AL84" s="5">
        <v>4</v>
      </c>
      <c r="AM84" s="5">
        <v>1</v>
      </c>
      <c r="AN84" s="5">
        <v>8</v>
      </c>
      <c r="AO84" s="5" t="s">
        <v>45</v>
      </c>
      <c r="AP84" s="5" t="s">
        <v>46</v>
      </c>
      <c r="AQ84" s="5">
        <v>2</v>
      </c>
      <c r="AR84" s="5">
        <v>5</v>
      </c>
      <c r="AS84" s="5">
        <v>7</v>
      </c>
      <c r="AT84" s="5" t="s">
        <v>47</v>
      </c>
      <c r="AU84" s="5">
        <v>6</v>
      </c>
      <c r="AV84" s="5">
        <v>9</v>
      </c>
      <c r="AW84" s="5">
        <v>3</v>
      </c>
      <c r="AX84" s="5">
        <v>1</v>
      </c>
      <c r="AY84" s="5">
        <v>4</v>
      </c>
      <c r="AZ84" s="5" t="s">
        <v>45</v>
      </c>
      <c r="BA84" s="5">
        <v>8</v>
      </c>
      <c r="BB84" s="5"/>
      <c r="BC84" s="1">
        <f ca="1">OFFSET(A84,0, 10) -0</f>
        <v>50.099018324901181</v>
      </c>
      <c r="BD84" s="1">
        <f ca="1">OFFSET(A84,0, 3) -0</f>
        <v>4.2936301345434913E-2</v>
      </c>
      <c r="BE84" s="1">
        <f ca="1">OFFSET(A84,0, 8) -0</f>
        <v>-28.488433681828951</v>
      </c>
      <c r="BF84" s="1">
        <f ca="1">OFFSET(A84,0, 9) -0</f>
        <v>45.805292321536058</v>
      </c>
      <c r="BG84" s="1">
        <f ca="1">OFFSET(A84,0, 2) -0</f>
        <v>5.7492102979804258</v>
      </c>
      <c r="BH84" s="1">
        <f ca="1">OFFSET(A84,0, 7) -0</f>
        <v>37.217840314805926</v>
      </c>
      <c r="BI84" s="1">
        <f ca="1">OFFSET(A84,0, 5) -0</f>
        <v>18.63038830807568</v>
      </c>
      <c r="BJ84" s="1">
        <f ca="1">OFFSET(A84,0, 11) -0</f>
        <v>-25.607255671733697</v>
      </c>
      <c r="BK84" s="1">
        <f ca="1">OFFSET(A84,0, 6) -0</f>
        <v>-37.075885688559083</v>
      </c>
      <c r="BL84" s="1">
        <f ca="1">OFFSET(A84,0, 12) -0</f>
        <v>8.6864703316313836</v>
      </c>
      <c r="BM84" s="1">
        <f ca="1">OFFSET(A84,0, 1) -0</f>
        <v>-18.544515705384583</v>
      </c>
      <c r="BN84" s="1">
        <f ca="1">OFFSET(A84,0, 4) -0</f>
        <v>14.336662304710671</v>
      </c>
      <c r="BO84" s="1">
        <f ca="1">OFFSET(A84,0, 21) -0</f>
        <v>27.33000436191719</v>
      </c>
      <c r="BP84" s="1">
        <f ca="1">OFFSET(A84,0, 14) -0</f>
        <v>-2.7260776616384419</v>
      </c>
      <c r="BQ84" s="1">
        <f ca="1">OFFSET(A84,0, 20) -0</f>
        <v>-6.9637216414478189</v>
      </c>
      <c r="BR84" s="1">
        <f ca="1">OFFSET(A84,0, 22) -0</f>
        <v>11.623730365282427</v>
      </c>
      <c r="BS84" s="1">
        <f ca="1">OFFSET(A84,0, 15) -0</f>
        <v>11.567648341726681</v>
      </c>
      <c r="BT84" s="1">
        <f ca="1">OFFSET(A84,0, 18) -0</f>
        <v>-5.5511736481780645</v>
      </c>
      <c r="BU84" s="1">
        <f ca="1">OFFSET(A84,0, 16) -0</f>
        <v>25.861374345091804</v>
      </c>
      <c r="BV84" s="1">
        <f ca="1">OFFSET(A84,0, 24) -0</f>
        <v>0.21118237201244483</v>
      </c>
      <c r="BW84" s="1">
        <f ca="1">OFFSET(A84,0, 19) -0</f>
        <v>-41.257447644813055</v>
      </c>
      <c r="BX84" s="1">
        <f ca="1">OFFSET(A84,0, 23) -0</f>
        <v>-24.082543631352564</v>
      </c>
      <c r="BY84" s="1">
        <f ca="1">OFFSET(A84,0, 13) -0</f>
        <v>-37.019803665003522</v>
      </c>
      <c r="BZ84" s="1">
        <f ca="1">OFFSET(A84,0, 17) -0</f>
        <v>-29.844899651543187</v>
      </c>
      <c r="CB84" s="1">
        <f>COUNTIF(B84,"&lt;-69")</f>
        <v>0</v>
      </c>
      <c r="CC84" s="1">
        <f ca="1">COUNTIF(BC84:BN84,"&lt;-49")</f>
        <v>0</v>
      </c>
      <c r="CD84" s="1">
        <f ca="1">COUNTIF(BC84:BN84,"&gt;+49")</f>
        <v>1</v>
      </c>
      <c r="CE84" s="1">
        <f ca="1">COUNTIF(BO84:BZ84,"&lt;-49")</f>
        <v>0</v>
      </c>
      <c r="CF84" s="1">
        <f ca="1">COUNTIF(BO84:BZ84,"&gt;+49")</f>
        <v>0</v>
      </c>
    </row>
    <row r="85" spans="1:84">
      <c r="A85" s="1">
        <v>82</v>
      </c>
      <c r="B85" s="1">
        <f>'Team A 1'!B85-'Team A 1'!$AA85-('Team A 1'!B$2- 12.5)*'Team A 1'!$AC85</f>
        <v>-2.8421123270313728</v>
      </c>
      <c r="C85" s="1">
        <f>'Team A 1'!C85-'Team A 1'!$AA85-('Team A 1'!C$2- 12.5)*'Team A 1'!$AC85</f>
        <v>-8.6819286464201468</v>
      </c>
      <c r="D85" s="1">
        <f>'Team A 1'!D85-'Team A 1'!$AA85-('Team A 1'!D$2- 12.5)*'Team A 1'!$AC85</f>
        <v>35.478255034191534</v>
      </c>
      <c r="E85" s="1">
        <f>'Team A 1'!E85-'Team A 1'!$AA85-('Team A 1'!E$2- 12.5)*'Team A 1'!$AC85</f>
        <v>19.638438714802987</v>
      </c>
      <c r="F85" s="1">
        <f>'Team A 1'!F85-'Team A 1'!$AA85-('Team A 1'!F$2- 12.5)*'Team A 1'!$AC85</f>
        <v>73.798622395414213</v>
      </c>
      <c r="G85" s="1">
        <f>'Team A 1'!G85-'Team A 1'!$AA85-('Team A 1'!G$2- 12.5)*'Team A 1'!$AC85</f>
        <v>7.9588060760256667</v>
      </c>
      <c r="H85" s="1">
        <f>'Team A 1'!H85-'Team A 1'!$AA85-('Team A 1'!H$2- 12.5)*'Team A 1'!$AC85</f>
        <v>-27.88101024336288</v>
      </c>
      <c r="I85" s="1">
        <f>'Team A 1'!I85-'Team A 1'!$AA85-('Team A 1'!I$2- 12.5)*'Team A 1'!$AC85</f>
        <v>-33.720826562751427</v>
      </c>
      <c r="J85" s="1">
        <f>'Team A 1'!J85-'Team A 1'!$AA85-('Team A 1'!J$2- 12.5)*'Team A 1'!$AC85</f>
        <v>40.439357117860027</v>
      </c>
      <c r="K85" s="1">
        <f>'Team A 1'!K85-'Team A 1'!$AA85-('Team A 1'!K$2- 12.5)*'Team A 1'!$AC85</f>
        <v>64.599540798471423</v>
      </c>
      <c r="L85" s="1">
        <f>'Team A 1'!L85-'Team A 1'!$AA85-('Team A 1'!L$2- 12.5)*'Team A 1'!$AC85</f>
        <v>-1.2402755209171232</v>
      </c>
      <c r="M85" s="1">
        <f>'Team A 1'!M85-'Team A 1'!$AA85-('Team A 1'!M$2- 12.5)*'Team A 1'!$AC85</f>
        <v>12.919908159694288</v>
      </c>
      <c r="N85" s="1">
        <f>'Team A 1'!N85-'Team A 1'!$AA85-('Team A 1'!N$2- 12.5)*'Team A 1'!$AC85</f>
        <v>-22.919908159694288</v>
      </c>
      <c r="O85" s="1">
        <f>'Team A 1'!O85-'Team A 1'!$AA85-('Team A 1'!O$2- 12.5)*'Team A 1'!$AC85</f>
        <v>-18.759724479082877</v>
      </c>
      <c r="P85" s="1">
        <f>'Team A 1'!P85-'Team A 1'!$AA85-('Team A 1'!P$2- 12.5)*'Team A 1'!$AC85</f>
        <v>-74.599540798471423</v>
      </c>
      <c r="Q85" s="1">
        <f>'Team A 1'!Q85-'Team A 1'!$AA85-('Team A 1'!Q$2- 12.5)*'Team A 1'!$AC85</f>
        <v>-30.439357117860027</v>
      </c>
      <c r="R85" s="1">
        <f>'Team A 1'!R85-'Team A 1'!$AA85-('Team A 1'!R$2- 12.5)*'Team A 1'!$AC85</f>
        <v>-26.279173437248573</v>
      </c>
      <c r="S85" s="1">
        <f>'Team A 1'!S85-'Team A 1'!$AA85-('Team A 1'!S$2- 12.5)*'Team A 1'!$AC85</f>
        <v>-12.11898975663712</v>
      </c>
      <c r="T85" s="1">
        <f>'Team A 1'!T85-'Team A 1'!$AA85-('Team A 1'!T$2- 12.5)*'Team A 1'!$AC85</f>
        <v>-17.958806076025667</v>
      </c>
      <c r="U85" s="1">
        <f>'Team A 1'!U85-'Team A 1'!$AA85-('Team A 1'!U$2- 12.5)*'Team A 1'!$AC85</f>
        <v>-13.798622395414213</v>
      </c>
      <c r="V85" s="1">
        <f>'Team A 1'!V85-'Team A 1'!$AA85-('Team A 1'!V$2- 12.5)*'Team A 1'!$AC85</f>
        <v>0.36156128519701269</v>
      </c>
      <c r="W85" s="1">
        <f>'Team A 1'!W85-'Team A 1'!$AA85-('Team A 1'!W$2- 12.5)*'Team A 1'!$AC85</f>
        <v>24.521744965808466</v>
      </c>
      <c r="X85" s="1">
        <f>'Team A 1'!X85-'Team A 1'!$AA85-('Team A 1'!X$2- 12.5)*'Team A 1'!$AC85</f>
        <v>28.681928646420147</v>
      </c>
      <c r="Y85" s="1">
        <f>'Team A 1'!Y85-'Team A 1'!$AA85-('Team A 1'!Y$2- 12.5)*'Team A 1'!$AC85</f>
        <v>-17.157887672968627</v>
      </c>
      <c r="AB85" s="1">
        <f>STDEV(B85:Y85)</f>
        <v>33.340490382758375</v>
      </c>
      <c r="AD85" s="5">
        <v>2</v>
      </c>
      <c r="AE85" s="5" t="s">
        <v>46</v>
      </c>
      <c r="AF85" s="5">
        <v>7</v>
      </c>
      <c r="AG85" s="5">
        <v>5</v>
      </c>
      <c r="AH85" s="5">
        <v>6</v>
      </c>
      <c r="AI85" s="5" t="s">
        <v>47</v>
      </c>
      <c r="AJ85" s="5">
        <v>3</v>
      </c>
      <c r="AK85" s="5">
        <v>9</v>
      </c>
      <c r="AL85" s="5">
        <v>4</v>
      </c>
      <c r="AM85" s="5">
        <v>1</v>
      </c>
      <c r="AN85" s="5">
        <v>8</v>
      </c>
      <c r="AO85" s="5" t="s">
        <v>45</v>
      </c>
      <c r="AP85" s="5" t="s">
        <v>46</v>
      </c>
      <c r="AQ85" s="5">
        <v>2</v>
      </c>
      <c r="AR85" s="5">
        <v>5</v>
      </c>
      <c r="AS85" s="5">
        <v>7</v>
      </c>
      <c r="AT85" s="5" t="s">
        <v>47</v>
      </c>
      <c r="AU85" s="5">
        <v>6</v>
      </c>
      <c r="AV85" s="5">
        <v>9</v>
      </c>
      <c r="AW85" s="5">
        <v>3</v>
      </c>
      <c r="AX85" s="5">
        <v>4</v>
      </c>
      <c r="AY85" s="5">
        <v>8</v>
      </c>
      <c r="AZ85" s="5">
        <v>1</v>
      </c>
      <c r="BA85" s="5" t="s">
        <v>45</v>
      </c>
      <c r="BB85" s="5"/>
      <c r="BC85" s="1">
        <f ca="1">OFFSET(A85,0, 10) -0</f>
        <v>64.599540798471423</v>
      </c>
      <c r="BD85" s="1">
        <f ca="1">OFFSET(A85,0, 1) -0</f>
        <v>-2.8421123270313728</v>
      </c>
      <c r="BE85" s="1">
        <f ca="1">OFFSET(A85,0, 7) -0</f>
        <v>-27.88101024336288</v>
      </c>
      <c r="BF85" s="1">
        <f ca="1">OFFSET(A85,0, 9) -0</f>
        <v>40.439357117860027</v>
      </c>
      <c r="BG85" s="1">
        <f ca="1">OFFSET(A85,0, 4) -0</f>
        <v>19.638438714802987</v>
      </c>
      <c r="BH85" s="1">
        <f ca="1">OFFSET(A85,0, 5) -0</f>
        <v>73.798622395414213</v>
      </c>
      <c r="BI85" s="1">
        <f ca="1">OFFSET(A85,0, 3) -0</f>
        <v>35.478255034191534</v>
      </c>
      <c r="BJ85" s="1">
        <f ca="1">OFFSET(A85,0, 11) -0</f>
        <v>-1.2402755209171232</v>
      </c>
      <c r="BK85" s="1">
        <f ca="1">OFFSET(A85,0, 8) -0</f>
        <v>-33.720826562751427</v>
      </c>
      <c r="BL85" s="1">
        <f ca="1">OFFSET(A85,0, 12) -0</f>
        <v>12.919908159694288</v>
      </c>
      <c r="BM85" s="1">
        <f ca="1">OFFSET(A85,0, 2) -0</f>
        <v>-8.6819286464201468</v>
      </c>
      <c r="BN85" s="1">
        <f ca="1">OFFSET(A85,0, 6) -0</f>
        <v>7.9588060760256667</v>
      </c>
      <c r="BO85" s="1">
        <f ca="1">OFFSET(A85,0, 23) -0</f>
        <v>28.681928646420147</v>
      </c>
      <c r="BP85" s="1">
        <f ca="1">OFFSET(A85,0, 14) -0</f>
        <v>-18.759724479082877</v>
      </c>
      <c r="BQ85" s="1">
        <f ca="1">OFFSET(A85,0, 20) -0</f>
        <v>-13.798622395414213</v>
      </c>
      <c r="BR85" s="1">
        <f ca="1">OFFSET(A85,0, 21) -0</f>
        <v>0.36156128519701269</v>
      </c>
      <c r="BS85" s="1">
        <f ca="1">OFFSET(A85,0, 15) -0</f>
        <v>-74.599540798471423</v>
      </c>
      <c r="BT85" s="1">
        <f ca="1">OFFSET(A85,0, 18) -0</f>
        <v>-12.11898975663712</v>
      </c>
      <c r="BU85" s="1">
        <f ca="1">OFFSET(A85,0, 16) -0</f>
        <v>-30.439357117860027</v>
      </c>
      <c r="BV85" s="1">
        <f ca="1">OFFSET(A85,0, 22) -0</f>
        <v>24.521744965808466</v>
      </c>
      <c r="BW85" s="1">
        <f ca="1">OFFSET(A85,0, 19) -0</f>
        <v>-17.958806076025667</v>
      </c>
      <c r="BX85" s="1">
        <f ca="1">OFFSET(A85,0, 24) -0</f>
        <v>-17.157887672968627</v>
      </c>
      <c r="BY85" s="1">
        <f ca="1">OFFSET(A85,0, 13) -0</f>
        <v>-22.919908159694288</v>
      </c>
      <c r="BZ85" s="1">
        <f ca="1">OFFSET(A85,0, 17) -0</f>
        <v>-26.279173437248573</v>
      </c>
      <c r="CB85" s="1">
        <f>COUNTIF(B85,"&lt;-69")</f>
        <v>0</v>
      </c>
      <c r="CC85" s="1">
        <f ca="1">COUNTIF(BC85:BN85,"&lt;-49")</f>
        <v>0</v>
      </c>
      <c r="CD85" s="1">
        <f ca="1">COUNTIF(BC85:BN85,"&gt;+49")</f>
        <v>2</v>
      </c>
      <c r="CE85" s="1">
        <f ca="1">COUNTIF(BO85:BZ85,"&lt;-49")</f>
        <v>1</v>
      </c>
      <c r="CF85" s="1">
        <f ca="1">COUNTIF(BO85:BZ85,"&gt;+49")</f>
        <v>0</v>
      </c>
    </row>
    <row r="86" spans="1:84">
      <c r="A86" s="1">
        <v>83</v>
      </c>
      <c r="B86" s="1">
        <f>'Team A 1'!B86-'Team A 1'!$AA86-('Team A 1'!B$2- 12.5)*'Team A 1'!$AC86</f>
        <v>21.52537711567129</v>
      </c>
      <c r="C86" s="1">
        <f>'Team A 1'!C86-'Team A 1'!$AA86-('Team A 1'!C$2- 12.5)*'Team A 1'!$AC86</f>
        <v>16.102880554889907</v>
      </c>
      <c r="D86" s="1">
        <f>'Team A 1'!D86-'Team A 1'!$AA86-('Team A 1'!D$2- 12.5)*'Team A 1'!$AC86</f>
        <v>30.680383994108752</v>
      </c>
      <c r="E86" s="1">
        <f>'Team A 1'!E86-'Team A 1'!$AA86-('Team A 1'!E$2- 12.5)*'Team A 1'!$AC86</f>
        <v>65.257887433327369</v>
      </c>
      <c r="F86" s="1">
        <f>'Team A 1'!F86-'Team A 1'!$AA86-('Team A 1'!F$2- 12.5)*'Team A 1'!$AC86</f>
        <v>39.835390872545986</v>
      </c>
      <c r="G86" s="1">
        <f>'Team A 1'!G86-'Team A 1'!$AA86-('Team A 1'!G$2- 12.5)*'Team A 1'!$AC86</f>
        <v>14.412894311764603</v>
      </c>
      <c r="H86" s="1">
        <f>'Team A 1'!H86-'Team A 1'!$AA86-('Team A 1'!H$2- 12.5)*'Team A 1'!$AC86</f>
        <v>-31.009602249016552</v>
      </c>
      <c r="I86" s="1">
        <f>'Team A 1'!I86-'Team A 1'!$AA86-('Team A 1'!I$2- 12.5)*'Team A 1'!$AC86</f>
        <v>-36.432098809797935</v>
      </c>
      <c r="J86" s="1">
        <f>'Team A 1'!J86-'Team A 1'!$AA86-('Team A 1'!J$2- 12.5)*'Team A 1'!$AC86</f>
        <v>-21.854595370579318</v>
      </c>
      <c r="K86" s="1">
        <f>'Team A 1'!K86-'Team A 1'!$AA86-('Team A 1'!K$2- 12.5)*'Team A 1'!$AC86</f>
        <v>-47.277091931360587</v>
      </c>
      <c r="L86" s="1">
        <f>'Team A 1'!L86-'Team A 1'!$AA86-('Team A 1'!L$2- 12.5)*'Team A 1'!$AC86</f>
        <v>-22.69958849214197</v>
      </c>
      <c r="M86" s="1">
        <f>'Team A 1'!M86-'Team A 1'!$AA86-('Team A 1'!M$2- 12.5)*'Team A 1'!$AC86</f>
        <v>21.877914947076732</v>
      </c>
      <c r="N86" s="1">
        <f>'Team A 1'!N86-'Team A 1'!$AA86-('Team A 1'!N$2- 12.5)*'Team A 1'!$AC86</f>
        <v>26.455418386295406</v>
      </c>
      <c r="O86" s="1">
        <f>'Team A 1'!O86-'Team A 1'!$AA86-('Team A 1'!O$2- 12.5)*'Team A 1'!$AC86</f>
        <v>11.032921825514109</v>
      </c>
      <c r="P86" s="1">
        <f>'Team A 1'!P86-'Team A 1'!$AA86-('Team A 1'!P$2- 12.5)*'Team A 1'!$AC86</f>
        <v>-4.3895747352672743</v>
      </c>
      <c r="Q86" s="1">
        <f>'Team A 1'!Q86-'Team A 1'!$AA86-('Team A 1'!Q$2- 12.5)*'Team A 1'!$AC86</f>
        <v>0.18792870395145655</v>
      </c>
      <c r="R86" s="1">
        <f>'Team A 1'!R86-'Team A 1'!$AA86-('Team A 1'!R$2- 12.5)*'Team A 1'!$AC86</f>
        <v>-5.2345678568299263</v>
      </c>
      <c r="S86" s="1">
        <f>'Team A 1'!S86-'Team A 1'!$AA86-('Team A 1'!S$2- 12.5)*'Team A 1'!$AC86</f>
        <v>-20.657064417611309</v>
      </c>
      <c r="T86" s="1">
        <f>'Team A 1'!T86-'Team A 1'!$AA86-('Team A 1'!T$2- 12.5)*'Team A 1'!$AC86</f>
        <v>13.920439021607535</v>
      </c>
      <c r="U86" s="1">
        <f>'Team A 1'!U86-'Team A 1'!$AA86-('Team A 1'!U$2- 12.5)*'Team A 1'!$AC86</f>
        <v>-21.502057539173848</v>
      </c>
      <c r="V86" s="1">
        <f>'Team A 1'!V86-'Team A 1'!$AA86-('Team A 1'!V$2- 12.5)*'Team A 1'!$AC86</f>
        <v>-46.92455409995523</v>
      </c>
      <c r="W86" s="1">
        <f>'Team A 1'!W86-'Team A 1'!$AA86-('Team A 1'!W$2- 12.5)*'Team A 1'!$AC86</f>
        <v>-12.347050660736613</v>
      </c>
      <c r="X86" s="1">
        <f>'Team A 1'!X86-'Team A 1'!$AA86-('Team A 1'!X$2- 12.5)*'Team A 1'!$AC86</f>
        <v>22.230452778482231</v>
      </c>
      <c r="Y86" s="1">
        <f>'Team A 1'!Y86-'Team A 1'!$AA86-('Team A 1'!Y$2- 12.5)*'Team A 1'!$AC86</f>
        <v>-13.192043782299152</v>
      </c>
      <c r="AB86" s="1">
        <f>STDEV(B86:Y86)</f>
        <v>28.503549473495312</v>
      </c>
      <c r="AD86" s="5">
        <v>2</v>
      </c>
      <c r="AE86" s="5" t="s">
        <v>46</v>
      </c>
      <c r="AF86" s="5">
        <v>7</v>
      </c>
      <c r="AG86" s="5">
        <v>5</v>
      </c>
      <c r="AH86" s="5">
        <v>6</v>
      </c>
      <c r="AI86" s="5" t="s">
        <v>47</v>
      </c>
      <c r="AJ86" s="5">
        <v>3</v>
      </c>
      <c r="AK86" s="5">
        <v>9</v>
      </c>
      <c r="AL86" s="5">
        <v>8</v>
      </c>
      <c r="AM86" s="5">
        <v>4</v>
      </c>
      <c r="AN86" s="5" t="s">
        <v>45</v>
      </c>
      <c r="AO86" s="5">
        <v>1</v>
      </c>
      <c r="AP86" s="5">
        <v>2</v>
      </c>
      <c r="AQ86" s="5">
        <v>7</v>
      </c>
      <c r="AR86" s="5" t="s">
        <v>46</v>
      </c>
      <c r="AS86" s="5">
        <v>6</v>
      </c>
      <c r="AT86" s="5">
        <v>5</v>
      </c>
      <c r="AU86" s="5">
        <v>3</v>
      </c>
      <c r="AV86" s="5" t="s">
        <v>47</v>
      </c>
      <c r="AW86" s="5">
        <v>8</v>
      </c>
      <c r="AX86" s="5">
        <v>9</v>
      </c>
      <c r="AY86" s="5">
        <v>4</v>
      </c>
      <c r="AZ86" s="5">
        <v>1</v>
      </c>
      <c r="BA86" s="5" t="s">
        <v>45</v>
      </c>
      <c r="BB86" s="5"/>
      <c r="BC86" s="1">
        <f ca="1">OFFSET(A86,0, 12) -0</f>
        <v>21.877914947076732</v>
      </c>
      <c r="BD86" s="1">
        <f ca="1">OFFSET(A86,0, 1) -0</f>
        <v>21.52537711567129</v>
      </c>
      <c r="BE86" s="1">
        <f ca="1">OFFSET(A86,0, 7) -0</f>
        <v>-31.009602249016552</v>
      </c>
      <c r="BF86" s="1">
        <f ca="1">OFFSET(A86,0, 10) -0</f>
        <v>-47.277091931360587</v>
      </c>
      <c r="BG86" s="1">
        <f ca="1">OFFSET(A86,0, 4) -0</f>
        <v>65.257887433327369</v>
      </c>
      <c r="BH86" s="1">
        <f ca="1">OFFSET(A86,0, 5) -0</f>
        <v>39.835390872545986</v>
      </c>
      <c r="BI86" s="1">
        <f ca="1">OFFSET(A86,0, 3) -0</f>
        <v>30.680383994108752</v>
      </c>
      <c r="BJ86" s="1">
        <f ca="1">OFFSET(A86,0, 9) -0</f>
        <v>-21.854595370579318</v>
      </c>
      <c r="BK86" s="1">
        <f ca="1">OFFSET(A86,0, 8) -0</f>
        <v>-36.432098809797935</v>
      </c>
      <c r="BL86" s="1">
        <f ca="1">OFFSET(A86,0, 11) -0</f>
        <v>-22.69958849214197</v>
      </c>
      <c r="BM86" s="1">
        <f ca="1">OFFSET(A86,0, 2) -0</f>
        <v>16.102880554889907</v>
      </c>
      <c r="BN86" s="1">
        <f ca="1">OFFSET(A86,0, 6) -0</f>
        <v>14.412894311764603</v>
      </c>
      <c r="BO86" s="1">
        <f ca="1">OFFSET(A86,0, 23) -0</f>
        <v>22.230452778482231</v>
      </c>
      <c r="BP86" s="1">
        <f ca="1">OFFSET(A86,0, 13) -0</f>
        <v>26.455418386295406</v>
      </c>
      <c r="BQ86" s="1">
        <f ca="1">OFFSET(A86,0, 18) -0</f>
        <v>-20.657064417611309</v>
      </c>
      <c r="BR86" s="1">
        <f ca="1">OFFSET(A86,0, 22) -0</f>
        <v>-12.347050660736613</v>
      </c>
      <c r="BS86" s="1">
        <f ca="1">OFFSET(A86,0, 17) -0</f>
        <v>-5.2345678568299263</v>
      </c>
      <c r="BT86" s="1">
        <f ca="1">OFFSET(A86,0, 16) -0</f>
        <v>0.18792870395145655</v>
      </c>
      <c r="BU86" s="1">
        <f ca="1">OFFSET(A86,0, 14) -0</f>
        <v>11.032921825514109</v>
      </c>
      <c r="BV86" s="1">
        <f ca="1">OFFSET(A86,0, 20) -0</f>
        <v>-21.502057539173848</v>
      </c>
      <c r="BW86" s="1">
        <f ca="1">OFFSET(A86,0, 21) -0</f>
        <v>-46.92455409995523</v>
      </c>
      <c r="BX86" s="1">
        <f ca="1">OFFSET(A86,0, 24) -0</f>
        <v>-13.192043782299152</v>
      </c>
      <c r="BY86" s="1">
        <f ca="1">OFFSET(A86,0, 15) -0</f>
        <v>-4.3895747352672743</v>
      </c>
      <c r="BZ86" s="1">
        <f ca="1">OFFSET(A86,0, 19) -0</f>
        <v>13.920439021607535</v>
      </c>
      <c r="CB86" s="1">
        <f>COUNTIF(B86,"&lt;-69")</f>
        <v>0</v>
      </c>
      <c r="CC86" s="1">
        <f ca="1">COUNTIF(BC86:BN86,"&lt;-49")</f>
        <v>0</v>
      </c>
      <c r="CD86" s="1">
        <f ca="1">COUNTIF(BC86:BN86,"&gt;+49")</f>
        <v>1</v>
      </c>
      <c r="CE86" s="1">
        <f ca="1">COUNTIF(BO86:BZ86,"&lt;-49")</f>
        <v>0</v>
      </c>
      <c r="CF86" s="1">
        <f ca="1">COUNTIF(BO86:BZ86,"&gt;+49")</f>
        <v>0</v>
      </c>
    </row>
    <row r="87" spans="1:84">
      <c r="A87" s="1">
        <v>84</v>
      </c>
      <c r="B87" s="1">
        <f>'Team A 1'!B87-'Team A 1'!$AA87-('Team A 1'!B$2- 12.5)*'Team A 1'!$AC87</f>
        <v>3.3579201478528375</v>
      </c>
      <c r="C87" s="1">
        <f>'Team A 1'!C87-'Team A 1'!$AA87-('Team A 1'!C$2- 12.5)*'Team A 1'!$AC87</f>
        <v>8.2108546277513597</v>
      </c>
      <c r="D87" s="1">
        <f>'Team A 1'!D87-'Team A 1'!$AA87-('Team A 1'!D$2- 12.5)*'Team A 1'!$AC87</f>
        <v>13.063789107649882</v>
      </c>
      <c r="E87" s="1">
        <f>'Team A 1'!E87-'Team A 1'!$AA87-('Team A 1'!E$2- 12.5)*'Team A 1'!$AC87</f>
        <v>7.9167235875484039</v>
      </c>
      <c r="F87" s="1">
        <f>'Team A 1'!F87-'Team A 1'!$AA87-('Team A 1'!F$2- 12.5)*'Team A 1'!$AC87</f>
        <v>2.769658067446926</v>
      </c>
      <c r="G87" s="1">
        <f>'Team A 1'!G87-'Team A 1'!$AA87-('Team A 1'!G$2- 12.5)*'Team A 1'!$AC87</f>
        <v>7.6225925473454481</v>
      </c>
      <c r="H87" s="1">
        <f>'Team A 1'!H87-'Team A 1'!$AA87-('Team A 1'!H$2- 12.5)*'Team A 1'!$AC87</f>
        <v>-47.52447297275603</v>
      </c>
      <c r="I87" s="1">
        <f>'Team A 1'!I87-'Team A 1'!$AA87-('Team A 1'!I$2- 12.5)*'Team A 1'!$AC87</f>
        <v>7.328461507142606</v>
      </c>
      <c r="J87" s="1">
        <f>'Team A 1'!J87-'Team A 1'!$AA87-('Team A 1'!J$2- 12.5)*'Team A 1'!$AC87</f>
        <v>-27.818604012958872</v>
      </c>
      <c r="K87" s="1">
        <f>'Team A 1'!K87-'Team A 1'!$AA87-('Team A 1'!K$2- 12.5)*'Team A 1'!$AC87</f>
        <v>-12.965669533060293</v>
      </c>
      <c r="L87" s="1">
        <f>'Team A 1'!L87-'Team A 1'!$AA87-('Team A 1'!L$2- 12.5)*'Team A 1'!$AC87</f>
        <v>31.887264946838229</v>
      </c>
      <c r="M87" s="1">
        <f>'Team A 1'!M87-'Team A 1'!$AA87-('Team A 1'!M$2- 12.5)*'Team A 1'!$AC87</f>
        <v>6.740199426736794</v>
      </c>
      <c r="N87" s="1">
        <f>'Team A 1'!N87-'Team A 1'!$AA87-('Team A 1'!N$2- 12.5)*'Team A 1'!$AC87</f>
        <v>-18.406866093364656</v>
      </c>
      <c r="O87" s="1">
        <f>'Team A 1'!O87-'Team A 1'!$AA87-('Team A 1'!O$2- 12.5)*'Team A 1'!$AC87</f>
        <v>-3.5539316134660908</v>
      </c>
      <c r="P87" s="1">
        <f>'Team A 1'!P87-'Team A 1'!$AA87-('Team A 1'!P$2- 12.5)*'Team A 1'!$AC87</f>
        <v>31.299002866432431</v>
      </c>
      <c r="Q87" s="1">
        <f>'Team A 1'!Q87-'Team A 1'!$AA87-('Team A 1'!Q$2- 12.5)*'Team A 1'!$AC87</f>
        <v>6.1519373463310103</v>
      </c>
      <c r="R87" s="1">
        <f>'Team A 1'!R87-'Team A 1'!$AA87-('Team A 1'!R$2- 12.5)*'Team A 1'!$AC87</f>
        <v>1.0048718262295324</v>
      </c>
      <c r="S87" s="1">
        <f>'Team A 1'!S87-'Team A 1'!$AA87-('Team A 1'!S$2- 12.5)*'Team A 1'!$AC87</f>
        <v>-4.1421936938718318</v>
      </c>
      <c r="T87" s="1">
        <f>'Team A 1'!T87-'Team A 1'!$AA87-('Team A 1'!T$2- 12.5)*'Team A 1'!$AC87</f>
        <v>-9.2892592139733097</v>
      </c>
      <c r="U87" s="1">
        <f>'Team A 1'!U87-'Team A 1'!$AA87-('Team A 1'!U$2- 12.5)*'Team A 1'!$AC87</f>
        <v>15.563675265925212</v>
      </c>
      <c r="V87" s="1">
        <f>'Team A 1'!V87-'Team A 1'!$AA87-('Team A 1'!V$2- 12.5)*'Team A 1'!$AC87</f>
        <v>-29.583390254176265</v>
      </c>
      <c r="W87" s="1">
        <f>'Team A 1'!W87-'Team A 1'!$AA87-('Team A 1'!W$2- 12.5)*'Team A 1'!$AC87</f>
        <v>-14.730455774277743</v>
      </c>
      <c r="X87" s="1">
        <f>'Team A 1'!X87-'Team A 1'!$AA87-('Team A 1'!X$2- 12.5)*'Team A 1'!$AC87</f>
        <v>-19.877521294379221</v>
      </c>
      <c r="Y87" s="1">
        <f>'Team A 1'!Y87-'Team A 1'!$AA87-('Team A 1'!Y$2- 12.5)*'Team A 1'!$AC87</f>
        <v>44.975413185519301</v>
      </c>
      <c r="AB87" s="1">
        <f>STDEV(B87:Y87)</f>
        <v>20.767835504421228</v>
      </c>
      <c r="AD87" s="5">
        <v>7</v>
      </c>
      <c r="AE87" s="5">
        <v>2</v>
      </c>
      <c r="AF87" s="5">
        <v>6</v>
      </c>
      <c r="AG87" s="5" t="s">
        <v>46</v>
      </c>
      <c r="AH87" s="5">
        <v>3</v>
      </c>
      <c r="AI87" s="5">
        <v>5</v>
      </c>
      <c r="AJ87" s="5">
        <v>8</v>
      </c>
      <c r="AK87" s="5" t="s">
        <v>47</v>
      </c>
      <c r="AL87" s="5">
        <v>4</v>
      </c>
      <c r="AM87" s="5">
        <v>9</v>
      </c>
      <c r="AN87" s="5" t="s">
        <v>45</v>
      </c>
      <c r="AO87" s="5">
        <v>1</v>
      </c>
      <c r="AP87" s="5">
        <v>2</v>
      </c>
      <c r="AQ87" s="5">
        <v>7</v>
      </c>
      <c r="AR87" s="5" t="s">
        <v>46</v>
      </c>
      <c r="AS87" s="5">
        <v>6</v>
      </c>
      <c r="AT87" s="5">
        <v>5</v>
      </c>
      <c r="AU87" s="5">
        <v>3</v>
      </c>
      <c r="AV87" s="5" t="s">
        <v>47</v>
      </c>
      <c r="AW87" s="5">
        <v>8</v>
      </c>
      <c r="AX87" s="5">
        <v>9</v>
      </c>
      <c r="AY87" s="5">
        <v>4</v>
      </c>
      <c r="AZ87" s="5" t="s">
        <v>45</v>
      </c>
      <c r="BA87" s="5">
        <v>1</v>
      </c>
      <c r="BB87" s="5"/>
      <c r="BC87" s="1">
        <f ca="1">OFFSET(A87,0, 12) -0</f>
        <v>6.740199426736794</v>
      </c>
      <c r="BD87" s="1">
        <f ca="1">OFFSET(A87,0, 2) -0</f>
        <v>8.2108546277513597</v>
      </c>
      <c r="BE87" s="1">
        <f ca="1">OFFSET(A87,0, 5) -0</f>
        <v>2.769658067446926</v>
      </c>
      <c r="BF87" s="1">
        <f ca="1">OFFSET(A87,0, 9) -0</f>
        <v>-27.818604012958872</v>
      </c>
      <c r="BG87" s="1">
        <f ca="1">OFFSET(A87,0, 6) -0</f>
        <v>7.6225925473454481</v>
      </c>
      <c r="BH87" s="1">
        <f ca="1">OFFSET(A87,0, 3) -0</f>
        <v>13.063789107649882</v>
      </c>
      <c r="BI87" s="1">
        <f ca="1">OFFSET(A87,0, 1) -0</f>
        <v>3.3579201478528375</v>
      </c>
      <c r="BJ87" s="1">
        <f ca="1">OFFSET(A87,0, 7) -0</f>
        <v>-47.52447297275603</v>
      </c>
      <c r="BK87" s="1">
        <f ca="1">OFFSET(A87,0, 10) -0</f>
        <v>-12.965669533060293</v>
      </c>
      <c r="BL87" s="1">
        <f ca="1">OFFSET(A87,0, 11) -0</f>
        <v>31.887264946838229</v>
      </c>
      <c r="BM87" s="1">
        <f ca="1">OFFSET(A87,0, 4) -0</f>
        <v>7.9167235875484039</v>
      </c>
      <c r="BN87" s="1">
        <f ca="1">OFFSET(A87,0, 8) -0</f>
        <v>7.328461507142606</v>
      </c>
      <c r="BO87" s="1">
        <f ca="1">OFFSET(A87,0, 24) -0</f>
        <v>44.975413185519301</v>
      </c>
      <c r="BP87" s="1">
        <f ca="1">OFFSET(A87,0, 13) -0</f>
        <v>-18.406866093364656</v>
      </c>
      <c r="BQ87" s="1">
        <f ca="1">OFFSET(A87,0, 18) -0</f>
        <v>-4.1421936938718318</v>
      </c>
      <c r="BR87" s="1">
        <f ca="1">OFFSET(A87,0, 22) -0</f>
        <v>-14.730455774277743</v>
      </c>
      <c r="BS87" s="1">
        <f ca="1">OFFSET(A87,0, 17) -0</f>
        <v>1.0048718262295324</v>
      </c>
      <c r="BT87" s="1">
        <f ca="1">OFFSET(A87,0, 16) -0</f>
        <v>6.1519373463310103</v>
      </c>
      <c r="BU87" s="1">
        <f ca="1">OFFSET(A87,0, 14) -0</f>
        <v>-3.5539316134660908</v>
      </c>
      <c r="BV87" s="1">
        <f ca="1">OFFSET(A87,0, 20) -0</f>
        <v>15.563675265925212</v>
      </c>
      <c r="BW87" s="1">
        <f ca="1">OFFSET(A87,0, 21) -0</f>
        <v>-29.583390254176265</v>
      </c>
      <c r="BX87" s="1">
        <f ca="1">OFFSET(A87,0, 23) -0</f>
        <v>-19.877521294379221</v>
      </c>
      <c r="BY87" s="1">
        <f ca="1">OFFSET(A87,0, 15) -0</f>
        <v>31.299002866432431</v>
      </c>
      <c r="BZ87" s="1">
        <f ca="1">OFFSET(A87,0, 19) -0</f>
        <v>-9.2892592139733097</v>
      </c>
      <c r="CB87" s="1">
        <f>COUNTIF(B87,"&lt;-69")</f>
        <v>0</v>
      </c>
      <c r="CC87" s="1">
        <f ca="1">COUNTIF(BC87:BN87,"&lt;-49")</f>
        <v>0</v>
      </c>
      <c r="CD87" s="1">
        <f ca="1">COUNTIF(BC87:BN87,"&gt;+49")</f>
        <v>0</v>
      </c>
      <c r="CE87" s="1">
        <f ca="1">COUNTIF(BO87:BZ87,"&lt;-49")</f>
        <v>0</v>
      </c>
      <c r="CF87" s="1">
        <f ca="1">COUNTIF(BO87:BZ87,"&gt;+49")</f>
        <v>0</v>
      </c>
    </row>
    <row r="88" spans="1:84">
      <c r="A88" s="1">
        <v>85</v>
      </c>
      <c r="B88" s="1">
        <f>'Team A 1'!B88-'Team A 1'!$AA88-('Team A 1'!B$2- 12.5)*'Team A 1'!$AC88</f>
        <v>-16.395241056847226</v>
      </c>
      <c r="C88" s="1">
        <f>'Team A 1'!C88-'Team A 1'!$AA88-('Team A 1'!C$2- 12.5)*'Team A 1'!$AC88</f>
        <v>-0.4405824142243091</v>
      </c>
      <c r="D88" s="1">
        <f>'Team A 1'!D88-'Team A 1'!$AA88-('Team A 1'!D$2- 12.5)*'Team A 1'!$AC88</f>
        <v>15.51407622839838</v>
      </c>
      <c r="E88" s="1">
        <f>'Team A 1'!E88-'Team A 1'!$AA88-('Team A 1'!E$2- 12.5)*'Team A 1'!$AC88</f>
        <v>1.4687348710210699</v>
      </c>
      <c r="F88" s="1">
        <f>'Team A 1'!F88-'Team A 1'!$AA88-('Team A 1'!F$2- 12.5)*'Team A 1'!$AC88</f>
        <v>-12.576606486356241</v>
      </c>
      <c r="G88" s="1">
        <f>'Team A 1'!G88-'Team A 1'!$AA88-('Team A 1'!G$2- 12.5)*'Team A 1'!$AC88</f>
        <v>3.3780521562664489</v>
      </c>
      <c r="H88" s="1">
        <f>'Team A 1'!H88-'Team A 1'!$AA88-('Team A 1'!H$2- 12.5)*'Team A 1'!$AC88</f>
        <v>9.3327107988891385</v>
      </c>
      <c r="I88" s="1">
        <f>'Team A 1'!I88-'Team A 1'!$AA88-('Team A 1'!I$2- 12.5)*'Team A 1'!$AC88</f>
        <v>45.287369441511828</v>
      </c>
      <c r="J88" s="1">
        <f>'Team A 1'!J88-'Team A 1'!$AA88-('Team A 1'!J$2- 12.5)*'Team A 1'!$AC88</f>
        <v>-8.7579719158654825</v>
      </c>
      <c r="K88" s="1">
        <f>'Team A 1'!K88-'Team A 1'!$AA88-('Team A 1'!K$2- 12.5)*'Team A 1'!$AC88</f>
        <v>-2.803313273242793</v>
      </c>
      <c r="L88" s="1">
        <f>'Team A 1'!L88-'Team A 1'!$AA88-('Team A 1'!L$2- 12.5)*'Team A 1'!$AC88</f>
        <v>3.1513453693798965</v>
      </c>
      <c r="M88" s="1">
        <f>'Team A 1'!M88-'Team A 1'!$AA88-('Team A 1'!M$2- 12.5)*'Team A 1'!$AC88</f>
        <v>29.106004012002586</v>
      </c>
      <c r="N88" s="1">
        <f>'Team A 1'!N88-'Team A 1'!$AA88-('Team A 1'!N$2- 12.5)*'Team A 1'!$AC88</f>
        <v>-44.939337345374724</v>
      </c>
      <c r="O88" s="1">
        <f>'Team A 1'!O88-'Team A 1'!$AA88-('Team A 1'!O$2- 12.5)*'Team A 1'!$AC88</f>
        <v>-8.984678702752035</v>
      </c>
      <c r="P88" s="1">
        <f>'Team A 1'!P88-'Team A 1'!$AA88-('Team A 1'!P$2- 12.5)*'Team A 1'!$AC88</f>
        <v>6.9699799398706546</v>
      </c>
      <c r="Q88" s="1">
        <f>'Team A 1'!Q88-'Team A 1'!$AA88-('Team A 1'!Q$2- 12.5)*'Team A 1'!$AC88</f>
        <v>12.924638582493344</v>
      </c>
      <c r="R88" s="1">
        <f>'Team A 1'!R88-'Team A 1'!$AA88-('Team A 1'!R$2- 12.5)*'Team A 1'!$AC88</f>
        <v>-21.120702774883966</v>
      </c>
      <c r="S88" s="1">
        <f>'Team A 1'!S88-'Team A 1'!$AA88-('Team A 1'!S$2- 12.5)*'Team A 1'!$AC88</f>
        <v>-25.166044132261277</v>
      </c>
      <c r="T88" s="1">
        <f>'Team A 1'!T88-'Team A 1'!$AA88-('Team A 1'!T$2- 12.5)*'Team A 1'!$AC88</f>
        <v>-49.211385489638587</v>
      </c>
      <c r="U88" s="1">
        <f>'Team A 1'!U88-'Team A 1'!$AA88-('Team A 1'!U$2- 12.5)*'Team A 1'!$AC88</f>
        <v>-3.2567268470158979</v>
      </c>
      <c r="V88" s="1">
        <f>'Team A 1'!V88-'Team A 1'!$AA88-('Team A 1'!V$2- 12.5)*'Team A 1'!$AC88</f>
        <v>-17.302068204393208</v>
      </c>
      <c r="W88" s="1">
        <f>'Team A 1'!W88-'Team A 1'!$AA88-('Team A 1'!W$2- 12.5)*'Team A 1'!$AC88</f>
        <v>8.6525904382294812</v>
      </c>
      <c r="X88" s="1">
        <f>'Team A 1'!X88-'Team A 1'!$AA88-('Team A 1'!X$2- 12.5)*'Team A 1'!$AC88</f>
        <v>-15.392750919147829</v>
      </c>
      <c r="Y88" s="1">
        <f>'Team A 1'!Y88-'Team A 1'!$AA88-('Team A 1'!Y$2- 12.5)*'Team A 1'!$AC88</f>
        <v>90.561907723475088</v>
      </c>
      <c r="AB88" s="1">
        <f>STDEV(B88:Y88)</f>
        <v>28.285363587671611</v>
      </c>
      <c r="AD88" s="5">
        <v>7</v>
      </c>
      <c r="AE88" s="5">
        <v>2</v>
      </c>
      <c r="AF88" s="5">
        <v>6</v>
      </c>
      <c r="AG88" s="5" t="s">
        <v>46</v>
      </c>
      <c r="AH88" s="5">
        <v>3</v>
      </c>
      <c r="AI88" s="5">
        <v>5</v>
      </c>
      <c r="AJ88" s="5">
        <v>8</v>
      </c>
      <c r="AK88" s="5" t="s">
        <v>47</v>
      </c>
      <c r="AL88" s="5">
        <v>4</v>
      </c>
      <c r="AM88" s="5">
        <v>9</v>
      </c>
      <c r="AN88" s="5">
        <v>1</v>
      </c>
      <c r="AO88" s="5" t="s">
        <v>45</v>
      </c>
      <c r="AP88" s="5">
        <v>7</v>
      </c>
      <c r="AQ88" s="5">
        <v>6</v>
      </c>
      <c r="AR88" s="5">
        <v>2</v>
      </c>
      <c r="AS88" s="5">
        <v>3</v>
      </c>
      <c r="AT88" s="5" t="s">
        <v>46</v>
      </c>
      <c r="AU88" s="5">
        <v>8</v>
      </c>
      <c r="AV88" s="5">
        <v>5</v>
      </c>
      <c r="AW88" s="5">
        <v>4</v>
      </c>
      <c r="AX88" s="5" t="s">
        <v>47</v>
      </c>
      <c r="AY88" s="5">
        <v>9</v>
      </c>
      <c r="AZ88" s="5" t="s">
        <v>45</v>
      </c>
      <c r="BA88" s="5">
        <v>1</v>
      </c>
      <c r="BB88" s="5"/>
      <c r="BC88" s="1">
        <f ca="1">OFFSET(A88,0, 11) -0</f>
        <v>3.1513453693798965</v>
      </c>
      <c r="BD88" s="1">
        <f ca="1">OFFSET(A88,0, 2) -0</f>
        <v>-0.4405824142243091</v>
      </c>
      <c r="BE88" s="1">
        <f ca="1">OFFSET(A88,0, 5) -0</f>
        <v>-12.576606486356241</v>
      </c>
      <c r="BF88" s="1">
        <f ca="1">OFFSET(A88,0, 9) -0</f>
        <v>-8.7579719158654825</v>
      </c>
      <c r="BG88" s="1">
        <f ca="1">OFFSET(A88,0, 6) -0</f>
        <v>3.3780521562664489</v>
      </c>
      <c r="BH88" s="1">
        <f ca="1">OFFSET(A88,0, 3) -0</f>
        <v>15.51407622839838</v>
      </c>
      <c r="BI88" s="1">
        <f ca="1">OFFSET(A88,0, 1) -0</f>
        <v>-16.395241056847226</v>
      </c>
      <c r="BJ88" s="1">
        <f ca="1">OFFSET(A88,0, 7) -0</f>
        <v>9.3327107988891385</v>
      </c>
      <c r="BK88" s="1">
        <f ca="1">OFFSET(A88,0, 10) -0</f>
        <v>-2.803313273242793</v>
      </c>
      <c r="BL88" s="1">
        <f ca="1">OFFSET(A88,0, 12) -0</f>
        <v>29.106004012002586</v>
      </c>
      <c r="BM88" s="1">
        <f ca="1">OFFSET(A88,0, 4) -0</f>
        <v>1.4687348710210699</v>
      </c>
      <c r="BN88" s="1">
        <f ca="1">OFFSET(A88,0, 8) -0</f>
        <v>45.287369441511828</v>
      </c>
      <c r="BO88" s="1">
        <f ca="1">OFFSET(A88,0, 24) -0</f>
        <v>90.561907723475088</v>
      </c>
      <c r="BP88" s="1">
        <f ca="1">OFFSET(A88,0, 15) -0</f>
        <v>6.9699799398706546</v>
      </c>
      <c r="BQ88" s="1">
        <f ca="1">OFFSET(A88,0, 16) -0</f>
        <v>12.924638582493344</v>
      </c>
      <c r="BR88" s="1">
        <f ca="1">OFFSET(A88,0, 20) -0</f>
        <v>-3.2567268470158979</v>
      </c>
      <c r="BS88" s="1">
        <f ca="1">OFFSET(A88,0, 19) -0</f>
        <v>-49.211385489638587</v>
      </c>
      <c r="BT88" s="1">
        <f ca="1">OFFSET(A88,0, 14) -0</f>
        <v>-8.984678702752035</v>
      </c>
      <c r="BU88" s="1">
        <f ca="1">OFFSET(A88,0, 13) -0</f>
        <v>-44.939337345374724</v>
      </c>
      <c r="BV88" s="1">
        <f ca="1">OFFSET(A88,0, 18) -0</f>
        <v>-25.166044132261277</v>
      </c>
      <c r="BW88" s="1">
        <f ca="1">OFFSET(A88,0, 22) -0</f>
        <v>8.6525904382294812</v>
      </c>
      <c r="BX88" s="1">
        <f ca="1">OFFSET(A88,0, 23) -0</f>
        <v>-15.392750919147829</v>
      </c>
      <c r="BY88" s="1">
        <f ca="1">OFFSET(A88,0, 17) -0</f>
        <v>-21.120702774883966</v>
      </c>
      <c r="BZ88" s="1">
        <f ca="1">OFFSET(A88,0, 21) -0</f>
        <v>-17.302068204393208</v>
      </c>
      <c r="CB88" s="1">
        <f>COUNTIF(B88,"&lt;-69")</f>
        <v>0</v>
      </c>
      <c r="CC88" s="1">
        <f ca="1">COUNTIF(BC88:BN88,"&lt;-49")</f>
        <v>0</v>
      </c>
      <c r="CD88" s="1">
        <f ca="1">COUNTIF(BC88:BN88,"&gt;+49")</f>
        <v>0</v>
      </c>
      <c r="CE88" s="1">
        <f ca="1">COUNTIF(BO88:BZ88,"&lt;-49")</f>
        <v>1</v>
      </c>
      <c r="CF88" s="1">
        <f ca="1">COUNTIF(BO88:BZ88,"&gt;+49")</f>
        <v>1</v>
      </c>
    </row>
    <row r="89" spans="1:84">
      <c r="A89" s="1">
        <v>86</v>
      </c>
      <c r="B89" s="1">
        <f>'Team A 1'!B89-'Team A 1'!$AA89-('Team A 1'!B$2- 12.5)*'Team A 1'!$AC89</f>
        <v>18.517631085716857</v>
      </c>
      <c r="C89" s="1">
        <f>'Team A 1'!C89-'Team A 1'!$AA89-('Team A 1'!C$2- 12.5)*'Team A 1'!$AC89</f>
        <v>4.9146486724646365</v>
      </c>
      <c r="D89" s="1">
        <f>'Team A 1'!D89-'Team A 1'!$AA89-('Team A 1'!D$2- 12.5)*'Team A 1'!$AC89</f>
        <v>21.311666259212188</v>
      </c>
      <c r="E89" s="1">
        <f>'Team A 1'!E89-'Team A 1'!$AA89-('Team A 1'!E$2- 12.5)*'Team A 1'!$AC89</f>
        <v>7.7086838459597402</v>
      </c>
      <c r="F89" s="1">
        <f>'Team A 1'!F89-'Team A 1'!$AA89-('Team A 1'!F$2- 12.5)*'Team A 1'!$AC89</f>
        <v>-35.894298567292708</v>
      </c>
      <c r="G89" s="1">
        <f>'Team A 1'!G89-'Team A 1'!$AA89-('Team A 1'!G$2- 12.5)*'Team A 1'!$AC89</f>
        <v>-19.497280980545156</v>
      </c>
      <c r="H89" s="1">
        <f>'Team A 1'!H89-'Team A 1'!$AA89-('Team A 1'!H$2- 12.5)*'Team A 1'!$AC89</f>
        <v>-53.100263393797604</v>
      </c>
      <c r="I89" s="1">
        <f>'Team A 1'!I89-'Team A 1'!$AA89-('Team A 1'!I$2- 12.5)*'Team A 1'!$AC89</f>
        <v>-46.703245807050052</v>
      </c>
      <c r="J89" s="1">
        <f>'Team A 1'!J89-'Team A 1'!$AA89-('Team A 1'!J$2- 12.5)*'Team A 1'!$AC89</f>
        <v>-10.306228220302501</v>
      </c>
      <c r="K89" s="1">
        <f>'Team A 1'!K89-'Team A 1'!$AA89-('Team A 1'!K$2- 12.5)*'Team A 1'!$AC89</f>
        <v>36.090789366445051</v>
      </c>
      <c r="L89" s="1">
        <f>'Team A 1'!L89-'Team A 1'!$AA89-('Team A 1'!L$2- 12.5)*'Team A 1'!$AC89</f>
        <v>32.487806953192603</v>
      </c>
      <c r="M89" s="1">
        <f>'Team A 1'!M89-'Team A 1'!$AA89-('Team A 1'!M$2- 12.5)*'Team A 1'!$AC89</f>
        <v>8.8848245399401549</v>
      </c>
      <c r="N89" s="1">
        <f>'Team A 1'!N89-'Team A 1'!$AA89-('Team A 1'!N$2- 12.5)*'Team A 1'!$AC89</f>
        <v>35.281842126687707</v>
      </c>
      <c r="O89" s="1">
        <f>'Team A 1'!O89-'Team A 1'!$AA89-('Team A 1'!O$2- 12.5)*'Team A 1'!$AC89</f>
        <v>91.678859713435259</v>
      </c>
      <c r="P89" s="1">
        <f>'Team A 1'!P89-'Team A 1'!$AA89-('Team A 1'!P$2- 12.5)*'Team A 1'!$AC89</f>
        <v>28.07587730018281</v>
      </c>
      <c r="Q89" s="1">
        <f>'Team A 1'!Q89-'Team A 1'!$AA89-('Team A 1'!Q$2- 12.5)*'Team A 1'!$AC89</f>
        <v>14.472894886930362</v>
      </c>
      <c r="R89" s="1">
        <f>'Team A 1'!R89-'Team A 1'!$AA89-('Team A 1'!R$2- 12.5)*'Team A 1'!$AC89</f>
        <v>-49.130087526322086</v>
      </c>
      <c r="S89" s="1">
        <f>'Team A 1'!S89-'Team A 1'!$AA89-('Team A 1'!S$2- 12.5)*'Team A 1'!$AC89</f>
        <v>-22.733069939574534</v>
      </c>
      <c r="T89" s="1">
        <f>'Team A 1'!T89-'Team A 1'!$AA89-('Team A 1'!T$2- 12.5)*'Team A 1'!$AC89</f>
        <v>-16.336052352826982</v>
      </c>
      <c r="U89" s="1">
        <f>'Team A 1'!U89-'Team A 1'!$AA89-('Team A 1'!U$2- 12.5)*'Team A 1'!$AC89</f>
        <v>6.0965233920569517E-2</v>
      </c>
      <c r="V89" s="1">
        <f>'Team A 1'!V89-'Team A 1'!$AA89-('Team A 1'!V$2- 12.5)*'Team A 1'!$AC89</f>
        <v>-53.542017179331879</v>
      </c>
      <c r="W89" s="1">
        <f>'Team A 1'!W89-'Team A 1'!$AA89-('Team A 1'!W$2- 12.5)*'Team A 1'!$AC89</f>
        <v>12.855000407415673</v>
      </c>
      <c r="X89" s="1">
        <f>'Team A 1'!X89-'Team A 1'!$AA89-('Team A 1'!X$2- 12.5)*'Team A 1'!$AC89</f>
        <v>-10.747982005836775</v>
      </c>
      <c r="Y89" s="1">
        <f>'Team A 1'!Y89-'Team A 1'!$AA89-('Team A 1'!Y$2- 12.5)*'Team A 1'!$AC89</f>
        <v>5.6490355809110042</v>
      </c>
      <c r="AB89" s="1">
        <f>STDEV(B89:Y89)</f>
        <v>34.336951313201808</v>
      </c>
      <c r="AD89" s="5">
        <v>6</v>
      </c>
      <c r="AE89" s="5">
        <v>7</v>
      </c>
      <c r="AF89" s="5">
        <v>3</v>
      </c>
      <c r="AG89" s="5">
        <v>2</v>
      </c>
      <c r="AH89" s="5">
        <v>8</v>
      </c>
      <c r="AI89" s="5" t="s">
        <v>46</v>
      </c>
      <c r="AJ89" s="5">
        <v>4</v>
      </c>
      <c r="AK89" s="5">
        <v>5</v>
      </c>
      <c r="AL89" s="5">
        <v>9</v>
      </c>
      <c r="AM89" s="5" t="s">
        <v>47</v>
      </c>
      <c r="AN89" s="5">
        <v>1</v>
      </c>
      <c r="AO89" s="5" t="s">
        <v>45</v>
      </c>
      <c r="AP89" s="5">
        <v>7</v>
      </c>
      <c r="AQ89" s="5">
        <v>6</v>
      </c>
      <c r="AR89" s="5">
        <v>2</v>
      </c>
      <c r="AS89" s="5">
        <v>3</v>
      </c>
      <c r="AT89" s="5" t="s">
        <v>46</v>
      </c>
      <c r="AU89" s="5">
        <v>8</v>
      </c>
      <c r="AV89" s="5">
        <v>5</v>
      </c>
      <c r="AW89" s="5">
        <v>4</v>
      </c>
      <c r="AX89" s="5">
        <v>9</v>
      </c>
      <c r="AY89" s="5">
        <v>1</v>
      </c>
      <c r="AZ89" s="5" t="s">
        <v>47</v>
      </c>
      <c r="BA89" s="5" t="s">
        <v>45</v>
      </c>
      <c r="BB89" s="5"/>
      <c r="BC89" s="1">
        <f ca="1">OFFSET(A89,0, 11) -0</f>
        <v>32.487806953192603</v>
      </c>
      <c r="BD89" s="1">
        <f ca="1">OFFSET(A89,0, 4) -0</f>
        <v>7.7086838459597402</v>
      </c>
      <c r="BE89" s="1">
        <f ca="1">OFFSET(A89,0, 3) -0</f>
        <v>21.311666259212188</v>
      </c>
      <c r="BF89" s="1">
        <f ca="1">OFFSET(A89,0, 7) -0</f>
        <v>-53.100263393797604</v>
      </c>
      <c r="BG89" s="1">
        <f ca="1">OFFSET(A89,0, 8) -0</f>
        <v>-46.703245807050052</v>
      </c>
      <c r="BH89" s="1">
        <f ca="1">OFFSET(A89,0, 1) -0</f>
        <v>18.517631085716857</v>
      </c>
      <c r="BI89" s="1">
        <f ca="1">OFFSET(A89,0, 2) -0</f>
        <v>4.9146486724646365</v>
      </c>
      <c r="BJ89" s="1">
        <f ca="1">OFFSET(A89,0, 5) -0</f>
        <v>-35.894298567292708</v>
      </c>
      <c r="BK89" s="1">
        <f ca="1">OFFSET(A89,0, 9) -0</f>
        <v>-10.306228220302501</v>
      </c>
      <c r="BL89" s="1">
        <f ca="1">OFFSET(A89,0, 12) -0</f>
        <v>8.8848245399401549</v>
      </c>
      <c r="BM89" s="1">
        <f ca="1">OFFSET(A89,0, 6) -0</f>
        <v>-19.497280980545156</v>
      </c>
      <c r="BN89" s="1">
        <f ca="1">OFFSET(A89,0, 10) -0</f>
        <v>36.090789366445051</v>
      </c>
      <c r="BO89" s="1">
        <f ca="1">OFFSET(A89,0, 22) -0</f>
        <v>12.855000407415673</v>
      </c>
      <c r="BP89" s="1">
        <f ca="1">OFFSET(A89,0, 15) -0</f>
        <v>28.07587730018281</v>
      </c>
      <c r="BQ89" s="1">
        <f ca="1">OFFSET(A89,0, 16) -0</f>
        <v>14.472894886930362</v>
      </c>
      <c r="BR89" s="1">
        <f ca="1">OFFSET(A89,0, 20) -0</f>
        <v>6.0965233920569517E-2</v>
      </c>
      <c r="BS89" s="1">
        <f ca="1">OFFSET(A89,0, 19) -0</f>
        <v>-16.336052352826982</v>
      </c>
      <c r="BT89" s="1">
        <f ca="1">OFFSET(A89,0, 14) -0</f>
        <v>91.678859713435259</v>
      </c>
      <c r="BU89" s="1">
        <f ca="1">OFFSET(A89,0, 13) -0</f>
        <v>35.281842126687707</v>
      </c>
      <c r="BV89" s="1">
        <f ca="1">OFFSET(A89,0, 18) -0</f>
        <v>-22.733069939574534</v>
      </c>
      <c r="BW89" s="1">
        <f ca="1">OFFSET(A89,0, 21) -0</f>
        <v>-53.542017179331879</v>
      </c>
      <c r="BX89" s="1">
        <f ca="1">OFFSET(A89,0, 24) -0</f>
        <v>5.6490355809110042</v>
      </c>
      <c r="BY89" s="1">
        <f ca="1">OFFSET(A89,0, 17) -0</f>
        <v>-49.130087526322086</v>
      </c>
      <c r="BZ89" s="1">
        <f ca="1">OFFSET(A89,0, 23) -0</f>
        <v>-10.747982005836775</v>
      </c>
      <c r="CB89" s="1">
        <f>COUNTIF(B89,"&lt;-68")</f>
        <v>0</v>
      </c>
      <c r="CC89" s="1">
        <f ca="1">COUNTIF(BC89:BN89,"&lt;-48")</f>
        <v>1</v>
      </c>
      <c r="CD89" s="1">
        <f ca="1">COUNTIF(BC89:BN89,"&gt;+48")</f>
        <v>0</v>
      </c>
      <c r="CE89" s="1">
        <f ca="1">COUNTIF(BO89:BZ89,"&lt;-48")</f>
        <v>2</v>
      </c>
      <c r="CF89" s="1">
        <f ca="1">COUNTIF(BO89:BZ89,"&gt;+48")</f>
        <v>1</v>
      </c>
    </row>
    <row r="90" spans="1:84">
      <c r="A90" s="1">
        <v>87</v>
      </c>
      <c r="B90" s="1">
        <f>'Team A 1'!B90-'Team A 1'!$AA90-('Team A 1'!B$2- 12.5)*'Team A 1'!$AC90</f>
        <v>57.740907042821618</v>
      </c>
      <c r="C90" s="1">
        <f>'Team A 1'!C90-'Team A 1'!$AA90-('Team A 1'!C$2- 12.5)*'Team A 1'!$AC90</f>
        <v>33.77068324199513</v>
      </c>
      <c r="D90" s="1">
        <f>'Team A 1'!D90-'Team A 1'!$AA90-('Team A 1'!D$2- 12.5)*'Team A 1'!$AC90</f>
        <v>9.8004594411681865</v>
      </c>
      <c r="E90" s="1">
        <f>'Team A 1'!E90-'Team A 1'!$AA90-('Team A 1'!E$2- 12.5)*'Team A 1'!$AC90</f>
        <v>15.830235640341471</v>
      </c>
      <c r="F90" s="1">
        <f>'Team A 1'!F90-'Team A 1'!$AA90-('Team A 1'!F$2- 12.5)*'Team A 1'!$AC90</f>
        <v>-8.1399881604852453</v>
      </c>
      <c r="G90" s="1">
        <f>'Team A 1'!G90-'Team A 1'!$AA90-('Team A 1'!G$2- 12.5)*'Team A 1'!$AC90</f>
        <v>-2.1102119613119612</v>
      </c>
      <c r="H90" s="1">
        <f>'Team A 1'!H90-'Team A 1'!$AA90-('Team A 1'!H$2- 12.5)*'Team A 1'!$AC90</f>
        <v>-6.0804357621389045</v>
      </c>
      <c r="I90" s="1">
        <f>'Team A 1'!I90-'Team A 1'!$AA90-('Team A 1'!I$2- 12.5)*'Team A 1'!$AC90</f>
        <v>9.9493404370343796</v>
      </c>
      <c r="J90" s="1">
        <f>'Team A 1'!J90-'Team A 1'!$AA90-('Team A 1'!J$2- 12.5)*'Team A 1'!$AC90</f>
        <v>25.979116636207664</v>
      </c>
      <c r="K90" s="1">
        <f>'Team A 1'!K90-'Team A 1'!$AA90-('Team A 1'!K$2- 12.5)*'Team A 1'!$AC90</f>
        <v>-47.991107164619166</v>
      </c>
      <c r="L90" s="1">
        <f>'Team A 1'!L90-'Team A 1'!$AA90-('Team A 1'!L$2- 12.5)*'Team A 1'!$AC90</f>
        <v>-1.9613309654458817</v>
      </c>
      <c r="M90" s="1">
        <f>'Team A 1'!M90-'Team A 1'!$AA90-('Team A 1'!M$2- 12.5)*'Team A 1'!$AC90</f>
        <v>4.0684452337273171</v>
      </c>
      <c r="N90" s="1">
        <f>'Team A 1'!N90-'Team A 1'!$AA90-('Team A 1'!N$2- 12.5)*'Team A 1'!$AC90</f>
        <v>20.098221432900544</v>
      </c>
      <c r="O90" s="1">
        <f>'Team A 1'!O90-'Team A 1'!$AA90-('Team A 1'!O$2- 12.5)*'Team A 1'!$AC90</f>
        <v>26.127997632073743</v>
      </c>
      <c r="P90" s="1">
        <f>'Team A 1'!P90-'Team A 1'!$AA90-('Team A 1'!P$2- 12.5)*'Team A 1'!$AC90</f>
        <v>-7.8422261687529726</v>
      </c>
      <c r="Q90" s="1">
        <f>'Team A 1'!Q90-'Team A 1'!$AA90-('Team A 1'!Q$2- 12.5)*'Team A 1'!$AC90</f>
        <v>8.1875500304201978</v>
      </c>
      <c r="R90" s="1">
        <f>'Team A 1'!R90-'Team A 1'!$AA90-('Team A 1'!R$2- 12.5)*'Team A 1'!$AC90</f>
        <v>-5.7826737704065181</v>
      </c>
      <c r="S90" s="1">
        <f>'Team A 1'!S90-'Team A 1'!$AA90-('Team A 1'!S$2- 12.5)*'Team A 1'!$AC90</f>
        <v>0.24710242876676602</v>
      </c>
      <c r="T90" s="1">
        <f>'Team A 1'!T90-'Team A 1'!$AA90-('Team A 1'!T$2- 12.5)*'Team A 1'!$AC90</f>
        <v>-3.7231213720601772</v>
      </c>
      <c r="U90" s="1">
        <f>'Team A 1'!U90-'Team A 1'!$AA90-('Team A 1'!U$2- 12.5)*'Team A 1'!$AC90</f>
        <v>-47.693345172886893</v>
      </c>
      <c r="V90" s="1">
        <f>'Team A 1'!V90-'Team A 1'!$AA90-('Team A 1'!V$2- 12.5)*'Team A 1'!$AC90</f>
        <v>-1.663568973713609</v>
      </c>
      <c r="W90" s="1">
        <f>'Team A 1'!W90-'Team A 1'!$AA90-('Team A 1'!W$2- 12.5)*'Team A 1'!$AC90</f>
        <v>14.366207225459675</v>
      </c>
      <c r="X90" s="1">
        <f>'Team A 1'!X90-'Team A 1'!$AA90-('Team A 1'!X$2- 12.5)*'Team A 1'!$AC90</f>
        <v>-39.604016575367268</v>
      </c>
      <c r="Y90" s="1">
        <f>'Team A 1'!Y90-'Team A 1'!$AA90-('Team A 1'!Y$2- 12.5)*'Team A 1'!$AC90</f>
        <v>-53.574240376193757</v>
      </c>
      <c r="AB90" s="1">
        <f>STDEV(B90:Y90)</f>
        <v>26.548763448416143</v>
      </c>
      <c r="AD90" s="5">
        <v>6</v>
      </c>
      <c r="AE90" s="5">
        <v>7</v>
      </c>
      <c r="AF90" s="5">
        <v>3</v>
      </c>
      <c r="AG90" s="5">
        <v>2</v>
      </c>
      <c r="AH90" s="5">
        <v>8</v>
      </c>
      <c r="AI90" s="5" t="s">
        <v>46</v>
      </c>
      <c r="AJ90" s="5">
        <v>4</v>
      </c>
      <c r="AK90" s="5">
        <v>5</v>
      </c>
      <c r="AL90" s="5">
        <v>1</v>
      </c>
      <c r="AM90" s="5">
        <v>9</v>
      </c>
      <c r="AN90" s="5" t="s">
        <v>45</v>
      </c>
      <c r="AO90" s="5" t="s">
        <v>47</v>
      </c>
      <c r="AP90" s="5">
        <v>6</v>
      </c>
      <c r="AQ90" s="5">
        <v>3</v>
      </c>
      <c r="AR90" s="5">
        <v>7</v>
      </c>
      <c r="AS90" s="5">
        <v>8</v>
      </c>
      <c r="AT90" s="5">
        <v>2</v>
      </c>
      <c r="AU90" s="5">
        <v>4</v>
      </c>
      <c r="AV90" s="5" t="s">
        <v>46</v>
      </c>
      <c r="AW90" s="5">
        <v>5</v>
      </c>
      <c r="AX90" s="5">
        <v>9</v>
      </c>
      <c r="AY90" s="5">
        <v>1</v>
      </c>
      <c r="AZ90" s="5" t="s">
        <v>47</v>
      </c>
      <c r="BA90" s="5" t="s">
        <v>45</v>
      </c>
      <c r="BB90" s="5"/>
      <c r="BC90" s="1">
        <f ca="1">OFFSET(A90,0, 9) -0</f>
        <v>25.979116636207664</v>
      </c>
      <c r="BD90" s="1">
        <f ca="1">OFFSET(A90,0, 4) -0</f>
        <v>15.830235640341471</v>
      </c>
      <c r="BE90" s="1">
        <f ca="1">OFFSET(A90,0, 3) -0</f>
        <v>9.8004594411681865</v>
      </c>
      <c r="BF90" s="1">
        <f ca="1">OFFSET(A90,0, 7) -0</f>
        <v>-6.0804357621389045</v>
      </c>
      <c r="BG90" s="1">
        <f ca="1">OFFSET(A90,0, 8) -0</f>
        <v>9.9493404370343796</v>
      </c>
      <c r="BH90" s="1">
        <f ca="1">OFFSET(A90,0, 1) -0</f>
        <v>57.740907042821618</v>
      </c>
      <c r="BI90" s="1">
        <f ca="1">OFFSET(A90,0, 2) -0</f>
        <v>33.77068324199513</v>
      </c>
      <c r="BJ90" s="1">
        <f ca="1">OFFSET(A90,0, 5) -0</f>
        <v>-8.1399881604852453</v>
      </c>
      <c r="BK90" s="1">
        <f ca="1">OFFSET(A90,0, 10) -0</f>
        <v>-47.991107164619166</v>
      </c>
      <c r="BL90" s="1">
        <f ca="1">OFFSET(A90,0, 11) -0</f>
        <v>-1.9613309654458817</v>
      </c>
      <c r="BM90" s="1">
        <f ca="1">OFFSET(A90,0, 6) -0</f>
        <v>-2.1102119613119612</v>
      </c>
      <c r="BN90" s="1">
        <f ca="1">OFFSET(A90,0, 12) -0</f>
        <v>4.0684452337273171</v>
      </c>
      <c r="BO90" s="1">
        <f ca="1">OFFSET(A90,0, 22) -0</f>
        <v>14.366207225459675</v>
      </c>
      <c r="BP90" s="1">
        <f ca="1">OFFSET(A90,0, 17) -0</f>
        <v>-5.7826737704065181</v>
      </c>
      <c r="BQ90" s="1">
        <f ca="1">OFFSET(A90,0, 14) -0</f>
        <v>26.127997632073743</v>
      </c>
      <c r="BR90" s="1">
        <f ca="1">OFFSET(A90,0, 18) -0</f>
        <v>0.24710242876676602</v>
      </c>
      <c r="BS90" s="1">
        <f ca="1">OFFSET(A90,0, 20) -0</f>
        <v>-47.693345172886893</v>
      </c>
      <c r="BT90" s="1">
        <f ca="1">OFFSET(A90,0, 13) -0</f>
        <v>20.098221432900544</v>
      </c>
      <c r="BU90" s="1">
        <f ca="1">OFFSET(A90,0, 15) -0</f>
        <v>-7.8422261687529726</v>
      </c>
      <c r="BV90" s="1">
        <f ca="1">OFFSET(A90,0, 16) -0</f>
        <v>8.1875500304201978</v>
      </c>
      <c r="BW90" s="1">
        <f ca="1">OFFSET(A90,0, 21) -0</f>
        <v>-1.663568973713609</v>
      </c>
      <c r="BX90" s="1">
        <f ca="1">OFFSET(A90,0, 24) -0</f>
        <v>-53.574240376193757</v>
      </c>
      <c r="BY90" s="1">
        <f ca="1">OFFSET(A90,0, 19) -0</f>
        <v>-3.7231213720601772</v>
      </c>
      <c r="BZ90" s="1">
        <f ca="1">OFFSET(A90,0, 23) -0</f>
        <v>-39.604016575367268</v>
      </c>
      <c r="CB90" s="1">
        <f>COUNTIF(B90,"&lt;-69")</f>
        <v>0</v>
      </c>
      <c r="CC90" s="1">
        <f ca="1">COUNTIF(BC90:BN90,"&lt;-48")</f>
        <v>0</v>
      </c>
      <c r="CD90" s="1">
        <f ca="1">COUNTIF(BC90:BN90,"&gt;+48")</f>
        <v>1</v>
      </c>
      <c r="CE90" s="1">
        <f ca="1">COUNTIF(BO90:BZ90,"&lt;-48")</f>
        <v>1</v>
      </c>
      <c r="CF90" s="1">
        <f ca="1">COUNTIF(BO90:BZ90,"&gt;+48")</f>
        <v>0</v>
      </c>
    </row>
    <row r="91" spans="1:84">
      <c r="A91" s="1">
        <v>88</v>
      </c>
      <c r="B91" s="1">
        <f>'Team A 1'!B91-'Team A 1'!$AA91-('Team A 1'!B$2- 12.5)*'Team A 1'!$AC91</f>
        <v>23.054948399734258</v>
      </c>
      <c r="C91" s="1">
        <f>'Team A 1'!C91-'Team A 1'!$AA91-('Team A 1'!C$2- 12.5)*'Team A 1'!$AC91</f>
        <v>28.76756158236617</v>
      </c>
      <c r="D91" s="1">
        <f>'Team A 1'!D91-'Team A 1'!$AA91-('Team A 1'!D$2- 12.5)*'Team A 1'!$AC91</f>
        <v>-5.5198252350021448</v>
      </c>
      <c r="E91" s="1">
        <f>'Team A 1'!E91-'Team A 1'!$AA91-('Team A 1'!E$2- 12.5)*'Team A 1'!$AC91</f>
        <v>0.19278794762976759</v>
      </c>
      <c r="F91" s="1">
        <f>'Team A 1'!F91-'Team A 1'!$AA91-('Team A 1'!F$2- 12.5)*'Team A 1'!$AC91</f>
        <v>-4.0945988697385474</v>
      </c>
      <c r="G91" s="1">
        <f>'Team A 1'!G91-'Team A 1'!$AA91-('Team A 1'!G$2- 12.5)*'Team A 1'!$AC91</f>
        <v>1.6180143128933651</v>
      </c>
      <c r="H91" s="1">
        <f>'Team A 1'!H91-'Team A 1'!$AA91-('Team A 1'!H$2- 12.5)*'Team A 1'!$AC91</f>
        <v>-22.66937250447495</v>
      </c>
      <c r="I91" s="1">
        <f>'Team A 1'!I91-'Team A 1'!$AA91-('Team A 1'!I$2- 12.5)*'Team A 1'!$AC91</f>
        <v>33.043240678156963</v>
      </c>
      <c r="J91" s="1">
        <f>'Team A 1'!J91-'Team A 1'!$AA91-('Team A 1'!J$2- 12.5)*'Team A 1'!$AC91</f>
        <v>18.755853860788648</v>
      </c>
      <c r="K91" s="1">
        <f>'Team A 1'!K91-'Team A 1'!$AA91-('Team A 1'!K$2- 12.5)*'Team A 1'!$AC91</f>
        <v>-35.531532956579497</v>
      </c>
      <c r="L91" s="1">
        <f>'Team A 1'!L91-'Team A 1'!$AA91-('Team A 1'!L$2- 12.5)*'Team A 1'!$AC91</f>
        <v>-19.818919773947698</v>
      </c>
      <c r="M91" s="1">
        <f>'Team A 1'!M91-'Team A 1'!$AA91-('Team A 1'!M$2- 12.5)*'Team A 1'!$AC91</f>
        <v>5.8936934086841006</v>
      </c>
      <c r="N91" s="1">
        <f>'Team A 1'!N91-'Team A 1'!$AA91-('Team A 1'!N$2- 12.5)*'Team A 1'!$AC91</f>
        <v>51.606306591315899</v>
      </c>
      <c r="O91" s="1">
        <f>'Team A 1'!O91-'Team A 1'!$AA91-('Team A 1'!O$2- 12.5)*'Team A 1'!$AC91</f>
        <v>27.318919773947698</v>
      </c>
      <c r="P91" s="1">
        <f>'Team A 1'!P91-'Team A 1'!$AA91-('Team A 1'!P$2- 12.5)*'Team A 1'!$AC91</f>
        <v>3.0315329565794968</v>
      </c>
      <c r="Q91" s="1">
        <f>'Team A 1'!Q91-'Team A 1'!$AA91-('Team A 1'!Q$2- 12.5)*'Team A 1'!$AC91</f>
        <v>18.744146139211352</v>
      </c>
      <c r="R91" s="1">
        <f>'Team A 1'!R91-'Team A 1'!$AA91-('Team A 1'!R$2- 12.5)*'Team A 1'!$AC91</f>
        <v>-5.5432406781569625</v>
      </c>
      <c r="S91" s="1">
        <f>'Team A 1'!S91-'Team A 1'!$AA91-('Team A 1'!S$2- 12.5)*'Team A 1'!$AC91</f>
        <v>-9.8306274955250501</v>
      </c>
      <c r="T91" s="1">
        <f>'Team A 1'!T91-'Team A 1'!$AA91-('Team A 1'!T$2- 12.5)*'Team A 1'!$AC91</f>
        <v>-24.118014312893365</v>
      </c>
      <c r="U91" s="1">
        <f>'Team A 1'!U91-'Team A 1'!$AA91-('Team A 1'!U$2- 12.5)*'Team A 1'!$AC91</f>
        <v>11.594598869738547</v>
      </c>
      <c r="V91" s="1">
        <f>'Team A 1'!V91-'Team A 1'!$AA91-('Team A 1'!V$2- 12.5)*'Team A 1'!$AC91</f>
        <v>-32.692787947629768</v>
      </c>
      <c r="W91" s="1">
        <f>'Team A 1'!W91-'Team A 1'!$AA91-('Team A 1'!W$2- 12.5)*'Team A 1'!$AC91</f>
        <v>-16.980174764997855</v>
      </c>
      <c r="X91" s="1">
        <f>'Team A 1'!X91-'Team A 1'!$AA91-('Team A 1'!X$2- 12.5)*'Team A 1'!$AC91</f>
        <v>-11.26756158236617</v>
      </c>
      <c r="Y91" s="1">
        <f>'Team A 1'!Y91-'Team A 1'!$AA91-('Team A 1'!Y$2- 12.5)*'Team A 1'!$AC91</f>
        <v>-35.554948399734258</v>
      </c>
      <c r="AB91" s="1">
        <f>STDEV(B91:Y91)</f>
        <v>23.236358749904142</v>
      </c>
      <c r="AD91" s="5">
        <v>3</v>
      </c>
      <c r="AE91" s="5">
        <v>6</v>
      </c>
      <c r="AF91" s="5">
        <v>8</v>
      </c>
      <c r="AG91" s="5">
        <v>7</v>
      </c>
      <c r="AH91" s="5">
        <v>4</v>
      </c>
      <c r="AI91" s="5">
        <v>2</v>
      </c>
      <c r="AJ91" s="5">
        <v>5</v>
      </c>
      <c r="AK91" s="5" t="s">
        <v>46</v>
      </c>
      <c r="AL91" s="5">
        <v>1</v>
      </c>
      <c r="AM91" s="5">
        <v>9</v>
      </c>
      <c r="AN91" s="5" t="s">
        <v>45</v>
      </c>
      <c r="AO91" s="5" t="s">
        <v>47</v>
      </c>
      <c r="AP91" s="5">
        <v>6</v>
      </c>
      <c r="AQ91" s="5">
        <v>3</v>
      </c>
      <c r="AR91" s="5">
        <v>7</v>
      </c>
      <c r="AS91" s="5">
        <v>8</v>
      </c>
      <c r="AT91" s="5">
        <v>2</v>
      </c>
      <c r="AU91" s="5">
        <v>4</v>
      </c>
      <c r="AV91" s="5">
        <v>5</v>
      </c>
      <c r="AW91" s="5">
        <v>1</v>
      </c>
      <c r="AX91" s="5" t="s">
        <v>46</v>
      </c>
      <c r="AY91" s="5">
        <v>9</v>
      </c>
      <c r="AZ91" s="5" t="s">
        <v>47</v>
      </c>
      <c r="BA91" s="5" t="s">
        <v>45</v>
      </c>
      <c r="BB91" s="5"/>
      <c r="BC91" s="1">
        <f ca="1">OFFSET(A91,0, 9) -0</f>
        <v>18.755853860788648</v>
      </c>
      <c r="BD91" s="1">
        <f ca="1">OFFSET(A91,0, 6) -0</f>
        <v>1.6180143128933651</v>
      </c>
      <c r="BE91" s="1">
        <f ca="1">OFFSET(A91,0, 1) -0</f>
        <v>23.054948399734258</v>
      </c>
      <c r="BF91" s="1">
        <f ca="1">OFFSET(A91,0, 5) -0</f>
        <v>-4.0945988697385474</v>
      </c>
      <c r="BG91" s="1">
        <f ca="1">OFFSET(A91,0, 7) -0</f>
        <v>-22.66937250447495</v>
      </c>
      <c r="BH91" s="1">
        <f ca="1">OFFSET(A91,0, 2) -0</f>
        <v>28.76756158236617</v>
      </c>
      <c r="BI91" s="1">
        <f ca="1">OFFSET(A91,0, 4) -0</f>
        <v>0.19278794762976759</v>
      </c>
      <c r="BJ91" s="1">
        <f ca="1">OFFSET(A91,0, 3) -0</f>
        <v>-5.5198252350021448</v>
      </c>
      <c r="BK91" s="1">
        <f ca="1">OFFSET(A91,0, 10) -0</f>
        <v>-35.531532956579497</v>
      </c>
      <c r="BL91" s="1">
        <f ca="1">OFFSET(A91,0, 11) -0</f>
        <v>-19.818919773947698</v>
      </c>
      <c r="BM91" s="1">
        <f ca="1">OFFSET(A91,0, 8) -0</f>
        <v>33.043240678156963</v>
      </c>
      <c r="BN91" s="1">
        <f ca="1">OFFSET(A91,0, 12) -0</f>
        <v>5.8936934086841006</v>
      </c>
      <c r="BO91" s="1">
        <f ca="1">OFFSET(A91,0, 20) -0</f>
        <v>11.594598869738547</v>
      </c>
      <c r="BP91" s="1">
        <f ca="1">OFFSET(A91,0, 17) -0</f>
        <v>-5.5432406781569625</v>
      </c>
      <c r="BQ91" s="1">
        <f ca="1">OFFSET(A91,0, 14) -0</f>
        <v>27.318919773947698</v>
      </c>
      <c r="BR91" s="1">
        <f ca="1">OFFSET(A91,0, 18) -0</f>
        <v>-9.8306274955250501</v>
      </c>
      <c r="BS91" s="1">
        <f ca="1">OFFSET(A91,0, 19) -0</f>
        <v>-24.118014312893365</v>
      </c>
      <c r="BT91" s="1">
        <f ca="1">OFFSET(A91,0, 13) -0</f>
        <v>51.606306591315899</v>
      </c>
      <c r="BU91" s="1">
        <f ca="1">OFFSET(A91,0, 15) -0</f>
        <v>3.0315329565794968</v>
      </c>
      <c r="BV91" s="1">
        <f ca="1">OFFSET(A91,0, 16) -0</f>
        <v>18.744146139211352</v>
      </c>
      <c r="BW91" s="1">
        <f ca="1">OFFSET(A91,0, 22) -0</f>
        <v>-16.980174764997855</v>
      </c>
      <c r="BX91" s="1">
        <f ca="1">OFFSET(A91,0, 24) -0</f>
        <v>-35.554948399734258</v>
      </c>
      <c r="BY91" s="1">
        <f ca="1">OFFSET(A91,0, 21) -0</f>
        <v>-32.692787947629768</v>
      </c>
      <c r="BZ91" s="1">
        <f ca="1">OFFSET(A91,0, 23) -0</f>
        <v>-11.26756158236617</v>
      </c>
      <c r="CB91" s="1">
        <f>COUNTIF(B91,"&lt;-69")</f>
        <v>0</v>
      </c>
      <c r="CC91" s="1">
        <f ca="1">COUNTIF(BC91:BN91,"&lt;-49")</f>
        <v>0</v>
      </c>
      <c r="CD91" s="1">
        <f ca="1">COUNTIF(BC91:BN91,"&gt;+49")</f>
        <v>0</v>
      </c>
      <c r="CE91" s="1">
        <f ca="1">COUNTIF(BO91:BZ91,"&lt;-49")</f>
        <v>0</v>
      </c>
      <c r="CF91" s="1">
        <f ca="1">COUNTIF(BO91:BZ91,"&gt;+49")</f>
        <v>1</v>
      </c>
    </row>
    <row r="92" spans="1:84">
      <c r="A92" s="1">
        <v>89</v>
      </c>
      <c r="B92" s="1">
        <f>'Team A 1'!B92-'Team A 1'!$AA92-('Team A 1'!B$2- 12.5)*'Team A 1'!$AC92</f>
        <v>24.813170767386964</v>
      </c>
      <c r="C92" s="1">
        <f>'Team A 1'!C92-'Team A 1'!$AA92-('Team A 1'!C$2- 12.5)*'Team A 1'!$AC92</f>
        <v>30.300431280369594</v>
      </c>
      <c r="D92" s="1">
        <f>'Team A 1'!D92-'Team A 1'!$AA92-('Team A 1'!D$2- 12.5)*'Team A 1'!$AC92</f>
        <v>15.787691793352224</v>
      </c>
      <c r="E92" s="1">
        <f>'Team A 1'!E92-'Team A 1'!$AA92-('Team A 1'!E$2- 12.5)*'Team A 1'!$AC92</f>
        <v>31.274952306334626</v>
      </c>
      <c r="F92" s="1">
        <f>'Team A 1'!F92-'Team A 1'!$AA92-('Team A 1'!F$2- 12.5)*'Team A 1'!$AC92</f>
        <v>16.762212819317256</v>
      </c>
      <c r="G92" s="1">
        <f>'Team A 1'!G92-'Team A 1'!$AA92-('Team A 1'!G$2- 12.5)*'Team A 1'!$AC92</f>
        <v>2.2494733322996581</v>
      </c>
      <c r="H92" s="1">
        <f>'Team A 1'!H92-'Team A 1'!$AA92-('Team A 1'!H$2- 12.5)*'Team A 1'!$AC92</f>
        <v>7.7367338452822878</v>
      </c>
      <c r="I92" s="1">
        <f>'Team A 1'!I92-'Team A 1'!$AA92-('Team A 1'!I$2- 12.5)*'Team A 1'!$AC92</f>
        <v>3.2239943582646902</v>
      </c>
      <c r="J92" s="1">
        <f>'Team A 1'!J92-'Team A 1'!$AA92-('Team A 1'!J$2- 12.5)*'Team A 1'!$AC92</f>
        <v>8.7112548712473199</v>
      </c>
      <c r="K92" s="1">
        <f>'Team A 1'!K92-'Team A 1'!$AA92-('Team A 1'!K$2- 12.5)*'Team A 1'!$AC92</f>
        <v>-35.801484615770221</v>
      </c>
      <c r="L92" s="1">
        <f>'Team A 1'!L92-'Team A 1'!$AA92-('Team A 1'!L$2- 12.5)*'Team A 1'!$AC92</f>
        <v>-70.314224102787705</v>
      </c>
      <c r="M92" s="1">
        <f>'Team A 1'!M92-'Team A 1'!$AA92-('Team A 1'!M$2- 12.5)*'Team A 1'!$AC92</f>
        <v>-14.826963589805189</v>
      </c>
      <c r="N92" s="1">
        <f>'Team A 1'!N92-'Team A 1'!$AA92-('Team A 1'!N$2- 12.5)*'Team A 1'!$AC92</f>
        <v>-29.339703076822673</v>
      </c>
      <c r="O92" s="1">
        <f>'Team A 1'!O92-'Team A 1'!$AA92-('Team A 1'!O$2- 12.5)*'Team A 1'!$AC92</f>
        <v>16.147557436159843</v>
      </c>
      <c r="P92" s="1">
        <f>'Team A 1'!P92-'Team A 1'!$AA92-('Team A 1'!P$2- 12.5)*'Team A 1'!$AC92</f>
        <v>11.634817949142359</v>
      </c>
      <c r="Q92" s="1">
        <f>'Team A 1'!Q92-'Team A 1'!$AA92-('Team A 1'!Q$2- 12.5)*'Team A 1'!$AC92</f>
        <v>27.122078462124819</v>
      </c>
      <c r="R92" s="1">
        <f>'Team A 1'!R92-'Team A 1'!$AA92-('Team A 1'!R$2- 12.5)*'Team A 1'!$AC92</f>
        <v>22.609338975107448</v>
      </c>
      <c r="S92" s="1">
        <f>'Team A 1'!S92-'Team A 1'!$AA92-('Team A 1'!S$2- 12.5)*'Team A 1'!$AC92</f>
        <v>18.096599488089851</v>
      </c>
      <c r="T92" s="1">
        <f>'Team A 1'!T92-'Team A 1'!$AA92-('Team A 1'!T$2- 12.5)*'Team A 1'!$AC92</f>
        <v>-6.4161399989275196</v>
      </c>
      <c r="U92" s="1">
        <f>'Team A 1'!U92-'Team A 1'!$AA92-('Team A 1'!U$2- 12.5)*'Team A 1'!$AC92</f>
        <v>29.071120514054883</v>
      </c>
      <c r="V92" s="1">
        <f>'Team A 1'!V92-'Team A 1'!$AA92-('Team A 1'!V$2- 12.5)*'Team A 1'!$AC92</f>
        <v>-45.441618972962488</v>
      </c>
      <c r="W92" s="1">
        <f>'Team A 1'!W92-'Team A 1'!$AA92-('Team A 1'!W$2- 12.5)*'Team A 1'!$AC92</f>
        <v>-29.954358459980085</v>
      </c>
      <c r="X92" s="1">
        <f>'Team A 1'!X92-'Team A 1'!$AA92-('Team A 1'!X$2- 12.5)*'Team A 1'!$AC92</f>
        <v>-34.467097946997455</v>
      </c>
      <c r="Y92" s="1">
        <f>'Team A 1'!Y92-'Team A 1'!$AA92-('Team A 1'!Y$2- 12.5)*'Team A 1'!$AC92</f>
        <v>1.0201625659851743</v>
      </c>
      <c r="AB92" s="1">
        <f>STDEV(B92:Y92)</f>
        <v>27.589977379992973</v>
      </c>
      <c r="AD92" s="5">
        <v>3</v>
      </c>
      <c r="AE92" s="5">
        <v>6</v>
      </c>
      <c r="AF92" s="5">
        <v>8</v>
      </c>
      <c r="AG92" s="5">
        <v>7</v>
      </c>
      <c r="AH92" s="5">
        <v>4</v>
      </c>
      <c r="AI92" s="5">
        <v>2</v>
      </c>
      <c r="AJ92" s="5">
        <v>1</v>
      </c>
      <c r="AK92" s="5">
        <v>5</v>
      </c>
      <c r="AL92" s="5">
        <v>9</v>
      </c>
      <c r="AM92" s="5" t="s">
        <v>46</v>
      </c>
      <c r="AN92" s="5" t="s">
        <v>45</v>
      </c>
      <c r="AO92" s="5" t="s">
        <v>47</v>
      </c>
      <c r="AP92" s="5">
        <v>3</v>
      </c>
      <c r="AQ92" s="5">
        <v>8</v>
      </c>
      <c r="AR92" s="5">
        <v>6</v>
      </c>
      <c r="AS92" s="5">
        <v>4</v>
      </c>
      <c r="AT92" s="5">
        <v>7</v>
      </c>
      <c r="AU92" s="5">
        <v>2</v>
      </c>
      <c r="AV92" s="5">
        <v>5</v>
      </c>
      <c r="AW92" s="5">
        <v>1</v>
      </c>
      <c r="AX92" s="5">
        <v>9</v>
      </c>
      <c r="AY92" s="5" t="s">
        <v>45</v>
      </c>
      <c r="AZ92" s="5" t="s">
        <v>46</v>
      </c>
      <c r="BA92" s="5" t="s">
        <v>47</v>
      </c>
      <c r="BB92" s="5"/>
      <c r="BC92" s="1">
        <f ca="1">OFFSET(A92,0, 7) -0</f>
        <v>7.7367338452822878</v>
      </c>
      <c r="BD92" s="1">
        <f ca="1">OFFSET(A92,0, 6) -0</f>
        <v>2.2494733322996581</v>
      </c>
      <c r="BE92" s="1">
        <f ca="1">OFFSET(A92,0, 1) -0</f>
        <v>24.813170767386964</v>
      </c>
      <c r="BF92" s="1">
        <f ca="1">OFFSET(A92,0, 5) -0</f>
        <v>16.762212819317256</v>
      </c>
      <c r="BG92" s="1">
        <f ca="1">OFFSET(A92,0, 8) -0</f>
        <v>3.2239943582646902</v>
      </c>
      <c r="BH92" s="1">
        <f ca="1">OFFSET(A92,0, 2) -0</f>
        <v>30.300431280369594</v>
      </c>
      <c r="BI92" s="1">
        <f ca="1">OFFSET(A92,0, 4) -0</f>
        <v>31.274952306334626</v>
      </c>
      <c r="BJ92" s="1">
        <f ca="1">OFFSET(A92,0, 3) -0</f>
        <v>15.787691793352224</v>
      </c>
      <c r="BK92" s="1">
        <f ca="1">OFFSET(A92,0, 9) -0</f>
        <v>8.7112548712473199</v>
      </c>
      <c r="BL92" s="1">
        <f ca="1">OFFSET(A92,0, 11) -0</f>
        <v>-70.314224102787705</v>
      </c>
      <c r="BM92" s="1">
        <f ca="1">OFFSET(A92,0, 10) -0</f>
        <v>-35.801484615770221</v>
      </c>
      <c r="BN92" s="1">
        <f ca="1">OFFSET(A92,0, 12) -0</f>
        <v>-14.826963589805189</v>
      </c>
      <c r="BO92" s="1">
        <f ca="1">OFFSET(A92,0, 20) -0</f>
        <v>29.071120514054883</v>
      </c>
      <c r="BP92" s="1">
        <f ca="1">OFFSET(A92,0, 18) -0</f>
        <v>18.096599488089851</v>
      </c>
      <c r="BQ92" s="1">
        <f ca="1">OFFSET(A92,0, 13) -0</f>
        <v>-29.339703076822673</v>
      </c>
      <c r="BR92" s="1">
        <f ca="1">OFFSET(A92,0, 16) -0</f>
        <v>27.122078462124819</v>
      </c>
      <c r="BS92" s="1">
        <f ca="1">OFFSET(A92,0, 19) -0</f>
        <v>-6.4161399989275196</v>
      </c>
      <c r="BT92" s="1">
        <f ca="1">OFFSET(A92,0, 15) -0</f>
        <v>11.634817949142359</v>
      </c>
      <c r="BU92" s="1">
        <f ca="1">OFFSET(A92,0, 17) -0</f>
        <v>22.609338975107448</v>
      </c>
      <c r="BV92" s="1">
        <f ca="1">OFFSET(A92,0, 14) -0</f>
        <v>16.147557436159843</v>
      </c>
      <c r="BW92" s="1">
        <f ca="1">OFFSET(A92,0, 21) -0</f>
        <v>-45.441618972962488</v>
      </c>
      <c r="BX92" s="1">
        <f ca="1">OFFSET(A92,0, 22) -0</f>
        <v>-29.954358459980085</v>
      </c>
      <c r="BY92" s="1">
        <f ca="1">OFFSET(A92,0, 23) -0</f>
        <v>-34.467097946997455</v>
      </c>
      <c r="BZ92" s="1">
        <f ca="1">OFFSET(A92,0, 24) -0</f>
        <v>1.0201625659851743</v>
      </c>
      <c r="CB92" s="1">
        <f>COUNTIF(B92,"&lt;-69")</f>
        <v>0</v>
      </c>
      <c r="CC92" s="1">
        <f ca="1">COUNTIF(BC92:BN92,"&lt;-49")</f>
        <v>1</v>
      </c>
      <c r="CD92" s="1">
        <f ca="1">COUNTIF(BC92:BN92,"&gt;+49")</f>
        <v>0</v>
      </c>
      <c r="CE92" s="1">
        <f ca="1">COUNTIF(BO92:BZ92,"&lt;-49")</f>
        <v>0</v>
      </c>
      <c r="CF92" s="1">
        <f ca="1">COUNTIF(BO92:BZ92,"&gt;+49")</f>
        <v>0</v>
      </c>
    </row>
    <row r="93" spans="1:84">
      <c r="A93" s="1">
        <v>90</v>
      </c>
      <c r="B93" s="1">
        <f>'Team A 1'!B93-'Team A 1'!$AA93-('Team A 1'!B$2- 12.5)*'Team A 1'!$AC93</f>
        <v>14.55795262265201</v>
      </c>
      <c r="C93" s="1">
        <f>'Team A 1'!C93-'Team A 1'!$AA93-('Team A 1'!C$2- 12.5)*'Team A 1'!$AC93</f>
        <v>0.10363790184010213</v>
      </c>
      <c r="D93" s="1">
        <f>'Team A 1'!D93-'Team A 1'!$AA93-('Team A 1'!D$2- 12.5)*'Team A 1'!$AC93</f>
        <v>15.649323181028194</v>
      </c>
      <c r="E93" s="1">
        <f>'Team A 1'!E93-'Team A 1'!$AA93-('Team A 1'!E$2- 12.5)*'Team A 1'!$AC93</f>
        <v>11.195008460216059</v>
      </c>
      <c r="F93" s="1">
        <f>'Team A 1'!F93-'Team A 1'!$AA93-('Team A 1'!F$2- 12.5)*'Team A 1'!$AC93</f>
        <v>16.740693739404151</v>
      </c>
      <c r="G93" s="1">
        <f>'Team A 1'!G93-'Team A 1'!$AA93-('Team A 1'!G$2- 12.5)*'Team A 1'!$AC93</f>
        <v>62.286379018592015</v>
      </c>
      <c r="H93" s="1">
        <f>'Team A 1'!H93-'Team A 1'!$AA93-('Team A 1'!H$2- 12.5)*'Team A 1'!$AC93</f>
        <v>47.832064297780107</v>
      </c>
      <c r="I93" s="1">
        <f>'Team A 1'!I93-'Team A 1'!$AA93-('Team A 1'!I$2- 12.5)*'Team A 1'!$AC93</f>
        <v>23.377749576967972</v>
      </c>
      <c r="J93" s="1">
        <f>'Team A 1'!J93-'Team A 1'!$AA93-('Team A 1'!J$2- 12.5)*'Team A 1'!$AC93</f>
        <v>18.923434856156064</v>
      </c>
      <c r="K93" s="1">
        <f>'Team A 1'!K93-'Team A 1'!$AA93-('Team A 1'!K$2- 12.5)*'Team A 1'!$AC93</f>
        <v>-35.530879864656015</v>
      </c>
      <c r="L93" s="1">
        <f>'Team A 1'!L93-'Team A 1'!$AA93-('Team A 1'!L$2- 12.5)*'Team A 1'!$AC93</f>
        <v>-29.985194585468037</v>
      </c>
      <c r="M93" s="1">
        <f>'Team A 1'!M93-'Team A 1'!$AA93-('Team A 1'!M$2- 12.5)*'Team A 1'!$AC93</f>
        <v>-54.439509306280058</v>
      </c>
      <c r="N93" s="1">
        <f>'Team A 1'!N93-'Team A 1'!$AA93-('Team A 1'!N$2- 12.5)*'Team A 1'!$AC93</f>
        <v>-18.89382402709208</v>
      </c>
      <c r="O93" s="1">
        <f>'Team A 1'!O93-'Team A 1'!$AA93-('Team A 1'!O$2- 12.5)*'Team A 1'!$AC93</f>
        <v>26.651861252095898</v>
      </c>
      <c r="P93" s="1">
        <f>'Team A 1'!P93-'Team A 1'!$AA93-('Team A 1'!P$2- 12.5)*'Team A 1'!$AC93</f>
        <v>-47.802453468716124</v>
      </c>
      <c r="Q93" s="1">
        <f>'Team A 1'!Q93-'Team A 1'!$AA93-('Team A 1'!Q$2- 12.5)*'Team A 1'!$AC93</f>
        <v>-2.2567681895282021</v>
      </c>
      <c r="R93" s="1">
        <f>'Team A 1'!R93-'Team A 1'!$AA93-('Team A 1'!R$2- 12.5)*'Team A 1'!$AC93</f>
        <v>23.28891708965989</v>
      </c>
      <c r="S93" s="1">
        <f>'Team A 1'!S93-'Team A 1'!$AA93-('Team A 1'!S$2- 12.5)*'Team A 1'!$AC93</f>
        <v>48.834602368847754</v>
      </c>
      <c r="T93" s="1">
        <f>'Team A 1'!T93-'Team A 1'!$AA93-('Team A 1'!T$2- 12.5)*'Team A 1'!$AC93</f>
        <v>24.380287648035846</v>
      </c>
      <c r="U93" s="1">
        <f>'Team A 1'!U93-'Team A 1'!$AA93-('Team A 1'!U$2- 12.5)*'Team A 1'!$AC93</f>
        <v>-20.074027072776289</v>
      </c>
      <c r="V93" s="1">
        <f>'Team A 1'!V93-'Team A 1'!$AA93-('Team A 1'!V$2- 12.5)*'Team A 1'!$AC93</f>
        <v>-54.528341793588197</v>
      </c>
      <c r="W93" s="1">
        <f>'Team A 1'!W93-'Team A 1'!$AA93-('Team A 1'!W$2- 12.5)*'Team A 1'!$AC93</f>
        <v>-28.982656514400333</v>
      </c>
      <c r="X93" s="1">
        <f>'Team A 1'!X93-'Team A 1'!$AA93-('Team A 1'!X$2- 12.5)*'Team A 1'!$AC93</f>
        <v>-43.436971235212241</v>
      </c>
      <c r="Y93" s="1">
        <f>'Team A 1'!Y93-'Team A 1'!$AA93-('Team A 1'!Y$2- 12.5)*'Team A 1'!$AC93</f>
        <v>2.1087140439758514</v>
      </c>
      <c r="AB93" s="1">
        <f>STDEV(B93:Y93)</f>
        <v>33.651881526619626</v>
      </c>
      <c r="AD93" s="5">
        <v>8</v>
      </c>
      <c r="AE93" s="5">
        <v>3</v>
      </c>
      <c r="AF93" s="5">
        <v>4</v>
      </c>
      <c r="AG93" s="5">
        <v>6</v>
      </c>
      <c r="AH93" s="5">
        <v>2</v>
      </c>
      <c r="AI93" s="5">
        <v>7</v>
      </c>
      <c r="AJ93" s="5">
        <v>1</v>
      </c>
      <c r="AK93" s="5">
        <v>5</v>
      </c>
      <c r="AL93" s="5" t="s">
        <v>45</v>
      </c>
      <c r="AM93" s="5">
        <v>9</v>
      </c>
      <c r="AN93" s="5" t="s">
        <v>47</v>
      </c>
      <c r="AO93" s="5" t="s">
        <v>46</v>
      </c>
      <c r="AP93" s="5">
        <v>3</v>
      </c>
      <c r="AQ93" s="5">
        <v>8</v>
      </c>
      <c r="AR93" s="5">
        <v>6</v>
      </c>
      <c r="AS93" s="5">
        <v>4</v>
      </c>
      <c r="AT93" s="5">
        <v>2</v>
      </c>
      <c r="AU93" s="5">
        <v>1</v>
      </c>
      <c r="AV93" s="5">
        <v>7</v>
      </c>
      <c r="AW93" s="5">
        <v>5</v>
      </c>
      <c r="AX93" s="5">
        <v>9</v>
      </c>
      <c r="AY93" s="5" t="s">
        <v>45</v>
      </c>
      <c r="AZ93" s="5" t="s">
        <v>46</v>
      </c>
      <c r="BA93" s="5" t="s">
        <v>47</v>
      </c>
      <c r="BB93" s="5"/>
      <c r="BC93" s="1">
        <f ca="1">OFFSET(A93,0, 7) -0</f>
        <v>47.832064297780107</v>
      </c>
      <c r="BD93" s="1">
        <f ca="1">OFFSET(A93,0, 5) -0</f>
        <v>16.740693739404151</v>
      </c>
      <c r="BE93" s="1">
        <f ca="1">OFFSET(A93,0, 2) -0</f>
        <v>0.10363790184010213</v>
      </c>
      <c r="BF93" s="1">
        <f ca="1">OFFSET(A93,0, 3) -0</f>
        <v>15.649323181028194</v>
      </c>
      <c r="BG93" s="1">
        <f ca="1">OFFSET(A93,0, 8) -0</f>
        <v>23.377749576967972</v>
      </c>
      <c r="BH93" s="1">
        <f ca="1">OFFSET(A93,0, 4) -0</f>
        <v>11.195008460216059</v>
      </c>
      <c r="BI93" s="1">
        <f ca="1">OFFSET(A93,0, 6) -0</f>
        <v>62.286379018592015</v>
      </c>
      <c r="BJ93" s="1">
        <f ca="1">OFFSET(A93,0, 1) -0</f>
        <v>14.55795262265201</v>
      </c>
      <c r="BK93" s="1">
        <f ca="1">OFFSET(A93,0, 10) -0</f>
        <v>-35.530879864656015</v>
      </c>
      <c r="BL93" s="1">
        <f ca="1">OFFSET(A93,0, 9) -0</f>
        <v>18.923434856156064</v>
      </c>
      <c r="BM93" s="1">
        <f ca="1">OFFSET(A93,0, 12) -0</f>
        <v>-54.439509306280058</v>
      </c>
      <c r="BN93" s="1">
        <f ca="1">OFFSET(A93,0, 11) -0</f>
        <v>-29.985194585468037</v>
      </c>
      <c r="BO93" s="1">
        <f ca="1">OFFSET(A93,0, 18) -0</f>
        <v>48.834602368847754</v>
      </c>
      <c r="BP93" s="1">
        <f ca="1">OFFSET(A93,0, 17) -0</f>
        <v>23.28891708965989</v>
      </c>
      <c r="BQ93" s="1">
        <f ca="1">OFFSET(A93,0, 13) -0</f>
        <v>-18.89382402709208</v>
      </c>
      <c r="BR93" s="1">
        <f ca="1">OFFSET(A93,0, 16) -0</f>
        <v>-2.2567681895282021</v>
      </c>
      <c r="BS93" s="1">
        <f ca="1">OFFSET(A93,0, 20) -0</f>
        <v>-20.074027072776289</v>
      </c>
      <c r="BT93" s="1">
        <f ca="1">OFFSET(A93,0, 15) -0</f>
        <v>-47.802453468716124</v>
      </c>
      <c r="BU93" s="1">
        <f ca="1">OFFSET(A93,0, 19) -0</f>
        <v>24.380287648035846</v>
      </c>
      <c r="BV93" s="1">
        <f ca="1">OFFSET(A93,0, 14) -0</f>
        <v>26.651861252095898</v>
      </c>
      <c r="BW93" s="1">
        <f ca="1">OFFSET(A93,0, 21) -0</f>
        <v>-54.528341793588197</v>
      </c>
      <c r="BX93" s="1">
        <f ca="1">OFFSET(A93,0, 22) -0</f>
        <v>-28.982656514400333</v>
      </c>
      <c r="BY93" s="1">
        <f ca="1">OFFSET(A93,0, 23) -0</f>
        <v>-43.436971235212241</v>
      </c>
      <c r="BZ93" s="1">
        <f ca="1">OFFSET(A93,0, 24) -0</f>
        <v>2.1087140439758514</v>
      </c>
      <c r="CB93" s="1">
        <f>COUNTIF(B93,"&lt;-69")</f>
        <v>0</v>
      </c>
      <c r="CC93" s="1">
        <f ca="1">COUNTIF(BC93:BN93,"&lt;-49")</f>
        <v>1</v>
      </c>
      <c r="CD93" s="1">
        <f ca="1">COUNTIF(BC93:BN93,"&gt;+49")</f>
        <v>1</v>
      </c>
      <c r="CE93" s="1">
        <f ca="1">COUNTIF(BO93:BZ93,"&lt;-49")</f>
        <v>1</v>
      </c>
      <c r="CF93" s="1">
        <f ca="1">COUNTIF(BO93:BZ93,"&gt;+49")</f>
        <v>0</v>
      </c>
    </row>
    <row r="94" spans="1:84">
      <c r="A94" s="1">
        <v>91</v>
      </c>
      <c r="B94" s="1">
        <f>'Team A 1'!B94-'Team A 1'!$AA94-('Team A 1'!B$2- 12.5)*'Team A 1'!$AC94</f>
        <v>23.473828988192508</v>
      </c>
      <c r="C94" s="1">
        <f>'Team A 1'!C94-'Team A 1'!$AA94-('Team A 1'!C$2- 12.5)*'Team A 1'!$AC94</f>
        <v>9.2949453080614148</v>
      </c>
      <c r="D94" s="1">
        <f>'Team A 1'!D94-'Team A 1'!$AA94-('Team A 1'!D$2- 12.5)*'Team A 1'!$AC94</f>
        <v>75.116061627930321</v>
      </c>
      <c r="E94" s="1">
        <f>'Team A 1'!E94-'Team A 1'!$AA94-('Team A 1'!E$2- 12.5)*'Team A 1'!$AC94</f>
        <v>30.937177947799455</v>
      </c>
      <c r="F94" s="1">
        <f>'Team A 1'!F94-'Team A 1'!$AA94-('Team A 1'!F$2- 12.5)*'Team A 1'!$AC94</f>
        <v>6.7582942676683615</v>
      </c>
      <c r="G94" s="1">
        <f>'Team A 1'!G94-'Team A 1'!$AA94-('Team A 1'!G$2- 12.5)*'Team A 1'!$AC94</f>
        <v>-7.4205894124625047</v>
      </c>
      <c r="H94" s="1">
        <f>'Team A 1'!H94-'Team A 1'!$AA94-('Team A 1'!H$2- 12.5)*'Team A 1'!$AC94</f>
        <v>-21.599473092593598</v>
      </c>
      <c r="I94" s="1">
        <f>'Team A 1'!I94-'Team A 1'!$AA94-('Team A 1'!I$2- 12.5)*'Team A 1'!$AC94</f>
        <v>34.221643227275536</v>
      </c>
      <c r="J94" s="1">
        <f>'Team A 1'!J94-'Team A 1'!$AA94-('Team A 1'!J$2- 12.5)*'Team A 1'!$AC94</f>
        <v>20.042759547144442</v>
      </c>
      <c r="K94" s="1">
        <f>'Team A 1'!K94-'Team A 1'!$AA94-('Team A 1'!K$2- 12.5)*'Team A 1'!$AC94</f>
        <v>-24.136124132986481</v>
      </c>
      <c r="L94" s="1">
        <f>'Team A 1'!L94-'Team A 1'!$AA94-('Team A 1'!L$2- 12.5)*'Team A 1'!$AC94</f>
        <v>-28.315007813117461</v>
      </c>
      <c r="M94" s="1">
        <f>'Team A 1'!M94-'Team A 1'!$AA94-('Team A 1'!M$2- 12.5)*'Team A 1'!$AC94</f>
        <v>-12.493891493248441</v>
      </c>
      <c r="N94" s="1">
        <f>'Team A 1'!N94-'Team A 1'!$AA94-('Team A 1'!N$2- 12.5)*'Team A 1'!$AC94</f>
        <v>-6.6727751733794207</v>
      </c>
      <c r="O94" s="1">
        <f>'Team A 1'!O94-'Team A 1'!$AA94-('Team A 1'!O$2- 12.5)*'Team A 1'!$AC94</f>
        <v>19.148341146489599</v>
      </c>
      <c r="P94" s="1">
        <f>'Team A 1'!P94-'Team A 1'!$AA94-('Team A 1'!P$2- 12.5)*'Team A 1'!$AC94</f>
        <v>14.96945746635862</v>
      </c>
      <c r="Q94" s="1">
        <f>'Team A 1'!Q94-'Team A 1'!$AA94-('Team A 1'!Q$2- 12.5)*'Team A 1'!$AC94</f>
        <v>10.790573786227696</v>
      </c>
      <c r="R94" s="1">
        <f>'Team A 1'!R94-'Team A 1'!$AA94-('Team A 1'!R$2- 12.5)*'Team A 1'!$AC94</f>
        <v>6.6116901060966029</v>
      </c>
      <c r="S94" s="1">
        <f>'Team A 1'!S94-'Team A 1'!$AA94-('Team A 1'!S$2- 12.5)*'Team A 1'!$AC94</f>
        <v>-7.5671935740342633</v>
      </c>
      <c r="T94" s="1">
        <f>'Team A 1'!T94-'Team A 1'!$AA94-('Team A 1'!T$2- 12.5)*'Team A 1'!$AC94</f>
        <v>-21.746077254165357</v>
      </c>
      <c r="U94" s="1">
        <f>'Team A 1'!U94-'Team A 1'!$AA94-('Team A 1'!U$2- 12.5)*'Team A 1'!$AC94</f>
        <v>-25.924960934296223</v>
      </c>
      <c r="V94" s="1">
        <f>'Team A 1'!V94-'Team A 1'!$AA94-('Team A 1'!V$2- 12.5)*'Team A 1'!$AC94</f>
        <v>-40.103844614427317</v>
      </c>
      <c r="W94" s="1">
        <f>'Team A 1'!W94-'Team A 1'!$AA94-('Team A 1'!W$2- 12.5)*'Team A 1'!$AC94</f>
        <v>-4.2827282945581828</v>
      </c>
      <c r="X94" s="1">
        <f>'Team A 1'!X94-'Team A 1'!$AA94-('Team A 1'!X$2- 12.5)*'Team A 1'!$AC94</f>
        <v>-28.461611974689276</v>
      </c>
      <c r="Y94" s="1">
        <f>'Team A 1'!Y94-'Team A 1'!$AA94-('Team A 1'!Y$2- 12.5)*'Team A 1'!$AC94</f>
        <v>-22.64049565482037</v>
      </c>
      <c r="AB94" s="1">
        <f>STDEV(B94:Y94)</f>
        <v>26.263250670199749</v>
      </c>
      <c r="AD94" s="5">
        <v>8</v>
      </c>
      <c r="AE94" s="5">
        <v>3</v>
      </c>
      <c r="AF94" s="5">
        <v>4</v>
      </c>
      <c r="AG94" s="5">
        <v>6</v>
      </c>
      <c r="AH94" s="5">
        <v>1</v>
      </c>
      <c r="AI94" s="5">
        <v>2</v>
      </c>
      <c r="AJ94" s="5">
        <v>5</v>
      </c>
      <c r="AK94" s="5">
        <v>7</v>
      </c>
      <c r="AL94" s="5" t="s">
        <v>45</v>
      </c>
      <c r="AM94" s="5">
        <v>9</v>
      </c>
      <c r="AN94" s="5" t="s">
        <v>47</v>
      </c>
      <c r="AO94" s="5" t="s">
        <v>46</v>
      </c>
      <c r="AP94" s="5">
        <v>8</v>
      </c>
      <c r="AQ94" s="5">
        <v>4</v>
      </c>
      <c r="AR94" s="5">
        <v>3</v>
      </c>
      <c r="AS94" s="5">
        <v>6</v>
      </c>
      <c r="AT94" s="5">
        <v>2</v>
      </c>
      <c r="AU94" s="5">
        <v>1</v>
      </c>
      <c r="AV94" s="5">
        <v>5</v>
      </c>
      <c r="AW94" s="5" t="s">
        <v>45</v>
      </c>
      <c r="AX94" s="5">
        <v>7</v>
      </c>
      <c r="AY94" s="5" t="s">
        <v>47</v>
      </c>
      <c r="AZ94" s="5">
        <v>9</v>
      </c>
      <c r="BA94" s="5" t="s">
        <v>46</v>
      </c>
      <c r="BB94" s="5"/>
      <c r="BC94" s="1">
        <f ca="1">OFFSET(A94,0, 5) -0</f>
        <v>6.7582942676683615</v>
      </c>
      <c r="BD94" s="1">
        <f ca="1">OFFSET(A94,0, 6) -0</f>
        <v>-7.4205894124625047</v>
      </c>
      <c r="BE94" s="1">
        <f ca="1">OFFSET(A94,0, 2) -0</f>
        <v>9.2949453080614148</v>
      </c>
      <c r="BF94" s="1">
        <f ca="1">OFFSET(A94,0, 3) -0</f>
        <v>75.116061627930321</v>
      </c>
      <c r="BG94" s="1">
        <f ca="1">OFFSET(A94,0, 7) -0</f>
        <v>-21.599473092593598</v>
      </c>
      <c r="BH94" s="1">
        <f ca="1">OFFSET(A94,0, 4) -0</f>
        <v>30.937177947799455</v>
      </c>
      <c r="BI94" s="1">
        <f ca="1">OFFSET(A94,0, 8) -0</f>
        <v>34.221643227275536</v>
      </c>
      <c r="BJ94" s="1">
        <f ca="1">OFFSET(A94,0, 1) -0</f>
        <v>23.473828988192508</v>
      </c>
      <c r="BK94" s="1">
        <f ca="1">OFFSET(A94,0, 10) -0</f>
        <v>-24.136124132986481</v>
      </c>
      <c r="BL94" s="1">
        <f ca="1">OFFSET(A94,0, 9) -0</f>
        <v>20.042759547144442</v>
      </c>
      <c r="BM94" s="1">
        <f ca="1">OFFSET(A94,0, 12) -0</f>
        <v>-12.493891493248441</v>
      </c>
      <c r="BN94" s="1">
        <f ca="1">OFFSET(A94,0, 11) -0</f>
        <v>-28.315007813117461</v>
      </c>
      <c r="BO94" s="1">
        <f ca="1">OFFSET(A94,0, 18) -0</f>
        <v>-7.5671935740342633</v>
      </c>
      <c r="BP94" s="1">
        <f ca="1">OFFSET(A94,0, 17) -0</f>
        <v>6.6116901060966029</v>
      </c>
      <c r="BQ94" s="1">
        <f ca="1">OFFSET(A94,0, 15) -0</f>
        <v>14.96945746635862</v>
      </c>
      <c r="BR94" s="1">
        <f ca="1">OFFSET(A94,0, 14) -0</f>
        <v>19.148341146489599</v>
      </c>
      <c r="BS94" s="1">
        <f ca="1">OFFSET(A94,0, 19) -0</f>
        <v>-21.746077254165357</v>
      </c>
      <c r="BT94" s="1">
        <f ca="1">OFFSET(A94,0, 16) -0</f>
        <v>10.790573786227696</v>
      </c>
      <c r="BU94" s="1">
        <f ca="1">OFFSET(A94,0, 21) -0</f>
        <v>-40.103844614427317</v>
      </c>
      <c r="BV94" s="1">
        <f ca="1">OFFSET(A94,0, 13) -0</f>
        <v>-6.6727751733794207</v>
      </c>
      <c r="BW94" s="1">
        <f ca="1">OFFSET(A94,0, 23) -0</f>
        <v>-28.461611974689276</v>
      </c>
      <c r="BX94" s="1">
        <f ca="1">OFFSET(A94,0, 20) -0</f>
        <v>-25.924960934296223</v>
      </c>
      <c r="BY94" s="1">
        <f ca="1">OFFSET(A94,0, 24) -0</f>
        <v>-22.64049565482037</v>
      </c>
      <c r="BZ94" s="1">
        <f ca="1">OFFSET(A94,0, 22) -0</f>
        <v>-4.2827282945581828</v>
      </c>
      <c r="CB94" s="1">
        <f>COUNTIF(B94,"&lt;-69")</f>
        <v>0</v>
      </c>
      <c r="CC94" s="1">
        <f ca="1">COUNTIF(BC94:BN94,"&lt;-49")</f>
        <v>0</v>
      </c>
      <c r="CD94" s="1">
        <f ca="1">COUNTIF(BC94:BN94,"&gt;+49")</f>
        <v>1</v>
      </c>
      <c r="CE94" s="1">
        <f ca="1">COUNTIF(BO94:BZ94,"&lt;-49")</f>
        <v>0</v>
      </c>
      <c r="CF94" s="1">
        <f ca="1">COUNTIF(BO94:BZ94,"&gt;+49")</f>
        <v>0</v>
      </c>
    </row>
    <row r="95" spans="1:84">
      <c r="A95" s="1">
        <v>92</v>
      </c>
      <c r="B95" s="1">
        <f>'Team A 1'!B95-'Team A 1'!$AA95-('Team A 1'!B$2- 12.5)*'Team A 1'!$AC95</f>
        <v>-7.0626980246788662</v>
      </c>
      <c r="C95" s="1">
        <f>'Team A 1'!C95-'Team A 1'!$AA95-('Team A 1'!C$2- 12.5)*'Team A 1'!$AC95</f>
        <v>-10.832608341375362</v>
      </c>
      <c r="D95" s="1">
        <f>'Team A 1'!D95-'Team A 1'!$AA95-('Team A 1'!D$2- 12.5)*'Team A 1'!$AC95</f>
        <v>25.397481341928597</v>
      </c>
      <c r="E95" s="1">
        <f>'Team A 1'!E95-'Team A 1'!$AA95-('Team A 1'!E$2- 12.5)*'Team A 1'!$AC95</f>
        <v>11.627571025232101</v>
      </c>
      <c r="F95" s="1">
        <f>'Team A 1'!F95-'Team A 1'!$AA95-('Team A 1'!F$2- 12.5)*'Team A 1'!$AC95</f>
        <v>17.857660708536059</v>
      </c>
      <c r="G95" s="1">
        <f>'Team A 1'!G95-'Team A 1'!$AA95-('Team A 1'!G$2- 12.5)*'Team A 1'!$AC95</f>
        <v>4.0877503918395632</v>
      </c>
      <c r="H95" s="1">
        <f>'Team A 1'!H95-'Team A 1'!$AA95-('Team A 1'!H$2- 12.5)*'Team A 1'!$AC95</f>
        <v>50.317840075143522</v>
      </c>
      <c r="I95" s="1">
        <f>'Team A 1'!I95-'Team A 1'!$AA95-('Team A 1'!I$2- 12.5)*'Team A 1'!$AC95</f>
        <v>66.54792975844714</v>
      </c>
      <c r="J95" s="1">
        <f>'Team A 1'!J95-'Team A 1'!$AA95-('Team A 1'!J$2- 12.5)*'Team A 1'!$AC95</f>
        <v>-7.221980558249129</v>
      </c>
      <c r="K95" s="1">
        <f>'Team A 1'!K95-'Team A 1'!$AA95-('Team A 1'!K$2- 12.5)*'Team A 1'!$AC95</f>
        <v>-20.991890874945398</v>
      </c>
      <c r="L95" s="1">
        <f>'Team A 1'!L95-'Team A 1'!$AA95-('Team A 1'!L$2- 12.5)*'Team A 1'!$AC95</f>
        <v>-24.761801191641666</v>
      </c>
      <c r="M95" s="1">
        <f>'Team A 1'!M95-'Team A 1'!$AA95-('Team A 1'!M$2- 12.5)*'Team A 1'!$AC95</f>
        <v>-28.531711508337935</v>
      </c>
      <c r="N95" s="1">
        <f>'Team A 1'!N95-'Team A 1'!$AA95-('Team A 1'!N$2- 12.5)*'Team A 1'!$AC95</f>
        <v>-32.301621825034204</v>
      </c>
      <c r="O95" s="1">
        <f>'Team A 1'!O95-'Team A 1'!$AA95-('Team A 1'!O$2- 12.5)*'Team A 1'!$AC95</f>
        <v>-6.0715321417304722</v>
      </c>
      <c r="P95" s="1">
        <f>'Team A 1'!P95-'Team A 1'!$AA95-('Team A 1'!P$2- 12.5)*'Team A 1'!$AC95</f>
        <v>10.158557541573259</v>
      </c>
      <c r="Q95" s="1">
        <f>'Team A 1'!Q95-'Team A 1'!$AA95-('Team A 1'!Q$2- 12.5)*'Team A 1'!$AC95</f>
        <v>36.388647224876991</v>
      </c>
      <c r="R95" s="1">
        <f>'Team A 1'!R95-'Team A 1'!$AA95-('Team A 1'!R$2- 12.5)*'Team A 1'!$AC95</f>
        <v>-7.3812630918192781</v>
      </c>
      <c r="S95" s="1">
        <f>'Team A 1'!S95-'Team A 1'!$AA95-('Team A 1'!S$2- 12.5)*'Team A 1'!$AC95</f>
        <v>28.84882659148434</v>
      </c>
      <c r="T95" s="1">
        <f>'Team A 1'!T95-'Team A 1'!$AA95-('Team A 1'!T$2- 12.5)*'Team A 1'!$AC95</f>
        <v>5.0789162747882983</v>
      </c>
      <c r="U95" s="1">
        <f>'Team A 1'!U95-'Team A 1'!$AA95-('Team A 1'!U$2- 12.5)*'Team A 1'!$AC95</f>
        <v>-8.6909940419081977</v>
      </c>
      <c r="V95" s="1">
        <f>'Team A 1'!V95-'Team A 1'!$AA95-('Team A 1'!V$2- 12.5)*'Team A 1'!$AC95</f>
        <v>-12.460904358604239</v>
      </c>
      <c r="W95" s="1">
        <f>'Team A 1'!W95-'Team A 1'!$AA95-('Team A 1'!W$2- 12.5)*'Team A 1'!$AC95</f>
        <v>-26.230814675300735</v>
      </c>
      <c r="X95" s="1">
        <f>'Team A 1'!X95-'Team A 1'!$AA95-('Team A 1'!X$2- 12.5)*'Team A 1'!$AC95</f>
        <v>-30.000724991996776</v>
      </c>
      <c r="Y95" s="1">
        <f>'Team A 1'!Y95-'Team A 1'!$AA95-('Team A 1'!Y$2- 12.5)*'Team A 1'!$AC95</f>
        <v>-33.770635308693272</v>
      </c>
      <c r="AB95" s="1">
        <f>STDEV(B95:Y95)</f>
        <v>26.819106638165511</v>
      </c>
      <c r="AD95" s="5">
        <v>4</v>
      </c>
      <c r="AE95" s="5">
        <v>8</v>
      </c>
      <c r="AF95" s="5">
        <v>6</v>
      </c>
      <c r="AG95" s="5">
        <v>3</v>
      </c>
      <c r="AH95" s="5">
        <v>1</v>
      </c>
      <c r="AI95" s="5">
        <v>2</v>
      </c>
      <c r="AJ95" s="5" t="s">
        <v>45</v>
      </c>
      <c r="AK95" s="5">
        <v>5</v>
      </c>
      <c r="AL95" s="5" t="s">
        <v>47</v>
      </c>
      <c r="AM95" s="5">
        <v>7</v>
      </c>
      <c r="AN95" s="5" t="s">
        <v>46</v>
      </c>
      <c r="AO95" s="5">
        <v>9</v>
      </c>
      <c r="AP95" s="5">
        <v>8</v>
      </c>
      <c r="AQ95" s="5">
        <v>4</v>
      </c>
      <c r="AR95" s="5">
        <v>6</v>
      </c>
      <c r="AS95" s="5">
        <v>1</v>
      </c>
      <c r="AT95" s="5">
        <v>3</v>
      </c>
      <c r="AU95" s="5">
        <v>2</v>
      </c>
      <c r="AV95" s="5">
        <v>5</v>
      </c>
      <c r="AW95" s="5" t="s">
        <v>45</v>
      </c>
      <c r="AX95" s="5">
        <v>7</v>
      </c>
      <c r="AY95" s="5" t="s">
        <v>47</v>
      </c>
      <c r="AZ95" s="5">
        <v>9</v>
      </c>
      <c r="BA95" s="5" t="s">
        <v>46</v>
      </c>
      <c r="BB95" s="5"/>
      <c r="BC95" s="1">
        <f ca="1">OFFSET(A95,0, 5) -0</f>
        <v>17.857660708536059</v>
      </c>
      <c r="BD95" s="1">
        <f ca="1">OFFSET(A95,0, 6) -0</f>
        <v>4.0877503918395632</v>
      </c>
      <c r="BE95" s="1">
        <f ca="1">OFFSET(A95,0, 4) -0</f>
        <v>11.627571025232101</v>
      </c>
      <c r="BF95" s="1">
        <f ca="1">OFFSET(A95,0, 1) -0</f>
        <v>-7.0626980246788662</v>
      </c>
      <c r="BG95" s="1">
        <f ca="1">OFFSET(A95,0, 8) -0</f>
        <v>66.54792975844714</v>
      </c>
      <c r="BH95" s="1">
        <f ca="1">OFFSET(A95,0, 3) -0</f>
        <v>25.397481341928597</v>
      </c>
      <c r="BI95" s="1">
        <f ca="1">OFFSET(A95,0, 10) -0</f>
        <v>-20.991890874945398</v>
      </c>
      <c r="BJ95" s="1">
        <f ca="1">OFFSET(A95,0, 2) -0</f>
        <v>-10.832608341375362</v>
      </c>
      <c r="BK95" s="1">
        <f ca="1">OFFSET(A95,0, 12) -0</f>
        <v>-28.531711508337935</v>
      </c>
      <c r="BL95" s="1">
        <f ca="1">OFFSET(A95,0, 7) -0</f>
        <v>50.317840075143522</v>
      </c>
      <c r="BM95" s="1">
        <f ca="1">OFFSET(A95,0, 11) -0</f>
        <v>-24.761801191641666</v>
      </c>
      <c r="BN95" s="1">
        <f ca="1">OFFSET(A95,0, 9) -0</f>
        <v>-7.221980558249129</v>
      </c>
      <c r="BO95" s="1">
        <f ca="1">OFFSET(A95,0, 16) -0</f>
        <v>36.388647224876991</v>
      </c>
      <c r="BP95" s="1">
        <f ca="1">OFFSET(A95,0, 18) -0</f>
        <v>28.84882659148434</v>
      </c>
      <c r="BQ95" s="1">
        <f ca="1">OFFSET(A95,0, 17) -0</f>
        <v>-7.3812630918192781</v>
      </c>
      <c r="BR95" s="1">
        <f ca="1">OFFSET(A95,0, 14) -0</f>
        <v>-6.0715321417304722</v>
      </c>
      <c r="BS95" s="1">
        <f ca="1">OFFSET(A95,0, 19) -0</f>
        <v>5.0789162747882983</v>
      </c>
      <c r="BT95" s="1">
        <f ca="1">OFFSET(A95,0, 15) -0</f>
        <v>10.158557541573259</v>
      </c>
      <c r="BU95" s="1">
        <f ca="1">OFFSET(A95,0, 21) -0</f>
        <v>-12.460904358604239</v>
      </c>
      <c r="BV95" s="1">
        <f ca="1">OFFSET(A95,0, 13) -0</f>
        <v>-32.301621825034204</v>
      </c>
      <c r="BW95" s="1">
        <f ca="1">OFFSET(A95,0, 23) -0</f>
        <v>-30.000724991996776</v>
      </c>
      <c r="BX95" s="1">
        <f ca="1">OFFSET(A95,0, 20) -0</f>
        <v>-8.6909940419081977</v>
      </c>
      <c r="BY95" s="1">
        <f ca="1">OFFSET(A95,0, 24) -0</f>
        <v>-33.770635308693272</v>
      </c>
      <c r="BZ95" s="1">
        <f ca="1">OFFSET(A95,0, 22) -0</f>
        <v>-26.230814675300735</v>
      </c>
      <c r="CB95" s="1">
        <f>COUNTIF(B95,"&lt;-69")</f>
        <v>0</v>
      </c>
      <c r="CC95" s="1">
        <f ca="1">COUNTIF(BC95:BN95,"&lt;-48")</f>
        <v>0</v>
      </c>
      <c r="CD95" s="1">
        <f ca="1">COUNTIF(BC95:BN95,"&gt;+48")</f>
        <v>2</v>
      </c>
      <c r="CE95" s="1">
        <f ca="1">COUNTIF(BO95:BZ95,"&lt;-48")</f>
        <v>0</v>
      </c>
      <c r="CF95" s="1">
        <f ca="1">COUNTIF(BO95:BZ95,"&gt;+48")</f>
        <v>0</v>
      </c>
    </row>
    <row r="96" spans="1:84">
      <c r="A96" s="1">
        <v>93</v>
      </c>
      <c r="B96" s="1">
        <f>'Team A 1'!B96-'Team A 1'!$AA96-('Team A 1'!B$2- 12.5)*'Team A 1'!$AC96</f>
        <v>40.908364010653713</v>
      </c>
      <c r="C96" s="1">
        <f>'Team A 1'!C96-'Team A 1'!$AA96-('Team A 1'!C$2- 12.5)*'Team A 1'!$AC96</f>
        <v>16.662709169145955</v>
      </c>
      <c r="D96" s="1">
        <f>'Team A 1'!D96-'Team A 1'!$AA96-('Team A 1'!D$2- 12.5)*'Team A 1'!$AC96</f>
        <v>22.417054327638198</v>
      </c>
      <c r="E96" s="1">
        <f>'Team A 1'!E96-'Team A 1'!$AA96-('Team A 1'!E$2- 12.5)*'Team A 1'!$AC96</f>
        <v>-11.82860051386956</v>
      </c>
      <c r="F96" s="1">
        <f>'Team A 1'!F96-'Team A 1'!$AA96-('Team A 1'!F$2- 12.5)*'Team A 1'!$AC96</f>
        <v>-6.0742553553775451</v>
      </c>
      <c r="G96" s="1">
        <f>'Team A 1'!G96-'Team A 1'!$AA96-('Team A 1'!G$2- 12.5)*'Team A 1'!$AC96</f>
        <v>19.680089803114697</v>
      </c>
      <c r="H96" s="1">
        <f>'Team A 1'!H96-'Team A 1'!$AA96-('Team A 1'!H$2- 12.5)*'Team A 1'!$AC96</f>
        <v>25.434434961606939</v>
      </c>
      <c r="I96" s="1">
        <f>'Team A 1'!I96-'Team A 1'!$AA96-('Team A 1'!I$2- 12.5)*'Team A 1'!$AC96</f>
        <v>31.188780120099068</v>
      </c>
      <c r="J96" s="1">
        <f>'Team A 1'!J96-'Team A 1'!$AA96-('Team A 1'!J$2- 12.5)*'Team A 1'!$AC96</f>
        <v>16.94312527859131</v>
      </c>
      <c r="K96" s="1">
        <f>'Team A 1'!K96-'Team A 1'!$AA96-('Team A 1'!K$2- 12.5)*'Team A 1'!$AC96</f>
        <v>-7.3025295629165612</v>
      </c>
      <c r="L96" s="1">
        <f>'Team A 1'!L96-'Team A 1'!$AA96-('Team A 1'!L$2- 12.5)*'Team A 1'!$AC96</f>
        <v>-41.548184404424319</v>
      </c>
      <c r="M96" s="1">
        <f>'Team A 1'!M96-'Team A 1'!$AA96-('Team A 1'!M$2- 12.5)*'Team A 1'!$AC96</f>
        <v>-45.793839245932162</v>
      </c>
      <c r="N96" s="1">
        <f>'Team A 1'!N96-'Team A 1'!$AA96-('Team A 1'!N$2- 12.5)*'Team A 1'!$AC96</f>
        <v>-70.039494087439977</v>
      </c>
      <c r="O96" s="1">
        <f>'Team A 1'!O96-'Team A 1'!$AA96-('Team A 1'!O$2- 12.5)*'Team A 1'!$AC96</f>
        <v>-4.2851489289478195</v>
      </c>
      <c r="P96" s="1">
        <f>'Team A 1'!P96-'Team A 1'!$AA96-('Team A 1'!P$2- 12.5)*'Team A 1'!$AC96</f>
        <v>-18.530803770455577</v>
      </c>
      <c r="Q96" s="1">
        <f>'Team A 1'!Q96-'Team A 1'!$AA96-('Team A 1'!Q$2- 12.5)*'Team A 1'!$AC96</f>
        <v>-2.7764586119634487</v>
      </c>
      <c r="R96" s="1">
        <f>'Team A 1'!R96-'Team A 1'!$AA96-('Team A 1'!R$2- 12.5)*'Team A 1'!$AC96</f>
        <v>2.9778865465287936</v>
      </c>
      <c r="S96" s="1">
        <f>'Team A 1'!S96-'Team A 1'!$AA96-('Team A 1'!S$2- 12.5)*'Team A 1'!$AC96</f>
        <v>18.732231705020922</v>
      </c>
      <c r="T96" s="1">
        <f>'Team A 1'!T96-'Team A 1'!$AA96-('Team A 1'!T$2- 12.5)*'Team A 1'!$AC96</f>
        <v>14.486576863513164</v>
      </c>
      <c r="U96" s="1">
        <f>'Team A 1'!U96-'Team A 1'!$AA96-('Team A 1'!U$2- 12.5)*'Team A 1'!$AC96</f>
        <v>10.240922022005407</v>
      </c>
      <c r="V96" s="1">
        <f>'Team A 1'!V96-'Team A 1'!$AA96-('Team A 1'!V$2- 12.5)*'Team A 1'!$AC96</f>
        <v>-4.0047328195025784</v>
      </c>
      <c r="W96" s="1">
        <f>'Team A 1'!W96-'Team A 1'!$AA96-('Team A 1'!W$2- 12.5)*'Team A 1'!$AC96</f>
        <v>1.7496123389896638</v>
      </c>
      <c r="X96" s="1">
        <f>'Team A 1'!X96-'Team A 1'!$AA96-('Team A 1'!X$2- 12.5)*'Team A 1'!$AC96</f>
        <v>-12.496042502518094</v>
      </c>
      <c r="Y96" s="1">
        <f>'Team A 1'!Y96-'Team A 1'!$AA96-('Team A 1'!Y$2- 12.5)*'Team A 1'!$AC96</f>
        <v>3.2583026559741484</v>
      </c>
      <c r="AB96" s="1">
        <f>STDEV(B96:Y96)</f>
        <v>25.483599161386614</v>
      </c>
      <c r="AD96" s="5">
        <v>4</v>
      </c>
      <c r="AE96" s="5">
        <v>8</v>
      </c>
      <c r="AF96" s="5">
        <v>1</v>
      </c>
      <c r="AG96" s="5">
        <v>6</v>
      </c>
      <c r="AH96" s="5">
        <v>2</v>
      </c>
      <c r="AI96" s="5">
        <v>3</v>
      </c>
      <c r="AJ96" s="5" t="s">
        <v>45</v>
      </c>
      <c r="AK96" s="5">
        <v>5</v>
      </c>
      <c r="AL96" s="5" t="s">
        <v>47</v>
      </c>
      <c r="AM96" s="5">
        <v>7</v>
      </c>
      <c r="AN96" s="5" t="s">
        <v>46</v>
      </c>
      <c r="AO96" s="5">
        <v>9</v>
      </c>
      <c r="AP96" s="5">
        <v>4</v>
      </c>
      <c r="AQ96" s="5">
        <v>8</v>
      </c>
      <c r="AR96" s="5">
        <v>6</v>
      </c>
      <c r="AS96" s="5">
        <v>1</v>
      </c>
      <c r="AT96" s="5">
        <v>2</v>
      </c>
      <c r="AU96" s="5" t="s">
        <v>45</v>
      </c>
      <c r="AV96" s="5">
        <v>3</v>
      </c>
      <c r="AW96" s="5" t="s">
        <v>47</v>
      </c>
      <c r="AX96" s="5">
        <v>5</v>
      </c>
      <c r="AY96" s="5" t="s">
        <v>46</v>
      </c>
      <c r="AZ96" s="5">
        <v>7</v>
      </c>
      <c r="BA96" s="5">
        <v>9</v>
      </c>
      <c r="BB96" s="5"/>
      <c r="BC96" s="1">
        <f ca="1">OFFSET(A96,0, 3) -0</f>
        <v>22.417054327638198</v>
      </c>
      <c r="BD96" s="1">
        <f ca="1">OFFSET(A96,0, 5) -0</f>
        <v>-6.0742553553775451</v>
      </c>
      <c r="BE96" s="1">
        <f ca="1">OFFSET(A96,0, 6) -0</f>
        <v>19.680089803114697</v>
      </c>
      <c r="BF96" s="1">
        <f ca="1">OFFSET(A96,0, 1) -0</f>
        <v>40.908364010653713</v>
      </c>
      <c r="BG96" s="1">
        <f ca="1">OFFSET(A96,0, 8) -0</f>
        <v>31.188780120099068</v>
      </c>
      <c r="BH96" s="1">
        <f ca="1">OFFSET(A96,0, 4) -0</f>
        <v>-11.82860051386956</v>
      </c>
      <c r="BI96" s="1">
        <f ca="1">OFFSET(A96,0, 10) -0</f>
        <v>-7.3025295629165612</v>
      </c>
      <c r="BJ96" s="1">
        <f ca="1">OFFSET(A96,0, 2) -0</f>
        <v>16.662709169145955</v>
      </c>
      <c r="BK96" s="1">
        <f ca="1">OFFSET(A96,0, 12) -0</f>
        <v>-45.793839245932162</v>
      </c>
      <c r="BL96" s="1">
        <f ca="1">OFFSET(A96,0, 7) -0</f>
        <v>25.434434961606939</v>
      </c>
      <c r="BM96" s="1">
        <f ca="1">OFFSET(A96,0, 11) -0</f>
        <v>-41.548184404424319</v>
      </c>
      <c r="BN96" s="1">
        <f ca="1">OFFSET(A96,0, 9) -0</f>
        <v>16.94312527859131</v>
      </c>
      <c r="BO96" s="1">
        <f ca="1">OFFSET(A96,0, 16) -0</f>
        <v>-2.7764586119634487</v>
      </c>
      <c r="BP96" s="1">
        <f ca="1">OFFSET(A96,0, 17) -0</f>
        <v>2.9778865465287936</v>
      </c>
      <c r="BQ96" s="1">
        <f ca="1">OFFSET(A96,0, 19) -0</f>
        <v>14.486576863513164</v>
      </c>
      <c r="BR96" s="1">
        <f ca="1">OFFSET(A96,0, 13) -0</f>
        <v>-70.039494087439977</v>
      </c>
      <c r="BS96" s="1">
        <f ca="1">OFFSET(A96,0, 21) -0</f>
        <v>-4.0047328195025784</v>
      </c>
      <c r="BT96" s="1">
        <f ca="1">OFFSET(A96,0, 15) -0</f>
        <v>-18.530803770455577</v>
      </c>
      <c r="BU96" s="1">
        <f ca="1">OFFSET(A96,0, 23) -0</f>
        <v>-12.496042502518094</v>
      </c>
      <c r="BV96" s="1">
        <f ca="1">OFFSET(A96,0, 14) -0</f>
        <v>-4.2851489289478195</v>
      </c>
      <c r="BW96" s="1">
        <f ca="1">OFFSET(A96,0, 24) -0</f>
        <v>3.2583026559741484</v>
      </c>
      <c r="BX96" s="1">
        <f ca="1">OFFSET(A96,0, 18) -0</f>
        <v>18.732231705020922</v>
      </c>
      <c r="BY96" s="1">
        <f ca="1">OFFSET(A96,0, 22) -0</f>
        <v>1.7496123389896638</v>
      </c>
      <c r="BZ96" s="1">
        <f ca="1">OFFSET(A96,0, 20) -0</f>
        <v>10.240922022005407</v>
      </c>
      <c r="CB96" s="1">
        <f>COUNTIF(B96,"&lt;-69")</f>
        <v>0</v>
      </c>
      <c r="CC96" s="1">
        <f ca="1">COUNTIF(BC96:BN96,"&lt;-49")</f>
        <v>0</v>
      </c>
      <c r="CD96" s="1">
        <f ca="1">COUNTIF(BC96:BN96,"&gt;+49")</f>
        <v>0</v>
      </c>
      <c r="CE96" s="1">
        <f ca="1">COUNTIF(BO96:BZ96,"&lt;-49")</f>
        <v>1</v>
      </c>
      <c r="CF96" s="1">
        <f ca="1">COUNTIF(BO96:BZ96,"&gt;+49")</f>
        <v>0</v>
      </c>
    </row>
    <row r="97" spans="1:84">
      <c r="A97" s="1">
        <v>94</v>
      </c>
      <c r="B97" s="1">
        <f>'Team A 1'!B97-'Team A 1'!$AA97-('Team A 1'!B$2- 12.5)*'Team A 1'!$AC97</f>
        <v>18.811747146760808</v>
      </c>
      <c r="C97" s="1">
        <f>'Team A 1'!C97-'Team A 1'!$AA97-('Team A 1'!C$2- 12.5)*'Team A 1'!$AC97</f>
        <v>23.915073481824948</v>
      </c>
      <c r="D97" s="1">
        <f>'Team A 1'!D97-'Team A 1'!$AA97-('Team A 1'!D$2- 12.5)*'Team A 1'!$AC97</f>
        <v>29.018399816889314</v>
      </c>
      <c r="E97" s="1">
        <f>'Team A 1'!E97-'Team A 1'!$AA97-('Team A 1'!E$2- 12.5)*'Team A 1'!$AC97</f>
        <v>-15.878273848046319</v>
      </c>
      <c r="F97" s="1">
        <f>'Team A 1'!F97-'Team A 1'!$AA97-('Team A 1'!F$2- 12.5)*'Team A 1'!$AC97</f>
        <v>-30.77494751298218</v>
      </c>
      <c r="G97" s="1">
        <f>'Team A 1'!G97-'Team A 1'!$AA97-('Team A 1'!G$2- 12.5)*'Team A 1'!$AC97</f>
        <v>14.328378822082186</v>
      </c>
      <c r="H97" s="1">
        <f>'Team A 1'!H97-'Team A 1'!$AA97-('Team A 1'!H$2- 12.5)*'Team A 1'!$AC97</f>
        <v>9.4317051571465527</v>
      </c>
      <c r="I97" s="1">
        <f>'Team A 1'!I97-'Team A 1'!$AA97-('Team A 1'!I$2- 12.5)*'Team A 1'!$AC97</f>
        <v>44.535031492210692</v>
      </c>
      <c r="J97" s="1">
        <f>'Team A 1'!J97-'Team A 1'!$AA97-('Team A 1'!J$2- 12.5)*'Team A 1'!$AC97</f>
        <v>-10.361642172724942</v>
      </c>
      <c r="K97" s="1">
        <f>'Team A 1'!K97-'Team A 1'!$AA97-('Team A 1'!K$2- 12.5)*'Team A 1'!$AC97</f>
        <v>-15.258315837660689</v>
      </c>
      <c r="L97" s="1">
        <f>'Team A 1'!L97-'Team A 1'!$AA97-('Team A 1'!L$2- 12.5)*'Team A 1'!$AC97</f>
        <v>-0.15498950259643607</v>
      </c>
      <c r="M97" s="1">
        <f>'Team A 1'!M97-'Team A 1'!$AA97-('Team A 1'!M$2- 12.5)*'Team A 1'!$AC97</f>
        <v>14.948336832467859</v>
      </c>
      <c r="N97" s="1">
        <f>'Team A 1'!N97-'Team A 1'!$AA97-('Team A 1'!N$2- 12.5)*'Team A 1'!$AC97</f>
        <v>40.051663167532141</v>
      </c>
      <c r="O97" s="1">
        <f>'Team A 1'!O97-'Team A 1'!$AA97-('Team A 1'!O$2- 12.5)*'Team A 1'!$AC97</f>
        <v>45.154989502596436</v>
      </c>
      <c r="P97" s="1">
        <f>'Team A 1'!P97-'Team A 1'!$AA97-('Team A 1'!P$2- 12.5)*'Team A 1'!$AC97</f>
        <v>10.258315837660689</v>
      </c>
      <c r="Q97" s="1">
        <f>'Team A 1'!Q97-'Team A 1'!$AA97-('Team A 1'!Q$2- 12.5)*'Team A 1'!$AC97</f>
        <v>5.3616421727249417</v>
      </c>
      <c r="R97" s="1">
        <f>'Team A 1'!R97-'Team A 1'!$AA97-('Team A 1'!R$2- 12.5)*'Team A 1'!$AC97</f>
        <v>-9.5350314922106918</v>
      </c>
      <c r="S97" s="1">
        <f>'Team A 1'!S97-'Team A 1'!$AA97-('Team A 1'!S$2- 12.5)*'Team A 1'!$AC97</f>
        <v>-44.431705157146553</v>
      </c>
      <c r="T97" s="1">
        <f>'Team A 1'!T97-'Team A 1'!$AA97-('Team A 1'!T$2- 12.5)*'Team A 1'!$AC97</f>
        <v>-49.328378822082186</v>
      </c>
      <c r="U97" s="1">
        <f>'Team A 1'!U97-'Team A 1'!$AA97-('Team A 1'!U$2- 12.5)*'Team A 1'!$AC97</f>
        <v>-44.22505248701782</v>
      </c>
      <c r="V97" s="1">
        <f>'Team A 1'!V97-'Team A 1'!$AA97-('Team A 1'!V$2- 12.5)*'Team A 1'!$AC97</f>
        <v>-9.1217261519536805</v>
      </c>
      <c r="W97" s="1">
        <f>'Team A 1'!W97-'Team A 1'!$AA97-('Team A 1'!W$2- 12.5)*'Team A 1'!$AC97</f>
        <v>-34.018399816889314</v>
      </c>
      <c r="X97" s="1">
        <f>'Team A 1'!X97-'Team A 1'!$AA97-('Team A 1'!X$2- 12.5)*'Team A 1'!$AC97</f>
        <v>11.084926518175052</v>
      </c>
      <c r="Y97" s="1">
        <f>'Team A 1'!Y97-'Team A 1'!$AA97-('Team A 1'!Y$2- 12.5)*'Team A 1'!$AC97</f>
        <v>-3.8117471467608084</v>
      </c>
      <c r="AB97" s="1">
        <f>STDEV(B97:Y97)</f>
        <v>27.518824530397001</v>
      </c>
      <c r="AD97" s="5">
        <v>8</v>
      </c>
      <c r="AE97" s="5">
        <v>4</v>
      </c>
      <c r="AF97" s="5">
        <v>1</v>
      </c>
      <c r="AG97" s="5">
        <v>6</v>
      </c>
      <c r="AH97" s="5" t="s">
        <v>45</v>
      </c>
      <c r="AI97" s="5">
        <v>2</v>
      </c>
      <c r="AJ97" s="5" t="s">
        <v>47</v>
      </c>
      <c r="AK97" s="5">
        <v>3</v>
      </c>
      <c r="AL97" s="5" t="s">
        <v>46</v>
      </c>
      <c r="AM97" s="5">
        <v>5</v>
      </c>
      <c r="AN97" s="5">
        <v>9</v>
      </c>
      <c r="AO97" s="5">
        <v>7</v>
      </c>
      <c r="AP97" s="5">
        <v>8</v>
      </c>
      <c r="AQ97" s="5">
        <v>1</v>
      </c>
      <c r="AR97" s="5">
        <v>4</v>
      </c>
      <c r="AS97" s="5">
        <v>6</v>
      </c>
      <c r="AT97" s="5">
        <v>2</v>
      </c>
      <c r="AU97" s="5" t="s">
        <v>45</v>
      </c>
      <c r="AV97" s="5">
        <v>3</v>
      </c>
      <c r="AW97" s="5" t="s">
        <v>47</v>
      </c>
      <c r="AX97" s="5">
        <v>5</v>
      </c>
      <c r="AY97" s="5" t="s">
        <v>46</v>
      </c>
      <c r="AZ97" s="5">
        <v>7</v>
      </c>
      <c r="BA97" s="5">
        <v>9</v>
      </c>
      <c r="BB97" s="5"/>
      <c r="BC97" s="1">
        <f ca="1">OFFSET(A97,0, 3) -0</f>
        <v>29.018399816889314</v>
      </c>
      <c r="BD97" s="1">
        <f ca="1">OFFSET(A97,0, 6) -0</f>
        <v>14.328378822082186</v>
      </c>
      <c r="BE97" s="1">
        <f ca="1">OFFSET(A97,0, 8) -0</f>
        <v>44.535031492210692</v>
      </c>
      <c r="BF97" s="1">
        <f ca="1">OFFSET(A97,0, 2) -0</f>
        <v>23.915073481824948</v>
      </c>
      <c r="BG97" s="1">
        <f ca="1">OFFSET(A97,0, 10) -0</f>
        <v>-15.258315837660689</v>
      </c>
      <c r="BH97" s="1">
        <f ca="1">OFFSET(A97,0, 4) -0</f>
        <v>-15.878273848046319</v>
      </c>
      <c r="BI97" s="1">
        <f ca="1">OFFSET(A97,0, 12) -0</f>
        <v>14.948336832467859</v>
      </c>
      <c r="BJ97" s="1">
        <f ca="1">OFFSET(A97,0, 1) -0</f>
        <v>18.811747146760808</v>
      </c>
      <c r="BK97" s="1">
        <f ca="1">OFFSET(A97,0, 11) -0</f>
        <v>-0.15498950259643607</v>
      </c>
      <c r="BL97" s="1">
        <f ca="1">OFFSET(A97,0, 5) -0</f>
        <v>-30.77494751298218</v>
      </c>
      <c r="BM97" s="1">
        <f ca="1">OFFSET(A97,0, 9) -0</f>
        <v>-10.361642172724942</v>
      </c>
      <c r="BN97" s="1">
        <f ca="1">OFFSET(A97,0, 7) -0</f>
        <v>9.4317051571465527</v>
      </c>
      <c r="BO97" s="1">
        <f ca="1">OFFSET(A97,0, 14) -0</f>
        <v>45.154989502596436</v>
      </c>
      <c r="BP97" s="1">
        <f ca="1">OFFSET(A97,0, 17) -0</f>
        <v>-9.5350314922106918</v>
      </c>
      <c r="BQ97" s="1">
        <f ca="1">OFFSET(A97,0, 19) -0</f>
        <v>-49.328378822082186</v>
      </c>
      <c r="BR97" s="1">
        <f ca="1">OFFSET(A97,0, 15) -0</f>
        <v>10.258315837660689</v>
      </c>
      <c r="BS97" s="1">
        <f ca="1">OFFSET(A97,0, 21) -0</f>
        <v>-9.1217261519536805</v>
      </c>
      <c r="BT97" s="1">
        <f ca="1">OFFSET(A97,0, 16) -0</f>
        <v>5.3616421727249417</v>
      </c>
      <c r="BU97" s="1">
        <f ca="1">OFFSET(A97,0, 23) -0</f>
        <v>11.084926518175052</v>
      </c>
      <c r="BV97" s="1">
        <f ca="1">OFFSET(A97,0, 13) -0</f>
        <v>40.051663167532141</v>
      </c>
      <c r="BW97" s="1">
        <f ca="1">OFFSET(A97,0, 24) -0</f>
        <v>-3.8117471467608084</v>
      </c>
      <c r="BX97" s="1">
        <f ca="1">OFFSET(A97,0, 18) -0</f>
        <v>-44.431705157146553</v>
      </c>
      <c r="BY97" s="1">
        <f ca="1">OFFSET(A97,0, 22) -0</f>
        <v>-34.018399816889314</v>
      </c>
      <c r="BZ97" s="1">
        <f ca="1">OFFSET(A97,0, 20) -0</f>
        <v>-44.22505248701782</v>
      </c>
      <c r="CB97" s="1">
        <f>COUNTIF(B97,"&lt;-69")</f>
        <v>0</v>
      </c>
      <c r="CC97" s="1">
        <f ca="1">COUNTIF(BC97:BN97,"&lt;-49")</f>
        <v>0</v>
      </c>
      <c r="CD97" s="1">
        <f ca="1">COUNTIF(BC97:BN97,"&gt;+49")</f>
        <v>0</v>
      </c>
      <c r="CE97" s="1">
        <f ca="1">COUNTIF(BO97:BZ97,"&lt;-49")</f>
        <v>1</v>
      </c>
      <c r="CF97" s="1">
        <f ca="1">COUNTIF(BO97:BZ97,"&gt;+49")</f>
        <v>0</v>
      </c>
    </row>
    <row r="98" spans="1:84">
      <c r="A98" s="1">
        <v>95</v>
      </c>
      <c r="B98" s="1">
        <f>'Team A 1'!B98-'Team A 1'!$AA98-('Team A 1'!B$2- 12.5)*'Team A 1'!$AC98</f>
        <v>20.73141803636463</v>
      </c>
      <c r="C98" s="1">
        <f>'Team A 1'!C98-'Team A 1'!$AA98-('Team A 1'!C$2- 12.5)*'Team A 1'!$AC98</f>
        <v>-24.332183532014824</v>
      </c>
      <c r="D98" s="1">
        <f>'Team A 1'!D98-'Team A 1'!$AA98-('Team A 1'!D$2- 12.5)*'Team A 1'!$AC98</f>
        <v>10.604214899605722</v>
      </c>
      <c r="E98" s="1">
        <f>'Team A 1'!E98-'Team A 1'!$AA98-('Team A 1'!E$2- 12.5)*'Team A 1'!$AC98</f>
        <v>25.540613331226041</v>
      </c>
      <c r="F98" s="1">
        <f>'Team A 1'!F98-'Team A 1'!$AA98-('Team A 1'!F$2- 12.5)*'Team A 1'!$AC98</f>
        <v>-9.5229882371534131</v>
      </c>
      <c r="G98" s="1">
        <f>'Team A 1'!G98-'Team A 1'!$AA98-('Team A 1'!G$2- 12.5)*'Team A 1'!$AC98</f>
        <v>-14.586589805533094</v>
      </c>
      <c r="H98" s="1">
        <f>'Team A 1'!H98-'Team A 1'!$AA98-('Team A 1'!H$2- 12.5)*'Team A 1'!$AC98</f>
        <v>-19.650191373912548</v>
      </c>
      <c r="I98" s="1">
        <f>'Team A 1'!I98-'Team A 1'!$AA98-('Team A 1'!I$2- 12.5)*'Team A 1'!$AC98</f>
        <v>5.2862070577078839</v>
      </c>
      <c r="J98" s="1">
        <f>'Team A 1'!J98-'Team A 1'!$AA98-('Team A 1'!J$2- 12.5)*'Team A 1'!$AC98</f>
        <v>-9.7773945106715701</v>
      </c>
      <c r="K98" s="1">
        <f>'Team A 1'!K98-'Team A 1'!$AA98-('Team A 1'!K$2- 12.5)*'Team A 1'!$AC98</f>
        <v>-34.840996079051138</v>
      </c>
      <c r="L98" s="1">
        <f>'Team A 1'!L98-'Team A 1'!$AA98-('Team A 1'!L$2- 12.5)*'Team A 1'!$AC98</f>
        <v>-9.9045976474307054</v>
      </c>
      <c r="M98" s="1">
        <f>'Team A 1'!M98-'Team A 1'!$AA98-('Team A 1'!M$2- 12.5)*'Team A 1'!$AC98</f>
        <v>15.03180078418977</v>
      </c>
      <c r="N98" s="1">
        <f>'Team A 1'!N98-'Team A 1'!$AA98-('Team A 1'!N$2- 12.5)*'Team A 1'!$AC98</f>
        <v>19.96819921581023</v>
      </c>
      <c r="O98" s="1">
        <f>'Team A 1'!O98-'Team A 1'!$AA98-('Team A 1'!O$2- 12.5)*'Team A 1'!$AC98</f>
        <v>34.904597647430705</v>
      </c>
      <c r="P98" s="1">
        <f>'Team A 1'!P98-'Team A 1'!$AA98-('Team A 1'!P$2- 12.5)*'Team A 1'!$AC98</f>
        <v>29.840996079051138</v>
      </c>
      <c r="Q98" s="1">
        <f>'Team A 1'!Q98-'Team A 1'!$AA98-('Team A 1'!Q$2- 12.5)*'Team A 1'!$AC98</f>
        <v>14.77739451067157</v>
      </c>
      <c r="R98" s="1">
        <f>'Team A 1'!R98-'Team A 1'!$AA98-('Team A 1'!R$2- 12.5)*'Team A 1'!$AC98</f>
        <v>19.713792942292116</v>
      </c>
      <c r="S98" s="1">
        <f>'Team A 1'!S98-'Team A 1'!$AA98-('Team A 1'!S$2- 12.5)*'Team A 1'!$AC98</f>
        <v>-5.3498086260874516</v>
      </c>
      <c r="T98" s="1">
        <f>'Team A 1'!T98-'Team A 1'!$AA98-('Team A 1'!T$2- 12.5)*'Team A 1'!$AC98</f>
        <v>9.5865898055330945</v>
      </c>
      <c r="U98" s="1">
        <f>'Team A 1'!U98-'Team A 1'!$AA98-('Team A 1'!U$2- 12.5)*'Team A 1'!$AC98</f>
        <v>-25.477011762846587</v>
      </c>
      <c r="V98" s="1">
        <f>'Team A 1'!V98-'Team A 1'!$AA98-('Team A 1'!V$2- 12.5)*'Team A 1'!$AC98</f>
        <v>-50.540613331226041</v>
      </c>
      <c r="W98" s="1">
        <f>'Team A 1'!W98-'Team A 1'!$AA98-('Team A 1'!W$2- 12.5)*'Team A 1'!$AC98</f>
        <v>-15.604214899605722</v>
      </c>
      <c r="X98" s="1">
        <f>'Team A 1'!X98-'Team A 1'!$AA98-('Team A 1'!X$2- 12.5)*'Team A 1'!$AC98</f>
        <v>-20.667816467985176</v>
      </c>
      <c r="Y98" s="1">
        <f>'Team A 1'!Y98-'Team A 1'!$AA98-('Team A 1'!Y$2- 12.5)*'Team A 1'!$AC98</f>
        <v>34.26858196363537</v>
      </c>
      <c r="AB98" s="1">
        <f>STDEV(B98:Y98)</f>
        <v>23.239011747681371</v>
      </c>
      <c r="AD98" s="5">
        <v>1</v>
      </c>
      <c r="AE98" s="5">
        <v>8</v>
      </c>
      <c r="AF98" s="5">
        <v>6</v>
      </c>
      <c r="AG98" s="5">
        <v>4</v>
      </c>
      <c r="AH98" s="5" t="s">
        <v>45</v>
      </c>
      <c r="AI98" s="5">
        <v>2</v>
      </c>
      <c r="AJ98" s="5" t="s">
        <v>47</v>
      </c>
      <c r="AK98" s="5">
        <v>3</v>
      </c>
      <c r="AL98" s="5" t="s">
        <v>46</v>
      </c>
      <c r="AM98" s="5">
        <v>5</v>
      </c>
      <c r="AN98" s="5">
        <v>9</v>
      </c>
      <c r="AO98" s="5">
        <v>7</v>
      </c>
      <c r="AP98" s="5">
        <v>8</v>
      </c>
      <c r="AQ98" s="5">
        <v>1</v>
      </c>
      <c r="AR98" s="5">
        <v>6</v>
      </c>
      <c r="AS98" s="5" t="s">
        <v>45</v>
      </c>
      <c r="AT98" s="5">
        <v>4</v>
      </c>
      <c r="AU98" s="5" t="s">
        <v>47</v>
      </c>
      <c r="AV98" s="5">
        <v>2</v>
      </c>
      <c r="AW98" s="5" t="s">
        <v>46</v>
      </c>
      <c r="AX98" s="5">
        <v>3</v>
      </c>
      <c r="AY98" s="5">
        <v>9</v>
      </c>
      <c r="AZ98" s="5">
        <v>5</v>
      </c>
      <c r="BA98" s="5">
        <v>7</v>
      </c>
      <c r="BB98" s="5"/>
      <c r="BC98" s="1">
        <f ca="1">OFFSET(A98,0, 1) -0</f>
        <v>20.73141803636463</v>
      </c>
      <c r="BD98" s="1">
        <f ca="1">OFFSET(A98,0, 6) -0</f>
        <v>-14.586589805533094</v>
      </c>
      <c r="BE98" s="1">
        <f ca="1">OFFSET(A98,0, 8) -0</f>
        <v>5.2862070577078839</v>
      </c>
      <c r="BF98" s="1">
        <f ca="1">OFFSET(A98,0, 4) -0</f>
        <v>25.540613331226041</v>
      </c>
      <c r="BG98" s="1">
        <f ca="1">OFFSET(A98,0, 10) -0</f>
        <v>-34.840996079051138</v>
      </c>
      <c r="BH98" s="1">
        <f ca="1">OFFSET(A98,0, 3) -0</f>
        <v>10.604214899605722</v>
      </c>
      <c r="BI98" s="1">
        <f ca="1">OFFSET(A98,0, 12) -0</f>
        <v>15.03180078418977</v>
      </c>
      <c r="BJ98" s="1">
        <f ca="1">OFFSET(A98,0, 2) -0</f>
        <v>-24.332183532014824</v>
      </c>
      <c r="BK98" s="1">
        <f ca="1">OFFSET(A98,0, 11) -0</f>
        <v>-9.9045976474307054</v>
      </c>
      <c r="BL98" s="1">
        <f ca="1">OFFSET(A98,0, 5) -0</f>
        <v>-9.5229882371534131</v>
      </c>
      <c r="BM98" s="1">
        <f ca="1">OFFSET(A98,0, 9) -0</f>
        <v>-9.7773945106715701</v>
      </c>
      <c r="BN98" s="1">
        <f ca="1">OFFSET(A98,0, 7) -0</f>
        <v>-19.650191373912548</v>
      </c>
      <c r="BO98" s="1">
        <f ca="1">OFFSET(A98,0, 14) -0</f>
        <v>34.904597647430705</v>
      </c>
      <c r="BP98" s="1">
        <f ca="1">OFFSET(A98,0, 19) -0</f>
        <v>9.5865898055330945</v>
      </c>
      <c r="BQ98" s="1">
        <f ca="1">OFFSET(A98,0, 21) -0</f>
        <v>-50.540613331226041</v>
      </c>
      <c r="BR98" s="1">
        <f ca="1">OFFSET(A98,0, 17) -0</f>
        <v>19.713792942292116</v>
      </c>
      <c r="BS98" s="1">
        <f ca="1">OFFSET(A98,0, 23) -0</f>
        <v>-20.667816467985176</v>
      </c>
      <c r="BT98" s="1">
        <f ca="1">OFFSET(A98,0, 15) -0</f>
        <v>29.840996079051138</v>
      </c>
      <c r="BU98" s="1">
        <f ca="1">OFFSET(A98,0, 24) -0</f>
        <v>34.26858196363537</v>
      </c>
      <c r="BV98" s="1">
        <f ca="1">OFFSET(A98,0, 13) -0</f>
        <v>19.96819921581023</v>
      </c>
      <c r="BW98" s="1">
        <f ca="1">OFFSET(A98,0, 22) -0</f>
        <v>-15.604214899605722</v>
      </c>
      <c r="BX98" s="1">
        <f ca="1">OFFSET(A98,0, 16) -0</f>
        <v>14.77739451067157</v>
      </c>
      <c r="BY98" s="1">
        <f ca="1">OFFSET(A98,0, 20) -0</f>
        <v>-25.477011762846587</v>
      </c>
      <c r="BZ98" s="1">
        <f ca="1">OFFSET(A98,0, 18) -0</f>
        <v>-5.3498086260874516</v>
      </c>
      <c r="CB98" s="1">
        <f>COUNTIF(B98,"&lt;-69")</f>
        <v>0</v>
      </c>
      <c r="CC98" s="1">
        <f ca="1">COUNTIF(BC98:BN98,"&lt;-49")</f>
        <v>0</v>
      </c>
      <c r="CD98" s="1">
        <f ca="1">COUNTIF(BC98:BN98,"&gt;+49")</f>
        <v>0</v>
      </c>
      <c r="CE98" s="1">
        <f ca="1">COUNTIF(BO98:BZ98,"&lt;-49")</f>
        <v>1</v>
      </c>
      <c r="CF98" s="1">
        <f ca="1">COUNTIF(BO98:BZ98,"&gt;+49")</f>
        <v>0</v>
      </c>
    </row>
    <row r="99" spans="1:84">
      <c r="A99" s="1">
        <v>96</v>
      </c>
      <c r="B99" s="1">
        <f>'Team A 1'!B99-'Team A 1'!$AA99-('Team A 1'!B$2- 12.5)*'Team A 1'!$AC99</f>
        <v>48.687458957044782</v>
      </c>
      <c r="C99" s="1">
        <f>'Team A 1'!C99-'Team A 1'!$AA99-('Team A 1'!C$2- 12.5)*'Team A 1'!$AC99</f>
        <v>3.9827523810681669</v>
      </c>
      <c r="D99" s="1">
        <f>'Team A 1'!D99-'Team A 1'!$AA99-('Team A 1'!D$2- 12.5)*'Team A 1'!$AC99</f>
        <v>9.2780458050915513</v>
      </c>
      <c r="E99" s="1">
        <f>'Team A 1'!E99-'Team A 1'!$AA99-('Team A 1'!E$2- 12.5)*'Team A 1'!$AC99</f>
        <v>-5.4266607708850643</v>
      </c>
      <c r="F99" s="1">
        <f>'Team A 1'!F99-'Team A 1'!$AA99-('Team A 1'!F$2- 12.5)*'Team A 1'!$AC99</f>
        <v>9.8686326531383202</v>
      </c>
      <c r="G99" s="1">
        <f>'Team A 1'!G99-'Team A 1'!$AA99-('Team A 1'!G$2- 12.5)*'Team A 1'!$AC99</f>
        <v>25.163926077161705</v>
      </c>
      <c r="H99" s="1">
        <f>'Team A 1'!H99-'Team A 1'!$AA99-('Team A 1'!H$2- 12.5)*'Team A 1'!$AC99</f>
        <v>-19.540780498814911</v>
      </c>
      <c r="I99" s="1">
        <f>'Team A 1'!I99-'Team A 1'!$AA99-('Team A 1'!I$2- 12.5)*'Team A 1'!$AC99</f>
        <v>-4.2454870747914129</v>
      </c>
      <c r="J99" s="1">
        <f>'Team A 1'!J99-'Team A 1'!$AA99-('Team A 1'!J$2- 12.5)*'Team A 1'!$AC99</f>
        <v>-8.9501936507680284</v>
      </c>
      <c r="K99" s="1">
        <f>'Team A 1'!K99-'Team A 1'!$AA99-('Team A 1'!K$2- 12.5)*'Team A 1'!$AC99</f>
        <v>-33.654900226744587</v>
      </c>
      <c r="L99" s="1">
        <f>'Team A 1'!L99-'Team A 1'!$AA99-('Team A 1'!L$2- 12.5)*'Team A 1'!$AC99</f>
        <v>21.640393197278797</v>
      </c>
      <c r="M99" s="1">
        <f>'Team A 1'!M99-'Team A 1'!$AA99-('Team A 1'!M$2- 12.5)*'Team A 1'!$AC99</f>
        <v>-23.064313378697776</v>
      </c>
      <c r="N99" s="1">
        <f>'Team A 1'!N99-'Team A 1'!$AA99-('Team A 1'!N$2- 12.5)*'Team A 1'!$AC99</f>
        <v>32.230980045325637</v>
      </c>
      <c r="O99" s="1">
        <f>'Team A 1'!O99-'Team A 1'!$AA99-('Team A 1'!O$2- 12.5)*'Team A 1'!$AC99</f>
        <v>7.5262734693490643</v>
      </c>
      <c r="P99" s="1">
        <f>'Team A 1'!P99-'Team A 1'!$AA99-('Team A 1'!P$2- 12.5)*'Team A 1'!$AC99</f>
        <v>72.821566893372449</v>
      </c>
      <c r="Q99" s="1">
        <f>'Team A 1'!Q99-'Team A 1'!$AA99-('Team A 1'!Q$2- 12.5)*'Team A 1'!$AC99</f>
        <v>-1.88313968260411</v>
      </c>
      <c r="R99" s="1">
        <f>'Team A 1'!R99-'Team A 1'!$AA99-('Team A 1'!R$2- 12.5)*'Team A 1'!$AC99</f>
        <v>3.4121537414192744</v>
      </c>
      <c r="S99" s="1">
        <f>'Team A 1'!S99-'Team A 1'!$AA99-('Team A 1'!S$2- 12.5)*'Team A 1'!$AC99</f>
        <v>-31.292552834557227</v>
      </c>
      <c r="T99" s="1">
        <f>'Team A 1'!T99-'Team A 1'!$AA99-('Team A 1'!T$2- 12.5)*'Team A 1'!$AC99</f>
        <v>-65.997259410533843</v>
      </c>
      <c r="U99" s="1">
        <f>'Team A 1'!U99-'Team A 1'!$AA99-('Team A 1'!U$2- 12.5)*'Team A 1'!$AC99</f>
        <v>-20.701965986510459</v>
      </c>
      <c r="V99" s="1">
        <f>'Team A 1'!V99-'Team A 1'!$AA99-('Team A 1'!V$2- 12.5)*'Team A 1'!$AC99</f>
        <v>4.5933274375129258</v>
      </c>
      <c r="W99" s="1">
        <f>'Team A 1'!W99-'Team A 1'!$AA99-('Team A 1'!W$2- 12.5)*'Team A 1'!$AC99</f>
        <v>19.88862086153631</v>
      </c>
      <c r="X99" s="1">
        <f>'Team A 1'!X99-'Team A 1'!$AA99-('Team A 1'!X$2- 12.5)*'Team A 1'!$AC99</f>
        <v>-34.816085714440305</v>
      </c>
      <c r="Y99" s="1">
        <f>'Team A 1'!Y99-'Team A 1'!$AA99-('Team A 1'!Y$2- 12.5)*'Team A 1'!$AC99</f>
        <v>-9.5207922904169209</v>
      </c>
      <c r="AB99" s="1">
        <f>STDEV(B99:Y99)</f>
        <v>29.297509722620472</v>
      </c>
      <c r="AD99" s="5">
        <v>1</v>
      </c>
      <c r="AE99" s="5">
        <v>8</v>
      </c>
      <c r="AF99" s="5" t="s">
        <v>45</v>
      </c>
      <c r="AG99" s="5">
        <v>6</v>
      </c>
      <c r="AH99" s="5" t="s">
        <v>47</v>
      </c>
      <c r="AI99" s="5">
        <v>4</v>
      </c>
      <c r="AJ99" s="5" t="s">
        <v>46</v>
      </c>
      <c r="AK99" s="5">
        <v>2</v>
      </c>
      <c r="AL99" s="5">
        <v>9</v>
      </c>
      <c r="AM99" s="5">
        <v>3</v>
      </c>
      <c r="AN99" s="5">
        <v>7</v>
      </c>
      <c r="AO99" s="5">
        <v>5</v>
      </c>
      <c r="AP99" s="5">
        <v>1</v>
      </c>
      <c r="AQ99" s="5">
        <v>8</v>
      </c>
      <c r="AR99" s="5">
        <v>6</v>
      </c>
      <c r="AS99" s="5" t="s">
        <v>45</v>
      </c>
      <c r="AT99" s="5">
        <v>4</v>
      </c>
      <c r="AU99" s="5" t="s">
        <v>47</v>
      </c>
      <c r="AV99" s="5">
        <v>2</v>
      </c>
      <c r="AW99" s="5" t="s">
        <v>46</v>
      </c>
      <c r="AX99" s="5">
        <v>3</v>
      </c>
      <c r="AY99" s="5">
        <v>9</v>
      </c>
      <c r="AZ99" s="5">
        <v>5</v>
      </c>
      <c r="BA99" s="5">
        <v>7</v>
      </c>
      <c r="BB99" s="5"/>
      <c r="BC99" s="1">
        <f ca="1">OFFSET(A99,0, 1) -0</f>
        <v>48.687458957044782</v>
      </c>
      <c r="BD99" s="1">
        <f ca="1">OFFSET(A99,0, 8) -0</f>
        <v>-4.2454870747914129</v>
      </c>
      <c r="BE99" s="1">
        <f ca="1">OFFSET(A99,0, 10) -0</f>
        <v>-33.654900226744587</v>
      </c>
      <c r="BF99" s="1">
        <f ca="1">OFFSET(A99,0, 6) -0</f>
        <v>25.163926077161705</v>
      </c>
      <c r="BG99" s="1">
        <f ca="1">OFFSET(A99,0, 12) -0</f>
        <v>-23.064313378697776</v>
      </c>
      <c r="BH99" s="1">
        <f ca="1">OFFSET(A99,0, 4) -0</f>
        <v>-5.4266607708850643</v>
      </c>
      <c r="BI99" s="1">
        <f ca="1">OFFSET(A99,0, 11) -0</f>
        <v>21.640393197278797</v>
      </c>
      <c r="BJ99" s="1">
        <f ca="1">OFFSET(A99,0, 2) -0</f>
        <v>3.9827523810681669</v>
      </c>
      <c r="BK99" s="1">
        <f ca="1">OFFSET(A99,0, 9) -0</f>
        <v>-8.9501936507680284</v>
      </c>
      <c r="BL99" s="1">
        <f ca="1">OFFSET(A99,0, 3) -0</f>
        <v>9.2780458050915513</v>
      </c>
      <c r="BM99" s="1">
        <f ca="1">OFFSET(A99,0, 7) -0</f>
        <v>-19.540780498814911</v>
      </c>
      <c r="BN99" s="1">
        <f ca="1">OFFSET(A99,0, 5) -0</f>
        <v>9.8686326531383202</v>
      </c>
      <c r="BO99" s="1">
        <f ca="1">OFFSET(A99,0, 13) -0</f>
        <v>32.230980045325637</v>
      </c>
      <c r="BP99" s="1">
        <f ca="1">OFFSET(A99,0, 19) -0</f>
        <v>-65.997259410533843</v>
      </c>
      <c r="BQ99" s="1">
        <f ca="1">OFFSET(A99,0, 21) -0</f>
        <v>4.5933274375129258</v>
      </c>
      <c r="BR99" s="1">
        <f ca="1">OFFSET(A99,0, 17) -0</f>
        <v>3.4121537414192744</v>
      </c>
      <c r="BS99" s="1">
        <f ca="1">OFFSET(A99,0, 23) -0</f>
        <v>-34.816085714440305</v>
      </c>
      <c r="BT99" s="1">
        <f ca="1">OFFSET(A99,0, 15) -0</f>
        <v>72.821566893372449</v>
      </c>
      <c r="BU99" s="1">
        <f ca="1">OFFSET(A99,0, 24) -0</f>
        <v>-9.5207922904169209</v>
      </c>
      <c r="BV99" s="1">
        <f ca="1">OFFSET(A99,0, 14) -0</f>
        <v>7.5262734693490643</v>
      </c>
      <c r="BW99" s="1">
        <f ca="1">OFFSET(A99,0, 22) -0</f>
        <v>19.88862086153631</v>
      </c>
      <c r="BX99" s="1">
        <f ca="1">OFFSET(A99,0, 16) -0</f>
        <v>-1.88313968260411</v>
      </c>
      <c r="BY99" s="1">
        <f ca="1">OFFSET(A99,0, 20) -0</f>
        <v>-20.701965986510459</v>
      </c>
      <c r="BZ99" s="1">
        <f ca="1">OFFSET(A99,0, 18) -0</f>
        <v>-31.292552834557227</v>
      </c>
      <c r="CB99" s="1">
        <f>COUNTIF(B99,"&lt;-69")</f>
        <v>0</v>
      </c>
      <c r="CC99" s="1">
        <f ca="1">COUNTIF(BC99:BN99,"&lt;-49")</f>
        <v>0</v>
      </c>
      <c r="CD99" s="1">
        <f ca="1">COUNTIF(BC99:BN99,"&gt;+49")</f>
        <v>0</v>
      </c>
      <c r="CE99" s="1">
        <f ca="1">COUNTIF(BO99:BZ99,"&lt;-49")</f>
        <v>1</v>
      </c>
      <c r="CF99" s="1">
        <f ca="1">COUNTIF(BO99:BZ99,"&gt;+49")</f>
        <v>1</v>
      </c>
    </row>
    <row r="100" spans="1:84">
      <c r="A100" s="1">
        <v>97</v>
      </c>
      <c r="B100" s="1">
        <f>'Team A 1'!B100-'Team A 1'!$AA100-('Team A 1'!B$2- 12.5)*'Team A 1'!$AC100</f>
        <v>-9.0589035005705227</v>
      </c>
      <c r="C100" s="1">
        <f>'Team A 1'!C100-'Team A 1'!$AA100-('Team A 1'!C$2- 12.5)*'Team A 1'!$AC100</f>
        <v>26.728827238609711</v>
      </c>
      <c r="D100" s="1">
        <f>'Team A 1'!D100-'Team A 1'!$AA100-('Team A 1'!D$2- 12.5)*'Team A 1'!$AC100</f>
        <v>2.5165579777897165</v>
      </c>
      <c r="E100" s="1">
        <f>'Team A 1'!E100-'Team A 1'!$AA100-('Team A 1'!E$2- 12.5)*'Team A 1'!$AC100</f>
        <v>38.304288716969722</v>
      </c>
      <c r="F100" s="1">
        <f>'Team A 1'!F100-'Team A 1'!$AA100-('Team A 1'!F$2- 12.5)*'Team A 1'!$AC100</f>
        <v>14.092019456149728</v>
      </c>
      <c r="G100" s="1">
        <f>'Team A 1'!G100-'Team A 1'!$AA100-('Team A 1'!G$2- 12.5)*'Team A 1'!$AC100</f>
        <v>-20.120249804670266</v>
      </c>
      <c r="H100" s="1">
        <f>'Team A 1'!H100-'Team A 1'!$AA100-('Team A 1'!H$2- 12.5)*'Team A 1'!$AC100</f>
        <v>-14.33251906549026</v>
      </c>
      <c r="I100" s="1">
        <f>'Team A 1'!I100-'Team A 1'!$AA100-('Team A 1'!I$2- 12.5)*'Team A 1'!$AC100</f>
        <v>-8.5447883263101403</v>
      </c>
      <c r="J100" s="1">
        <f>'Team A 1'!J100-'Team A 1'!$AA100-('Team A 1'!J$2- 12.5)*'Team A 1'!$AC100</f>
        <v>-12.757057587130134</v>
      </c>
      <c r="K100" s="1">
        <f>'Team A 1'!K100-'Team A 1'!$AA100-('Team A 1'!K$2- 12.5)*'Team A 1'!$AC100</f>
        <v>-16.969326847950072</v>
      </c>
      <c r="L100" s="1">
        <f>'Team A 1'!L100-'Team A 1'!$AA100-('Team A 1'!L$2- 12.5)*'Team A 1'!$AC100</f>
        <v>8.8184038912299343</v>
      </c>
      <c r="M100" s="1">
        <f>'Team A 1'!M100-'Team A 1'!$AA100-('Team A 1'!M$2- 12.5)*'Team A 1'!$AC100</f>
        <v>4.6061346304099828</v>
      </c>
      <c r="N100" s="1">
        <f>'Team A 1'!N100-'Team A 1'!$AA100-('Team A 1'!N$2- 12.5)*'Team A 1'!$AC100</f>
        <v>0.39386536959001717</v>
      </c>
      <c r="O100" s="1">
        <f>'Team A 1'!O100-'Team A 1'!$AA100-('Team A 1'!O$2- 12.5)*'Team A 1'!$AC100</f>
        <v>6.1815961087700657</v>
      </c>
      <c r="P100" s="1">
        <f>'Team A 1'!P100-'Team A 1'!$AA100-('Team A 1'!P$2- 12.5)*'Team A 1'!$AC100</f>
        <v>-28.030673152049928</v>
      </c>
      <c r="Q100" s="1">
        <f>'Team A 1'!Q100-'Team A 1'!$AA100-('Team A 1'!Q$2- 12.5)*'Team A 1'!$AC100</f>
        <v>27.757057587130134</v>
      </c>
      <c r="R100" s="1">
        <f>'Team A 1'!R100-'Team A 1'!$AA100-('Team A 1'!R$2- 12.5)*'Team A 1'!$AC100</f>
        <v>23.54478832631014</v>
      </c>
      <c r="S100" s="1">
        <f>'Team A 1'!S100-'Team A 1'!$AA100-('Team A 1'!S$2- 12.5)*'Team A 1'!$AC100</f>
        <v>9.3325190654902599</v>
      </c>
      <c r="T100" s="1">
        <f>'Team A 1'!T100-'Team A 1'!$AA100-('Team A 1'!T$2- 12.5)*'Team A 1'!$AC100</f>
        <v>-34.879750195329734</v>
      </c>
      <c r="U100" s="1">
        <f>'Team A 1'!U100-'Team A 1'!$AA100-('Team A 1'!U$2- 12.5)*'Team A 1'!$AC100</f>
        <v>-9.0920194561497283</v>
      </c>
      <c r="V100" s="1">
        <f>'Team A 1'!V100-'Team A 1'!$AA100-('Team A 1'!V$2- 12.5)*'Team A 1'!$AC100</f>
        <v>6.6957112830302776</v>
      </c>
      <c r="W100" s="1">
        <f>'Team A 1'!W100-'Team A 1'!$AA100-('Team A 1'!W$2- 12.5)*'Team A 1'!$AC100</f>
        <v>2.4834420222102835</v>
      </c>
      <c r="X100" s="1">
        <f>'Team A 1'!X100-'Team A 1'!$AA100-('Team A 1'!X$2- 12.5)*'Team A 1'!$AC100</f>
        <v>-21.728827238609711</v>
      </c>
      <c r="Y100" s="1">
        <f>'Team A 1'!Y100-'Team A 1'!$AA100-('Team A 1'!Y$2- 12.5)*'Team A 1'!$AC100</f>
        <v>4.0589035005705227</v>
      </c>
      <c r="AB100" s="1">
        <f>STDEV(B100:Y100)</f>
        <v>18.387664078179306</v>
      </c>
      <c r="AD100" s="5">
        <v>8</v>
      </c>
      <c r="AE100" s="5">
        <v>1</v>
      </c>
      <c r="AF100" s="5" t="s">
        <v>45</v>
      </c>
      <c r="AG100" s="5">
        <v>6</v>
      </c>
      <c r="AH100" s="5" t="s">
        <v>47</v>
      </c>
      <c r="AI100" s="5">
        <v>4</v>
      </c>
      <c r="AJ100" s="5" t="s">
        <v>46</v>
      </c>
      <c r="AK100" s="5">
        <v>2</v>
      </c>
      <c r="AL100" s="5">
        <v>9</v>
      </c>
      <c r="AM100" s="5">
        <v>3</v>
      </c>
      <c r="AN100" s="5">
        <v>7</v>
      </c>
      <c r="AO100" s="5">
        <v>5</v>
      </c>
      <c r="AP100" s="5">
        <v>1</v>
      </c>
      <c r="AQ100" s="5">
        <v>8</v>
      </c>
      <c r="AR100" s="5" t="s">
        <v>45</v>
      </c>
      <c r="AS100" s="5" t="s">
        <v>47</v>
      </c>
      <c r="AT100" s="5">
        <v>6</v>
      </c>
      <c r="AU100" s="5" t="s">
        <v>46</v>
      </c>
      <c r="AV100" s="5">
        <v>4</v>
      </c>
      <c r="AW100" s="5">
        <v>9</v>
      </c>
      <c r="AX100" s="5">
        <v>2</v>
      </c>
      <c r="AY100" s="5">
        <v>7</v>
      </c>
      <c r="AZ100" s="5">
        <v>3</v>
      </c>
      <c r="BA100" s="5">
        <v>5</v>
      </c>
      <c r="BB100" s="5"/>
      <c r="BC100" s="1">
        <f ca="1">OFFSET(A100,0, 2) -0</f>
        <v>26.728827238609711</v>
      </c>
      <c r="BD100" s="1">
        <f ca="1">OFFSET(A100,0, 8) -0</f>
        <v>-8.5447883263101403</v>
      </c>
      <c r="BE100" s="1">
        <f ca="1">OFFSET(A100,0, 10) -0</f>
        <v>-16.969326847950072</v>
      </c>
      <c r="BF100" s="1">
        <f ca="1">OFFSET(A100,0, 6) -0</f>
        <v>-20.120249804670266</v>
      </c>
      <c r="BG100" s="1">
        <f ca="1">OFFSET(A100,0, 12) -0</f>
        <v>4.6061346304099828</v>
      </c>
      <c r="BH100" s="1">
        <f ca="1">OFFSET(A100,0, 4) -0</f>
        <v>38.304288716969722</v>
      </c>
      <c r="BI100" s="1">
        <f ca="1">OFFSET(A100,0, 11) -0</f>
        <v>8.8184038912299343</v>
      </c>
      <c r="BJ100" s="1">
        <f ca="1">OFFSET(A100,0, 1) -0</f>
        <v>-9.0589035005705227</v>
      </c>
      <c r="BK100" s="1">
        <f ca="1">OFFSET(A100,0, 9) -0</f>
        <v>-12.757057587130134</v>
      </c>
      <c r="BL100" s="1">
        <f ca="1">OFFSET(A100,0, 3) -0</f>
        <v>2.5165579777897165</v>
      </c>
      <c r="BM100" s="1">
        <f ca="1">OFFSET(A100,0, 7) -0</f>
        <v>-14.33251906549026</v>
      </c>
      <c r="BN100" s="1">
        <f ca="1">OFFSET(A100,0, 5) -0</f>
        <v>14.092019456149728</v>
      </c>
      <c r="BO100" s="1">
        <f ca="1">OFFSET(A100,0, 13) -0</f>
        <v>0.39386536959001717</v>
      </c>
      <c r="BP100" s="1">
        <f ca="1">OFFSET(A100,0, 21) -0</f>
        <v>6.6957112830302776</v>
      </c>
      <c r="BQ100" s="1">
        <f ca="1">OFFSET(A100,0, 23) -0</f>
        <v>-21.728827238609711</v>
      </c>
      <c r="BR100" s="1">
        <f ca="1">OFFSET(A100,0, 19) -0</f>
        <v>-34.879750195329734</v>
      </c>
      <c r="BS100" s="1">
        <f ca="1">OFFSET(A100,0, 24) -0</f>
        <v>4.0589035005705227</v>
      </c>
      <c r="BT100" s="1">
        <f ca="1">OFFSET(A100,0, 17) -0</f>
        <v>23.54478832631014</v>
      </c>
      <c r="BU100" s="1">
        <f ca="1">OFFSET(A100,0, 22) -0</f>
        <v>2.4834420222102835</v>
      </c>
      <c r="BV100" s="1">
        <f ca="1">OFFSET(A100,0, 14) -0</f>
        <v>6.1815961087700657</v>
      </c>
      <c r="BW100" s="1">
        <f ca="1">OFFSET(A100,0, 20) -0</f>
        <v>-9.0920194561497283</v>
      </c>
      <c r="BX100" s="1">
        <f ca="1">OFFSET(A100,0, 15) -0</f>
        <v>-28.030673152049928</v>
      </c>
      <c r="BY100" s="1">
        <f ca="1">OFFSET(A100,0, 18) -0</f>
        <v>9.3325190654902599</v>
      </c>
      <c r="BZ100" s="1">
        <f ca="1">OFFSET(A100,0, 16) -0</f>
        <v>27.757057587130134</v>
      </c>
      <c r="CB100" s="1">
        <f>COUNTIF(B100,"&lt;-69")</f>
        <v>0</v>
      </c>
      <c r="CC100" s="1">
        <f ca="1">COUNTIF(BC100:BN100,"&lt;-49")</f>
        <v>0</v>
      </c>
      <c r="CD100" s="1">
        <f ca="1">COUNTIF(BC100:BN100,"&gt;+49")</f>
        <v>0</v>
      </c>
      <c r="CE100" s="1">
        <f ca="1">COUNTIF(BO100:BZ100,"&lt;-49")</f>
        <v>0</v>
      </c>
      <c r="CF100" s="1">
        <f ca="1">COUNTIF(BO100:BZ100,"&gt;+49")</f>
        <v>0</v>
      </c>
    </row>
    <row r="101" spans="1:84">
      <c r="A101" s="1">
        <v>98</v>
      </c>
      <c r="B101" s="1">
        <f>'Team A 1'!B101-'Team A 1'!$AA101-('Team A 1'!B$2- 12.5)*'Team A 1'!$AC101</f>
        <v>3.1925201199842377</v>
      </c>
      <c r="C101" s="1">
        <f>'Team A 1'!C101-'Team A 1'!$AA101-('Team A 1'!C$2- 12.5)*'Team A 1'!$AC101</f>
        <v>-0.63581496291612893</v>
      </c>
      <c r="D101" s="1">
        <f>'Team A 1'!D101-'Team A 1'!$AA101-('Team A 1'!D$2- 12.5)*'Team A 1'!$AC101</f>
        <v>5.5358499541832771</v>
      </c>
      <c r="E101" s="1">
        <f>'Team A 1'!E101-'Team A 1'!$AA101-('Team A 1'!E$2- 12.5)*'Team A 1'!$AC101</f>
        <v>31.707514871282683</v>
      </c>
      <c r="F101" s="1">
        <f>'Team A 1'!F101-'Team A 1'!$AA101-('Team A 1'!F$2- 12.5)*'Team A 1'!$AC101</f>
        <v>17.879179788382089</v>
      </c>
      <c r="G101" s="1">
        <f>'Team A 1'!G101-'Team A 1'!$AA101-('Team A 1'!G$2- 12.5)*'Team A 1'!$AC101</f>
        <v>-25.949155294518505</v>
      </c>
      <c r="H101" s="1">
        <f>'Team A 1'!H101-'Team A 1'!$AA101-('Team A 1'!H$2- 12.5)*'Team A 1'!$AC101</f>
        <v>-29.777490377419099</v>
      </c>
      <c r="I101" s="1">
        <f>'Team A 1'!I101-'Team A 1'!$AA101-('Team A 1'!I$2- 12.5)*'Team A 1'!$AC101</f>
        <v>-33.605825460319579</v>
      </c>
      <c r="J101" s="1">
        <f>'Team A 1'!J101-'Team A 1'!$AA101-('Team A 1'!J$2- 12.5)*'Team A 1'!$AC101</f>
        <v>12.565839456779827</v>
      </c>
      <c r="K101" s="1">
        <f>'Team A 1'!K101-'Team A 1'!$AA101-('Team A 1'!K$2- 12.5)*'Team A 1'!$AC101</f>
        <v>-11.26249562612071</v>
      </c>
      <c r="L101" s="1">
        <f>'Team A 1'!L101-'Team A 1'!$AA101-('Team A 1'!L$2- 12.5)*'Team A 1'!$AC101</f>
        <v>-5.0908307090213043</v>
      </c>
      <c r="M101" s="1">
        <f>'Team A 1'!M101-'Team A 1'!$AA101-('Team A 1'!M$2- 12.5)*'Team A 1'!$AC101</f>
        <v>-18.919165791921856</v>
      </c>
      <c r="N101" s="1">
        <f>'Team A 1'!N101-'Team A 1'!$AA101-('Team A 1'!N$2- 12.5)*'Team A 1'!$AC101</f>
        <v>-2.7475008748224212</v>
      </c>
      <c r="O101" s="1">
        <f>'Team A 1'!O101-'Team A 1'!$AA101-('Team A 1'!O$2- 12.5)*'Team A 1'!$AC101</f>
        <v>33.424164042277027</v>
      </c>
      <c r="P101" s="1">
        <f>'Team A 1'!P101-'Team A 1'!$AA101-('Team A 1'!P$2- 12.5)*'Team A 1'!$AC101</f>
        <v>9.5958289593764334</v>
      </c>
      <c r="Q101" s="1">
        <f>'Team A 1'!Q101-'Team A 1'!$AA101-('Team A 1'!Q$2- 12.5)*'Team A 1'!$AC101</f>
        <v>-34.232506123524104</v>
      </c>
      <c r="R101" s="1">
        <f>'Team A 1'!R101-'Team A 1'!$AA101-('Team A 1'!R$2- 12.5)*'Team A 1'!$AC101</f>
        <v>31.939158793575302</v>
      </c>
      <c r="S101" s="1">
        <f>'Team A 1'!S101-'Team A 1'!$AA101-('Team A 1'!S$2- 12.5)*'Team A 1'!$AC101</f>
        <v>-1.889176289325178</v>
      </c>
      <c r="T101" s="1">
        <f>'Team A 1'!T101-'Team A 1'!$AA101-('Team A 1'!T$2- 12.5)*'Team A 1'!$AC101</f>
        <v>-25.717511372225772</v>
      </c>
      <c r="U101" s="1">
        <f>'Team A 1'!U101-'Team A 1'!$AA101-('Team A 1'!U$2- 12.5)*'Team A 1'!$AC101</f>
        <v>10.454153544873634</v>
      </c>
      <c r="V101" s="1">
        <f>'Team A 1'!V101-'Team A 1'!$AA101-('Team A 1'!V$2- 12.5)*'Team A 1'!$AC101</f>
        <v>26.62581846197304</v>
      </c>
      <c r="W101" s="1">
        <f>'Team A 1'!W101-'Team A 1'!$AA101-('Team A 1'!W$2- 12.5)*'Team A 1'!$AC101</f>
        <v>12.797483379072446</v>
      </c>
      <c r="X101" s="1">
        <f>'Team A 1'!X101-'Team A 1'!$AA101-('Team A 1'!X$2- 12.5)*'Team A 1'!$AC101</f>
        <v>-1.0308517038281479</v>
      </c>
      <c r="Y101" s="1">
        <f>'Team A 1'!Y101-'Team A 1'!$AA101-('Team A 1'!Y$2- 12.5)*'Team A 1'!$AC101</f>
        <v>-4.8591867867285146</v>
      </c>
      <c r="AB101" s="1">
        <f>STDEV(B101:Y101)</f>
        <v>20.646811408098422</v>
      </c>
      <c r="AD101" s="5">
        <v>8</v>
      </c>
      <c r="AE101" s="5">
        <v>1</v>
      </c>
      <c r="AF101" s="5" t="s">
        <v>47</v>
      </c>
      <c r="AG101" s="5" t="s">
        <v>45</v>
      </c>
      <c r="AH101" s="5" t="s">
        <v>46</v>
      </c>
      <c r="AI101" s="5">
        <v>6</v>
      </c>
      <c r="AJ101" s="5">
        <v>9</v>
      </c>
      <c r="AK101" s="5">
        <v>4</v>
      </c>
      <c r="AL101" s="5">
        <v>7</v>
      </c>
      <c r="AM101" s="5">
        <v>2</v>
      </c>
      <c r="AN101" s="5">
        <v>5</v>
      </c>
      <c r="AO101" s="5">
        <v>3</v>
      </c>
      <c r="AP101" s="5">
        <v>8</v>
      </c>
      <c r="AQ101" s="5" t="s">
        <v>47</v>
      </c>
      <c r="AR101" s="5">
        <v>1</v>
      </c>
      <c r="AS101" s="5" t="s">
        <v>45</v>
      </c>
      <c r="AT101" s="5">
        <v>6</v>
      </c>
      <c r="AU101" s="5" t="s">
        <v>46</v>
      </c>
      <c r="AV101" s="5">
        <v>4</v>
      </c>
      <c r="AW101" s="5">
        <v>9</v>
      </c>
      <c r="AX101" s="5">
        <v>2</v>
      </c>
      <c r="AY101" s="5">
        <v>7</v>
      </c>
      <c r="AZ101" s="5">
        <v>3</v>
      </c>
      <c r="BA101" s="5">
        <v>5</v>
      </c>
      <c r="BB101" s="5"/>
      <c r="BC101" s="1">
        <f ca="1">OFFSET(A101,0, 2) -0</f>
        <v>-0.63581496291612893</v>
      </c>
      <c r="BD101" s="1">
        <f ca="1">OFFSET(A101,0, 10) -0</f>
        <v>-11.26249562612071</v>
      </c>
      <c r="BE101" s="1">
        <f ca="1">OFFSET(A101,0, 12) -0</f>
        <v>-18.919165791921856</v>
      </c>
      <c r="BF101" s="1">
        <f ca="1">OFFSET(A101,0, 8) -0</f>
        <v>-33.605825460319579</v>
      </c>
      <c r="BG101" s="1">
        <f ca="1">OFFSET(A101,0, 11) -0</f>
        <v>-5.0908307090213043</v>
      </c>
      <c r="BH101" s="1">
        <f ca="1">OFFSET(A101,0, 6) -0</f>
        <v>-25.949155294518505</v>
      </c>
      <c r="BI101" s="1">
        <f ca="1">OFFSET(A101,0, 9) -0</f>
        <v>12.565839456779827</v>
      </c>
      <c r="BJ101" s="1">
        <f ca="1">OFFSET(A101,0, 1) -0</f>
        <v>3.1925201199842377</v>
      </c>
      <c r="BK101" s="1">
        <f ca="1">OFFSET(A101,0, 7) -0</f>
        <v>-29.777490377419099</v>
      </c>
      <c r="BL101" s="1">
        <f ca="1">OFFSET(A101,0, 4) -0</f>
        <v>31.707514871282683</v>
      </c>
      <c r="BM101" s="1">
        <f ca="1">OFFSET(A101,0, 5) -0</f>
        <v>17.879179788382089</v>
      </c>
      <c r="BN101" s="1">
        <f ca="1">OFFSET(A101,0, 3) -0</f>
        <v>5.5358499541832771</v>
      </c>
      <c r="BO101" s="1">
        <f ca="1">OFFSET(A101,0, 15) -0</f>
        <v>9.5958289593764334</v>
      </c>
      <c r="BP101" s="1">
        <f ca="1">OFFSET(A101,0, 21) -0</f>
        <v>26.62581846197304</v>
      </c>
      <c r="BQ101" s="1">
        <f ca="1">OFFSET(A101,0, 23) -0</f>
        <v>-1.0308517038281479</v>
      </c>
      <c r="BR101" s="1">
        <f ca="1">OFFSET(A101,0, 19) -0</f>
        <v>-25.717511372225772</v>
      </c>
      <c r="BS101" s="1">
        <f ca="1">OFFSET(A101,0, 24) -0</f>
        <v>-4.8591867867285146</v>
      </c>
      <c r="BT101" s="1">
        <f ca="1">OFFSET(A101,0, 17) -0</f>
        <v>31.939158793575302</v>
      </c>
      <c r="BU101" s="1">
        <f ca="1">OFFSET(A101,0, 22) -0</f>
        <v>12.797483379072446</v>
      </c>
      <c r="BV101" s="1">
        <f ca="1">OFFSET(A101,0, 13) -0</f>
        <v>-2.7475008748224212</v>
      </c>
      <c r="BW101" s="1">
        <f ca="1">OFFSET(A101,0, 20) -0</f>
        <v>10.454153544873634</v>
      </c>
      <c r="BX101" s="1">
        <f ca="1">OFFSET(A101,0, 16) -0</f>
        <v>-34.232506123524104</v>
      </c>
      <c r="BY101" s="1">
        <f ca="1">OFFSET(A101,0, 18) -0</f>
        <v>-1.889176289325178</v>
      </c>
      <c r="BZ101" s="1">
        <f ca="1">OFFSET(A101,0, 14) -0</f>
        <v>33.424164042277027</v>
      </c>
      <c r="CB101" s="1">
        <f>COUNTIF(B101,"&lt;-69")</f>
        <v>0</v>
      </c>
      <c r="CC101" s="1">
        <f ca="1">COUNTIF(BC101:BN101,"&lt;-48")</f>
        <v>0</v>
      </c>
      <c r="CD101" s="1">
        <f ca="1">COUNTIF(BC101:BN101,"&gt;+48")</f>
        <v>0</v>
      </c>
      <c r="CE101" s="1">
        <f ca="1">COUNTIF(BO101:BZ101,"&lt;-48")</f>
        <v>0</v>
      </c>
      <c r="CF101" s="1">
        <f ca="1">COUNTIF(BO101:BZ101,"&gt;+48")</f>
        <v>0</v>
      </c>
    </row>
    <row r="102" spans="1:84">
      <c r="A102" s="1">
        <v>99</v>
      </c>
      <c r="B102" s="1">
        <f>'Team A 1'!B102-'Team A 1'!$AA102-('Team A 1'!B$2- 12.5)*'Team A 1'!$AC102</f>
        <v>49.412001553038863</v>
      </c>
      <c r="C102" s="1">
        <f>'Team A 1'!C102-'Team A 1'!$AA102-('Team A 1'!C$2- 12.5)*'Team A 1'!$AC102</f>
        <v>35.658784026687499</v>
      </c>
      <c r="D102" s="1">
        <f>'Team A 1'!D102-'Team A 1'!$AA102-('Team A 1'!D$2- 12.5)*'Team A 1'!$AC102</f>
        <v>11.905566500336363</v>
      </c>
      <c r="E102" s="1">
        <f>'Team A 1'!E102-'Team A 1'!$AA102-('Team A 1'!E$2- 12.5)*'Team A 1'!$AC102</f>
        <v>18.152348973985227</v>
      </c>
      <c r="F102" s="1">
        <f>'Team A 1'!F102-'Team A 1'!$AA102-('Team A 1'!F$2- 12.5)*'Team A 1'!$AC102</f>
        <v>-15.600868552366137</v>
      </c>
      <c r="G102" s="1">
        <f>'Team A 1'!G102-'Team A 1'!$AA102-('Team A 1'!G$2- 12.5)*'Team A 1'!$AC102</f>
        <v>-59.354086078717273</v>
      </c>
      <c r="H102" s="1">
        <f>'Team A 1'!H102-'Team A 1'!$AA102-('Team A 1'!H$2- 12.5)*'Team A 1'!$AC102</f>
        <v>-23.10730360506841</v>
      </c>
      <c r="I102" s="1">
        <f>'Team A 1'!I102-'Team A 1'!$AA102-('Team A 1'!I$2- 12.5)*'Team A 1'!$AC102</f>
        <v>-6.8605211314196595</v>
      </c>
      <c r="J102" s="1">
        <f>'Team A 1'!J102-'Team A 1'!$AA102-('Team A 1'!J$2- 12.5)*'Team A 1'!$AC102</f>
        <v>-20.613738657770796</v>
      </c>
      <c r="K102" s="1">
        <f>'Team A 1'!K102-'Team A 1'!$AA102-('Team A 1'!K$2- 12.5)*'Team A 1'!$AC102</f>
        <v>-4.3669561841220457</v>
      </c>
      <c r="L102" s="1">
        <f>'Team A 1'!L102-'Team A 1'!$AA102-('Team A 1'!L$2- 12.5)*'Team A 1'!$AC102</f>
        <v>21.879826289526818</v>
      </c>
      <c r="M102" s="1">
        <f>'Team A 1'!M102-'Team A 1'!$AA102-('Team A 1'!M$2- 12.5)*'Team A 1'!$AC102</f>
        <v>-31.873391236824403</v>
      </c>
      <c r="N102" s="1">
        <f>'Team A 1'!N102-'Team A 1'!$AA102-('Team A 1'!N$2- 12.5)*'Team A 1'!$AC102</f>
        <v>14.373391236824403</v>
      </c>
      <c r="O102" s="1">
        <f>'Team A 1'!O102-'Team A 1'!$AA102-('Team A 1'!O$2- 12.5)*'Team A 1'!$AC102</f>
        <v>20.620173710473182</v>
      </c>
      <c r="P102" s="1">
        <f>'Team A 1'!P102-'Team A 1'!$AA102-('Team A 1'!P$2- 12.5)*'Team A 1'!$AC102</f>
        <v>16.866956184122046</v>
      </c>
      <c r="Q102" s="1">
        <f>'Team A 1'!Q102-'Team A 1'!$AA102-('Team A 1'!Q$2- 12.5)*'Team A 1'!$AC102</f>
        <v>-26.886261342229204</v>
      </c>
      <c r="R102" s="1">
        <f>'Team A 1'!R102-'Team A 1'!$AA102-('Team A 1'!R$2- 12.5)*'Team A 1'!$AC102</f>
        <v>-10.639478868580341</v>
      </c>
      <c r="S102" s="1">
        <f>'Team A 1'!S102-'Team A 1'!$AA102-('Team A 1'!S$2- 12.5)*'Team A 1'!$AC102</f>
        <v>15.60730360506841</v>
      </c>
      <c r="T102" s="1">
        <f>'Team A 1'!T102-'Team A 1'!$AA102-('Team A 1'!T$2- 12.5)*'Team A 1'!$AC102</f>
        <v>-18.145913921282727</v>
      </c>
      <c r="U102" s="1">
        <f>'Team A 1'!U102-'Team A 1'!$AA102-('Team A 1'!U$2- 12.5)*'Team A 1'!$AC102</f>
        <v>18.100868552366137</v>
      </c>
      <c r="V102" s="1">
        <f>'Team A 1'!V102-'Team A 1'!$AA102-('Team A 1'!V$2- 12.5)*'Team A 1'!$AC102</f>
        <v>4.3476510260147734</v>
      </c>
      <c r="W102" s="1">
        <f>'Team A 1'!W102-'Team A 1'!$AA102-('Team A 1'!W$2- 12.5)*'Team A 1'!$AC102</f>
        <v>-9.4055665003363629</v>
      </c>
      <c r="X102" s="1">
        <f>'Team A 1'!X102-'Team A 1'!$AA102-('Team A 1'!X$2- 12.5)*'Team A 1'!$AC102</f>
        <v>-13.158784026687499</v>
      </c>
      <c r="Y102" s="1">
        <f>'Team A 1'!Y102-'Team A 1'!$AA102-('Team A 1'!Y$2- 12.5)*'Team A 1'!$AC102</f>
        <v>13.087998446961137</v>
      </c>
      <c r="AB102" s="1">
        <f>STDEV(B102:Y102)</f>
        <v>24.294354007726195</v>
      </c>
      <c r="AD102" s="5" t="s">
        <v>47</v>
      </c>
      <c r="AE102" s="5">
        <v>8</v>
      </c>
      <c r="AF102" s="5" t="s">
        <v>45</v>
      </c>
      <c r="AG102" s="5">
        <v>1</v>
      </c>
      <c r="AH102" s="5" t="s">
        <v>46</v>
      </c>
      <c r="AI102" s="5">
        <v>6</v>
      </c>
      <c r="AJ102" s="5">
        <v>9</v>
      </c>
      <c r="AK102" s="5">
        <v>4</v>
      </c>
      <c r="AL102" s="5">
        <v>7</v>
      </c>
      <c r="AM102" s="5">
        <v>2</v>
      </c>
      <c r="AN102" s="5">
        <v>5</v>
      </c>
      <c r="AO102" s="5">
        <v>3</v>
      </c>
      <c r="AP102" s="5" t="s">
        <v>47</v>
      </c>
      <c r="AQ102" s="5">
        <v>8</v>
      </c>
      <c r="AR102" s="5">
        <v>1</v>
      </c>
      <c r="AS102" s="5" t="s">
        <v>45</v>
      </c>
      <c r="AT102" s="5" t="s">
        <v>46</v>
      </c>
      <c r="AU102" s="5">
        <v>9</v>
      </c>
      <c r="AV102" s="5">
        <v>6</v>
      </c>
      <c r="AW102" s="5">
        <v>7</v>
      </c>
      <c r="AX102" s="5">
        <v>4</v>
      </c>
      <c r="AY102" s="5">
        <v>5</v>
      </c>
      <c r="AZ102" s="5">
        <v>2</v>
      </c>
      <c r="BA102" s="5">
        <v>3</v>
      </c>
      <c r="BB102" s="5"/>
      <c r="BC102" s="1">
        <f ca="1">OFFSET(A102,0, 4) -0</f>
        <v>18.152348973985227</v>
      </c>
      <c r="BD102" s="1">
        <f ca="1">OFFSET(A102,0, 10) -0</f>
        <v>-4.3669561841220457</v>
      </c>
      <c r="BE102" s="1">
        <f ca="1">OFFSET(A102,0, 12) -0</f>
        <v>-31.873391236824403</v>
      </c>
      <c r="BF102" s="1">
        <f ca="1">OFFSET(A102,0, 8) -0</f>
        <v>-6.8605211314196595</v>
      </c>
      <c r="BG102" s="1">
        <f ca="1">OFFSET(A102,0, 11) -0</f>
        <v>21.879826289526818</v>
      </c>
      <c r="BH102" s="1">
        <f ca="1">OFFSET(A102,0, 6) -0</f>
        <v>-59.354086078717273</v>
      </c>
      <c r="BI102" s="1">
        <f ca="1">OFFSET(A102,0, 9) -0</f>
        <v>-20.613738657770796</v>
      </c>
      <c r="BJ102" s="1">
        <f ca="1">OFFSET(A102,0, 2) -0</f>
        <v>35.658784026687499</v>
      </c>
      <c r="BK102" s="1">
        <f ca="1">OFFSET(A102,0, 7) -0</f>
        <v>-23.10730360506841</v>
      </c>
      <c r="BL102" s="1">
        <f ca="1">OFFSET(A102,0, 3) -0</f>
        <v>11.905566500336363</v>
      </c>
      <c r="BM102" s="1">
        <f ca="1">OFFSET(A102,0, 5) -0</f>
        <v>-15.600868552366137</v>
      </c>
      <c r="BN102" s="1">
        <f ca="1">OFFSET(A102,0, 1) -0</f>
        <v>49.412001553038863</v>
      </c>
      <c r="BO102" s="1">
        <f ca="1">OFFSET(A102,0, 15) -0</f>
        <v>16.866956184122046</v>
      </c>
      <c r="BP102" s="1">
        <f ca="1">OFFSET(A102,0, 23) -0</f>
        <v>-13.158784026687499</v>
      </c>
      <c r="BQ102" s="1">
        <f ca="1">OFFSET(A102,0, 24) -0</f>
        <v>13.087998446961137</v>
      </c>
      <c r="BR102" s="1">
        <f ca="1">OFFSET(A102,0, 21) -0</f>
        <v>4.3476510260147734</v>
      </c>
      <c r="BS102" s="1">
        <f ca="1">OFFSET(A102,0, 22) -0</f>
        <v>-9.4055665003363629</v>
      </c>
      <c r="BT102" s="1">
        <f ca="1">OFFSET(A102,0, 19) -0</f>
        <v>-18.145913921282727</v>
      </c>
      <c r="BU102" s="1">
        <f ca="1">OFFSET(A102,0, 20) -0</f>
        <v>18.100868552366137</v>
      </c>
      <c r="BV102" s="1">
        <f ca="1">OFFSET(A102,0, 14) -0</f>
        <v>20.620173710473182</v>
      </c>
      <c r="BW102" s="1">
        <f ca="1">OFFSET(A102,0, 18) -0</f>
        <v>15.60730360506841</v>
      </c>
      <c r="BX102" s="1">
        <f ca="1">OFFSET(A102,0, 16) -0</f>
        <v>-26.886261342229204</v>
      </c>
      <c r="BY102" s="1">
        <f ca="1">OFFSET(A102,0, 17) -0</f>
        <v>-10.639478868580341</v>
      </c>
      <c r="BZ102" s="1">
        <f ca="1">OFFSET(A102,0, 13) -0</f>
        <v>14.373391236824403</v>
      </c>
      <c r="CB102" s="1">
        <f>COUNTIF(B102,"&lt;-69")</f>
        <v>0</v>
      </c>
      <c r="CC102" s="1">
        <f ca="1">COUNTIF(BC102:BN102,"&lt;-48")</f>
        <v>1</v>
      </c>
      <c r="CD102" s="1">
        <f ca="1">COUNTIF(BC102:BN102,"&gt;+48")</f>
        <v>1</v>
      </c>
      <c r="CE102" s="1">
        <f ca="1">COUNTIF(BO102:BZ102,"&lt;-48")</f>
        <v>0</v>
      </c>
      <c r="CF102" s="1">
        <f ca="1">COUNTIF(BO102:BZ102,"&gt;+48")</f>
        <v>0</v>
      </c>
    </row>
    <row r="103" spans="1:84">
      <c r="A103" s="1">
        <v>100</v>
      </c>
      <c r="B103" s="1">
        <f>'Team A 1'!B103-'Team A 1'!$AA103-('Team A 1'!B$2- 12.5)*'Team A 1'!$AC103</f>
        <v>-38.827562157607645</v>
      </c>
      <c r="C103" s="1">
        <f>'Team A 1'!C103-'Team A 1'!$AA103-('Team A 1'!C$2- 12.5)*'Team A 1'!$AC103</f>
        <v>27.302370783630067</v>
      </c>
      <c r="D103" s="1">
        <f>'Team A 1'!D103-'Team A 1'!$AA103-('Team A 1'!D$2- 12.5)*'Team A 1'!$AC103</f>
        <v>-16.567696275131993</v>
      </c>
      <c r="E103" s="1">
        <f>'Team A 1'!E103-'Team A 1'!$AA103-('Team A 1'!E$2- 12.5)*'Team A 1'!$AC103</f>
        <v>39.562236666105946</v>
      </c>
      <c r="F103" s="1">
        <f>'Team A 1'!F103-'Team A 1'!$AA103-('Team A 1'!F$2- 12.5)*'Team A 1'!$AC103</f>
        <v>-24.307830392656342</v>
      </c>
      <c r="G103" s="1">
        <f>'Team A 1'!G103-'Team A 1'!$AA103-('Team A 1'!G$2- 12.5)*'Team A 1'!$AC103</f>
        <v>-28.177897451418403</v>
      </c>
      <c r="H103" s="1">
        <f>'Team A 1'!H103-'Team A 1'!$AA103-('Team A 1'!H$2- 12.5)*'Team A 1'!$AC103</f>
        <v>-42.047964510180464</v>
      </c>
      <c r="I103" s="1">
        <f>'Team A 1'!I103-'Team A 1'!$AA103-('Team A 1'!I$2- 12.5)*'Team A 1'!$AC103</f>
        <v>-25.918031568942638</v>
      </c>
      <c r="J103" s="1">
        <f>'Team A 1'!J103-'Team A 1'!$AA103-('Team A 1'!J$2- 12.5)*'Team A 1'!$AC103</f>
        <v>-29.788098627704699</v>
      </c>
      <c r="K103" s="1">
        <f>'Team A 1'!K103-'Team A 1'!$AA103-('Team A 1'!K$2- 12.5)*'Team A 1'!$AC103</f>
        <v>36.341834313533127</v>
      </c>
      <c r="L103" s="1">
        <f>'Team A 1'!L103-'Team A 1'!$AA103-('Team A 1'!L$2- 12.5)*'Team A 1'!$AC103</f>
        <v>2.4717672547710663</v>
      </c>
      <c r="M103" s="1">
        <f>'Team A 1'!M103-'Team A 1'!$AA103-('Team A 1'!M$2- 12.5)*'Team A 1'!$AC103</f>
        <v>8.6017001960089203</v>
      </c>
      <c r="N103" s="1">
        <f>'Team A 1'!N103-'Team A 1'!$AA103-('Team A 1'!N$2- 12.5)*'Team A 1'!$AC103</f>
        <v>-5.2683668627531972</v>
      </c>
      <c r="O103" s="1">
        <f>'Team A 1'!O103-'Team A 1'!$AA103-('Team A 1'!O$2- 12.5)*'Team A 1'!$AC103</f>
        <v>10.861566078484657</v>
      </c>
      <c r="P103" s="1">
        <f>'Team A 1'!P103-'Team A 1'!$AA103-('Team A 1'!P$2- 12.5)*'Team A 1'!$AC103</f>
        <v>6.9914990197225961</v>
      </c>
      <c r="Q103" s="1">
        <f>'Team A 1'!Q103-'Team A 1'!$AA103-('Team A 1'!Q$2- 12.5)*'Team A 1'!$AC103</f>
        <v>-26.878568039039578</v>
      </c>
      <c r="R103" s="1">
        <f>'Team A 1'!R103-'Team A 1'!$AA103-('Team A 1'!R$2- 12.5)*'Team A 1'!$AC103</f>
        <v>-10.748635097801639</v>
      </c>
      <c r="S103" s="1">
        <f>'Team A 1'!S103-'Team A 1'!$AA103-('Team A 1'!S$2- 12.5)*'Team A 1'!$AC103</f>
        <v>5.3812978434361867</v>
      </c>
      <c r="T103" s="1">
        <f>'Team A 1'!T103-'Team A 1'!$AA103-('Team A 1'!T$2- 12.5)*'Team A 1'!$AC103</f>
        <v>11.511230784674126</v>
      </c>
      <c r="U103" s="1">
        <f>'Team A 1'!U103-'Team A 1'!$AA103-('Team A 1'!U$2- 12.5)*'Team A 1'!$AC103</f>
        <v>27.641163725912065</v>
      </c>
      <c r="V103" s="1">
        <f>'Team A 1'!V103-'Team A 1'!$AA103-('Team A 1'!V$2- 12.5)*'Team A 1'!$AC103</f>
        <v>3.7710966671497772</v>
      </c>
      <c r="W103" s="1">
        <f>'Team A 1'!W103-'Team A 1'!$AA103-('Team A 1'!W$2- 12.5)*'Team A 1'!$AC103</f>
        <v>9.9010296083877165</v>
      </c>
      <c r="X103" s="1">
        <f>'Team A 1'!X103-'Team A 1'!$AA103-('Team A 1'!X$2- 12.5)*'Team A 1'!$AC103</f>
        <v>16.030962549625656</v>
      </c>
      <c r="Y103" s="1">
        <f>'Team A 1'!Y103-'Team A 1'!$AA103-('Team A 1'!Y$2- 12.5)*'Team A 1'!$AC103</f>
        <v>42.160895490863368</v>
      </c>
      <c r="AB103" s="1">
        <f>STDEV(B103:Y103)</f>
        <v>24.943713234367923</v>
      </c>
      <c r="AD103" s="5">
        <v>8</v>
      </c>
      <c r="AE103" s="5" t="s">
        <v>47</v>
      </c>
      <c r="AF103" s="5" t="s">
        <v>45</v>
      </c>
      <c r="AG103" s="5">
        <v>1</v>
      </c>
      <c r="AH103" s="5">
        <v>9</v>
      </c>
      <c r="AI103" s="5" t="s">
        <v>46</v>
      </c>
      <c r="AJ103" s="5">
        <v>7</v>
      </c>
      <c r="AK103" s="5">
        <v>6</v>
      </c>
      <c r="AL103" s="5">
        <v>5</v>
      </c>
      <c r="AM103" s="5">
        <v>4</v>
      </c>
      <c r="AN103" s="5">
        <v>3</v>
      </c>
      <c r="AO103" s="5">
        <v>2</v>
      </c>
      <c r="AP103" s="5" t="s">
        <v>47</v>
      </c>
      <c r="AQ103" s="5">
        <v>8</v>
      </c>
      <c r="AR103" s="5" t="s">
        <v>45</v>
      </c>
      <c r="AS103" s="5">
        <v>9</v>
      </c>
      <c r="AT103" s="5">
        <v>1</v>
      </c>
      <c r="AU103" s="5" t="s">
        <v>46</v>
      </c>
      <c r="AV103" s="5">
        <v>6</v>
      </c>
      <c r="AW103" s="5">
        <v>7</v>
      </c>
      <c r="AX103" s="5">
        <v>4</v>
      </c>
      <c r="AY103" s="5">
        <v>5</v>
      </c>
      <c r="AZ103" s="5">
        <v>2</v>
      </c>
      <c r="BA103" s="5">
        <v>3</v>
      </c>
      <c r="BB103" s="5"/>
      <c r="BC103" s="1">
        <f ca="1">OFFSET(A103,0, 4) -0</f>
        <v>39.562236666105946</v>
      </c>
      <c r="BD103" s="1">
        <f ca="1">OFFSET(A103,0, 12) -0</f>
        <v>8.6017001960089203</v>
      </c>
      <c r="BE103" s="1">
        <f ca="1">OFFSET(A103,0, 11) -0</f>
        <v>2.4717672547710663</v>
      </c>
      <c r="BF103" s="1">
        <f ca="1">OFFSET(A103,0, 10) -0</f>
        <v>36.341834313533127</v>
      </c>
      <c r="BG103" s="1">
        <f ca="1">OFFSET(A103,0, 9) -0</f>
        <v>-29.788098627704699</v>
      </c>
      <c r="BH103" s="1">
        <f ca="1">OFFSET(A103,0, 8) -0</f>
        <v>-25.918031568942638</v>
      </c>
      <c r="BI103" s="1">
        <f ca="1">OFFSET(A103,0, 7) -0</f>
        <v>-42.047964510180464</v>
      </c>
      <c r="BJ103" s="1">
        <f ca="1">OFFSET(A103,0, 1) -0</f>
        <v>-38.827562157607645</v>
      </c>
      <c r="BK103" s="1">
        <f ca="1">OFFSET(A103,0, 5) -0</f>
        <v>-24.307830392656342</v>
      </c>
      <c r="BL103" s="1">
        <f ca="1">OFFSET(A103,0, 3) -0</f>
        <v>-16.567696275131993</v>
      </c>
      <c r="BM103" s="1">
        <f ca="1">OFFSET(A103,0, 6) -0</f>
        <v>-28.177897451418403</v>
      </c>
      <c r="BN103" s="1">
        <f ca="1">OFFSET(A103,0, 2) -0</f>
        <v>27.302370783630067</v>
      </c>
      <c r="BO103" s="1">
        <f ca="1">OFFSET(A103,0, 17) -0</f>
        <v>-10.748635097801639</v>
      </c>
      <c r="BP103" s="1">
        <f ca="1">OFFSET(A103,0, 23) -0</f>
        <v>16.030962549625656</v>
      </c>
      <c r="BQ103" s="1">
        <f ca="1">OFFSET(A103,0, 24) -0</f>
        <v>42.160895490863368</v>
      </c>
      <c r="BR103" s="1">
        <f ca="1">OFFSET(A103,0, 21) -0</f>
        <v>3.7710966671497772</v>
      </c>
      <c r="BS103" s="1">
        <f ca="1">OFFSET(A103,0, 22) -0</f>
        <v>9.9010296083877165</v>
      </c>
      <c r="BT103" s="1">
        <f ca="1">OFFSET(A103,0, 19) -0</f>
        <v>11.511230784674126</v>
      </c>
      <c r="BU103" s="1">
        <f ca="1">OFFSET(A103,0, 20) -0</f>
        <v>27.641163725912065</v>
      </c>
      <c r="BV103" s="1">
        <f ca="1">OFFSET(A103,0, 14) -0</f>
        <v>10.861566078484657</v>
      </c>
      <c r="BW103" s="1">
        <f ca="1">OFFSET(A103,0, 16) -0</f>
        <v>-26.878568039039578</v>
      </c>
      <c r="BX103" s="1">
        <f ca="1">OFFSET(A103,0, 15) -0</f>
        <v>6.9914990197225961</v>
      </c>
      <c r="BY103" s="1">
        <f ca="1">OFFSET(A103,0, 18) -0</f>
        <v>5.3812978434361867</v>
      </c>
      <c r="BZ103" s="1">
        <f ca="1">OFFSET(A103,0, 13) -0</f>
        <v>-5.2683668627531972</v>
      </c>
      <c r="CB103" s="1">
        <f>COUNTIF(B103,"&lt;-69")</f>
        <v>0</v>
      </c>
      <c r="CC103" s="1">
        <f ca="1">COUNTIF(BC103:BN103,"&lt;-48")</f>
        <v>0</v>
      </c>
      <c r="CD103" s="1">
        <f ca="1">COUNTIF(BC103:BN103,"&gt;+48")</f>
        <v>0</v>
      </c>
      <c r="CE103" s="1">
        <f ca="1">COUNTIF(BO103:BZ103,"&lt;-48")</f>
        <v>0</v>
      </c>
      <c r="CF103" s="1">
        <f ca="1">COUNTIF(BO103:BZ103,"&gt;+48")</f>
        <v>0</v>
      </c>
    </row>
    <row r="104" spans="1:84">
      <c r="A104" s="1">
        <v>101</v>
      </c>
      <c r="B104" s="1">
        <f>'Team A 1'!B104-'Team A 1'!$AA104-('Team A 1'!B$2- 12.5)*'Team A 1'!$AC104</f>
        <v>-27.96149633554478</v>
      </c>
      <c r="C104" s="1">
        <f>'Team A 1'!C104-'Team A 1'!$AA104-('Team A 1'!C$2- 12.5)*'Team A 1'!$AC104</f>
        <v>-11.798177813616803</v>
      </c>
      <c r="D104" s="1">
        <f>'Team A 1'!D104-'Team A 1'!$AA104-('Team A 1'!D$2- 12.5)*'Team A 1'!$AC104</f>
        <v>-45.634859291688826</v>
      </c>
      <c r="E104" s="1">
        <f>'Team A 1'!E104-'Team A 1'!$AA104-('Team A 1'!E$2- 12.5)*'Team A 1'!$AC104</f>
        <v>50.528459230239378</v>
      </c>
      <c r="F104" s="1">
        <f>'Team A 1'!F104-'Team A 1'!$AA104-('Team A 1'!F$2- 12.5)*'Team A 1'!$AC104</f>
        <v>-23.308222247832646</v>
      </c>
      <c r="G104" s="1">
        <f>'Team A 1'!G104-'Team A 1'!$AA104-('Team A 1'!G$2- 12.5)*'Team A 1'!$AC104</f>
        <v>-17.144903725904442</v>
      </c>
      <c r="H104" s="1">
        <f>'Team A 1'!H104-'Team A 1'!$AA104-('Team A 1'!H$2- 12.5)*'Team A 1'!$AC104</f>
        <v>-10.981585203976465</v>
      </c>
      <c r="I104" s="1">
        <f>'Team A 1'!I104-'Team A 1'!$AA104-('Team A 1'!I$2- 12.5)*'Team A 1'!$AC104</f>
        <v>35.181733317951625</v>
      </c>
      <c r="J104" s="1">
        <f>'Team A 1'!J104-'Team A 1'!$AA104-('Team A 1'!J$2- 12.5)*'Team A 1'!$AC104</f>
        <v>51.345051839879602</v>
      </c>
      <c r="K104" s="1">
        <f>'Team A 1'!K104-'Team A 1'!$AA104-('Team A 1'!K$2- 12.5)*'Team A 1'!$AC104</f>
        <v>47.508370361807692</v>
      </c>
      <c r="L104" s="1">
        <f>'Team A 1'!L104-'Team A 1'!$AA104-('Team A 1'!L$2- 12.5)*'Team A 1'!$AC104</f>
        <v>-6.3283111162642172</v>
      </c>
      <c r="M104" s="1">
        <f>'Team A 1'!M104-'Team A 1'!$AA104-('Team A 1'!M$2- 12.5)*'Team A 1'!$AC104</f>
        <v>-0.16499259433616942</v>
      </c>
      <c r="N104" s="1">
        <f>'Team A 1'!N104-'Team A 1'!$AA104-('Team A 1'!N$2- 12.5)*'Team A 1'!$AC104</f>
        <v>-14.001674072408107</v>
      </c>
      <c r="O104" s="1">
        <f>'Team A 1'!O104-'Team A 1'!$AA104-('Team A 1'!O$2- 12.5)*'Team A 1'!$AC104</f>
        <v>-27.83835555048006</v>
      </c>
      <c r="P104" s="1">
        <f>'Team A 1'!P104-'Team A 1'!$AA104-('Team A 1'!P$2- 12.5)*'Team A 1'!$AC104</f>
        <v>-31.675037028551969</v>
      </c>
      <c r="Q104" s="1">
        <f>'Team A 1'!Q104-'Team A 1'!$AA104-('Team A 1'!Q$2- 12.5)*'Team A 1'!$AC104</f>
        <v>-25.511718506623879</v>
      </c>
      <c r="R104" s="1">
        <f>'Team A 1'!R104-'Team A 1'!$AA104-('Team A 1'!R$2- 12.5)*'Team A 1'!$AC104</f>
        <v>0.65160001530409772</v>
      </c>
      <c r="S104" s="1">
        <f>'Team A 1'!S104-'Team A 1'!$AA104-('Team A 1'!S$2- 12.5)*'Team A 1'!$AC104</f>
        <v>-23.185081462767812</v>
      </c>
      <c r="T104" s="1">
        <f>'Team A 1'!T104-'Team A 1'!$AA104-('Team A 1'!T$2- 12.5)*'Team A 1'!$AC104</f>
        <v>-7.0217629408398352</v>
      </c>
      <c r="U104" s="1">
        <f>'Team A 1'!U104-'Team A 1'!$AA104-('Team A 1'!U$2- 12.5)*'Team A 1'!$AC104</f>
        <v>-30.858444418911631</v>
      </c>
      <c r="V104" s="1">
        <f>'Team A 1'!V104-'Team A 1'!$AA104-('Team A 1'!V$2- 12.5)*'Team A 1'!$AC104</f>
        <v>25.304874103016346</v>
      </c>
      <c r="W104" s="1">
        <f>'Team A 1'!W104-'Team A 1'!$AA104-('Team A 1'!W$2- 12.5)*'Team A 1'!$AC104</f>
        <v>11.46819262494455</v>
      </c>
      <c r="X104" s="1">
        <f>'Team A 1'!X104-'Team A 1'!$AA104-('Team A 1'!X$2- 12.5)*'Team A 1'!$AC104</f>
        <v>27.631511146872526</v>
      </c>
      <c r="Y104" s="1">
        <f>'Team A 1'!Y104-'Team A 1'!$AA104-('Team A 1'!Y$2- 12.5)*'Team A 1'!$AC104</f>
        <v>53.794829668800503</v>
      </c>
      <c r="AB104" s="1">
        <f>STDEV(B104:Y104)</f>
        <v>30.417136848127392</v>
      </c>
      <c r="AD104" s="5">
        <v>8</v>
      </c>
      <c r="AE104" s="5" t="s">
        <v>47</v>
      </c>
      <c r="AF104" s="5">
        <v>9</v>
      </c>
      <c r="AG104" s="5" t="s">
        <v>45</v>
      </c>
      <c r="AH104" s="5" t="s">
        <v>46</v>
      </c>
      <c r="AI104" s="5">
        <v>1</v>
      </c>
      <c r="AJ104" s="5">
        <v>7</v>
      </c>
      <c r="AK104" s="5">
        <v>6</v>
      </c>
      <c r="AL104" s="5">
        <v>5</v>
      </c>
      <c r="AM104" s="5">
        <v>4</v>
      </c>
      <c r="AN104" s="5">
        <v>3</v>
      </c>
      <c r="AO104" s="5">
        <v>2</v>
      </c>
      <c r="AP104" s="5">
        <v>8</v>
      </c>
      <c r="AQ104" s="5">
        <v>9</v>
      </c>
      <c r="AR104" s="5" t="s">
        <v>47</v>
      </c>
      <c r="AS104" s="5" t="s">
        <v>45</v>
      </c>
      <c r="AT104" s="5">
        <v>1</v>
      </c>
      <c r="AU104" s="5" t="s">
        <v>46</v>
      </c>
      <c r="AV104" s="5">
        <v>7</v>
      </c>
      <c r="AW104" s="5">
        <v>5</v>
      </c>
      <c r="AX104" s="5">
        <v>6</v>
      </c>
      <c r="AY104" s="5">
        <v>3</v>
      </c>
      <c r="AZ104" s="5">
        <v>4</v>
      </c>
      <c r="BA104" s="5">
        <v>2</v>
      </c>
      <c r="BB104" s="5"/>
      <c r="BC104" s="1">
        <f ca="1">OFFSET(A104,0, 6) -0</f>
        <v>-17.144903725904442</v>
      </c>
      <c r="BD104" s="1">
        <f ca="1">OFFSET(A104,0, 12) -0</f>
        <v>-0.16499259433616942</v>
      </c>
      <c r="BE104" s="1">
        <f ca="1">OFFSET(A104,0, 11) -0</f>
        <v>-6.3283111162642172</v>
      </c>
      <c r="BF104" s="1">
        <f ca="1">OFFSET(A104,0, 10) -0</f>
        <v>47.508370361807692</v>
      </c>
      <c r="BG104" s="1">
        <f ca="1">OFFSET(A104,0, 9) -0</f>
        <v>51.345051839879602</v>
      </c>
      <c r="BH104" s="1">
        <f ca="1">OFFSET(A104,0, 8) -0</f>
        <v>35.181733317951625</v>
      </c>
      <c r="BI104" s="1">
        <f ca="1">OFFSET(A104,0, 7) -0</f>
        <v>-10.981585203976465</v>
      </c>
      <c r="BJ104" s="1">
        <f ca="1">OFFSET(A104,0, 1) -0</f>
        <v>-27.96149633554478</v>
      </c>
      <c r="BK104" s="1">
        <f ca="1">OFFSET(A104,0, 3) -0</f>
        <v>-45.634859291688826</v>
      </c>
      <c r="BL104" s="1">
        <f ca="1">OFFSET(A104,0, 4) -0</f>
        <v>50.528459230239378</v>
      </c>
      <c r="BM104" s="1">
        <f ca="1">OFFSET(A104,0, 5) -0</f>
        <v>-23.308222247832646</v>
      </c>
      <c r="BN104" s="1">
        <f ca="1">OFFSET(A104,0, 2) -0</f>
        <v>-11.798177813616803</v>
      </c>
      <c r="BO104" s="1">
        <f ca="1">OFFSET(A104,0, 17) -0</f>
        <v>0.65160001530409772</v>
      </c>
      <c r="BP104" s="1">
        <f ca="1">OFFSET(A104,0, 24) -0</f>
        <v>53.794829668800503</v>
      </c>
      <c r="BQ104" s="1">
        <f ca="1">OFFSET(A104,0, 22) -0</f>
        <v>11.46819262494455</v>
      </c>
      <c r="BR104" s="1">
        <f ca="1">OFFSET(A104,0, 23) -0</f>
        <v>27.631511146872526</v>
      </c>
      <c r="BS104" s="1">
        <f ca="1">OFFSET(A104,0, 20) -0</f>
        <v>-30.858444418911631</v>
      </c>
      <c r="BT104" s="1">
        <f ca="1">OFFSET(A104,0, 21) -0</f>
        <v>25.304874103016346</v>
      </c>
      <c r="BU104" s="1">
        <f ca="1">OFFSET(A104,0, 19) -0</f>
        <v>-7.0217629408398352</v>
      </c>
      <c r="BV104" s="1">
        <f ca="1">OFFSET(A104,0, 13) -0</f>
        <v>-14.001674072408107</v>
      </c>
      <c r="BW104" s="1">
        <f ca="1">OFFSET(A104,0, 14) -0</f>
        <v>-27.83835555048006</v>
      </c>
      <c r="BX104" s="1">
        <f ca="1">OFFSET(A104,0, 16) -0</f>
        <v>-25.511718506623879</v>
      </c>
      <c r="BY104" s="1">
        <f ca="1">OFFSET(A104,0, 18) -0</f>
        <v>-23.185081462767812</v>
      </c>
      <c r="BZ104" s="1">
        <f ca="1">OFFSET(A104,0, 15) -0</f>
        <v>-31.675037028551969</v>
      </c>
      <c r="CB104" s="1">
        <f>COUNTIF(B104,"&lt;-69")</f>
        <v>0</v>
      </c>
      <c r="CC104" s="1">
        <f ca="1">COUNTIF(BC104:BN104,"&lt;-48")</f>
        <v>0</v>
      </c>
      <c r="CD104" s="1">
        <f ca="1">COUNTIF(BC104:BN104,"&gt;+48")</f>
        <v>2</v>
      </c>
      <c r="CE104" s="1">
        <f ca="1">COUNTIF(BO104:BZ104,"&lt;-48")</f>
        <v>0</v>
      </c>
      <c r="CF104" s="1">
        <f ca="1">COUNTIF(BO104:BZ104,"&gt;+48")</f>
        <v>1</v>
      </c>
    </row>
    <row r="105" spans="1:84">
      <c r="A105" s="1">
        <v>102</v>
      </c>
      <c r="B105" s="1">
        <f>'Team A 1'!B105-'Team A 1'!$AA105-('Team A 1'!B$2- 12.5)*'Team A 1'!$AC105</f>
        <v>-5.4554147932321939E-3</v>
      </c>
      <c r="C105" s="1">
        <f>'Team A 1'!C105-'Team A 1'!$AA105-('Team A 1'!C$2- 12.5)*'Team A 1'!$AC105</f>
        <v>6.5167580995366734</v>
      </c>
      <c r="D105" s="1">
        <f>'Team A 1'!D105-'Team A 1'!$AA105-('Team A 1'!D$2- 12.5)*'Team A 1'!$AC105</f>
        <v>-46.961028386133648</v>
      </c>
      <c r="E105" s="1">
        <f>'Team A 1'!E105-'Team A 1'!$AA105-('Team A 1'!E$2- 12.5)*'Team A 1'!$AC105</f>
        <v>9.5611851281962572</v>
      </c>
      <c r="F105" s="1">
        <f>'Team A 1'!F105-'Team A 1'!$AA105-('Team A 1'!F$2- 12.5)*'Team A 1'!$AC105</f>
        <v>-53.916601357473837</v>
      </c>
      <c r="G105" s="1">
        <f>'Team A 1'!G105-'Team A 1'!$AA105-('Team A 1'!G$2- 12.5)*'Team A 1'!$AC105</f>
        <v>2.6056121568560684</v>
      </c>
      <c r="H105" s="1">
        <f>'Team A 1'!H105-'Team A 1'!$AA105-('Team A 1'!H$2- 12.5)*'Team A 1'!$AC105</f>
        <v>9.1278256711857466</v>
      </c>
      <c r="I105" s="1">
        <f>'Team A 1'!I105-'Team A 1'!$AA105-('Team A 1'!I$2- 12.5)*'Team A 1'!$AC105</f>
        <v>5.6500391855156522</v>
      </c>
      <c r="J105" s="1">
        <f>'Team A 1'!J105-'Team A 1'!$AA105-('Team A 1'!J$2- 12.5)*'Team A 1'!$AC105</f>
        <v>-37.827747300154442</v>
      </c>
      <c r="K105" s="1">
        <f>'Team A 1'!K105-'Team A 1'!$AA105-('Team A 1'!K$2- 12.5)*'Team A 1'!$AC105</f>
        <v>-1.3055337858246503</v>
      </c>
      <c r="L105" s="1">
        <f>'Team A 1'!L105-'Team A 1'!$AA105-('Team A 1'!L$2- 12.5)*'Team A 1'!$AC105</f>
        <v>15.216679728505255</v>
      </c>
      <c r="M105" s="1">
        <f>'Team A 1'!M105-'Team A 1'!$AA105-('Team A 1'!M$2- 12.5)*'Team A 1'!$AC105</f>
        <v>41.738893242835076</v>
      </c>
      <c r="N105" s="1">
        <f>'Team A 1'!N105-'Team A 1'!$AA105-('Team A 1'!N$2- 12.5)*'Team A 1'!$AC105</f>
        <v>-11.738893242835076</v>
      </c>
      <c r="O105" s="1">
        <f>'Team A 1'!O105-'Team A 1'!$AA105-('Team A 1'!O$2- 12.5)*'Team A 1'!$AC105</f>
        <v>-15.216679728505255</v>
      </c>
      <c r="P105" s="1">
        <f>'Team A 1'!P105-'Team A 1'!$AA105-('Team A 1'!P$2- 12.5)*'Team A 1'!$AC105</f>
        <v>-8.6944662141753497</v>
      </c>
      <c r="Q105" s="1">
        <f>'Team A 1'!Q105-'Team A 1'!$AA105-('Team A 1'!Q$2- 12.5)*'Team A 1'!$AC105</f>
        <v>-42.172252699845558</v>
      </c>
      <c r="R105" s="1">
        <f>'Team A 1'!R105-'Team A 1'!$AA105-('Team A 1'!R$2- 12.5)*'Team A 1'!$AC105</f>
        <v>-35.650039185515652</v>
      </c>
      <c r="S105" s="1">
        <f>'Team A 1'!S105-'Team A 1'!$AA105-('Team A 1'!S$2- 12.5)*'Team A 1'!$AC105</f>
        <v>-19.127825671185747</v>
      </c>
      <c r="T105" s="1">
        <f>'Team A 1'!T105-'Team A 1'!$AA105-('Team A 1'!T$2- 12.5)*'Team A 1'!$AC105</f>
        <v>37.394387843143932</v>
      </c>
      <c r="U105" s="1">
        <f>'Team A 1'!U105-'Team A 1'!$AA105-('Team A 1'!U$2- 12.5)*'Team A 1'!$AC105</f>
        <v>63.916601357473837</v>
      </c>
      <c r="V105" s="1">
        <f>'Team A 1'!V105-'Team A 1'!$AA105-('Team A 1'!V$2- 12.5)*'Team A 1'!$AC105</f>
        <v>-9.5611851281962572</v>
      </c>
      <c r="W105" s="1">
        <f>'Team A 1'!W105-'Team A 1'!$AA105-('Team A 1'!W$2- 12.5)*'Team A 1'!$AC105</f>
        <v>-13.038971613866352</v>
      </c>
      <c r="X105" s="1">
        <f>'Team A 1'!X105-'Team A 1'!$AA105-('Team A 1'!X$2- 12.5)*'Team A 1'!$AC105</f>
        <v>43.483241900463327</v>
      </c>
      <c r="Y105" s="1">
        <f>'Team A 1'!Y105-'Team A 1'!$AA105-('Team A 1'!Y$2- 12.5)*'Team A 1'!$AC105</f>
        <v>60.005455414793232</v>
      </c>
      <c r="AB105" s="1">
        <f>STDEV(B105:Y105)</f>
        <v>32.216231484865858</v>
      </c>
      <c r="AD105" s="5">
        <v>9</v>
      </c>
      <c r="AE105" s="5">
        <v>8</v>
      </c>
      <c r="AF105" s="5" t="s">
        <v>45</v>
      </c>
      <c r="AG105" s="5" t="s">
        <v>47</v>
      </c>
      <c r="AH105" s="5" t="s">
        <v>46</v>
      </c>
      <c r="AI105" s="5">
        <v>1</v>
      </c>
      <c r="AJ105" s="5">
        <v>5</v>
      </c>
      <c r="AK105" s="5">
        <v>7</v>
      </c>
      <c r="AL105" s="5">
        <v>3</v>
      </c>
      <c r="AM105" s="5">
        <v>6</v>
      </c>
      <c r="AN105" s="5">
        <v>2</v>
      </c>
      <c r="AO105" s="5">
        <v>4</v>
      </c>
      <c r="AP105" s="5">
        <v>8</v>
      </c>
      <c r="AQ105" s="5">
        <v>9</v>
      </c>
      <c r="AR105" s="5" t="s">
        <v>47</v>
      </c>
      <c r="AS105" s="5" t="s">
        <v>45</v>
      </c>
      <c r="AT105" s="5" t="s">
        <v>46</v>
      </c>
      <c r="AU105" s="5">
        <v>5</v>
      </c>
      <c r="AV105" s="5">
        <v>1</v>
      </c>
      <c r="AW105" s="5">
        <v>7</v>
      </c>
      <c r="AX105" s="5">
        <v>6</v>
      </c>
      <c r="AY105" s="5">
        <v>3</v>
      </c>
      <c r="AZ105" s="5">
        <v>4</v>
      </c>
      <c r="BA105" s="5">
        <v>2</v>
      </c>
      <c r="BB105" s="5"/>
      <c r="BC105" s="1">
        <f ca="1">OFFSET(A105,0, 6) -0</f>
        <v>2.6056121568560684</v>
      </c>
      <c r="BD105" s="1">
        <f ca="1">OFFSET(A105,0, 11) -0</f>
        <v>15.216679728505255</v>
      </c>
      <c r="BE105" s="1">
        <f ca="1">OFFSET(A105,0, 9) -0</f>
        <v>-37.827747300154442</v>
      </c>
      <c r="BF105" s="1">
        <f ca="1">OFFSET(A105,0, 12) -0</f>
        <v>41.738893242835076</v>
      </c>
      <c r="BG105" s="1">
        <f ca="1">OFFSET(A105,0, 7) -0</f>
        <v>9.1278256711857466</v>
      </c>
      <c r="BH105" s="1">
        <f ca="1">OFFSET(A105,0, 10) -0</f>
        <v>-1.3055337858246503</v>
      </c>
      <c r="BI105" s="1">
        <f ca="1">OFFSET(A105,0, 8) -0</f>
        <v>5.6500391855156522</v>
      </c>
      <c r="BJ105" s="1">
        <f ca="1">OFFSET(A105,0, 2) -0</f>
        <v>6.5167580995366734</v>
      </c>
      <c r="BK105" s="1">
        <f ca="1">OFFSET(A105,0, 1) -0</f>
        <v>-5.4554147932321939E-3</v>
      </c>
      <c r="BL105" s="1">
        <f ca="1">OFFSET(A105,0, 3) -0</f>
        <v>-46.961028386133648</v>
      </c>
      <c r="BM105" s="1">
        <f ca="1">OFFSET(A105,0, 5) -0</f>
        <v>-53.916601357473837</v>
      </c>
      <c r="BN105" s="1">
        <f ca="1">OFFSET(A105,0, 4) -0</f>
        <v>9.5611851281962572</v>
      </c>
      <c r="BO105" s="1">
        <f ca="1">OFFSET(A105,0, 19) -0</f>
        <v>37.394387843143932</v>
      </c>
      <c r="BP105" s="1">
        <f ca="1">OFFSET(A105,0, 24) -0</f>
        <v>60.005455414793232</v>
      </c>
      <c r="BQ105" s="1">
        <f ca="1">OFFSET(A105,0, 22) -0</f>
        <v>-13.038971613866352</v>
      </c>
      <c r="BR105" s="1">
        <f ca="1">OFFSET(A105,0, 23) -0</f>
        <v>43.483241900463327</v>
      </c>
      <c r="BS105" s="1">
        <f ca="1">OFFSET(A105,0, 18) -0</f>
        <v>-19.127825671185747</v>
      </c>
      <c r="BT105" s="1">
        <f ca="1">OFFSET(A105,0, 21) -0</f>
        <v>-9.5611851281962572</v>
      </c>
      <c r="BU105" s="1">
        <f ca="1">OFFSET(A105,0, 20) -0</f>
        <v>63.916601357473837</v>
      </c>
      <c r="BV105" s="1">
        <f ca="1">OFFSET(A105,0, 13) -0</f>
        <v>-11.738893242835076</v>
      </c>
      <c r="BW105" s="1">
        <f ca="1">OFFSET(A105,0, 14) -0</f>
        <v>-15.216679728505255</v>
      </c>
      <c r="BX105" s="1">
        <f ca="1">OFFSET(A105,0, 16) -0</f>
        <v>-42.172252699845558</v>
      </c>
      <c r="BY105" s="1">
        <f ca="1">OFFSET(A105,0, 17) -0</f>
        <v>-35.650039185515652</v>
      </c>
      <c r="BZ105" s="1">
        <f ca="1">OFFSET(A105,0, 15) -0</f>
        <v>-8.6944662141753497</v>
      </c>
      <c r="CB105" s="1">
        <f>COUNTIF(B105,"&lt;-68")</f>
        <v>0</v>
      </c>
      <c r="CC105" s="1">
        <f ca="1">COUNTIF(BC105:BN105,"&lt;-48")</f>
        <v>1</v>
      </c>
      <c r="CD105" s="1">
        <f ca="1">COUNTIF(BC105:BN105,"&gt;+48")</f>
        <v>0</v>
      </c>
      <c r="CE105" s="1">
        <f ca="1">COUNTIF(BO105:BZ105,"&lt;-48")</f>
        <v>0</v>
      </c>
      <c r="CF105" s="1">
        <f ca="1">COUNTIF(BO105:BZ105,"&gt;+48")</f>
        <v>2</v>
      </c>
    </row>
    <row r="106" spans="1:84">
      <c r="A106" s="1">
        <v>103</v>
      </c>
      <c r="B106" s="1">
        <f>'Team A 1'!B106-'Team A 1'!$AA106-('Team A 1'!B$2- 12.5)*'Team A 1'!$AC106</f>
        <v>-49.303052036498229</v>
      </c>
      <c r="C106" s="1">
        <f>'Team A 1'!C106-'Team A 1'!$AA106-('Team A 1'!C$2- 12.5)*'Team A 1'!$AC106</f>
        <v>-22.914380844922107</v>
      </c>
      <c r="D106" s="1">
        <f>'Team A 1'!D106-'Team A 1'!$AA106-('Team A 1'!D$2- 12.5)*'Team A 1'!$AC106</f>
        <v>-46.525709653345757</v>
      </c>
      <c r="E106" s="1">
        <f>'Team A 1'!E106-'Team A 1'!$AA106-('Team A 1'!E$2- 12.5)*'Team A 1'!$AC106</f>
        <v>19.862961538230365</v>
      </c>
      <c r="F106" s="1">
        <f>'Team A 1'!F106-'Team A 1'!$AA106-('Team A 1'!F$2- 12.5)*'Team A 1'!$AC106</f>
        <v>16.251632729806488</v>
      </c>
      <c r="G106" s="1">
        <f>'Team A 1'!G106-'Team A 1'!$AA106-('Team A 1'!G$2- 12.5)*'Team A 1'!$AC106</f>
        <v>-17.35969607861739</v>
      </c>
      <c r="H106" s="1">
        <f>'Team A 1'!H106-'Team A 1'!$AA106-('Team A 1'!H$2- 12.5)*'Team A 1'!$AC106</f>
        <v>9.0289751129589604</v>
      </c>
      <c r="I106" s="1">
        <f>'Team A 1'!I106-'Team A 1'!$AA106-('Team A 1'!I$2- 12.5)*'Team A 1'!$AC106</f>
        <v>25.417646304535083</v>
      </c>
      <c r="J106" s="1">
        <f>'Team A 1'!J106-'Team A 1'!$AA106-('Team A 1'!J$2- 12.5)*'Team A 1'!$AC106</f>
        <v>21.806317496111205</v>
      </c>
      <c r="K106" s="1">
        <f>'Team A 1'!K106-'Team A 1'!$AA106-('Team A 1'!K$2- 12.5)*'Team A 1'!$AC106</f>
        <v>18.194988687687442</v>
      </c>
      <c r="L106" s="1">
        <f>'Team A 1'!L106-'Team A 1'!$AA106-('Team A 1'!L$2- 12.5)*'Team A 1'!$AC106</f>
        <v>4.5836598792635641</v>
      </c>
      <c r="M106" s="1">
        <f>'Team A 1'!M106-'Team A 1'!$AA106-('Team A 1'!M$2- 12.5)*'Team A 1'!$AC106</f>
        <v>10.972331070839772</v>
      </c>
      <c r="N106" s="1">
        <f>'Team A 1'!N106-'Team A 1'!$AA106-('Team A 1'!N$2- 12.5)*'Team A 1'!$AC106</f>
        <v>-12.638997737584049</v>
      </c>
      <c r="O106" s="1">
        <f>'Team A 1'!O106-'Team A 1'!$AA106-('Team A 1'!O$2- 12.5)*'Team A 1'!$AC106</f>
        <v>13.749673453992159</v>
      </c>
      <c r="P106" s="1">
        <f>'Team A 1'!P106-'Team A 1'!$AA106-('Team A 1'!P$2- 12.5)*'Team A 1'!$AC106</f>
        <v>20.138344645568282</v>
      </c>
      <c r="Q106" s="1">
        <f>'Team A 1'!Q106-'Team A 1'!$AA106-('Team A 1'!Q$2- 12.5)*'Team A 1'!$AC106</f>
        <v>-23.472984162855482</v>
      </c>
      <c r="R106" s="1">
        <f>'Team A 1'!R106-'Team A 1'!$AA106-('Team A 1'!R$2- 12.5)*'Team A 1'!$AC106</f>
        <v>-47.08431297127936</v>
      </c>
      <c r="S106" s="1">
        <f>'Team A 1'!S106-'Team A 1'!$AA106-('Team A 1'!S$2- 12.5)*'Team A 1'!$AC106</f>
        <v>-30.695641779703237</v>
      </c>
      <c r="T106" s="1">
        <f>'Team A 1'!T106-'Team A 1'!$AA106-('Team A 1'!T$2- 12.5)*'Team A 1'!$AC106</f>
        <v>5.6930294118731126</v>
      </c>
      <c r="U106" s="1">
        <f>'Team A 1'!U106-'Team A 1'!$AA106-('Team A 1'!U$2- 12.5)*'Team A 1'!$AC106</f>
        <v>32.081700603449235</v>
      </c>
      <c r="V106" s="1">
        <f>'Team A 1'!V106-'Team A 1'!$AA106-('Team A 1'!V$2- 12.5)*'Team A 1'!$AC106</f>
        <v>18.470371795025358</v>
      </c>
      <c r="W106" s="1">
        <f>'Team A 1'!W106-'Team A 1'!$AA106-('Team A 1'!W$2- 12.5)*'Team A 1'!$AC106</f>
        <v>-5.1409570133985198</v>
      </c>
      <c r="X106" s="1">
        <f>'Team A 1'!X106-'Team A 1'!$AA106-('Team A 1'!X$2- 12.5)*'Team A 1'!$AC106</f>
        <v>11.24771417817783</v>
      </c>
      <c r="Y106" s="1">
        <f>'Team A 1'!Y106-'Team A 1'!$AA106-('Team A 1'!Y$2- 12.5)*'Team A 1'!$AC106</f>
        <v>27.636385369753953</v>
      </c>
      <c r="AB106" s="1">
        <f>STDEV(B106:Y106)</f>
        <v>25.143125268483519</v>
      </c>
      <c r="AD106" s="5">
        <v>9</v>
      </c>
      <c r="AE106" s="5">
        <v>8</v>
      </c>
      <c r="AF106" s="5" t="s">
        <v>45</v>
      </c>
      <c r="AG106" s="5" t="s">
        <v>47</v>
      </c>
      <c r="AH106" s="5">
        <v>5</v>
      </c>
      <c r="AI106" s="5" t="s">
        <v>46</v>
      </c>
      <c r="AJ106" s="5">
        <v>7</v>
      </c>
      <c r="AK106" s="5">
        <v>1</v>
      </c>
      <c r="AL106" s="5">
        <v>3</v>
      </c>
      <c r="AM106" s="5">
        <v>6</v>
      </c>
      <c r="AN106" s="5">
        <v>2</v>
      </c>
      <c r="AO106" s="5">
        <v>4</v>
      </c>
      <c r="AP106" s="5">
        <v>9</v>
      </c>
      <c r="AQ106" s="5" t="s">
        <v>45</v>
      </c>
      <c r="AR106" s="5">
        <v>8</v>
      </c>
      <c r="AS106" s="5">
        <v>5</v>
      </c>
      <c r="AT106" s="5" t="s">
        <v>47</v>
      </c>
      <c r="AU106" s="5" t="s">
        <v>46</v>
      </c>
      <c r="AV106" s="5">
        <v>1</v>
      </c>
      <c r="AW106" s="5">
        <v>7</v>
      </c>
      <c r="AX106" s="5">
        <v>3</v>
      </c>
      <c r="AY106" s="5">
        <v>2</v>
      </c>
      <c r="AZ106" s="5">
        <v>6</v>
      </c>
      <c r="BA106" s="5">
        <v>4</v>
      </c>
      <c r="BB106" s="5"/>
      <c r="BC106" s="1">
        <f ca="1">OFFSET(A106,0, 8) -0</f>
        <v>25.417646304535083</v>
      </c>
      <c r="BD106" s="1">
        <f ca="1">OFFSET(A106,0, 11) -0</f>
        <v>4.5836598792635641</v>
      </c>
      <c r="BE106" s="1">
        <f ca="1">OFFSET(A106,0, 9) -0</f>
        <v>21.806317496111205</v>
      </c>
      <c r="BF106" s="1">
        <f ca="1">OFFSET(A106,0, 12) -0</f>
        <v>10.972331070839772</v>
      </c>
      <c r="BG106" s="1">
        <f ca="1">OFFSET(A106,0, 5) -0</f>
        <v>16.251632729806488</v>
      </c>
      <c r="BH106" s="1">
        <f ca="1">OFFSET(A106,0, 10) -0</f>
        <v>18.194988687687442</v>
      </c>
      <c r="BI106" s="1">
        <f ca="1">OFFSET(A106,0, 7) -0</f>
        <v>9.0289751129589604</v>
      </c>
      <c r="BJ106" s="1">
        <f ca="1">OFFSET(A106,0, 2) -0</f>
        <v>-22.914380844922107</v>
      </c>
      <c r="BK106" s="1">
        <f ca="1">OFFSET(A106,0, 1) -0</f>
        <v>-49.303052036498229</v>
      </c>
      <c r="BL106" s="1">
        <f ca="1">OFFSET(A106,0, 3) -0</f>
        <v>-46.525709653345757</v>
      </c>
      <c r="BM106" s="1">
        <f ca="1">OFFSET(A106,0, 6) -0</f>
        <v>-17.35969607861739</v>
      </c>
      <c r="BN106" s="1">
        <f ca="1">OFFSET(A106,0, 4) -0</f>
        <v>19.862961538230365</v>
      </c>
      <c r="BO106" s="1">
        <f ca="1">OFFSET(A106,0, 19) -0</f>
        <v>5.6930294118731126</v>
      </c>
      <c r="BP106" s="1">
        <f ca="1">OFFSET(A106,0, 22) -0</f>
        <v>-5.1409570133985198</v>
      </c>
      <c r="BQ106" s="1">
        <f ca="1">OFFSET(A106,0, 21) -0</f>
        <v>18.470371795025358</v>
      </c>
      <c r="BR106" s="1">
        <f ca="1">OFFSET(A106,0, 24) -0</f>
        <v>27.636385369753953</v>
      </c>
      <c r="BS106" s="1">
        <f ca="1">OFFSET(A106,0, 16) -0</f>
        <v>-23.472984162855482</v>
      </c>
      <c r="BT106" s="1">
        <f ca="1">OFFSET(A106,0, 23) -0</f>
        <v>11.24771417817783</v>
      </c>
      <c r="BU106" s="1">
        <f ca="1">OFFSET(A106,0, 20) -0</f>
        <v>32.081700603449235</v>
      </c>
      <c r="BV106" s="1">
        <f ca="1">OFFSET(A106,0, 15) -0</f>
        <v>20.138344645568282</v>
      </c>
      <c r="BW106" s="1">
        <f ca="1">OFFSET(A106,0, 13) -0</f>
        <v>-12.638997737584049</v>
      </c>
      <c r="BX106" s="1">
        <f ca="1">OFFSET(A106,0, 14) -0</f>
        <v>13.749673453992159</v>
      </c>
      <c r="BY106" s="1">
        <f ca="1">OFFSET(A106,0, 18) -0</f>
        <v>-30.695641779703237</v>
      </c>
      <c r="BZ106" s="1">
        <f ca="1">OFFSET(A106,0, 17) -0</f>
        <v>-47.08431297127936</v>
      </c>
      <c r="CB106" s="1">
        <f>COUNTIF(B106,"&lt;-68")</f>
        <v>0</v>
      </c>
      <c r="CC106" s="1">
        <f ca="1">COUNTIF(BC106:BN106,"&lt;-48")</f>
        <v>1</v>
      </c>
      <c r="CD106" s="1">
        <f ca="1">COUNTIF(BC106:BN106,"&gt;+48")</f>
        <v>0</v>
      </c>
      <c r="CE106" s="1">
        <f ca="1">COUNTIF(BO106:BZ106,"&lt;-48")</f>
        <v>0</v>
      </c>
      <c r="CF106" s="1">
        <f ca="1">COUNTIF(BO106:BZ106,"&gt;+48")</f>
        <v>0</v>
      </c>
    </row>
    <row r="107" spans="1:84">
      <c r="A107" s="1">
        <v>104</v>
      </c>
      <c r="B107" s="1">
        <f>'Team A 1'!B107-'Team A 1'!$AA107-('Team A 1'!B$2- 12.5)*'Team A 1'!$AC107</f>
        <v>25.328034900302555</v>
      </c>
      <c r="C107" s="1">
        <f>'Team A 1'!C107-'Team A 1'!$AA107-('Team A 1'!C$2- 12.5)*'Team A 1'!$AC107</f>
        <v>20.915452155352114</v>
      </c>
      <c r="D107" s="1">
        <f>'Team A 1'!D107-'Team A 1'!$AA107-('Team A 1'!D$2- 12.5)*'Team A 1'!$AC107</f>
        <v>6.5028694104016722</v>
      </c>
      <c r="E107" s="1">
        <f>'Team A 1'!E107-'Team A 1'!$AA107-('Team A 1'!E$2- 12.5)*'Team A 1'!$AC107</f>
        <v>32.090286665451231</v>
      </c>
      <c r="F107" s="1">
        <f>'Team A 1'!F107-'Team A 1'!$AA107-('Team A 1'!F$2- 12.5)*'Team A 1'!$AC107</f>
        <v>-22.322296079499438</v>
      </c>
      <c r="G107" s="1">
        <f>'Team A 1'!G107-'Team A 1'!$AA107-('Team A 1'!G$2- 12.5)*'Team A 1'!$AC107</f>
        <v>3.2651211755501208</v>
      </c>
      <c r="H107" s="1">
        <f>'Team A 1'!H107-'Team A 1'!$AA107-('Team A 1'!H$2- 12.5)*'Team A 1'!$AC107</f>
        <v>-51.147461569400321</v>
      </c>
      <c r="I107" s="1">
        <f>'Team A 1'!I107-'Team A 1'!$AA107-('Team A 1'!I$2- 12.5)*'Team A 1'!$AC107</f>
        <v>4.4399556856492381</v>
      </c>
      <c r="J107" s="1">
        <f>'Team A 1'!J107-'Team A 1'!$AA107-('Team A 1'!J$2- 12.5)*'Team A 1'!$AC107</f>
        <v>2.737294069879681E-2</v>
      </c>
      <c r="K107" s="1">
        <f>'Team A 1'!K107-'Team A 1'!$AA107-('Team A 1'!K$2- 12.5)*'Team A 1'!$AC107</f>
        <v>-34.385209804251701</v>
      </c>
      <c r="L107" s="1">
        <f>'Team A 1'!L107-'Team A 1'!$AA107-('Team A 1'!L$2- 12.5)*'Team A 1'!$AC107</f>
        <v>11.202207450797857</v>
      </c>
      <c r="M107" s="1">
        <f>'Team A 1'!M107-'Team A 1'!$AA107-('Team A 1'!M$2- 12.5)*'Team A 1'!$AC107</f>
        <v>6.7896247058473733</v>
      </c>
      <c r="N107" s="1">
        <f>'Team A 1'!N107-'Team A 1'!$AA107-('Team A 1'!N$2- 12.5)*'Team A 1'!$AC107</f>
        <v>-7.6229580391030964</v>
      </c>
      <c r="O107" s="1">
        <f>'Team A 1'!O107-'Team A 1'!$AA107-('Team A 1'!O$2- 12.5)*'Team A 1'!$AC107</f>
        <v>17.96445921594642</v>
      </c>
      <c r="P107" s="1">
        <f>'Team A 1'!P107-'Team A 1'!$AA107-('Team A 1'!P$2- 12.5)*'Team A 1'!$AC107</f>
        <v>23.551876470995978</v>
      </c>
      <c r="Q107" s="1">
        <f>'Team A 1'!Q107-'Team A 1'!$AA107-('Team A 1'!Q$2- 12.5)*'Team A 1'!$AC107</f>
        <v>9.1392937260454801</v>
      </c>
      <c r="R107" s="1">
        <f>'Team A 1'!R107-'Team A 1'!$AA107-('Team A 1'!R$2- 12.5)*'Team A 1'!$AC107</f>
        <v>-35.273289018904961</v>
      </c>
      <c r="S107" s="1">
        <f>'Team A 1'!S107-'Team A 1'!$AA107-('Team A 1'!S$2- 12.5)*'Team A 1'!$AC107</f>
        <v>20.314128236144597</v>
      </c>
      <c r="T107" s="1">
        <f>'Team A 1'!T107-'Team A 1'!$AA107-('Team A 1'!T$2- 12.5)*'Team A 1'!$AC107</f>
        <v>-14.098454508805844</v>
      </c>
      <c r="U107" s="1">
        <f>'Team A 1'!U107-'Team A 1'!$AA107-('Team A 1'!U$2- 12.5)*'Team A 1'!$AC107</f>
        <v>-38.511037253756285</v>
      </c>
      <c r="V107" s="1">
        <f>'Team A 1'!V107-'Team A 1'!$AA107-('Team A 1'!V$2- 12.5)*'Team A 1'!$AC107</f>
        <v>27.076380001293046</v>
      </c>
      <c r="W107" s="1">
        <f>'Team A 1'!W107-'Team A 1'!$AA107-('Team A 1'!W$2- 12.5)*'Team A 1'!$AC107</f>
        <v>-7.3362027436573953</v>
      </c>
      <c r="X107" s="1">
        <f>'Team A 1'!X107-'Team A 1'!$AA107-('Team A 1'!X$2- 12.5)*'Team A 1'!$AC107</f>
        <v>-11.748785488607837</v>
      </c>
      <c r="Y107" s="1">
        <f>'Team A 1'!Y107-'Team A 1'!$AA107-('Team A 1'!Y$2- 12.5)*'Team A 1'!$AC107</f>
        <v>13.838631766441722</v>
      </c>
      <c r="AB107" s="1">
        <f>STDEV(B107:Y107)</f>
        <v>22.959291966934174</v>
      </c>
      <c r="AD107" s="5" t="s">
        <v>45</v>
      </c>
      <c r="AE107" s="5">
        <v>9</v>
      </c>
      <c r="AF107" s="5">
        <v>5</v>
      </c>
      <c r="AG107" s="5">
        <v>8</v>
      </c>
      <c r="AH107" s="5" t="s">
        <v>46</v>
      </c>
      <c r="AI107" s="5" t="s">
        <v>47</v>
      </c>
      <c r="AJ107" s="5">
        <v>7</v>
      </c>
      <c r="AK107" s="5">
        <v>1</v>
      </c>
      <c r="AL107" s="5">
        <v>2</v>
      </c>
      <c r="AM107" s="5">
        <v>3</v>
      </c>
      <c r="AN107" s="5">
        <v>4</v>
      </c>
      <c r="AO107" s="5">
        <v>6</v>
      </c>
      <c r="AP107" s="5">
        <v>9</v>
      </c>
      <c r="AQ107" s="5" t="s">
        <v>45</v>
      </c>
      <c r="AR107" s="5">
        <v>8</v>
      </c>
      <c r="AS107" s="5">
        <v>5</v>
      </c>
      <c r="AT107" s="5" t="s">
        <v>47</v>
      </c>
      <c r="AU107" s="5" t="s">
        <v>46</v>
      </c>
      <c r="AV107" s="5">
        <v>7</v>
      </c>
      <c r="AW107" s="5">
        <v>2</v>
      </c>
      <c r="AX107" s="5">
        <v>1</v>
      </c>
      <c r="AY107" s="5">
        <v>3</v>
      </c>
      <c r="AZ107" s="5">
        <v>6</v>
      </c>
      <c r="BA107" s="5">
        <v>4</v>
      </c>
      <c r="BB107" s="5"/>
      <c r="BC107" s="1">
        <f ca="1">OFFSET(A107,0, 8) -0</f>
        <v>4.4399556856492381</v>
      </c>
      <c r="BD107" s="1">
        <f ca="1">OFFSET(A107,0, 9) -0</f>
        <v>2.737294069879681E-2</v>
      </c>
      <c r="BE107" s="1">
        <f ca="1">OFFSET(A107,0, 10) -0</f>
        <v>-34.385209804251701</v>
      </c>
      <c r="BF107" s="1">
        <f ca="1">OFFSET(A107,0, 11) -0</f>
        <v>11.202207450797857</v>
      </c>
      <c r="BG107" s="1">
        <f ca="1">OFFSET(A107,0, 3) -0</f>
        <v>6.5028694104016722</v>
      </c>
      <c r="BH107" s="1">
        <f ca="1">OFFSET(A107,0, 12) -0</f>
        <v>6.7896247058473733</v>
      </c>
      <c r="BI107" s="1">
        <f ca="1">OFFSET(A107,0, 7) -0</f>
        <v>-51.147461569400321</v>
      </c>
      <c r="BJ107" s="1">
        <f ca="1">OFFSET(A107,0, 4) -0</f>
        <v>32.090286665451231</v>
      </c>
      <c r="BK107" s="1">
        <f ca="1">OFFSET(A107,0, 2) -0</f>
        <v>20.915452155352114</v>
      </c>
      <c r="BL107" s="1">
        <f ca="1">OFFSET(A107,0, 1) -0</f>
        <v>25.328034900302555</v>
      </c>
      <c r="BM107" s="1">
        <f ca="1">OFFSET(A107,0, 5) -0</f>
        <v>-22.322296079499438</v>
      </c>
      <c r="BN107" s="1">
        <f ca="1">OFFSET(A107,0, 6) -0</f>
        <v>3.2651211755501208</v>
      </c>
      <c r="BO107" s="1">
        <f ca="1">OFFSET(A107,0, 21) -0</f>
        <v>27.076380001293046</v>
      </c>
      <c r="BP107" s="1">
        <f ca="1">OFFSET(A107,0, 20) -0</f>
        <v>-38.511037253756285</v>
      </c>
      <c r="BQ107" s="1">
        <f ca="1">OFFSET(A107,0, 22) -0</f>
        <v>-7.3362027436573953</v>
      </c>
      <c r="BR107" s="1">
        <f ca="1">OFFSET(A107,0, 24) -0</f>
        <v>13.838631766441722</v>
      </c>
      <c r="BS107" s="1">
        <f ca="1">OFFSET(A107,0, 16) -0</f>
        <v>9.1392937260454801</v>
      </c>
      <c r="BT107" s="1">
        <f ca="1">OFFSET(A107,0, 23) -0</f>
        <v>-11.748785488607837</v>
      </c>
      <c r="BU107" s="1">
        <f ca="1">OFFSET(A107,0, 19) -0</f>
        <v>-14.098454508805844</v>
      </c>
      <c r="BV107" s="1">
        <f ca="1">OFFSET(A107,0, 15) -0</f>
        <v>23.551876470995978</v>
      </c>
      <c r="BW107" s="1">
        <f ca="1">OFFSET(A107,0, 13) -0</f>
        <v>-7.6229580391030964</v>
      </c>
      <c r="BX107" s="1">
        <f ca="1">OFFSET(A107,0, 14) -0</f>
        <v>17.96445921594642</v>
      </c>
      <c r="BY107" s="1">
        <f ca="1">OFFSET(A107,0, 18) -0</f>
        <v>20.314128236144597</v>
      </c>
      <c r="BZ107" s="1">
        <f ca="1">OFFSET(A107,0, 17) -0</f>
        <v>-35.273289018904961</v>
      </c>
      <c r="CB107" s="1">
        <f>COUNTIF(B107,"&lt;-69")</f>
        <v>0</v>
      </c>
      <c r="CC107" s="1">
        <f ca="1">COUNTIF(BC107:BN107,"&lt;-49")</f>
        <v>1</v>
      </c>
      <c r="CD107" s="1">
        <f ca="1">COUNTIF(BC107:BN107,"&gt;+49")</f>
        <v>0</v>
      </c>
      <c r="CE107" s="1">
        <f ca="1">COUNTIF(BO107:BZ107,"&lt;-49")</f>
        <v>0</v>
      </c>
      <c r="CF107" s="1">
        <f ca="1">COUNTIF(BO107:BZ107,"&gt;+49")</f>
        <v>0</v>
      </c>
    </row>
    <row r="108" spans="1:84">
      <c r="A108" s="1">
        <v>105</v>
      </c>
      <c r="B108" s="1">
        <f>'Team A 1'!B108-'Team A 1'!$AA108-('Team A 1'!B$2- 12.5)*'Team A 1'!$AC108</f>
        <v>-13.87357817690463</v>
      </c>
      <c r="C108" s="1">
        <f>'Team A 1'!C108-'Team A 1'!$AA108-('Team A 1'!C$2- 12.5)*'Team A 1'!$AC108</f>
        <v>-28.428049639782557</v>
      </c>
      <c r="D108" s="1">
        <f>'Team A 1'!D108-'Team A 1'!$AA108-('Team A 1'!D$2- 12.5)*'Team A 1'!$AC108</f>
        <v>17.017478897339515</v>
      </c>
      <c r="E108" s="1">
        <f>'Team A 1'!E108-'Team A 1'!$AA108-('Team A 1'!E$2- 12.5)*'Team A 1'!$AC108</f>
        <v>-7.5369925655384122</v>
      </c>
      <c r="F108" s="1">
        <f>'Team A 1'!F108-'Team A 1'!$AA108-('Team A 1'!F$2- 12.5)*'Team A 1'!$AC108</f>
        <v>-2.0914640284161123</v>
      </c>
      <c r="G108" s="1">
        <f>'Team A 1'!G108-'Team A 1'!$AA108-('Team A 1'!G$2- 12.5)*'Team A 1'!$AC108</f>
        <v>23.35406450870596</v>
      </c>
      <c r="H108" s="1">
        <f>'Team A 1'!H108-'Team A 1'!$AA108-('Team A 1'!H$2- 12.5)*'Team A 1'!$AC108</f>
        <v>8.7995930458280327</v>
      </c>
      <c r="I108" s="1">
        <f>'Team A 1'!I108-'Team A 1'!$AA108-('Team A 1'!I$2- 12.5)*'Team A 1'!$AC108</f>
        <v>-25.754878417049667</v>
      </c>
      <c r="J108" s="1">
        <f>'Team A 1'!J108-'Team A 1'!$AA108-('Team A 1'!J$2- 12.5)*'Team A 1'!$AC108</f>
        <v>-30.309349879927595</v>
      </c>
      <c r="K108" s="1">
        <f>'Team A 1'!K108-'Team A 1'!$AA108-('Team A 1'!K$2- 12.5)*'Team A 1'!$AC108</f>
        <v>5.1361786571945913</v>
      </c>
      <c r="L108" s="1">
        <f>'Team A 1'!L108-'Team A 1'!$AA108-('Team A 1'!L$2- 12.5)*'Team A 1'!$AC108</f>
        <v>-9.4182928056832225</v>
      </c>
      <c r="M108" s="1">
        <f>'Team A 1'!M108-'Team A 1'!$AA108-('Team A 1'!M$2- 12.5)*'Team A 1'!$AC108</f>
        <v>16.027235731438921</v>
      </c>
      <c r="N108" s="1">
        <f>'Team A 1'!N108-'Team A 1'!$AA108-('Team A 1'!N$2- 12.5)*'Team A 1'!$AC108</f>
        <v>-8.5272357314389211</v>
      </c>
      <c r="O108" s="1">
        <f>'Team A 1'!O108-'Team A 1'!$AA108-('Team A 1'!O$2- 12.5)*'Team A 1'!$AC108</f>
        <v>16.918292805683222</v>
      </c>
      <c r="P108" s="1">
        <f>'Team A 1'!P108-'Team A 1'!$AA108-('Team A 1'!P$2- 12.5)*'Team A 1'!$AC108</f>
        <v>32.363821342805409</v>
      </c>
      <c r="Q108" s="1">
        <f>'Team A 1'!Q108-'Team A 1'!$AA108-('Team A 1'!Q$2- 12.5)*'Team A 1'!$AC108</f>
        <v>-12.190650120072405</v>
      </c>
      <c r="R108" s="1">
        <f>'Team A 1'!R108-'Team A 1'!$AA108-('Team A 1'!R$2- 12.5)*'Team A 1'!$AC108</f>
        <v>-6.7451215829503326</v>
      </c>
      <c r="S108" s="1">
        <f>'Team A 1'!S108-'Team A 1'!$AA108-('Team A 1'!S$2- 12.5)*'Team A 1'!$AC108</f>
        <v>-21.299593045828033</v>
      </c>
      <c r="T108" s="1">
        <f>'Team A 1'!T108-'Team A 1'!$AA108-('Team A 1'!T$2- 12.5)*'Team A 1'!$AC108</f>
        <v>-25.85406450870596</v>
      </c>
      <c r="U108" s="1">
        <f>'Team A 1'!U108-'Team A 1'!$AA108-('Team A 1'!U$2- 12.5)*'Team A 1'!$AC108</f>
        <v>9.5914640284161123</v>
      </c>
      <c r="V108" s="1">
        <f>'Team A 1'!V108-'Team A 1'!$AA108-('Team A 1'!V$2- 12.5)*'Team A 1'!$AC108</f>
        <v>15.036992565538412</v>
      </c>
      <c r="W108" s="1">
        <f>'Team A 1'!W108-'Team A 1'!$AA108-('Team A 1'!W$2- 12.5)*'Team A 1'!$AC108</f>
        <v>0.48252110266048476</v>
      </c>
      <c r="X108" s="1">
        <f>'Team A 1'!X108-'Team A 1'!$AA108-('Team A 1'!X$2- 12.5)*'Team A 1'!$AC108</f>
        <v>5.9280496397825573</v>
      </c>
      <c r="Y108" s="1">
        <f>'Team A 1'!Y108-'Team A 1'!$AA108-('Team A 1'!Y$2- 12.5)*'Team A 1'!$AC108</f>
        <v>41.37357817690463</v>
      </c>
      <c r="AB108" s="1">
        <f>STDEV(B108:Y108)</f>
        <v>19.466812183032776</v>
      </c>
      <c r="AD108" s="5" t="s">
        <v>45</v>
      </c>
      <c r="AE108" s="5">
        <v>9</v>
      </c>
      <c r="AF108" s="5">
        <v>5</v>
      </c>
      <c r="AG108" s="5">
        <v>8</v>
      </c>
      <c r="AH108" s="5" t="s">
        <v>46</v>
      </c>
      <c r="AI108" s="5" t="s">
        <v>47</v>
      </c>
      <c r="AJ108" s="5">
        <v>2</v>
      </c>
      <c r="AK108" s="5">
        <v>7</v>
      </c>
      <c r="AL108" s="5">
        <v>3</v>
      </c>
      <c r="AM108" s="5">
        <v>1</v>
      </c>
      <c r="AN108" s="5">
        <v>4</v>
      </c>
      <c r="AO108" s="5">
        <v>6</v>
      </c>
      <c r="AP108" s="5" t="s">
        <v>45</v>
      </c>
      <c r="AQ108" s="5">
        <v>5</v>
      </c>
      <c r="AR108" s="5">
        <v>9</v>
      </c>
      <c r="AS108" s="5" t="s">
        <v>46</v>
      </c>
      <c r="AT108" s="5">
        <v>8</v>
      </c>
      <c r="AU108" s="5">
        <v>2</v>
      </c>
      <c r="AV108" s="5" t="s">
        <v>47</v>
      </c>
      <c r="AW108" s="5">
        <v>7</v>
      </c>
      <c r="AX108" s="5">
        <v>1</v>
      </c>
      <c r="AY108" s="5">
        <v>3</v>
      </c>
      <c r="AZ108" s="5">
        <v>6</v>
      </c>
      <c r="BA108" s="5">
        <v>4</v>
      </c>
      <c r="BB108" s="5"/>
      <c r="BC108" s="1">
        <f ca="1">OFFSET(A108,0, 10) -0</f>
        <v>5.1361786571945913</v>
      </c>
      <c r="BD108" s="1">
        <f ca="1">OFFSET(A108,0, 7) -0</f>
        <v>8.7995930458280327</v>
      </c>
      <c r="BE108" s="1">
        <f ca="1">OFFSET(A108,0, 9) -0</f>
        <v>-30.309349879927595</v>
      </c>
      <c r="BF108" s="1">
        <f ca="1">OFFSET(A108,0, 11) -0</f>
        <v>-9.4182928056832225</v>
      </c>
      <c r="BG108" s="1">
        <f ca="1">OFFSET(A108,0, 3) -0</f>
        <v>17.017478897339515</v>
      </c>
      <c r="BH108" s="1">
        <f ca="1">OFFSET(A108,0, 12) -0</f>
        <v>16.027235731438921</v>
      </c>
      <c r="BI108" s="1">
        <f ca="1">OFFSET(A108,0, 8) -0</f>
        <v>-25.754878417049667</v>
      </c>
      <c r="BJ108" s="1">
        <f ca="1">OFFSET(A108,0, 4) -0</f>
        <v>-7.5369925655384122</v>
      </c>
      <c r="BK108" s="1">
        <f ca="1">OFFSET(A108,0, 2) -0</f>
        <v>-28.428049639782557</v>
      </c>
      <c r="BL108" s="1">
        <f ca="1">OFFSET(A108,0, 1) -0</f>
        <v>-13.87357817690463</v>
      </c>
      <c r="BM108" s="1">
        <f ca="1">OFFSET(A108,0, 5) -0</f>
        <v>-2.0914640284161123</v>
      </c>
      <c r="BN108" s="1">
        <f ca="1">OFFSET(A108,0, 6) -0</f>
        <v>23.35406450870596</v>
      </c>
      <c r="BO108" s="1">
        <f ca="1">OFFSET(A108,0, 21) -0</f>
        <v>15.036992565538412</v>
      </c>
      <c r="BP108" s="1">
        <f ca="1">OFFSET(A108,0, 18) -0</f>
        <v>-21.299593045828033</v>
      </c>
      <c r="BQ108" s="1">
        <f ca="1">OFFSET(A108,0, 22) -0</f>
        <v>0.48252110266048476</v>
      </c>
      <c r="BR108" s="1">
        <f ca="1">OFFSET(A108,0, 24) -0</f>
        <v>41.37357817690463</v>
      </c>
      <c r="BS108" s="1">
        <f ca="1">OFFSET(A108,0, 14) -0</f>
        <v>16.918292805683222</v>
      </c>
      <c r="BT108" s="1">
        <f ca="1">OFFSET(A108,0, 23) -0</f>
        <v>5.9280496397825573</v>
      </c>
      <c r="BU108" s="1">
        <f ca="1">OFFSET(A108,0, 20) -0</f>
        <v>9.5914640284161123</v>
      </c>
      <c r="BV108" s="1">
        <f ca="1">OFFSET(A108,0, 17) -0</f>
        <v>-6.7451215829503326</v>
      </c>
      <c r="BW108" s="1">
        <f ca="1">OFFSET(A108,0, 15) -0</f>
        <v>32.363821342805409</v>
      </c>
      <c r="BX108" s="1">
        <f ca="1">OFFSET(A108,0, 13) -0</f>
        <v>-8.5272357314389211</v>
      </c>
      <c r="BY108" s="1">
        <f ca="1">OFFSET(A108,0, 16) -0</f>
        <v>-12.190650120072405</v>
      </c>
      <c r="BZ108" s="1">
        <f ca="1">OFFSET(A108,0, 19) -0</f>
        <v>-25.85406450870596</v>
      </c>
      <c r="CB108" s="1">
        <f>COUNTIF(B108,"&lt;-69")</f>
        <v>0</v>
      </c>
      <c r="CC108" s="1">
        <f ca="1">COUNTIF(BC108:BN108,"&lt;-49")</f>
        <v>0</v>
      </c>
      <c r="CD108" s="1">
        <f ca="1">COUNTIF(BC108:BN108,"&gt;+49")</f>
        <v>0</v>
      </c>
      <c r="CE108" s="1">
        <f ca="1">COUNTIF(BO108:BZ108,"&lt;-49")</f>
        <v>0</v>
      </c>
      <c r="CF108" s="1">
        <f ca="1">COUNTIF(BO108:BZ108,"&gt;+49")</f>
        <v>0</v>
      </c>
    </row>
    <row r="109" spans="1:84">
      <c r="A109" s="1">
        <v>106</v>
      </c>
      <c r="B109" s="1">
        <f>'Team A 1'!B109-'Team A 1'!$AA109-('Team A 1'!B$2- 12.5)*'Team A 1'!$AC109</f>
        <v>21.196314644164431</v>
      </c>
      <c r="C109" s="1">
        <f>'Team A 1'!C109-'Team A 1'!$AA109-('Team A 1'!C$2- 12.5)*'Team A 1'!$AC109</f>
        <v>36.925620617139202</v>
      </c>
      <c r="D109" s="1">
        <f>'Team A 1'!D109-'Team A 1'!$AA109-('Team A 1'!D$2- 12.5)*'Team A 1'!$AC109</f>
        <v>-27.345073409886254</v>
      </c>
      <c r="E109" s="1">
        <f>'Team A 1'!E109-'Team A 1'!$AA109-('Team A 1'!E$2- 12.5)*'Team A 1'!$AC109</f>
        <v>-11.61576743691171</v>
      </c>
      <c r="F109" s="1">
        <f>'Team A 1'!F109-'Team A 1'!$AA109-('Team A 1'!F$2- 12.5)*'Team A 1'!$AC109</f>
        <v>4.1135385360628334</v>
      </c>
      <c r="G109" s="1">
        <f>'Team A 1'!G109-'Team A 1'!$AA109-('Team A 1'!G$2- 12.5)*'Team A 1'!$AC109</f>
        <v>-10.157155490962623</v>
      </c>
      <c r="H109" s="1">
        <f>'Team A 1'!H109-'Team A 1'!$AA109-('Team A 1'!H$2- 12.5)*'Team A 1'!$AC109</f>
        <v>-34.427849517988079</v>
      </c>
      <c r="I109" s="1">
        <f>'Team A 1'!I109-'Team A 1'!$AA109-('Team A 1'!I$2- 12.5)*'Team A 1'!$AC109</f>
        <v>-8.6985435450134219</v>
      </c>
      <c r="J109" s="1">
        <f>'Team A 1'!J109-'Team A 1'!$AA109-('Team A 1'!J$2- 12.5)*'Team A 1'!$AC109</f>
        <v>-2.9692375720388782</v>
      </c>
      <c r="K109" s="1">
        <f>'Team A 1'!K109-'Team A 1'!$AA109-('Team A 1'!K$2- 12.5)*'Team A 1'!$AC109</f>
        <v>2.7600684009357224</v>
      </c>
      <c r="L109" s="1">
        <f>'Team A 1'!L109-'Team A 1'!$AA109-('Team A 1'!L$2- 12.5)*'Team A 1'!$AC109</f>
        <v>8.4893743739102661</v>
      </c>
      <c r="M109" s="1">
        <f>'Team A 1'!M109-'Team A 1'!$AA109-('Team A 1'!M$2- 12.5)*'Team A 1'!$AC109</f>
        <v>14.218680346884852</v>
      </c>
      <c r="N109" s="1">
        <f>'Team A 1'!N109-'Team A 1'!$AA109-('Team A 1'!N$2- 12.5)*'Team A 1'!$AC109</f>
        <v>9.9479863198594245</v>
      </c>
      <c r="O109" s="1">
        <f>'Team A 1'!O109-'Team A 1'!$AA109-('Team A 1'!O$2- 12.5)*'Team A 1'!$AC109</f>
        <v>5.6772922928340108</v>
      </c>
      <c r="P109" s="1">
        <f>'Team A 1'!P109-'Team A 1'!$AA109-('Team A 1'!P$2- 12.5)*'Team A 1'!$AC109</f>
        <v>11.406598265808555</v>
      </c>
      <c r="Q109" s="1">
        <f>'Team A 1'!Q109-'Team A 1'!$AA109-('Team A 1'!Q$2- 12.5)*'Team A 1'!$AC109</f>
        <v>-22.864095761216845</v>
      </c>
      <c r="R109" s="1">
        <f>'Team A 1'!R109-'Team A 1'!$AA109-('Team A 1'!R$2- 12.5)*'Team A 1'!$AC109</f>
        <v>-37.134789788242301</v>
      </c>
      <c r="S109" s="1">
        <f>'Team A 1'!S109-'Team A 1'!$AA109-('Team A 1'!S$2- 12.5)*'Team A 1'!$AC109</f>
        <v>-1.4054838152676439</v>
      </c>
      <c r="T109" s="1">
        <f>'Team A 1'!T109-'Team A 1'!$AA109-('Team A 1'!T$2- 12.5)*'Team A 1'!$AC109</f>
        <v>-35.6761778422931</v>
      </c>
      <c r="U109" s="1">
        <f>'Team A 1'!U109-'Team A 1'!$AA109-('Team A 1'!U$2- 12.5)*'Team A 1'!$AC109</f>
        <v>-29.946871869318556</v>
      </c>
      <c r="V109" s="1">
        <f>'Team A 1'!V109-'Team A 1'!$AA109-('Team A 1'!V$2- 12.5)*'Team A 1'!$AC109</f>
        <v>5.7824341036559872</v>
      </c>
      <c r="W109" s="1">
        <f>'Team A 1'!W109-'Team A 1'!$AA109-('Team A 1'!W$2- 12.5)*'Team A 1'!$AC109</f>
        <v>41.511740076630531</v>
      </c>
      <c r="X109" s="1">
        <f>'Team A 1'!X109-'Team A 1'!$AA109-('Team A 1'!X$2- 12.5)*'Team A 1'!$AC109</f>
        <v>47.241046049605075</v>
      </c>
      <c r="Y109" s="1">
        <f>'Team A 1'!Y109-'Team A 1'!$AA109-('Team A 1'!Y$2- 12.5)*'Team A 1'!$AC109</f>
        <v>12.970352022579846</v>
      </c>
      <c r="AB109" s="1">
        <f>STDEV(B109:Y109)</f>
        <v>23.644487637699811</v>
      </c>
      <c r="AD109" s="5">
        <v>5</v>
      </c>
      <c r="AE109" s="5" t="s">
        <v>45</v>
      </c>
      <c r="AF109" s="5" t="s">
        <v>46</v>
      </c>
      <c r="AG109" s="5">
        <v>9</v>
      </c>
      <c r="AH109" s="5">
        <v>2</v>
      </c>
      <c r="AI109" s="5">
        <v>8</v>
      </c>
      <c r="AJ109" s="5">
        <v>7</v>
      </c>
      <c r="AK109" s="5" t="s">
        <v>47</v>
      </c>
      <c r="AL109" s="5">
        <v>3</v>
      </c>
      <c r="AM109" s="5">
        <v>1</v>
      </c>
      <c r="AN109" s="5">
        <v>4</v>
      </c>
      <c r="AO109" s="5">
        <v>6</v>
      </c>
      <c r="AP109" s="5" t="s">
        <v>45</v>
      </c>
      <c r="AQ109" s="5">
        <v>5</v>
      </c>
      <c r="AR109" s="5">
        <v>9</v>
      </c>
      <c r="AS109" s="5" t="s">
        <v>46</v>
      </c>
      <c r="AT109" s="5">
        <v>8</v>
      </c>
      <c r="AU109" s="5">
        <v>2</v>
      </c>
      <c r="AV109" s="5" t="s">
        <v>47</v>
      </c>
      <c r="AW109" s="5">
        <v>7</v>
      </c>
      <c r="AX109" s="5">
        <v>3</v>
      </c>
      <c r="AY109" s="5">
        <v>4</v>
      </c>
      <c r="AZ109" s="5">
        <v>1</v>
      </c>
      <c r="BA109" s="5">
        <v>6</v>
      </c>
      <c r="BB109" s="5"/>
      <c r="BC109" s="1">
        <f ca="1">OFFSET(A109,0, 10) -0</f>
        <v>2.7600684009357224</v>
      </c>
      <c r="BD109" s="1">
        <f ca="1">OFFSET(A109,0, 5) -0</f>
        <v>4.1135385360628334</v>
      </c>
      <c r="BE109" s="1">
        <f ca="1">OFFSET(A109,0, 9) -0</f>
        <v>-2.9692375720388782</v>
      </c>
      <c r="BF109" s="1">
        <f ca="1">OFFSET(A109,0, 11) -0</f>
        <v>8.4893743739102661</v>
      </c>
      <c r="BG109" s="1">
        <f ca="1">OFFSET(A109,0, 1) -0</f>
        <v>21.196314644164431</v>
      </c>
      <c r="BH109" s="1">
        <f ca="1">OFFSET(A109,0, 12) -0</f>
        <v>14.218680346884852</v>
      </c>
      <c r="BI109" s="1">
        <f ca="1">OFFSET(A109,0, 7) -0</f>
        <v>-34.427849517988079</v>
      </c>
      <c r="BJ109" s="1">
        <f ca="1">OFFSET(A109,0, 6) -0</f>
        <v>-10.157155490962623</v>
      </c>
      <c r="BK109" s="1">
        <f ca="1">OFFSET(A109,0, 4) -0</f>
        <v>-11.61576743691171</v>
      </c>
      <c r="BL109" s="1">
        <f ca="1">OFFSET(A109,0, 2) -0</f>
        <v>36.925620617139202</v>
      </c>
      <c r="BM109" s="1">
        <f ca="1">OFFSET(A109,0, 3) -0</f>
        <v>-27.345073409886254</v>
      </c>
      <c r="BN109" s="1">
        <f ca="1">OFFSET(A109,0, 8) -0</f>
        <v>-8.6985435450134219</v>
      </c>
      <c r="BO109" s="1">
        <f ca="1">OFFSET(A109,0, 23) -0</f>
        <v>47.241046049605075</v>
      </c>
      <c r="BP109" s="1">
        <f ca="1">OFFSET(A109,0, 18) -0</f>
        <v>-1.4054838152676439</v>
      </c>
      <c r="BQ109" s="1">
        <f ca="1">OFFSET(A109,0, 21) -0</f>
        <v>5.7824341036559872</v>
      </c>
      <c r="BR109" s="1">
        <f ca="1">OFFSET(A109,0, 22) -0</f>
        <v>41.511740076630531</v>
      </c>
      <c r="BS109" s="1">
        <f ca="1">OFFSET(A109,0, 14) -0</f>
        <v>5.6772922928340108</v>
      </c>
      <c r="BT109" s="1">
        <f ca="1">OFFSET(A109,0, 24) -0</f>
        <v>12.970352022579846</v>
      </c>
      <c r="BU109" s="1">
        <f ca="1">OFFSET(A109,0, 20) -0</f>
        <v>-29.946871869318556</v>
      </c>
      <c r="BV109" s="1">
        <f ca="1">OFFSET(A109,0, 17) -0</f>
        <v>-37.134789788242301</v>
      </c>
      <c r="BW109" s="1">
        <f ca="1">OFFSET(A109,0, 15) -0</f>
        <v>11.406598265808555</v>
      </c>
      <c r="BX109" s="1">
        <f ca="1">OFFSET(A109,0, 13) -0</f>
        <v>9.9479863198594245</v>
      </c>
      <c r="BY109" s="1">
        <f ca="1">OFFSET(A109,0, 16) -0</f>
        <v>-22.864095761216845</v>
      </c>
      <c r="BZ109" s="1">
        <f ca="1">OFFSET(A109,0, 19) -0</f>
        <v>-35.6761778422931</v>
      </c>
      <c r="CB109" s="1">
        <f>COUNTIF(B109,"&lt;-69")</f>
        <v>0</v>
      </c>
      <c r="CC109" s="1">
        <f ca="1">COUNTIF(BC109:BN109,"&lt;-49")</f>
        <v>0</v>
      </c>
      <c r="CD109" s="1">
        <f ca="1">COUNTIF(BC109:BN109,"&gt;+49")</f>
        <v>0</v>
      </c>
      <c r="CE109" s="1">
        <f ca="1">COUNTIF(BO109:BZ109,"&lt;-49")</f>
        <v>0</v>
      </c>
      <c r="CF109" s="1">
        <f ca="1">COUNTIF(BO109:BZ109,"&gt;+49")</f>
        <v>0</v>
      </c>
    </row>
    <row r="110" spans="1:84">
      <c r="A110" s="1">
        <v>107</v>
      </c>
      <c r="B110" s="1">
        <f>'Team A 1'!B110-'Team A 1'!$AA110-('Team A 1'!B$2- 12.5)*'Team A 1'!$AC110</f>
        <v>-6.0462532894580363</v>
      </c>
      <c r="C110" s="1">
        <f>'Team A 1'!C110-'Team A 1'!$AA110-('Team A 1'!C$2- 12.5)*'Team A 1'!$AC110</f>
        <v>19.733131054549403</v>
      </c>
      <c r="D110" s="1">
        <f>'Team A 1'!D110-'Team A 1'!$AA110-('Team A 1'!D$2- 12.5)*'Team A 1'!$AC110</f>
        <v>-34.487484601443157</v>
      </c>
      <c r="E110" s="1">
        <f>'Team A 1'!E110-'Team A 1'!$AA110-('Team A 1'!E$2- 12.5)*'Team A 1'!$AC110</f>
        <v>21.291899742564283</v>
      </c>
      <c r="F110" s="1">
        <f>'Team A 1'!F110-'Team A 1'!$AA110-('Team A 1'!F$2- 12.5)*'Team A 1'!$AC110</f>
        <v>37.07128408657195</v>
      </c>
      <c r="G110" s="1">
        <f>'Team A 1'!G110-'Team A 1'!$AA110-('Team A 1'!G$2- 12.5)*'Team A 1'!$AC110</f>
        <v>2.8506684305793897</v>
      </c>
      <c r="H110" s="1">
        <f>'Team A 1'!H110-'Team A 1'!$AA110-('Team A 1'!H$2- 12.5)*'Team A 1'!$AC110</f>
        <v>-41.369947225413171</v>
      </c>
      <c r="I110" s="1">
        <f>'Team A 1'!I110-'Team A 1'!$AA110-('Team A 1'!I$2- 12.5)*'Team A 1'!$AC110</f>
        <v>-5.5905628814057309</v>
      </c>
      <c r="J110" s="1">
        <f>'Team A 1'!J110-'Team A 1'!$AA110-('Team A 1'!J$2- 12.5)*'Team A 1'!$AC110</f>
        <v>30.188821462601709</v>
      </c>
      <c r="K110" s="1">
        <f>'Team A 1'!K110-'Team A 1'!$AA110-('Team A 1'!K$2- 12.5)*'Team A 1'!$AC110</f>
        <v>15.968205806609205</v>
      </c>
      <c r="L110" s="1">
        <f>'Team A 1'!L110-'Team A 1'!$AA110-('Team A 1'!L$2- 12.5)*'Team A 1'!$AC110</f>
        <v>-8.2524098493833549</v>
      </c>
      <c r="M110" s="1">
        <f>'Team A 1'!M110-'Team A 1'!$AA110-('Team A 1'!M$2- 12.5)*'Team A 1'!$AC110</f>
        <v>7.5269744946241275</v>
      </c>
      <c r="N110" s="1">
        <f>'Team A 1'!N110-'Team A 1'!$AA110-('Team A 1'!N$2- 12.5)*'Team A 1'!$AC110</f>
        <v>-16.693641161368404</v>
      </c>
      <c r="O110" s="1">
        <f>'Team A 1'!O110-'Team A 1'!$AA110-('Team A 1'!O$2- 12.5)*'Team A 1'!$AC110</f>
        <v>-10.914256817360922</v>
      </c>
      <c r="P110" s="1">
        <f>'Team A 1'!P110-'Team A 1'!$AA110-('Team A 1'!P$2- 12.5)*'Team A 1'!$AC110</f>
        <v>-25.134872473353482</v>
      </c>
      <c r="Q110" s="1">
        <f>'Team A 1'!Q110-'Team A 1'!$AA110-('Team A 1'!Q$2- 12.5)*'Team A 1'!$AC110</f>
        <v>0.64451187065401427</v>
      </c>
      <c r="R110" s="1">
        <f>'Team A 1'!R110-'Team A 1'!$AA110-('Team A 1'!R$2- 12.5)*'Team A 1'!$AC110</f>
        <v>6.423896214661454</v>
      </c>
      <c r="S110" s="1">
        <f>'Team A 1'!S110-'Team A 1'!$AA110-('Team A 1'!S$2- 12.5)*'Team A 1'!$AC110</f>
        <v>22.203280558668894</v>
      </c>
      <c r="T110" s="1">
        <f>'Team A 1'!T110-'Team A 1'!$AA110-('Team A 1'!T$2- 12.5)*'Team A 1'!$AC110</f>
        <v>27.982664902676333</v>
      </c>
      <c r="U110" s="1">
        <f>'Team A 1'!U110-'Team A 1'!$AA110-('Team A 1'!U$2- 12.5)*'Team A 1'!$AC110</f>
        <v>-26.237950753316227</v>
      </c>
      <c r="V110" s="1">
        <f>'Team A 1'!V110-'Team A 1'!$AA110-('Team A 1'!V$2- 12.5)*'Team A 1'!$AC110</f>
        <v>-0.45856640930855974</v>
      </c>
      <c r="W110" s="1">
        <f>'Team A 1'!W110-'Team A 1'!$AA110-('Team A 1'!W$2- 12.5)*'Team A 1'!$AC110</f>
        <v>-34.67918206530112</v>
      </c>
      <c r="X110" s="1">
        <f>'Team A 1'!X110-'Team A 1'!$AA110-('Team A 1'!X$2- 12.5)*'Team A 1'!$AC110</f>
        <v>1.1002022787063197</v>
      </c>
      <c r="Y110" s="1">
        <f>'Team A 1'!Y110-'Team A 1'!$AA110-('Team A 1'!Y$2- 12.5)*'Team A 1'!$AC110</f>
        <v>16.879586622713759</v>
      </c>
      <c r="AB110" s="1">
        <f>STDEV(B110:Y110)</f>
        <v>21.878716215609273</v>
      </c>
      <c r="AD110" s="5">
        <v>5</v>
      </c>
      <c r="AE110" s="5" t="s">
        <v>45</v>
      </c>
      <c r="AF110" s="5" t="s">
        <v>46</v>
      </c>
      <c r="AG110" s="5">
        <v>9</v>
      </c>
      <c r="AH110" s="5">
        <v>2</v>
      </c>
      <c r="AI110" s="5">
        <v>8</v>
      </c>
      <c r="AJ110" s="5">
        <v>7</v>
      </c>
      <c r="AK110" s="5" t="s">
        <v>47</v>
      </c>
      <c r="AL110" s="5">
        <v>4</v>
      </c>
      <c r="AM110" s="5">
        <v>3</v>
      </c>
      <c r="AN110" s="5">
        <v>6</v>
      </c>
      <c r="AO110" s="5">
        <v>1</v>
      </c>
      <c r="AP110" s="5">
        <v>5</v>
      </c>
      <c r="AQ110" s="5" t="s">
        <v>46</v>
      </c>
      <c r="AR110" s="5" t="s">
        <v>45</v>
      </c>
      <c r="AS110" s="5">
        <v>2</v>
      </c>
      <c r="AT110" s="5">
        <v>9</v>
      </c>
      <c r="AU110" s="5">
        <v>7</v>
      </c>
      <c r="AV110" s="5">
        <v>8</v>
      </c>
      <c r="AW110" s="5">
        <v>4</v>
      </c>
      <c r="AX110" s="5" t="s">
        <v>47</v>
      </c>
      <c r="AY110" s="5">
        <v>3</v>
      </c>
      <c r="AZ110" s="5">
        <v>1</v>
      </c>
      <c r="BA110" s="5">
        <v>6</v>
      </c>
      <c r="BB110" s="5"/>
      <c r="BC110" s="1">
        <f ca="1">OFFSET(A110,0, 12) -0</f>
        <v>7.5269744946241275</v>
      </c>
      <c r="BD110" s="1">
        <f ca="1">OFFSET(A110,0, 5) -0</f>
        <v>37.07128408657195</v>
      </c>
      <c r="BE110" s="1">
        <f ca="1">OFFSET(A110,0, 10) -0</f>
        <v>15.968205806609205</v>
      </c>
      <c r="BF110" s="1">
        <f ca="1">OFFSET(A110,0, 9) -0</f>
        <v>30.188821462601709</v>
      </c>
      <c r="BG110" s="1">
        <f ca="1">OFFSET(A110,0, 1) -0</f>
        <v>-6.0462532894580363</v>
      </c>
      <c r="BH110" s="1">
        <f ca="1">OFFSET(A110,0, 11) -0</f>
        <v>-8.2524098493833549</v>
      </c>
      <c r="BI110" s="1">
        <f ca="1">OFFSET(A110,0, 7) -0</f>
        <v>-41.369947225413171</v>
      </c>
      <c r="BJ110" s="1">
        <f ca="1">OFFSET(A110,0, 6) -0</f>
        <v>2.8506684305793897</v>
      </c>
      <c r="BK110" s="1">
        <f ca="1">OFFSET(A110,0, 4) -0</f>
        <v>21.291899742564283</v>
      </c>
      <c r="BL110" s="1">
        <f ca="1">OFFSET(A110,0, 2) -0</f>
        <v>19.733131054549403</v>
      </c>
      <c r="BM110" s="1">
        <f ca="1">OFFSET(A110,0, 3) -0</f>
        <v>-34.487484601443157</v>
      </c>
      <c r="BN110" s="1">
        <f ca="1">OFFSET(A110,0, 8) -0</f>
        <v>-5.5905628814057309</v>
      </c>
      <c r="BO110" s="1">
        <f ca="1">OFFSET(A110,0, 23) -0</f>
        <v>1.1002022787063197</v>
      </c>
      <c r="BP110" s="1">
        <f ca="1">OFFSET(A110,0, 16) -0</f>
        <v>0.64451187065401427</v>
      </c>
      <c r="BQ110" s="1">
        <f ca="1">OFFSET(A110,0, 22) -0</f>
        <v>-34.67918206530112</v>
      </c>
      <c r="BR110" s="1">
        <f ca="1">OFFSET(A110,0, 20) -0</f>
        <v>-26.237950753316227</v>
      </c>
      <c r="BS110" s="1">
        <f ca="1">OFFSET(A110,0, 13) -0</f>
        <v>-16.693641161368404</v>
      </c>
      <c r="BT110" s="1">
        <f ca="1">OFFSET(A110,0, 24) -0</f>
        <v>16.879586622713759</v>
      </c>
      <c r="BU110" s="1">
        <f ca="1">OFFSET(A110,0, 18) -0</f>
        <v>22.203280558668894</v>
      </c>
      <c r="BV110" s="1">
        <f ca="1">OFFSET(A110,0, 19) -0</f>
        <v>27.982664902676333</v>
      </c>
      <c r="BW110" s="1">
        <f ca="1">OFFSET(A110,0, 17) -0</f>
        <v>6.423896214661454</v>
      </c>
      <c r="BX110" s="1">
        <f ca="1">OFFSET(A110,0, 15) -0</f>
        <v>-25.134872473353482</v>
      </c>
      <c r="BY110" s="1">
        <f ca="1">OFFSET(A110,0, 14) -0</f>
        <v>-10.914256817360922</v>
      </c>
      <c r="BZ110" s="1">
        <f ca="1">OFFSET(A110,0, 21) -0</f>
        <v>-0.45856640930855974</v>
      </c>
      <c r="CB110" s="1">
        <f>COUNTIF(B110,"&lt;-69")</f>
        <v>0</v>
      </c>
      <c r="CC110" s="1">
        <f ca="1">COUNTIF(BC110:BN110,"&lt;-49")</f>
        <v>0</v>
      </c>
      <c r="CD110" s="1">
        <f ca="1">COUNTIF(BC110:BN110,"&gt;+49")</f>
        <v>0</v>
      </c>
      <c r="CE110" s="1">
        <f ca="1">COUNTIF(BO110:BZ110,"&lt;-49")</f>
        <v>0</v>
      </c>
      <c r="CF110" s="1">
        <f ca="1">COUNTIF(BO110:BZ110,"&gt;+49")</f>
        <v>0</v>
      </c>
    </row>
    <row r="111" spans="1:84">
      <c r="A111" s="1">
        <v>108</v>
      </c>
      <c r="B111" s="1">
        <f>'Team A 1'!B111-'Team A 1'!$AA111-('Team A 1'!B$2- 12.5)*'Team A 1'!$AC111</f>
        <v>-13.197265522037924</v>
      </c>
      <c r="C111" s="1">
        <f>'Team A 1'!C111-'Team A 1'!$AA111-('Team A 1'!C$2- 12.5)*'Team A 1'!$AC111</f>
        <v>2.4068445233565399</v>
      </c>
      <c r="D111" s="1">
        <f>'Team A 1'!D111-'Team A 1'!$AA111-('Team A 1'!D$2- 12.5)*'Team A 1'!$AC111</f>
        <v>38.010954568751231</v>
      </c>
      <c r="E111" s="1">
        <f>'Team A 1'!E111-'Team A 1'!$AA111-('Team A 1'!E$2- 12.5)*'Team A 1'!$AC111</f>
        <v>33.615064614145922</v>
      </c>
      <c r="F111" s="1">
        <f>'Team A 1'!F111-'Team A 1'!$AA111-('Team A 1'!F$2- 12.5)*'Team A 1'!$AC111</f>
        <v>9.2191746595403856</v>
      </c>
      <c r="G111" s="1">
        <f>'Team A 1'!G111-'Team A 1'!$AA111-('Team A 1'!G$2- 12.5)*'Team A 1'!$AC111</f>
        <v>-15.176715295064923</v>
      </c>
      <c r="H111" s="1">
        <f>'Team A 1'!H111-'Team A 1'!$AA111-('Team A 1'!H$2- 12.5)*'Team A 1'!$AC111</f>
        <v>-9.5726052496702323</v>
      </c>
      <c r="I111" s="1">
        <f>'Team A 1'!I111-'Team A 1'!$AA111-('Team A 1'!I$2- 12.5)*'Team A 1'!$AC111</f>
        <v>-13.968495204275769</v>
      </c>
      <c r="J111" s="1">
        <f>'Team A 1'!J111-'Team A 1'!$AA111-('Team A 1'!J$2- 12.5)*'Team A 1'!$AC111</f>
        <v>-38.364385158881078</v>
      </c>
      <c r="K111" s="1">
        <f>'Team A 1'!K111-'Team A 1'!$AA111-('Team A 1'!K$2- 12.5)*'Team A 1'!$AC111</f>
        <v>-12.7602751134865</v>
      </c>
      <c r="L111" s="1">
        <f>'Team A 1'!L111-'Team A 1'!$AA111-('Team A 1'!L$2- 12.5)*'Team A 1'!$AC111</f>
        <v>2.8438349319080771</v>
      </c>
      <c r="M111" s="1">
        <f>'Team A 1'!M111-'Team A 1'!$AA111-('Team A 1'!M$2- 12.5)*'Team A 1'!$AC111</f>
        <v>-11.552055022697303</v>
      </c>
      <c r="N111" s="1">
        <f>'Team A 1'!N111-'Team A 1'!$AA111-('Team A 1'!N$2- 12.5)*'Team A 1'!$AC111</f>
        <v>-15.947944977302697</v>
      </c>
      <c r="O111" s="1">
        <f>'Team A 1'!O111-'Team A 1'!$AA111-('Team A 1'!O$2- 12.5)*'Team A 1'!$AC111</f>
        <v>29.656165068091923</v>
      </c>
      <c r="P111" s="1">
        <f>'Team A 1'!P111-'Team A 1'!$AA111-('Team A 1'!P$2- 12.5)*'Team A 1'!$AC111</f>
        <v>-14.7397248865135</v>
      </c>
      <c r="Q111" s="1">
        <f>'Team A 1'!Q111-'Team A 1'!$AA111-('Team A 1'!Q$2- 12.5)*'Team A 1'!$AC111</f>
        <v>10.864385158881078</v>
      </c>
      <c r="R111" s="1">
        <f>'Team A 1'!R111-'Team A 1'!$AA111-('Team A 1'!R$2- 12.5)*'Team A 1'!$AC111</f>
        <v>-13.531504795724231</v>
      </c>
      <c r="S111" s="1">
        <f>'Team A 1'!S111-'Team A 1'!$AA111-('Team A 1'!S$2- 12.5)*'Team A 1'!$AC111</f>
        <v>-7.9273947503297677</v>
      </c>
      <c r="T111" s="1">
        <f>'Team A 1'!T111-'Team A 1'!$AA111-('Team A 1'!T$2- 12.5)*'Team A 1'!$AC111</f>
        <v>27.676715295064923</v>
      </c>
      <c r="U111" s="1">
        <f>'Team A 1'!U111-'Team A 1'!$AA111-('Team A 1'!U$2- 12.5)*'Team A 1'!$AC111</f>
        <v>3.2808253404596144</v>
      </c>
      <c r="V111" s="1">
        <f>'Team A 1'!V111-'Team A 1'!$AA111-('Team A 1'!V$2- 12.5)*'Team A 1'!$AC111</f>
        <v>-51.115064614145922</v>
      </c>
      <c r="W111" s="1">
        <f>'Team A 1'!W111-'Team A 1'!$AA111-('Team A 1'!W$2- 12.5)*'Team A 1'!$AC111</f>
        <v>4.4890454312487691</v>
      </c>
      <c r="X111" s="1">
        <f>'Team A 1'!X111-'Team A 1'!$AA111-('Team A 1'!X$2- 12.5)*'Team A 1'!$AC111</f>
        <v>10.09315547664346</v>
      </c>
      <c r="Y111" s="1">
        <f>'Team A 1'!Y111-'Team A 1'!$AA111-('Team A 1'!Y$2- 12.5)*'Team A 1'!$AC111</f>
        <v>45.697265522037924</v>
      </c>
      <c r="AB111" s="1">
        <f>STDEV(B111:Y111)</f>
        <v>23.26396330708145</v>
      </c>
      <c r="AD111" s="5" t="s">
        <v>46</v>
      </c>
      <c r="AE111" s="5">
        <v>5</v>
      </c>
      <c r="AF111" s="5">
        <v>2</v>
      </c>
      <c r="AG111" s="5" t="s">
        <v>45</v>
      </c>
      <c r="AH111" s="5">
        <v>7</v>
      </c>
      <c r="AI111" s="5">
        <v>9</v>
      </c>
      <c r="AJ111" s="5">
        <v>4</v>
      </c>
      <c r="AK111" s="5">
        <v>8</v>
      </c>
      <c r="AL111" s="5">
        <v>3</v>
      </c>
      <c r="AM111" s="5" t="s">
        <v>47</v>
      </c>
      <c r="AN111" s="5">
        <v>6</v>
      </c>
      <c r="AO111" s="5">
        <v>1</v>
      </c>
      <c r="AP111" s="5">
        <v>5</v>
      </c>
      <c r="AQ111" s="5" t="s">
        <v>46</v>
      </c>
      <c r="AR111" s="5" t="s">
        <v>45</v>
      </c>
      <c r="AS111" s="5">
        <v>2</v>
      </c>
      <c r="AT111" s="5">
        <v>9</v>
      </c>
      <c r="AU111" s="5">
        <v>7</v>
      </c>
      <c r="AV111" s="5">
        <v>8</v>
      </c>
      <c r="AW111" s="5">
        <v>4</v>
      </c>
      <c r="AX111" s="5" t="s">
        <v>47</v>
      </c>
      <c r="AY111" s="5">
        <v>3</v>
      </c>
      <c r="AZ111" s="5">
        <v>6</v>
      </c>
      <c r="BA111" s="5">
        <v>1</v>
      </c>
      <c r="BB111" s="5"/>
      <c r="BC111" s="1">
        <f ca="1">OFFSET(A111,0, 12) -0</f>
        <v>-11.552055022697303</v>
      </c>
      <c r="BD111" s="1">
        <f ca="1">OFFSET(A111,0, 3) -0</f>
        <v>38.010954568751231</v>
      </c>
      <c r="BE111" s="1">
        <f ca="1">OFFSET(A111,0, 9) -0</f>
        <v>-38.364385158881078</v>
      </c>
      <c r="BF111" s="1">
        <f ca="1">OFFSET(A111,0, 7) -0</f>
        <v>-9.5726052496702323</v>
      </c>
      <c r="BG111" s="1">
        <f ca="1">OFFSET(A111,0, 2) -0</f>
        <v>2.4068445233565399</v>
      </c>
      <c r="BH111" s="1">
        <f ca="1">OFFSET(A111,0, 11) -0</f>
        <v>2.8438349319080771</v>
      </c>
      <c r="BI111" s="1">
        <f ca="1">OFFSET(A111,0, 5) -0</f>
        <v>9.2191746595403856</v>
      </c>
      <c r="BJ111" s="1">
        <f ca="1">OFFSET(A111,0, 8) -0</f>
        <v>-13.968495204275769</v>
      </c>
      <c r="BK111" s="1">
        <f ca="1">OFFSET(A111,0, 6) -0</f>
        <v>-15.176715295064923</v>
      </c>
      <c r="BL111" s="1">
        <f ca="1">OFFSET(A111,0, 4) -0</f>
        <v>33.615064614145922</v>
      </c>
      <c r="BM111" s="1">
        <f ca="1">OFFSET(A111,0, 1) -0</f>
        <v>-13.197265522037924</v>
      </c>
      <c r="BN111" s="1">
        <f ca="1">OFFSET(A111,0, 10) -0</f>
        <v>-12.7602751134865</v>
      </c>
      <c r="BO111" s="1">
        <f ca="1">OFFSET(A111,0, 24) -0</f>
        <v>45.697265522037924</v>
      </c>
      <c r="BP111" s="1">
        <f ca="1">OFFSET(A111,0, 16) -0</f>
        <v>10.864385158881078</v>
      </c>
      <c r="BQ111" s="1">
        <f ca="1">OFFSET(A111,0, 22) -0</f>
        <v>4.4890454312487691</v>
      </c>
      <c r="BR111" s="1">
        <f ca="1">OFFSET(A111,0, 20) -0</f>
        <v>3.2808253404596144</v>
      </c>
      <c r="BS111" s="1">
        <f ca="1">OFFSET(A111,0, 13) -0</f>
        <v>-15.947944977302697</v>
      </c>
      <c r="BT111" s="1">
        <f ca="1">OFFSET(A111,0, 23) -0</f>
        <v>10.09315547664346</v>
      </c>
      <c r="BU111" s="1">
        <f ca="1">OFFSET(A111,0, 18) -0</f>
        <v>-7.9273947503297677</v>
      </c>
      <c r="BV111" s="1">
        <f ca="1">OFFSET(A111,0, 19) -0</f>
        <v>27.676715295064923</v>
      </c>
      <c r="BW111" s="1">
        <f ca="1">OFFSET(A111,0, 17) -0</f>
        <v>-13.531504795724231</v>
      </c>
      <c r="BX111" s="1">
        <f ca="1">OFFSET(A111,0, 15) -0</f>
        <v>-14.7397248865135</v>
      </c>
      <c r="BY111" s="1">
        <f ca="1">OFFSET(A111,0, 14) -0</f>
        <v>29.656165068091923</v>
      </c>
      <c r="BZ111" s="1">
        <f ca="1">OFFSET(A111,0, 21) -0</f>
        <v>-51.115064614145922</v>
      </c>
      <c r="CB111" s="1">
        <f>COUNTIF(B111,"&lt;-69")</f>
        <v>0</v>
      </c>
      <c r="CC111" s="1">
        <f ca="1">COUNTIF(BC111:BN111,"&lt;-49")</f>
        <v>0</v>
      </c>
      <c r="CD111" s="1">
        <f ca="1">COUNTIF(BC111:BN111,"&gt;+49")</f>
        <v>0</v>
      </c>
      <c r="CE111" s="1">
        <f ca="1">COUNTIF(BO111:BZ111,"&lt;-49")</f>
        <v>1</v>
      </c>
      <c r="CF111" s="1">
        <f ca="1">COUNTIF(BO111:BZ111,"&gt;+49")</f>
        <v>0</v>
      </c>
    </row>
    <row r="112" spans="1:84">
      <c r="A112" s="1">
        <v>109</v>
      </c>
      <c r="B112" s="1">
        <f>'Team A 1'!B112-'Team A 1'!$AA112-('Team A 1'!B$2- 12.5)*'Team A 1'!$AC112</f>
        <v>27.816965291495762</v>
      </c>
      <c r="C112" s="1">
        <f>'Team A 1'!C112-'Team A 1'!$AA112-('Team A 1'!C$2- 12.5)*'Team A 1'!$AC112</f>
        <v>32.861866860354439</v>
      </c>
      <c r="D112" s="1">
        <f>'Team A 1'!D112-'Team A 1'!$AA112-('Team A 1'!D$2- 12.5)*'Team A 1'!$AC112</f>
        <v>37.906768429213344</v>
      </c>
      <c r="E112" s="1">
        <f>'Team A 1'!E112-'Team A 1'!$AA112-('Team A 1'!E$2- 12.5)*'Team A 1'!$AC112</f>
        <v>42.951669998072248</v>
      </c>
      <c r="F112" s="1">
        <f>'Team A 1'!F112-'Team A 1'!$AA112-('Team A 1'!F$2- 12.5)*'Team A 1'!$AC112</f>
        <v>-52.003428433069075</v>
      </c>
      <c r="G112" s="1">
        <f>'Team A 1'!G112-'Team A 1'!$AA112-('Team A 1'!G$2- 12.5)*'Team A 1'!$AC112</f>
        <v>-26.958526864210171</v>
      </c>
      <c r="H112" s="1">
        <f>'Team A 1'!H112-'Team A 1'!$AA112-('Team A 1'!H$2- 12.5)*'Team A 1'!$AC112</f>
        <v>8.0863747046487333</v>
      </c>
      <c r="I112" s="1">
        <f>'Team A 1'!I112-'Team A 1'!$AA112-('Team A 1'!I$2- 12.5)*'Team A 1'!$AC112</f>
        <v>-46.86872372649259</v>
      </c>
      <c r="J112" s="1">
        <f>'Team A 1'!J112-'Team A 1'!$AA112-('Team A 1'!J$2- 12.5)*'Team A 1'!$AC112</f>
        <v>-21.823822157633685</v>
      </c>
      <c r="K112" s="1">
        <f>'Team A 1'!K112-'Team A 1'!$AA112-('Team A 1'!K$2- 12.5)*'Team A 1'!$AC112</f>
        <v>23.221079411225105</v>
      </c>
      <c r="L112" s="1">
        <f>'Team A 1'!L112-'Team A 1'!$AA112-('Team A 1'!L$2- 12.5)*'Team A 1'!$AC112</f>
        <v>-11.734019019916104</v>
      </c>
      <c r="M112" s="1">
        <f>'Team A 1'!M112-'Team A 1'!$AA112-('Team A 1'!M$2- 12.5)*'Team A 1'!$AC112</f>
        <v>-16.689117451057271</v>
      </c>
      <c r="N112" s="1">
        <f>'Team A 1'!N112-'Team A 1'!$AA112-('Team A 1'!N$2- 12.5)*'Team A 1'!$AC112</f>
        <v>8.3557841178015479</v>
      </c>
      <c r="O112" s="1">
        <f>'Team A 1'!O112-'Team A 1'!$AA112-('Team A 1'!O$2- 12.5)*'Team A 1'!$AC112</f>
        <v>33.400685686660381</v>
      </c>
      <c r="P112" s="1">
        <f>'Team A 1'!P112-'Team A 1'!$AA112-('Team A 1'!P$2- 12.5)*'Team A 1'!$AC112</f>
        <v>-1.5544127444808282</v>
      </c>
      <c r="Q112" s="1">
        <f>'Team A 1'!Q112-'Team A 1'!$AA112-('Team A 1'!Q$2- 12.5)*'Team A 1'!$AC112</f>
        <v>-6.5095111756220376</v>
      </c>
      <c r="R112" s="1">
        <f>'Team A 1'!R112-'Team A 1'!$AA112-('Team A 1'!R$2- 12.5)*'Team A 1'!$AC112</f>
        <v>18.535390393236867</v>
      </c>
      <c r="S112" s="1">
        <f>'Team A 1'!S112-'Team A 1'!$AA112-('Team A 1'!S$2- 12.5)*'Team A 1'!$AC112</f>
        <v>-6.4197080379044564</v>
      </c>
      <c r="T112" s="1">
        <f>'Team A 1'!T112-'Team A 1'!$AA112-('Team A 1'!T$2- 12.5)*'Team A 1'!$AC112</f>
        <v>-21.374806469045552</v>
      </c>
      <c r="U112" s="1">
        <f>'Team A 1'!U112-'Team A 1'!$AA112-('Team A 1'!U$2- 12.5)*'Team A 1'!$AC112</f>
        <v>-26.329904900186648</v>
      </c>
      <c r="V112" s="1">
        <f>'Team A 1'!V112-'Team A 1'!$AA112-('Team A 1'!V$2- 12.5)*'Team A 1'!$AC112</f>
        <v>-21.285003331327971</v>
      </c>
      <c r="W112" s="1">
        <f>'Team A 1'!W112-'Team A 1'!$AA112-('Team A 1'!W$2- 12.5)*'Team A 1'!$AC112</f>
        <v>3.7598982375309333</v>
      </c>
      <c r="X112" s="1">
        <f>'Team A 1'!X112-'Team A 1'!$AA112-('Team A 1'!X$2- 12.5)*'Team A 1'!$AC112</f>
        <v>-1.1952001936101624</v>
      </c>
      <c r="Y112" s="1">
        <f>'Team A 1'!Y112-'Team A 1'!$AA112-('Team A 1'!Y$2- 12.5)*'Team A 1'!$AC112</f>
        <v>23.849701375248515</v>
      </c>
      <c r="AB112" s="1">
        <f>STDEV(B112:Y112)</f>
        <v>26.427021221947403</v>
      </c>
      <c r="AD112" s="5" t="s">
        <v>46</v>
      </c>
      <c r="AE112" s="5">
        <v>5</v>
      </c>
      <c r="AF112" s="5">
        <v>2</v>
      </c>
      <c r="AG112" s="5" t="s">
        <v>45</v>
      </c>
      <c r="AH112" s="5">
        <v>7</v>
      </c>
      <c r="AI112" s="5">
        <v>9</v>
      </c>
      <c r="AJ112" s="5">
        <v>4</v>
      </c>
      <c r="AK112" s="5">
        <v>8</v>
      </c>
      <c r="AL112" s="5">
        <v>3</v>
      </c>
      <c r="AM112" s="5" t="s">
        <v>47</v>
      </c>
      <c r="AN112" s="5">
        <v>1</v>
      </c>
      <c r="AO112" s="5">
        <v>6</v>
      </c>
      <c r="AP112" s="5" t="s">
        <v>46</v>
      </c>
      <c r="AQ112" s="5">
        <v>2</v>
      </c>
      <c r="AR112" s="5">
        <v>5</v>
      </c>
      <c r="AS112" s="5">
        <v>7</v>
      </c>
      <c r="AT112" s="5" t="s">
        <v>45</v>
      </c>
      <c r="AU112" s="5">
        <v>4</v>
      </c>
      <c r="AV112" s="5">
        <v>9</v>
      </c>
      <c r="AW112" s="5">
        <v>3</v>
      </c>
      <c r="AX112" s="5">
        <v>8</v>
      </c>
      <c r="AY112" s="5" t="s">
        <v>47</v>
      </c>
      <c r="AZ112" s="5">
        <v>6</v>
      </c>
      <c r="BA112" s="5">
        <v>1</v>
      </c>
      <c r="BB112" s="5"/>
      <c r="BC112" s="1">
        <f ca="1">OFFSET(A112,0, 11) -0</f>
        <v>-11.734019019916104</v>
      </c>
      <c r="BD112" s="1">
        <f ca="1">OFFSET(A112,0, 3) -0</f>
        <v>37.906768429213344</v>
      </c>
      <c r="BE112" s="1">
        <f ca="1">OFFSET(A112,0, 9) -0</f>
        <v>-21.823822157633685</v>
      </c>
      <c r="BF112" s="1">
        <f ca="1">OFFSET(A112,0, 7) -0</f>
        <v>8.0863747046487333</v>
      </c>
      <c r="BG112" s="1">
        <f ca="1">OFFSET(A112,0, 2) -0</f>
        <v>32.861866860354439</v>
      </c>
      <c r="BH112" s="1">
        <f ca="1">OFFSET(A112,0, 12) -0</f>
        <v>-16.689117451057271</v>
      </c>
      <c r="BI112" s="1">
        <f ca="1">OFFSET(A112,0, 5) -0</f>
        <v>-52.003428433069075</v>
      </c>
      <c r="BJ112" s="1">
        <f ca="1">OFFSET(A112,0, 8) -0</f>
        <v>-46.86872372649259</v>
      </c>
      <c r="BK112" s="1">
        <f ca="1">OFFSET(A112,0, 6) -0</f>
        <v>-26.958526864210171</v>
      </c>
      <c r="BL112" s="1">
        <f ca="1">OFFSET(A112,0, 4) -0</f>
        <v>42.951669998072248</v>
      </c>
      <c r="BM112" s="1">
        <f ca="1">OFFSET(A112,0, 1) -0</f>
        <v>27.816965291495762</v>
      </c>
      <c r="BN112" s="1">
        <f ca="1">OFFSET(A112,0, 10) -0</f>
        <v>23.221079411225105</v>
      </c>
      <c r="BO112" s="1">
        <f ca="1">OFFSET(A112,0, 24) -0</f>
        <v>23.849701375248515</v>
      </c>
      <c r="BP112" s="1">
        <f ca="1">OFFSET(A112,0, 14) -0</f>
        <v>33.400685686660381</v>
      </c>
      <c r="BQ112" s="1">
        <f ca="1">OFFSET(A112,0, 20) -0</f>
        <v>-26.329904900186648</v>
      </c>
      <c r="BR112" s="1">
        <f ca="1">OFFSET(A112,0, 18) -0</f>
        <v>-6.4197080379044564</v>
      </c>
      <c r="BS112" s="1">
        <f ca="1">OFFSET(A112,0, 15) -0</f>
        <v>-1.5544127444808282</v>
      </c>
      <c r="BT112" s="1">
        <f ca="1">OFFSET(A112,0, 23) -0</f>
        <v>-1.1952001936101624</v>
      </c>
      <c r="BU112" s="1">
        <f ca="1">OFFSET(A112,0, 16) -0</f>
        <v>-6.5095111756220376</v>
      </c>
      <c r="BV112" s="1">
        <f ca="1">OFFSET(A112,0, 21) -0</f>
        <v>-21.285003331327971</v>
      </c>
      <c r="BW112" s="1">
        <f ca="1">OFFSET(A112,0, 19) -0</f>
        <v>-21.374806469045552</v>
      </c>
      <c r="BX112" s="1">
        <f ca="1">OFFSET(A112,0, 17) -0</f>
        <v>18.535390393236867</v>
      </c>
      <c r="BY112" s="1">
        <f ca="1">OFFSET(A112,0, 13) -0</f>
        <v>8.3557841178015479</v>
      </c>
      <c r="BZ112" s="1">
        <f ca="1">OFFSET(A112,0, 22) -0</f>
        <v>3.7598982375309333</v>
      </c>
      <c r="CB112" s="1">
        <f>COUNTIF(B112,"&lt;-69")</f>
        <v>0</v>
      </c>
      <c r="CC112" s="1">
        <f ca="1">COUNTIF(BC112:BN112,"&lt;-49")</f>
        <v>1</v>
      </c>
      <c r="CD112" s="1">
        <f ca="1">COUNTIF(BC112:BN112,"&gt;+49")</f>
        <v>0</v>
      </c>
      <c r="CE112" s="1">
        <f ca="1">COUNTIF(BO112:BZ112,"&lt;-49")</f>
        <v>0</v>
      </c>
      <c r="CF112" s="1">
        <f ca="1">COUNTIF(BO112:BZ112,"&gt;+49")</f>
        <v>0</v>
      </c>
    </row>
    <row r="113" spans="1:84">
      <c r="A113" s="1">
        <v>110</v>
      </c>
      <c r="B113" s="1">
        <f>'Team A 1'!B113-'Team A 1'!$AA113-('Team A 1'!B$2- 12.5)*'Team A 1'!$AC113</f>
        <v>-9.4583351308178862</v>
      </c>
      <c r="C113" s="1">
        <f>'Team A 1'!C113-'Team A 1'!$AA113-('Team A 1'!C$2- 12.5)*'Team A 1'!$AC113</f>
        <v>-4.3967407716163507</v>
      </c>
      <c r="D113" s="1">
        <f>'Team A 1'!D113-'Team A 1'!$AA113-('Team A 1'!D$2- 12.5)*'Team A 1'!$AC113</f>
        <v>-19.335146412414815</v>
      </c>
      <c r="E113" s="1">
        <f>'Team A 1'!E113-'Team A 1'!$AA113-('Team A 1'!E$2- 12.5)*'Team A 1'!$AC113</f>
        <v>-4.2735520532132796</v>
      </c>
      <c r="F113" s="1">
        <f>'Team A 1'!F113-'Team A 1'!$AA113-('Team A 1'!F$2- 12.5)*'Team A 1'!$AC113</f>
        <v>40.788042305988256</v>
      </c>
      <c r="G113" s="1">
        <f>'Team A 1'!G113-'Team A 1'!$AA113-('Team A 1'!G$2- 12.5)*'Team A 1'!$AC113</f>
        <v>25.849636665189792</v>
      </c>
      <c r="H113" s="1">
        <f>'Team A 1'!H113-'Team A 1'!$AA113-('Team A 1'!H$2- 12.5)*'Team A 1'!$AC113</f>
        <v>-9.0887689756086729</v>
      </c>
      <c r="I113" s="1">
        <f>'Team A 1'!I113-'Team A 1'!$AA113-('Team A 1'!I$2- 12.5)*'Team A 1'!$AC113</f>
        <v>-14.027174616407024</v>
      </c>
      <c r="J113" s="1">
        <f>'Team A 1'!J113-'Team A 1'!$AA113-('Team A 1'!J$2- 12.5)*'Team A 1'!$AC113</f>
        <v>-18.965580257205488</v>
      </c>
      <c r="K113" s="1">
        <f>'Team A 1'!K113-'Team A 1'!$AA113-('Team A 1'!K$2- 12.5)*'Team A 1'!$AC113</f>
        <v>-3.9039858980038957</v>
      </c>
      <c r="L113" s="1">
        <f>'Team A 1'!L113-'Team A 1'!$AA113-('Team A 1'!L$2- 12.5)*'Team A 1'!$AC113</f>
        <v>1.1576084611976398</v>
      </c>
      <c r="M113" s="1">
        <f>'Team A 1'!M113-'Team A 1'!$AA113-('Team A 1'!M$2- 12.5)*'Team A 1'!$AC113</f>
        <v>-13.780797179600782</v>
      </c>
      <c r="N113" s="1">
        <f>'Team A 1'!N113-'Team A 1'!$AA113-('Team A 1'!N$2- 12.5)*'Team A 1'!$AC113</f>
        <v>1.280797179600782</v>
      </c>
      <c r="O113" s="1">
        <f>'Team A 1'!O113-'Team A 1'!$AA113-('Team A 1'!O$2- 12.5)*'Team A 1'!$AC113</f>
        <v>-23.65760846119764</v>
      </c>
      <c r="P113" s="1">
        <f>'Team A 1'!P113-'Team A 1'!$AA113-('Team A 1'!P$2- 12.5)*'Team A 1'!$AC113</f>
        <v>-68.596014101996104</v>
      </c>
      <c r="Q113" s="1">
        <f>'Team A 1'!Q113-'Team A 1'!$AA113-('Team A 1'!Q$2- 12.5)*'Team A 1'!$AC113</f>
        <v>16.465580257205488</v>
      </c>
      <c r="R113" s="1">
        <f>'Team A 1'!R113-'Team A 1'!$AA113-('Team A 1'!R$2- 12.5)*'Team A 1'!$AC113</f>
        <v>11.527174616407024</v>
      </c>
      <c r="S113" s="1">
        <f>'Team A 1'!S113-'Team A 1'!$AA113-('Team A 1'!S$2- 12.5)*'Team A 1'!$AC113</f>
        <v>16.588768975608673</v>
      </c>
      <c r="T113" s="1">
        <f>'Team A 1'!T113-'Team A 1'!$AA113-('Team A 1'!T$2- 12.5)*'Team A 1'!$AC113</f>
        <v>1.6503633348102085</v>
      </c>
      <c r="U113" s="1">
        <f>'Team A 1'!U113-'Team A 1'!$AA113-('Team A 1'!U$2- 12.5)*'Team A 1'!$AC113</f>
        <v>-13.288042305988256</v>
      </c>
      <c r="V113" s="1">
        <f>'Team A 1'!V113-'Team A 1'!$AA113-('Team A 1'!V$2- 12.5)*'Team A 1'!$AC113</f>
        <v>-8.2264479467867204</v>
      </c>
      <c r="W113" s="1">
        <f>'Team A 1'!W113-'Team A 1'!$AA113-('Team A 1'!W$2- 12.5)*'Team A 1'!$AC113</f>
        <v>26.835146412414815</v>
      </c>
      <c r="X113" s="1">
        <f>'Team A 1'!X113-'Team A 1'!$AA113-('Team A 1'!X$2- 12.5)*'Team A 1'!$AC113</f>
        <v>11.896740771616351</v>
      </c>
      <c r="Y113" s="1">
        <f>'Team A 1'!Y113-'Team A 1'!$AA113-('Team A 1'!Y$2- 12.5)*'Team A 1'!$AC113</f>
        <v>56.958335130817886</v>
      </c>
      <c r="AB113" s="1">
        <f>STDEV(B113:Y113)</f>
        <v>24.651586815332429</v>
      </c>
      <c r="AD113" s="5">
        <v>2</v>
      </c>
      <c r="AE113" s="5" t="s">
        <v>46</v>
      </c>
      <c r="AF113" s="5">
        <v>7</v>
      </c>
      <c r="AG113" s="5">
        <v>5</v>
      </c>
      <c r="AH113" s="5">
        <v>4</v>
      </c>
      <c r="AI113" s="5" t="s">
        <v>45</v>
      </c>
      <c r="AJ113" s="5">
        <v>3</v>
      </c>
      <c r="AK113" s="5">
        <v>9</v>
      </c>
      <c r="AL113" s="5" t="s">
        <v>47</v>
      </c>
      <c r="AM113" s="5">
        <v>8</v>
      </c>
      <c r="AN113" s="5">
        <v>1</v>
      </c>
      <c r="AO113" s="5">
        <v>6</v>
      </c>
      <c r="AP113" s="5" t="s">
        <v>46</v>
      </c>
      <c r="AQ113" s="5">
        <v>2</v>
      </c>
      <c r="AR113" s="5">
        <v>5</v>
      </c>
      <c r="AS113" s="5">
        <v>7</v>
      </c>
      <c r="AT113" s="5" t="s">
        <v>45</v>
      </c>
      <c r="AU113" s="5">
        <v>4</v>
      </c>
      <c r="AV113" s="5">
        <v>9</v>
      </c>
      <c r="AW113" s="5">
        <v>3</v>
      </c>
      <c r="AX113" s="5" t="s">
        <v>47</v>
      </c>
      <c r="AY113" s="5">
        <v>1</v>
      </c>
      <c r="AZ113" s="5">
        <v>8</v>
      </c>
      <c r="BA113" s="5">
        <v>6</v>
      </c>
      <c r="BB113" s="5"/>
      <c r="BC113" s="1">
        <f ca="1">OFFSET(A113,0, 11) -0</f>
        <v>1.1576084611976398</v>
      </c>
      <c r="BD113" s="1">
        <f ca="1">OFFSET(A113,0, 1) -0</f>
        <v>-9.4583351308178862</v>
      </c>
      <c r="BE113" s="1">
        <f ca="1">OFFSET(A113,0, 7) -0</f>
        <v>-9.0887689756086729</v>
      </c>
      <c r="BF113" s="1">
        <f ca="1">OFFSET(A113,0, 5) -0</f>
        <v>40.788042305988256</v>
      </c>
      <c r="BG113" s="1">
        <f ca="1">OFFSET(A113,0, 4) -0</f>
        <v>-4.2735520532132796</v>
      </c>
      <c r="BH113" s="1">
        <f ca="1">OFFSET(A113,0, 12) -0</f>
        <v>-13.780797179600782</v>
      </c>
      <c r="BI113" s="1">
        <f ca="1">OFFSET(A113,0, 3) -0</f>
        <v>-19.335146412414815</v>
      </c>
      <c r="BJ113" s="1">
        <f ca="1">OFFSET(A113,0, 10) -0</f>
        <v>-3.9039858980038957</v>
      </c>
      <c r="BK113" s="1">
        <f ca="1">OFFSET(A113,0, 8) -0</f>
        <v>-14.027174616407024</v>
      </c>
      <c r="BL113" s="1">
        <f ca="1">OFFSET(A113,0, 6) -0</f>
        <v>25.849636665189792</v>
      </c>
      <c r="BM113" s="1">
        <f ca="1">OFFSET(A113,0, 2) -0</f>
        <v>-4.3967407716163507</v>
      </c>
      <c r="BN113" s="1">
        <f ca="1">OFFSET(A113,0, 9) -0</f>
        <v>-18.965580257205488</v>
      </c>
      <c r="BO113" s="1">
        <f ca="1">OFFSET(A113,0, 22) -0</f>
        <v>26.835146412414815</v>
      </c>
      <c r="BP113" s="1">
        <f ca="1">OFFSET(A113,0, 14) -0</f>
        <v>-23.65760846119764</v>
      </c>
      <c r="BQ113" s="1">
        <f ca="1">OFFSET(A113,0, 20) -0</f>
        <v>-13.288042305988256</v>
      </c>
      <c r="BR113" s="1">
        <f ca="1">OFFSET(A113,0, 18) -0</f>
        <v>16.588768975608673</v>
      </c>
      <c r="BS113" s="1">
        <f ca="1">OFFSET(A113,0, 15) -0</f>
        <v>-68.596014101996104</v>
      </c>
      <c r="BT113" s="1">
        <f ca="1">OFFSET(A113,0, 24) -0</f>
        <v>56.958335130817886</v>
      </c>
      <c r="BU113" s="1">
        <f ca="1">OFFSET(A113,0, 16) -0</f>
        <v>16.465580257205488</v>
      </c>
      <c r="BV113" s="1">
        <f ca="1">OFFSET(A113,0, 23) -0</f>
        <v>11.896740771616351</v>
      </c>
      <c r="BW113" s="1">
        <f ca="1">OFFSET(A113,0, 19) -0</f>
        <v>1.6503633348102085</v>
      </c>
      <c r="BX113" s="1">
        <f ca="1">OFFSET(A113,0, 17) -0</f>
        <v>11.527174616407024</v>
      </c>
      <c r="BY113" s="1">
        <f ca="1">OFFSET(A113,0, 13) -0</f>
        <v>1.280797179600782</v>
      </c>
      <c r="BZ113" s="1">
        <f ca="1">OFFSET(A113,0, 21) -0</f>
        <v>-8.2264479467867204</v>
      </c>
      <c r="CB113" s="1">
        <f>COUNTIF(B113,"&lt;-69")</f>
        <v>0</v>
      </c>
      <c r="CC113" s="1">
        <f ca="1">COUNTIF(BC113:BN113,"&lt;-49")</f>
        <v>0</v>
      </c>
      <c r="CD113" s="1">
        <f ca="1">COUNTIF(BC113:BN113,"&gt;+49")</f>
        <v>0</v>
      </c>
      <c r="CE113" s="1">
        <f ca="1">COUNTIF(BO113:BZ113,"&lt;-49")</f>
        <v>1</v>
      </c>
      <c r="CF113" s="1">
        <f ca="1">COUNTIF(BO113:BZ113,"&gt;+49")</f>
        <v>1</v>
      </c>
    </row>
    <row r="114" spans="1:84">
      <c r="A114" s="1">
        <v>111</v>
      </c>
      <c r="B114" s="1">
        <f>'Team A 1'!B114-'Team A 1'!$AA114-('Team A 1'!B$2- 12.5)*'Team A 1'!$AC114</f>
        <v>25.016207465090702</v>
      </c>
      <c r="C114" s="1">
        <f>'Team A 1'!C114-'Team A 1'!$AA114-('Team A 1'!C$2- 12.5)*'Team A 1'!$AC114</f>
        <v>31.02929087391999</v>
      </c>
      <c r="D114" s="1">
        <f>'Team A 1'!D114-'Team A 1'!$AA114-('Team A 1'!D$2- 12.5)*'Team A 1'!$AC114</f>
        <v>-12.957625717250721</v>
      </c>
      <c r="E114" s="1">
        <f>'Team A 1'!E114-'Team A 1'!$AA114-('Team A 1'!E$2- 12.5)*'Team A 1'!$AC114</f>
        <v>-16.944542308421433</v>
      </c>
      <c r="F114" s="1">
        <f>'Team A 1'!F114-'Team A 1'!$AA114-('Team A 1'!F$2- 12.5)*'Team A 1'!$AC114</f>
        <v>9.0685411004080834</v>
      </c>
      <c r="G114" s="1">
        <f>'Team A 1'!G114-'Team A 1'!$AA114-('Team A 1'!G$2- 12.5)*'Team A 1'!$AC114</f>
        <v>45.081624509237372</v>
      </c>
      <c r="H114" s="1">
        <f>'Team A 1'!H114-'Team A 1'!$AA114-('Team A 1'!H$2- 12.5)*'Team A 1'!$AC114</f>
        <v>1.0947079180666606</v>
      </c>
      <c r="I114" s="1">
        <f>'Team A 1'!I114-'Team A 1'!$AA114-('Team A 1'!I$2- 12.5)*'Team A 1'!$AC114</f>
        <v>27.107791326895949</v>
      </c>
      <c r="J114" s="1">
        <f>'Team A 1'!J114-'Team A 1'!$AA114-('Team A 1'!J$2- 12.5)*'Team A 1'!$AC114</f>
        <v>33.120874735725238</v>
      </c>
      <c r="K114" s="1">
        <f>'Team A 1'!K114-'Team A 1'!$AA114-('Team A 1'!K$2- 12.5)*'Team A 1'!$AC114</f>
        <v>-0.86604185544541679</v>
      </c>
      <c r="L114" s="1">
        <f>'Team A 1'!L114-'Team A 1'!$AA114-('Team A 1'!L$2- 12.5)*'Team A 1'!$AC114</f>
        <v>-114.85295844661613</v>
      </c>
      <c r="M114" s="1">
        <f>'Team A 1'!M114-'Team A 1'!$AA114-('Team A 1'!M$2- 12.5)*'Team A 1'!$AC114</f>
        <v>-18.839875037786797</v>
      </c>
      <c r="N114" s="1">
        <f>'Team A 1'!N114-'Team A 1'!$AA114-('Team A 1'!N$2- 12.5)*'Team A 1'!$AC114</f>
        <v>7.1732083710425201</v>
      </c>
      <c r="O114" s="1">
        <f>'Team A 1'!O114-'Team A 1'!$AA114-('Team A 1'!O$2- 12.5)*'Team A 1'!$AC114</f>
        <v>43.186291779871851</v>
      </c>
      <c r="P114" s="1">
        <f>'Team A 1'!P114-'Team A 1'!$AA114-('Team A 1'!P$2- 12.5)*'Team A 1'!$AC114</f>
        <v>-0.8006248112988601</v>
      </c>
      <c r="Q114" s="1">
        <f>'Team A 1'!Q114-'Team A 1'!$AA114-('Team A 1'!Q$2- 12.5)*'Team A 1'!$AC114</f>
        <v>-34.787541402469515</v>
      </c>
      <c r="R114" s="1">
        <f>'Team A 1'!R114-'Team A 1'!$AA114-('Team A 1'!R$2- 12.5)*'Team A 1'!$AC114</f>
        <v>-18.774457993640226</v>
      </c>
      <c r="S114" s="1">
        <f>'Team A 1'!S114-'Team A 1'!$AA114-('Team A 1'!S$2- 12.5)*'Team A 1'!$AC114</f>
        <v>-12.761374584810937</v>
      </c>
      <c r="T114" s="1">
        <f>'Team A 1'!T114-'Team A 1'!$AA114-('Team A 1'!T$2- 12.5)*'Team A 1'!$AC114</f>
        <v>13.251708824018351</v>
      </c>
      <c r="U114" s="1">
        <f>'Team A 1'!U114-'Team A 1'!$AA114-('Team A 1'!U$2- 12.5)*'Team A 1'!$AC114</f>
        <v>9.2647922328476398</v>
      </c>
      <c r="V114" s="1">
        <f>'Team A 1'!V114-'Team A 1'!$AA114-('Team A 1'!V$2- 12.5)*'Team A 1'!$AC114</f>
        <v>-24.722124358322844</v>
      </c>
      <c r="W114" s="1">
        <f>'Team A 1'!W114-'Team A 1'!$AA114-('Team A 1'!W$2- 12.5)*'Team A 1'!$AC114</f>
        <v>61.290959050506444</v>
      </c>
      <c r="X114" s="1">
        <f>'Team A 1'!X114-'Team A 1'!$AA114-('Team A 1'!X$2- 12.5)*'Team A 1'!$AC114</f>
        <v>-2.6959575406642671</v>
      </c>
      <c r="Y114" s="1">
        <f>'Team A 1'!Y114-'Team A 1'!$AA114-('Team A 1'!Y$2- 12.5)*'Team A 1'!$AC114</f>
        <v>-46.682874131834978</v>
      </c>
      <c r="AB114" s="1">
        <f>STDEV(B114:Y114)</f>
        <v>36.113696283597072</v>
      </c>
      <c r="AD114" s="5">
        <v>2</v>
      </c>
      <c r="AE114" s="5" t="s">
        <v>46</v>
      </c>
      <c r="AF114" s="5">
        <v>7</v>
      </c>
      <c r="AG114" s="5">
        <v>5</v>
      </c>
      <c r="AH114" s="5">
        <v>4</v>
      </c>
      <c r="AI114" s="5" t="s">
        <v>45</v>
      </c>
      <c r="AJ114" s="5">
        <v>3</v>
      </c>
      <c r="AK114" s="5">
        <v>9</v>
      </c>
      <c r="AL114" s="5">
        <v>1</v>
      </c>
      <c r="AM114" s="5" t="s">
        <v>47</v>
      </c>
      <c r="AN114" s="5">
        <v>6</v>
      </c>
      <c r="AO114" s="5">
        <v>8</v>
      </c>
      <c r="AP114" s="5">
        <v>2</v>
      </c>
      <c r="AQ114" s="5">
        <v>7</v>
      </c>
      <c r="AR114" s="5" t="s">
        <v>46</v>
      </c>
      <c r="AS114" s="5">
        <v>4</v>
      </c>
      <c r="AT114" s="5">
        <v>5</v>
      </c>
      <c r="AU114" s="5">
        <v>3</v>
      </c>
      <c r="AV114" s="5" t="s">
        <v>45</v>
      </c>
      <c r="AW114" s="5">
        <v>9</v>
      </c>
      <c r="AX114" s="5" t="s">
        <v>47</v>
      </c>
      <c r="AY114" s="5">
        <v>1</v>
      </c>
      <c r="AZ114" s="5">
        <v>8</v>
      </c>
      <c r="BA114" s="5">
        <v>6</v>
      </c>
      <c r="BB114" s="5"/>
      <c r="BC114" s="1">
        <f ca="1">OFFSET(A114,0, 9) -0</f>
        <v>33.120874735725238</v>
      </c>
      <c r="BD114" s="1">
        <f ca="1">OFFSET(A114,0, 1) -0</f>
        <v>25.016207465090702</v>
      </c>
      <c r="BE114" s="1">
        <f ca="1">OFFSET(A114,0, 7) -0</f>
        <v>1.0947079180666606</v>
      </c>
      <c r="BF114" s="1">
        <f ca="1">OFFSET(A114,0, 5) -0</f>
        <v>9.0685411004080834</v>
      </c>
      <c r="BG114" s="1">
        <f ca="1">OFFSET(A114,0, 4) -0</f>
        <v>-16.944542308421433</v>
      </c>
      <c r="BH114" s="1">
        <f ca="1">OFFSET(A114,0, 11) -0</f>
        <v>-114.85295844661613</v>
      </c>
      <c r="BI114" s="1">
        <f ca="1">OFFSET(A114,0, 3) -0</f>
        <v>-12.957625717250721</v>
      </c>
      <c r="BJ114" s="1">
        <f ca="1">OFFSET(A114,0, 12) -0</f>
        <v>-18.839875037786797</v>
      </c>
      <c r="BK114" s="1">
        <f ca="1">OFFSET(A114,0, 8) -0</f>
        <v>27.107791326895949</v>
      </c>
      <c r="BL114" s="1">
        <f ca="1">OFFSET(A114,0, 6) -0</f>
        <v>45.081624509237372</v>
      </c>
      <c r="BM114" s="1">
        <f ca="1">OFFSET(A114,0, 2) -0</f>
        <v>31.02929087391999</v>
      </c>
      <c r="BN114" s="1">
        <f ca="1">OFFSET(A114,0, 10) -0</f>
        <v>-0.86604185544541679</v>
      </c>
      <c r="BO114" s="1">
        <f ca="1">OFFSET(A114,0, 22) -0</f>
        <v>61.290959050506444</v>
      </c>
      <c r="BP114" s="1">
        <f ca="1">OFFSET(A114,0, 13) -0</f>
        <v>7.1732083710425201</v>
      </c>
      <c r="BQ114" s="1">
        <f ca="1">OFFSET(A114,0, 18) -0</f>
        <v>-12.761374584810937</v>
      </c>
      <c r="BR114" s="1">
        <f ca="1">OFFSET(A114,0, 16) -0</f>
        <v>-34.787541402469515</v>
      </c>
      <c r="BS114" s="1">
        <f ca="1">OFFSET(A114,0, 17) -0</f>
        <v>-18.774457993640226</v>
      </c>
      <c r="BT114" s="1">
        <f ca="1">OFFSET(A114,0, 24) -0</f>
        <v>-46.682874131834978</v>
      </c>
      <c r="BU114" s="1">
        <f ca="1">OFFSET(A114,0, 14) -0</f>
        <v>43.186291779871851</v>
      </c>
      <c r="BV114" s="1">
        <f ca="1">OFFSET(A114,0, 23) -0</f>
        <v>-2.6959575406642671</v>
      </c>
      <c r="BW114" s="1">
        <f ca="1">OFFSET(A114,0, 20) -0</f>
        <v>9.2647922328476398</v>
      </c>
      <c r="BX114" s="1">
        <f ca="1">OFFSET(A114,0, 19) -0</f>
        <v>13.251708824018351</v>
      </c>
      <c r="BY114" s="1">
        <f ca="1">OFFSET(A114,0, 15) -0</f>
        <v>-0.8006248112988601</v>
      </c>
      <c r="BZ114" s="1">
        <f ca="1">OFFSET(A114,0, 21) -0</f>
        <v>-24.722124358322844</v>
      </c>
      <c r="CB114" s="1">
        <f>COUNTIF(B114,"&lt;-69")</f>
        <v>0</v>
      </c>
      <c r="CC114" s="1">
        <f ca="1">COUNTIF(BC114:BN114,"&lt;-48")</f>
        <v>1</v>
      </c>
      <c r="CD114" s="1">
        <f ca="1">COUNTIF(BC114:BN114,"&gt;+48")</f>
        <v>0</v>
      </c>
      <c r="CE114" s="1">
        <f ca="1">COUNTIF(BO114:BZ114,"&lt;-48")</f>
        <v>0</v>
      </c>
      <c r="CF114" s="1">
        <f ca="1">COUNTIF(BO114:BZ114,"&gt;+48")</f>
        <v>1</v>
      </c>
    </row>
    <row r="115" spans="1:84">
      <c r="A115" s="1">
        <v>112</v>
      </c>
      <c r="B115" s="1">
        <f>'Team A 1'!B115-'Team A 1'!$AA115-('Team A 1'!B$2- 12.5)*'Team A 1'!$AC115</f>
        <v>24.892395613176632</v>
      </c>
      <c r="C115" s="1">
        <f>'Team A 1'!C115-'Team A 1'!$AA115-('Team A 1'!C$2- 12.5)*'Team A 1'!$AC115</f>
        <v>12.691607588845727</v>
      </c>
      <c r="D115" s="1">
        <f>'Team A 1'!D115-'Team A 1'!$AA115-('Team A 1'!D$2- 12.5)*'Team A 1'!$AC115</f>
        <v>-9.5091804354851774</v>
      </c>
      <c r="E115" s="1">
        <f>'Team A 1'!E115-'Team A 1'!$AA115-('Team A 1'!E$2- 12.5)*'Team A 1'!$AC115</f>
        <v>-11.709968459815855</v>
      </c>
      <c r="F115" s="1">
        <f>'Team A 1'!F115-'Team A 1'!$AA115-('Team A 1'!F$2- 12.5)*'Team A 1'!$AC115</f>
        <v>-13.910756484146759</v>
      </c>
      <c r="G115" s="1">
        <f>'Team A 1'!G115-'Team A 1'!$AA115-('Team A 1'!G$2- 12.5)*'Team A 1'!$AC115</f>
        <v>13.888455491522564</v>
      </c>
      <c r="H115" s="1">
        <f>'Team A 1'!H115-'Team A 1'!$AA115-('Team A 1'!H$2- 12.5)*'Team A 1'!$AC115</f>
        <v>41.687667467191659</v>
      </c>
      <c r="I115" s="1">
        <f>'Team A 1'!I115-'Team A 1'!$AA115-('Team A 1'!I$2- 12.5)*'Team A 1'!$AC115</f>
        <v>59.486879442860868</v>
      </c>
      <c r="J115" s="1">
        <f>'Team A 1'!J115-'Team A 1'!$AA115-('Team A 1'!J$2- 12.5)*'Team A 1'!$AC115</f>
        <v>-2.7139085814700366</v>
      </c>
      <c r="K115" s="1">
        <f>'Team A 1'!K115-'Team A 1'!$AA115-('Team A 1'!K$2- 12.5)*'Team A 1'!$AC115</f>
        <v>-24.914696605800827</v>
      </c>
      <c r="L115" s="1">
        <f>'Team A 1'!L115-'Team A 1'!$AA115-('Team A 1'!L$2- 12.5)*'Team A 1'!$AC115</f>
        <v>52.884515369868382</v>
      </c>
      <c r="M115" s="1">
        <f>'Team A 1'!M115-'Team A 1'!$AA115-('Team A 1'!M$2- 12.5)*'Team A 1'!$AC115</f>
        <v>40.683727345537548</v>
      </c>
      <c r="N115" s="1">
        <f>'Team A 1'!N115-'Team A 1'!$AA115-('Team A 1'!N$2- 12.5)*'Team A 1'!$AC115</f>
        <v>38.482939321206729</v>
      </c>
      <c r="O115" s="1">
        <f>'Team A 1'!O115-'Team A 1'!$AA115-('Team A 1'!O$2- 12.5)*'Team A 1'!$AC115</f>
        <v>16.282151296875895</v>
      </c>
      <c r="P115" s="1">
        <f>'Team A 1'!P115-'Team A 1'!$AA115-('Team A 1'!P$2- 12.5)*'Team A 1'!$AC115</f>
        <v>-5.9186367274548957</v>
      </c>
      <c r="Q115" s="1">
        <f>'Team A 1'!Q115-'Team A 1'!$AA115-('Team A 1'!Q$2- 12.5)*'Team A 1'!$AC115</f>
        <v>-48.119424751785687</v>
      </c>
      <c r="R115" s="1">
        <f>'Team A 1'!R115-'Team A 1'!$AA115-('Team A 1'!R$2- 12.5)*'Team A 1'!$AC115</f>
        <v>-0.32021277611659116</v>
      </c>
      <c r="S115" s="1">
        <f>'Team A 1'!S115-'Team A 1'!$AA115-('Team A 1'!S$2- 12.5)*'Team A 1'!$AC115</f>
        <v>7.4789991995526179</v>
      </c>
      <c r="T115" s="1">
        <f>'Team A 1'!T115-'Team A 1'!$AA115-('Team A 1'!T$2- 12.5)*'Team A 1'!$AC115</f>
        <v>5.2782111752217133</v>
      </c>
      <c r="U115" s="1">
        <f>'Team A 1'!U115-'Team A 1'!$AA115-('Team A 1'!U$2- 12.5)*'Team A 1'!$AC115</f>
        <v>13.077423150891036</v>
      </c>
      <c r="V115" s="1">
        <f>'Team A 1'!V115-'Team A 1'!$AA115-('Team A 1'!V$2- 12.5)*'Team A 1'!$AC115</f>
        <v>10.876635126560132</v>
      </c>
      <c r="W115" s="1">
        <f>'Team A 1'!W115-'Team A 1'!$AA115-('Team A 1'!W$2- 12.5)*'Team A 1'!$AC115</f>
        <v>38.675847102229454</v>
      </c>
      <c r="X115" s="1">
        <f>'Team A 1'!X115-'Team A 1'!$AA115-('Team A 1'!X$2- 12.5)*'Team A 1'!$AC115</f>
        <v>-143.52494092210145</v>
      </c>
      <c r="Y115" s="1">
        <f>'Team A 1'!Y115-'Team A 1'!$AA115-('Team A 1'!Y$2- 12.5)*'Team A 1'!$AC115</f>
        <v>-115.72572894643235</v>
      </c>
      <c r="AB115" s="1">
        <f>STDEV(B115:Y115)</f>
        <v>47.415231527058168</v>
      </c>
      <c r="AD115" s="5">
        <v>7</v>
      </c>
      <c r="AE115" s="5">
        <v>2</v>
      </c>
      <c r="AF115" s="5">
        <v>4</v>
      </c>
      <c r="AG115" s="5" t="s">
        <v>46</v>
      </c>
      <c r="AH115" s="5">
        <v>3</v>
      </c>
      <c r="AI115" s="5">
        <v>5</v>
      </c>
      <c r="AJ115" s="5">
        <v>9</v>
      </c>
      <c r="AK115" s="5" t="s">
        <v>45</v>
      </c>
      <c r="AL115" s="5">
        <v>1</v>
      </c>
      <c r="AM115" s="5" t="s">
        <v>47</v>
      </c>
      <c r="AN115" s="5">
        <v>6</v>
      </c>
      <c r="AO115" s="5">
        <v>8</v>
      </c>
      <c r="AP115" s="5">
        <v>2</v>
      </c>
      <c r="AQ115" s="5">
        <v>7</v>
      </c>
      <c r="AR115" s="5" t="s">
        <v>46</v>
      </c>
      <c r="AS115" s="5">
        <v>4</v>
      </c>
      <c r="AT115" s="5">
        <v>5</v>
      </c>
      <c r="AU115" s="5">
        <v>3</v>
      </c>
      <c r="AV115" s="5">
        <v>9</v>
      </c>
      <c r="AW115" s="5">
        <v>1</v>
      </c>
      <c r="AX115" s="5" t="s">
        <v>45</v>
      </c>
      <c r="AY115" s="5" t="s">
        <v>47</v>
      </c>
      <c r="AZ115" s="11">
        <v>6</v>
      </c>
      <c r="BA115" s="11">
        <v>8</v>
      </c>
      <c r="BB115" s="5"/>
      <c r="BC115" s="1">
        <f ca="1">OFFSET(A115,0, 9) -0</f>
        <v>-2.7139085814700366</v>
      </c>
      <c r="BD115" s="1">
        <f ca="1">OFFSET(A115,0, 2) -0</f>
        <v>12.691607588845727</v>
      </c>
      <c r="BE115" s="1">
        <f ca="1">OFFSET(A115,0, 5) -0</f>
        <v>-13.910756484146759</v>
      </c>
      <c r="BF115" s="1">
        <f ca="1">OFFSET(A115,0, 3) -0</f>
        <v>-9.5091804354851774</v>
      </c>
      <c r="BG115" s="1">
        <f ca="1">OFFSET(A115,0, 6) -0</f>
        <v>13.888455491522564</v>
      </c>
      <c r="BH115" s="1">
        <f ca="1">OFFSET(A115,0, 11) -0</f>
        <v>52.884515369868382</v>
      </c>
      <c r="BI115" s="1">
        <f ca="1">OFFSET(A115,0, 1) -0</f>
        <v>24.892395613176632</v>
      </c>
      <c r="BJ115" s="1">
        <f ca="1">OFFSET(A115,0, 12) -0</f>
        <v>40.683727345537548</v>
      </c>
      <c r="BK115" s="1">
        <f ca="1">OFFSET(A115,0, 7) -0</f>
        <v>41.687667467191659</v>
      </c>
      <c r="BL115" s="1">
        <f ca="1">OFFSET(A115,0, 8) -0</f>
        <v>59.486879442860868</v>
      </c>
      <c r="BM115" s="1">
        <f ca="1">OFFSET(A115,0, 4) -0</f>
        <v>-11.709968459815855</v>
      </c>
      <c r="BN115" s="1">
        <f ca="1">OFFSET(A115,0, 10) -0</f>
        <v>-24.914696605800827</v>
      </c>
      <c r="BO115" s="1">
        <f ca="1">OFFSET(A115,0, 20) -0</f>
        <v>13.077423150891036</v>
      </c>
      <c r="BP115" s="1">
        <f ca="1">OFFSET(A115,0, 13) -0</f>
        <v>38.482939321206729</v>
      </c>
      <c r="BQ115" s="1">
        <f ca="1">OFFSET(A115,0, 18) -0</f>
        <v>7.4789991995526179</v>
      </c>
      <c r="BR115" s="1">
        <f ca="1">OFFSET(A115,0, 16) -0</f>
        <v>-48.119424751785687</v>
      </c>
      <c r="BS115" s="1">
        <f ca="1">OFFSET(A115,0, 17) -0</f>
        <v>-0.32021277611659116</v>
      </c>
      <c r="BT115" s="1">
        <f ca="1">OFFSET(A115,0, 23) -0</f>
        <v>-143.52494092210145</v>
      </c>
      <c r="BU115" s="1">
        <f ca="1">OFFSET(A115,0, 14) -0</f>
        <v>16.282151296875895</v>
      </c>
      <c r="BV115" s="1">
        <f ca="1">OFFSET(A115,0, 24) -0</f>
        <v>-115.72572894643235</v>
      </c>
      <c r="BW115" s="1">
        <f ca="1">OFFSET(A115,0, 19) -0</f>
        <v>5.2782111752217133</v>
      </c>
      <c r="BX115" s="1">
        <f ca="1">OFFSET(A115,0, 21) -0</f>
        <v>10.876635126560132</v>
      </c>
      <c r="BY115" s="1">
        <f ca="1">OFFSET(A115,0, 15) -0</f>
        <v>-5.9186367274548957</v>
      </c>
      <c r="BZ115" s="1">
        <f ca="1">OFFSET(A115,0, 22) -0</f>
        <v>38.675847102229454</v>
      </c>
      <c r="CB115" s="1">
        <f>COUNTIF(B115,"&lt;-68")</f>
        <v>0</v>
      </c>
      <c r="CC115" s="1">
        <f ca="1">COUNTIF(BC115:BN115,"&lt;-48")</f>
        <v>0</v>
      </c>
      <c r="CD115" s="1">
        <f ca="1">COUNTIF(BC115:BN115,"&gt;+48")</f>
        <v>2</v>
      </c>
      <c r="CE115" s="1">
        <f ca="1">COUNTIF(BO115:BZ115,"&lt;-48")</f>
        <v>3</v>
      </c>
      <c r="CF115" s="1">
        <f ca="1">COUNTIF(BO115:BZ115,"&gt;+48")</f>
        <v>0</v>
      </c>
    </row>
    <row r="116" spans="1:84">
      <c r="A116" s="1">
        <v>113</v>
      </c>
      <c r="B116" s="1">
        <f>'Team A 1'!B116-'Team A 1'!$AA116-('Team A 1'!B$2- 12.5)*'Team A 1'!$AC116</f>
        <v>48.821555509179234</v>
      </c>
      <c r="C116" s="1">
        <f>'Team A 1'!C116-'Team A 1'!$AA116-('Team A 1'!C$2- 12.5)*'Team A 1'!$AC116</f>
        <v>97.547217348957474</v>
      </c>
      <c r="D116" s="1">
        <f>'Team A 1'!D116-'Team A 1'!$AA116-('Team A 1'!D$2- 12.5)*'Team A 1'!$AC116</f>
        <v>86.272879188735715</v>
      </c>
      <c r="E116" s="1">
        <f>'Team A 1'!E116-'Team A 1'!$AA116-('Team A 1'!E$2- 12.5)*'Team A 1'!$AC116</f>
        <v>44.998541028513728</v>
      </c>
      <c r="F116" s="1">
        <f>'Team A 1'!F116-'Team A 1'!$AA116-('Team A 1'!F$2- 12.5)*'Team A 1'!$AC116</f>
        <v>23.724202868291968</v>
      </c>
      <c r="G116" s="1">
        <f>'Team A 1'!G116-'Team A 1'!$AA116-('Team A 1'!G$2- 12.5)*'Team A 1'!$AC116</f>
        <v>42.449864708069981</v>
      </c>
      <c r="H116" s="1">
        <f>'Team A 1'!H116-'Team A 1'!$AA116-('Team A 1'!H$2- 12.5)*'Team A 1'!$AC116</f>
        <v>21.175526547848222</v>
      </c>
      <c r="I116" s="1">
        <f>'Team A 1'!I116-'Team A 1'!$AA116-('Team A 1'!I$2- 12.5)*'Team A 1'!$AC116</f>
        <v>-10.098811612373765</v>
      </c>
      <c r="J116" s="1">
        <f>'Team A 1'!J116-'Team A 1'!$AA116-('Team A 1'!J$2- 12.5)*'Team A 1'!$AC116</f>
        <v>28.626850227404475</v>
      </c>
      <c r="K116" s="1">
        <f>'Team A 1'!K116-'Team A 1'!$AA116-('Team A 1'!K$2- 12.5)*'Team A 1'!$AC116</f>
        <v>-152.64748793281746</v>
      </c>
      <c r="L116" s="1">
        <f>'Team A 1'!L116-'Team A 1'!$AA116-('Team A 1'!L$2- 12.5)*'Team A 1'!$AC116</f>
        <v>-203.92182609303933</v>
      </c>
      <c r="M116" s="1">
        <f>'Team A 1'!M116-'Team A 1'!$AA116-('Team A 1'!M$2- 12.5)*'Team A 1'!$AC116</f>
        <v>-185.1961642532612</v>
      </c>
      <c r="N116" s="1">
        <f>'Team A 1'!N116-'Team A 1'!$AA116-('Team A 1'!N$2- 12.5)*'Team A 1'!$AC116</f>
        <v>33.529497586516925</v>
      </c>
      <c r="O116" s="1">
        <f>'Team A 1'!O116-'Team A 1'!$AA116-('Team A 1'!O$2- 12.5)*'Team A 1'!$AC116</f>
        <v>62.255159426295052</v>
      </c>
      <c r="P116" s="1">
        <f>'Team A 1'!P116-'Team A 1'!$AA116-('Team A 1'!P$2- 12.5)*'Team A 1'!$AC116</f>
        <v>80.980821266073178</v>
      </c>
      <c r="Q116" s="1">
        <f>'Team A 1'!Q116-'Team A 1'!$AA116-('Team A 1'!Q$2- 12.5)*'Team A 1'!$AC116</f>
        <v>69.706483105851248</v>
      </c>
      <c r="R116" s="1">
        <f>'Team A 1'!R116-'Team A 1'!$AA116-('Team A 1'!R$2- 12.5)*'Team A 1'!$AC116</f>
        <v>38.432144945629489</v>
      </c>
      <c r="S116" s="1">
        <f>'Team A 1'!S116-'Team A 1'!$AA116-('Team A 1'!S$2- 12.5)*'Team A 1'!$AC116</f>
        <v>-22.842193214592498</v>
      </c>
      <c r="T116" s="1">
        <f>'Team A 1'!T116-'Team A 1'!$AA116-('Team A 1'!T$2- 12.5)*'Team A 1'!$AC116</f>
        <v>-14.116531374814258</v>
      </c>
      <c r="U116" s="1">
        <f>'Team A 1'!U116-'Team A 1'!$AA116-('Team A 1'!U$2- 12.5)*'Team A 1'!$AC116</f>
        <v>-5.390869535036245</v>
      </c>
      <c r="V116" s="1">
        <f>'Team A 1'!V116-'Team A 1'!$AA116-('Team A 1'!V$2- 12.5)*'Team A 1'!$AC116</f>
        <v>-16.665207695258005</v>
      </c>
      <c r="W116" s="1">
        <f>'Team A 1'!W116-'Team A 1'!$AA116-('Team A 1'!W$2- 12.5)*'Team A 1'!$AC116</f>
        <v>-7.9395458554799916</v>
      </c>
      <c r="X116" s="1">
        <f>'Team A 1'!X116-'Team A 1'!$AA116-('Team A 1'!X$2- 12.5)*'Team A 1'!$AC116</f>
        <v>-89.213884015701751</v>
      </c>
      <c r="Y116" s="1">
        <f>'Team A 1'!Y116-'Team A 1'!$AA116-('Team A 1'!Y$2- 12.5)*'Team A 1'!$AC116</f>
        <v>29.511777824076489</v>
      </c>
      <c r="AB116" s="1">
        <f>STDEV(B116:Y116)</f>
        <v>81.32045119151087</v>
      </c>
      <c r="AD116" s="5">
        <v>7</v>
      </c>
      <c r="AE116" s="5">
        <v>2</v>
      </c>
      <c r="AF116" s="5">
        <v>4</v>
      </c>
      <c r="AG116" s="5" t="s">
        <v>46</v>
      </c>
      <c r="AH116" s="5">
        <v>3</v>
      </c>
      <c r="AI116" s="5">
        <v>5</v>
      </c>
      <c r="AJ116" s="5">
        <v>1</v>
      </c>
      <c r="AK116" s="5">
        <v>9</v>
      </c>
      <c r="AL116" s="11">
        <v>6</v>
      </c>
      <c r="AM116" s="11" t="s">
        <v>47</v>
      </c>
      <c r="AN116" s="11" t="s">
        <v>45</v>
      </c>
      <c r="AO116" s="5">
        <v>8</v>
      </c>
      <c r="AP116" s="5">
        <v>7</v>
      </c>
      <c r="AQ116" s="5">
        <v>4</v>
      </c>
      <c r="AR116" s="5">
        <v>2</v>
      </c>
      <c r="AS116" s="5">
        <v>3</v>
      </c>
      <c r="AT116" s="5" t="s">
        <v>46</v>
      </c>
      <c r="AU116" s="5">
        <v>5</v>
      </c>
      <c r="AV116" s="5">
        <v>9</v>
      </c>
      <c r="AW116" s="5">
        <v>1</v>
      </c>
      <c r="AX116" s="5" t="s">
        <v>47</v>
      </c>
      <c r="AY116" s="11" t="s">
        <v>45</v>
      </c>
      <c r="AZ116" s="11">
        <v>6</v>
      </c>
      <c r="BA116" s="5">
        <v>8</v>
      </c>
      <c r="BB116" s="5"/>
      <c r="BC116" s="1">
        <f ca="1">OFFSET(A116,0, 7) -0</f>
        <v>21.175526547848222</v>
      </c>
      <c r="BD116" s="1">
        <f ca="1">OFFSET(A116,0, 2) -0</f>
        <v>97.547217348957474</v>
      </c>
      <c r="BE116" s="1">
        <f ca="1">OFFSET(A116,0, 5) -0</f>
        <v>23.724202868291968</v>
      </c>
      <c r="BF116" s="1">
        <f ca="1">OFFSET(A116,0, 3) -0</f>
        <v>86.272879188735715</v>
      </c>
      <c r="BG116" s="1">
        <f ca="1">OFFSET(A116,0, 6) -0</f>
        <v>42.449864708069981</v>
      </c>
      <c r="BH116" s="1">
        <f ca="1">OFFSET(A116,0, 9) -0</f>
        <v>28.626850227404475</v>
      </c>
      <c r="BI116" s="1">
        <f ca="1">OFFSET(A116,0, 1) -0</f>
        <v>48.821555509179234</v>
      </c>
      <c r="BJ116" s="1">
        <f ca="1">OFFSET(A116,0, 12) -0</f>
        <v>-185.1961642532612</v>
      </c>
      <c r="BK116" s="1">
        <f ca="1">OFFSET(A116,0, 8) -0</f>
        <v>-10.098811612373765</v>
      </c>
      <c r="BL116" s="1">
        <f ca="1">OFFSET(A116,0, 11) -0</f>
        <v>-203.92182609303933</v>
      </c>
      <c r="BM116" s="1">
        <f ca="1">OFFSET(A116,0, 4) -0</f>
        <v>44.998541028513728</v>
      </c>
      <c r="BN116" s="1">
        <f ca="1">OFFSET(A116,0, 10) -0</f>
        <v>-152.64748793281746</v>
      </c>
      <c r="BO116" s="1">
        <f ca="1">OFFSET(A116,0, 20) -0</f>
        <v>-5.390869535036245</v>
      </c>
      <c r="BP116" s="1">
        <f ca="1">OFFSET(A116,0, 15) -0</f>
        <v>80.980821266073178</v>
      </c>
      <c r="BQ116" s="1">
        <f ca="1">OFFSET(A116,0, 16) -0</f>
        <v>69.706483105851248</v>
      </c>
      <c r="BR116" s="1">
        <f ca="1">OFFSET(A116,0, 14) -0</f>
        <v>62.255159426295052</v>
      </c>
      <c r="BS116" s="1">
        <f ca="1">OFFSET(A116,0, 18) -0</f>
        <v>-22.842193214592498</v>
      </c>
      <c r="BT116" s="1">
        <f ca="1">OFFSET(A116,0, 23) -0</f>
        <v>-89.213884015701751</v>
      </c>
      <c r="BU116" s="1">
        <f ca="1">OFFSET(A116,0, 13) -0</f>
        <v>33.529497586516925</v>
      </c>
      <c r="BV116" s="1">
        <f ca="1">OFFSET(A116,0, 24) -0</f>
        <v>29.511777824076489</v>
      </c>
      <c r="BW116" s="1">
        <f ca="1">OFFSET(A116,0, 19) -0</f>
        <v>-14.116531374814258</v>
      </c>
      <c r="BX116" s="1">
        <f ca="1">OFFSET(A116,0, 22) -0</f>
        <v>-7.9395458554799916</v>
      </c>
      <c r="BY116" s="1">
        <f ca="1">OFFSET(A116,0, 17) -0</f>
        <v>38.432144945629489</v>
      </c>
      <c r="BZ116" s="1">
        <f ca="1">OFFSET(A116,0, 21) -0</f>
        <v>-16.665207695258005</v>
      </c>
      <c r="CB116" s="1">
        <f>COUNTIF(B116,"&lt;-68")</f>
        <v>0</v>
      </c>
      <c r="CC116" s="1">
        <f ca="1">COUNTIF(BC116:BN116,"&lt;-48")</f>
        <v>3</v>
      </c>
      <c r="CD116" s="1">
        <f ca="1">COUNTIF(BC116:BN116,"&gt;+48")</f>
        <v>3</v>
      </c>
      <c r="CE116" s="1">
        <f ca="1">COUNTIF(BO116:BZ116,"&lt;-48")</f>
        <v>1</v>
      </c>
      <c r="CF116" s="1">
        <f ca="1">COUNTIF(BO116:BZ116,"&gt;+48")</f>
        <v>3</v>
      </c>
    </row>
    <row r="117" spans="1:84">
      <c r="A117" s="1">
        <v>114</v>
      </c>
      <c r="B117" s="1">
        <f>'Team A 1'!B117-'Team A 1'!$AA117-('Team A 1'!B$2- 12.5)*'Team A 1'!$AC117</f>
        <v>-42.496123390001685</v>
      </c>
      <c r="C117" s="1">
        <f>'Team A 1'!C117-'Team A 1'!$AA117-('Team A 1'!C$2- 12.5)*'Team A 1'!$AC117</f>
        <v>-33.945735848838694</v>
      </c>
      <c r="D117" s="1">
        <f>'Team A 1'!D117-'Team A 1'!$AA117-('Team A 1'!D$2- 12.5)*'Team A 1'!$AC117</f>
        <v>24.604651692324296</v>
      </c>
      <c r="E117" s="1">
        <f>'Team A 1'!E117-'Team A 1'!$AA117-('Team A 1'!E$2- 12.5)*'Team A 1'!$AC117</f>
        <v>3.1550392334872868</v>
      </c>
      <c r="F117" s="1">
        <f>'Team A 1'!F117-'Team A 1'!$AA117-('Team A 1'!F$2- 12.5)*'Team A 1'!$AC117</f>
        <v>31.70542677465005</v>
      </c>
      <c r="G117" s="1">
        <f>'Team A 1'!G117-'Team A 1'!$AA117-('Team A 1'!G$2- 12.5)*'Team A 1'!$AC117</f>
        <v>40.255814315813041</v>
      </c>
      <c r="H117" s="1">
        <f>'Team A 1'!H117-'Team A 1'!$AA117-('Team A 1'!H$2- 12.5)*'Team A 1'!$AC117</f>
        <v>38.806201856976031</v>
      </c>
      <c r="I117" s="1">
        <f>'Team A 1'!I117-'Team A 1'!$AA117-('Team A 1'!I$2- 12.5)*'Team A 1'!$AC117</f>
        <v>-22.643410601861092</v>
      </c>
      <c r="J117" s="1">
        <f>'Team A 1'!J117-'Team A 1'!$AA117-('Team A 1'!J$2- 12.5)*'Team A 1'!$AC117</f>
        <v>35.906976939301899</v>
      </c>
      <c r="K117" s="1">
        <f>'Team A 1'!K117-'Team A 1'!$AA117-('Team A 1'!K$2- 12.5)*'Team A 1'!$AC117</f>
        <v>34.457364480464776</v>
      </c>
      <c r="L117" s="1">
        <f>'Team A 1'!L117-'Team A 1'!$AA117-('Team A 1'!L$2- 12.5)*'Team A 1'!$AC117</f>
        <v>33.007752021627766</v>
      </c>
      <c r="M117" s="1">
        <f>'Team A 1'!M117-'Team A 1'!$AA117-('Team A 1'!M$2- 12.5)*'Team A 1'!$AC117</f>
        <v>-38.441860437209328</v>
      </c>
      <c r="N117" s="1">
        <f>'Team A 1'!N117-'Team A 1'!$AA117-('Team A 1'!N$2- 12.5)*'Team A 1'!$AC117</f>
        <v>20.108527103953605</v>
      </c>
      <c r="O117" s="1">
        <f>'Team A 1'!O117-'Team A 1'!$AA117-('Team A 1'!O$2- 12.5)*'Team A 1'!$AC117</f>
        <v>-31.341085354883489</v>
      </c>
      <c r="P117" s="1">
        <f>'Team A 1'!P117-'Team A 1'!$AA117-('Team A 1'!P$2- 12.5)*'Team A 1'!$AC117</f>
        <v>-2.7906978137204987</v>
      </c>
      <c r="Q117" s="1">
        <f>'Team A 1'!Q117-'Team A 1'!$AA117-('Team A 1'!Q$2- 12.5)*'Team A 1'!$AC117</f>
        <v>5.7596897274423782</v>
      </c>
      <c r="R117" s="1">
        <f>'Team A 1'!R117-'Team A 1'!$AA117-('Team A 1'!R$2- 12.5)*'Team A 1'!$AC117</f>
        <v>-15.689922731394631</v>
      </c>
      <c r="S117" s="1">
        <f>'Team A 1'!S117-'Team A 1'!$AA117-('Team A 1'!S$2- 12.5)*'Team A 1'!$AC117</f>
        <v>12.860464809768246</v>
      </c>
      <c r="T117" s="1">
        <f>'Team A 1'!T117-'Team A 1'!$AA117-('Team A 1'!T$2- 12.5)*'Team A 1'!$AC117</f>
        <v>51.410852350931236</v>
      </c>
      <c r="U117" s="1">
        <f>'Team A 1'!U117-'Team A 1'!$AA117-('Team A 1'!U$2- 12.5)*'Team A 1'!$AC117</f>
        <v>-10.038760107905773</v>
      </c>
      <c r="V117" s="1">
        <f>'Team A 1'!V117-'Team A 1'!$AA117-('Team A 1'!V$2- 12.5)*'Team A 1'!$AC117</f>
        <v>8.5116274332569901</v>
      </c>
      <c r="W117" s="1">
        <f>'Team A 1'!W117-'Team A 1'!$AA117-('Team A 1'!W$2- 12.5)*'Team A 1'!$AC117</f>
        <v>-142.93798502558002</v>
      </c>
      <c r="X117" s="1">
        <f>'Team A 1'!X117-'Team A 1'!$AA117-('Team A 1'!X$2- 12.5)*'Team A 1'!$AC117</f>
        <v>-84.387597484417029</v>
      </c>
      <c r="Y117" s="1">
        <f>'Team A 1'!Y117-'Team A 1'!$AA117-('Team A 1'!Y$2- 12.5)*'Team A 1'!$AC117</f>
        <v>84.162790056745962</v>
      </c>
      <c r="AB117" s="1">
        <f>STDEV(B117:Y117)</f>
        <v>47.800877444043834</v>
      </c>
      <c r="AD117" s="5">
        <v>4</v>
      </c>
      <c r="AE117" s="5">
        <v>7</v>
      </c>
      <c r="AF117" s="5">
        <v>3</v>
      </c>
      <c r="AG117" s="5">
        <v>2</v>
      </c>
      <c r="AH117" s="5">
        <v>5</v>
      </c>
      <c r="AI117" s="5" t="s">
        <v>46</v>
      </c>
      <c r="AJ117" s="5">
        <v>1</v>
      </c>
      <c r="AK117" s="5">
        <v>9</v>
      </c>
      <c r="AL117" s="5">
        <v>6</v>
      </c>
      <c r="AM117" s="5" t="s">
        <v>47</v>
      </c>
      <c r="AN117" s="5">
        <v>8</v>
      </c>
      <c r="AO117" s="5" t="s">
        <v>45</v>
      </c>
      <c r="AP117" s="5">
        <v>7</v>
      </c>
      <c r="AQ117" s="5">
        <v>4</v>
      </c>
      <c r="AR117" s="5">
        <v>2</v>
      </c>
      <c r="AS117" s="5">
        <v>3</v>
      </c>
      <c r="AT117" s="5">
        <v>5</v>
      </c>
      <c r="AU117" s="5">
        <v>1</v>
      </c>
      <c r="AV117" s="5" t="s">
        <v>46</v>
      </c>
      <c r="AW117" s="5">
        <v>9</v>
      </c>
      <c r="AX117" s="11">
        <v>6</v>
      </c>
      <c r="AY117" s="11" t="s">
        <v>47</v>
      </c>
      <c r="AZ117" s="5" t="s">
        <v>45</v>
      </c>
      <c r="BA117" s="5">
        <v>8</v>
      </c>
      <c r="BB117" s="5"/>
      <c r="BC117" s="1">
        <f ca="1">OFFSET(A117,0, 7) -0</f>
        <v>38.806201856976031</v>
      </c>
      <c r="BD117" s="1">
        <f ca="1">OFFSET(A117,0, 4) -0</f>
        <v>3.1550392334872868</v>
      </c>
      <c r="BE117" s="1">
        <f ca="1">OFFSET(A117,0, 3) -0</f>
        <v>24.604651692324296</v>
      </c>
      <c r="BF117" s="1">
        <f ca="1">OFFSET(A117,0, 1) -0</f>
        <v>-42.496123390001685</v>
      </c>
      <c r="BG117" s="1">
        <f ca="1">OFFSET(A117,0, 5) -0</f>
        <v>31.70542677465005</v>
      </c>
      <c r="BH117" s="1">
        <f ca="1">OFFSET(A117,0, 9) -0</f>
        <v>35.906976939301899</v>
      </c>
      <c r="BI117" s="1">
        <f ca="1">OFFSET(A117,0, 2) -0</f>
        <v>-33.945735848838694</v>
      </c>
      <c r="BJ117" s="1">
        <f ca="1">OFFSET(A117,0, 11) -0</f>
        <v>33.007752021627766</v>
      </c>
      <c r="BK117" s="1">
        <f ca="1">OFFSET(A117,0, 8) -0</f>
        <v>-22.643410601861092</v>
      </c>
      <c r="BL117" s="1">
        <f ca="1">OFFSET(A117,0, 12) -0</f>
        <v>-38.441860437209328</v>
      </c>
      <c r="BM117" s="1">
        <f ca="1">OFFSET(A117,0, 6) -0</f>
        <v>40.255814315813041</v>
      </c>
      <c r="BN117" s="1">
        <f ca="1">OFFSET(A117,0, 10) -0</f>
        <v>34.457364480464776</v>
      </c>
      <c r="BO117" s="1">
        <f ca="1">OFFSET(A117,0, 18) -0</f>
        <v>12.860464809768246</v>
      </c>
      <c r="BP117" s="1">
        <f ca="1">OFFSET(A117,0, 15) -0</f>
        <v>-2.7906978137204987</v>
      </c>
      <c r="BQ117" s="1">
        <f ca="1">OFFSET(A117,0, 16) -0</f>
        <v>5.7596897274423782</v>
      </c>
      <c r="BR117" s="1">
        <f ca="1">OFFSET(A117,0, 14) -0</f>
        <v>-31.341085354883489</v>
      </c>
      <c r="BS117" s="1">
        <f ca="1">OFFSET(A117,0, 17) -0</f>
        <v>-15.689922731394631</v>
      </c>
      <c r="BT117" s="1">
        <f ca="1">OFFSET(A117,0, 21) -0</f>
        <v>8.5116274332569901</v>
      </c>
      <c r="BU117" s="1">
        <f ca="1">OFFSET(A117,0, 13) -0</f>
        <v>20.108527103953605</v>
      </c>
      <c r="BV117" s="1">
        <f ca="1">OFFSET(A117,0, 24) -0</f>
        <v>84.162790056745962</v>
      </c>
      <c r="BW117" s="1">
        <f ca="1">OFFSET(A117,0, 20) -0</f>
        <v>-10.038760107905773</v>
      </c>
      <c r="BX117" s="1">
        <f ca="1">OFFSET(A117,0, 23) -0</f>
        <v>-84.387597484417029</v>
      </c>
      <c r="BY117" s="1">
        <f ca="1">OFFSET(A117,0, 19) -0</f>
        <v>51.410852350931236</v>
      </c>
      <c r="BZ117" s="1">
        <f ca="1">OFFSET(A117,0, 22) -0</f>
        <v>-142.93798502558002</v>
      </c>
      <c r="CB117" s="1">
        <f>COUNTIF(B117,"&lt;-68")</f>
        <v>0</v>
      </c>
      <c r="CC117" s="1">
        <f ca="1">COUNTIF(BC117:BN117,"&lt;-48")</f>
        <v>0</v>
      </c>
      <c r="CD117" s="1">
        <f ca="1">COUNTIF(BC117:BN117,"&gt;+48")</f>
        <v>0</v>
      </c>
      <c r="CE117" s="1">
        <f ca="1">COUNTIF(BO117:BZ117,"&lt;-48")</f>
        <v>2</v>
      </c>
      <c r="CF117" s="1">
        <f ca="1">COUNTIF(BO117:BZ117,"&gt;+48")</f>
        <v>2</v>
      </c>
    </row>
    <row r="118" spans="1:84">
      <c r="A118" s="1">
        <v>115</v>
      </c>
      <c r="B118" s="1">
        <f>'Team A 1'!B118-'Team A 1'!$AA118-('Team A 1'!B$2- 12.5)*'Team A 1'!$AC118</f>
        <v>-15.510987522988671</v>
      </c>
      <c r="C118" s="1">
        <f>'Team A 1'!C118-'Team A 1'!$AA118-('Team A 1'!C$2- 12.5)*'Team A 1'!$AC118</f>
        <v>12.939243276108527</v>
      </c>
      <c r="D118" s="1">
        <f>'Team A 1'!D118-'Team A 1'!$AA118-('Team A 1'!D$2- 12.5)*'Team A 1'!$AC118</f>
        <v>21.389474075205499</v>
      </c>
      <c r="E118" s="1">
        <f>'Team A 1'!E118-'Team A 1'!$AA118-('Team A 1'!E$2- 12.5)*'Team A 1'!$AC118</f>
        <v>19.839704874302697</v>
      </c>
      <c r="F118" s="1">
        <f>'Team A 1'!F118-'Team A 1'!$AA118-('Team A 1'!F$2- 12.5)*'Team A 1'!$AC118</f>
        <v>8.2899356733996683</v>
      </c>
      <c r="G118" s="1">
        <f>'Team A 1'!G118-'Team A 1'!$AA118-('Team A 1'!G$2- 12.5)*'Team A 1'!$AC118</f>
        <v>6.7401664724968668</v>
      </c>
      <c r="H118" s="1">
        <f>'Team A 1'!H118-'Team A 1'!$AA118-('Team A 1'!H$2- 12.5)*'Team A 1'!$AC118</f>
        <v>-24.809602728406162</v>
      </c>
      <c r="I118" s="1">
        <f>'Team A 1'!I118-'Team A 1'!$AA118-('Team A 1'!I$2- 12.5)*'Team A 1'!$AC118</f>
        <v>-46.359371929308963</v>
      </c>
      <c r="J118" s="1">
        <f>'Team A 1'!J118-'Team A 1'!$AA118-('Team A 1'!J$2- 12.5)*'Team A 1'!$AC118</f>
        <v>-7.9091411302119923</v>
      </c>
      <c r="K118" s="1">
        <f>'Team A 1'!K118-'Team A 1'!$AA118-('Team A 1'!K$2- 12.5)*'Team A 1'!$AC118</f>
        <v>10.541089668885149</v>
      </c>
      <c r="L118" s="1">
        <f>'Team A 1'!L118-'Team A 1'!$AA118-('Team A 1'!L$2- 12.5)*'Team A 1'!$AC118</f>
        <v>28.991320467982234</v>
      </c>
      <c r="M118" s="1">
        <f>'Team A 1'!M118-'Team A 1'!$AA118-('Team A 1'!M$2- 12.5)*'Team A 1'!$AC118</f>
        <v>47.441551267079319</v>
      </c>
      <c r="N118" s="1">
        <f>'Team A 1'!N118-'Team A 1'!$AA118-('Team A 1'!N$2- 12.5)*'Team A 1'!$AC118</f>
        <v>-34.108217933823596</v>
      </c>
      <c r="O118" s="1">
        <f>'Team A 1'!O118-'Team A 1'!$AA118-('Team A 1'!O$2- 12.5)*'Team A 1'!$AC118</f>
        <v>-15.657987134726511</v>
      </c>
      <c r="P118" s="1">
        <f>'Team A 1'!P118-'Team A 1'!$AA118-('Team A 1'!P$2- 12.5)*'Team A 1'!$AC118</f>
        <v>-27.207756335629426</v>
      </c>
      <c r="Q118" s="1">
        <f>'Team A 1'!Q118-'Team A 1'!$AA118-('Team A 1'!Q$2- 12.5)*'Team A 1'!$AC118</f>
        <v>11.242474463467715</v>
      </c>
      <c r="R118" s="1">
        <f>'Team A 1'!R118-'Team A 1'!$AA118-('Team A 1'!R$2- 12.5)*'Team A 1'!$AC118</f>
        <v>-0.30729473743531344</v>
      </c>
      <c r="S118" s="1">
        <f>'Team A 1'!S118-'Team A 1'!$AA118-('Team A 1'!S$2- 12.5)*'Team A 1'!$AC118</f>
        <v>-1.8570639383381149</v>
      </c>
      <c r="T118" s="1">
        <f>'Team A 1'!T118-'Team A 1'!$AA118-('Team A 1'!T$2- 12.5)*'Team A 1'!$AC118</f>
        <v>-33.406833139241144</v>
      </c>
      <c r="U118" s="1">
        <f>'Team A 1'!U118-'Team A 1'!$AA118-('Team A 1'!U$2- 12.5)*'Team A 1'!$AC118</f>
        <v>25.043397659856055</v>
      </c>
      <c r="V118" s="1">
        <f>'Team A 1'!V118-'Team A 1'!$AA118-('Team A 1'!V$2- 12.5)*'Team A 1'!$AC118</f>
        <v>-16.506371541046974</v>
      </c>
      <c r="W118" s="1">
        <f>'Team A 1'!W118-'Team A 1'!$AA118-('Team A 1'!W$2- 12.5)*'Team A 1'!$AC118</f>
        <v>-18.056140741949775</v>
      </c>
      <c r="X118" s="1">
        <f>'Team A 1'!X118-'Team A 1'!$AA118-('Team A 1'!X$2- 12.5)*'Team A 1'!$AC118</f>
        <v>-9.6059099428528043</v>
      </c>
      <c r="Y118" s="1">
        <f>'Team A 1'!Y118-'Team A 1'!$AA118-('Team A 1'!Y$2- 12.5)*'Team A 1'!$AC118</f>
        <v>58.844320856244394</v>
      </c>
      <c r="AB118" s="1">
        <f>STDEV(B118:Y118)</f>
        <v>26.025244634523546</v>
      </c>
      <c r="AD118" s="5">
        <v>4</v>
      </c>
      <c r="AE118" s="5">
        <v>7</v>
      </c>
      <c r="AF118" s="5">
        <v>3</v>
      </c>
      <c r="AG118" s="5">
        <v>2</v>
      </c>
      <c r="AH118" s="5">
        <v>1</v>
      </c>
      <c r="AI118" s="5">
        <v>5</v>
      </c>
      <c r="AJ118" s="5">
        <v>9</v>
      </c>
      <c r="AK118" s="5" t="s">
        <v>46</v>
      </c>
      <c r="AL118" s="5">
        <v>6</v>
      </c>
      <c r="AM118" s="5" t="s">
        <v>47</v>
      </c>
      <c r="AN118" s="5">
        <v>8</v>
      </c>
      <c r="AO118" s="5" t="s">
        <v>45</v>
      </c>
      <c r="AP118" s="5">
        <v>4</v>
      </c>
      <c r="AQ118" s="5">
        <v>3</v>
      </c>
      <c r="AR118" s="5">
        <v>7</v>
      </c>
      <c r="AS118" s="5">
        <v>2</v>
      </c>
      <c r="AT118" s="5">
        <v>5</v>
      </c>
      <c r="AU118" s="5">
        <v>1</v>
      </c>
      <c r="AV118" s="5">
        <v>9</v>
      </c>
      <c r="AW118" s="5">
        <v>6</v>
      </c>
      <c r="AX118" s="5" t="s">
        <v>46</v>
      </c>
      <c r="AY118" s="5">
        <v>8</v>
      </c>
      <c r="AZ118" s="5" t="s">
        <v>47</v>
      </c>
      <c r="BA118" s="5" t="s">
        <v>45</v>
      </c>
      <c r="BB118" s="5"/>
      <c r="BC118" s="1">
        <f ca="1">OFFSET(A118,0, 5) -0</f>
        <v>8.2899356733996683</v>
      </c>
      <c r="BD118" s="1">
        <f ca="1">OFFSET(A118,0, 4) -0</f>
        <v>19.839704874302697</v>
      </c>
      <c r="BE118" s="1">
        <f ca="1">OFFSET(A118,0, 3) -0</f>
        <v>21.389474075205499</v>
      </c>
      <c r="BF118" s="1">
        <f ca="1">OFFSET(A118,0, 1) -0</f>
        <v>-15.510987522988671</v>
      </c>
      <c r="BG118" s="1">
        <f ca="1">OFFSET(A118,0, 6) -0</f>
        <v>6.7401664724968668</v>
      </c>
      <c r="BH118" s="1">
        <f ca="1">OFFSET(A118,0, 9) -0</f>
        <v>-7.9091411302119923</v>
      </c>
      <c r="BI118" s="1">
        <f ca="1">OFFSET(A118,0, 2) -0</f>
        <v>12.939243276108527</v>
      </c>
      <c r="BJ118" s="1">
        <f ca="1">OFFSET(A118,0, 11) -0</f>
        <v>28.991320467982234</v>
      </c>
      <c r="BK118" s="1">
        <f ca="1">OFFSET(A118,0, 7) -0</f>
        <v>-24.809602728406162</v>
      </c>
      <c r="BL118" s="1">
        <f ca="1">OFFSET(A118,0, 12) -0</f>
        <v>47.441551267079319</v>
      </c>
      <c r="BM118" s="1">
        <f ca="1">OFFSET(A118,0, 8) -0</f>
        <v>-46.359371929308963</v>
      </c>
      <c r="BN118" s="1">
        <f ca="1">OFFSET(A118,0, 10) -0</f>
        <v>10.541089668885149</v>
      </c>
      <c r="BO118" s="1">
        <f ca="1">OFFSET(A118,0, 18) -0</f>
        <v>-1.8570639383381149</v>
      </c>
      <c r="BP118" s="1">
        <f ca="1">OFFSET(A118,0, 16) -0</f>
        <v>11.242474463467715</v>
      </c>
      <c r="BQ118" s="1">
        <f ca="1">OFFSET(A118,0, 14) -0</f>
        <v>-15.657987134726511</v>
      </c>
      <c r="BR118" s="1">
        <f ca="1">OFFSET(A118,0, 13) -0</f>
        <v>-34.108217933823596</v>
      </c>
      <c r="BS118" s="1">
        <f ca="1">OFFSET(A118,0, 17) -0</f>
        <v>-0.30729473743531344</v>
      </c>
      <c r="BT118" s="1">
        <f ca="1">OFFSET(A118,0, 20) -0</f>
        <v>25.043397659856055</v>
      </c>
      <c r="BU118" s="1">
        <f ca="1">OFFSET(A118,0, 15) -0</f>
        <v>-27.207756335629426</v>
      </c>
      <c r="BV118" s="1">
        <f ca="1">OFFSET(A118,0, 22) -0</f>
        <v>-18.056140741949775</v>
      </c>
      <c r="BW118" s="1">
        <f ca="1">OFFSET(A118,0, 19) -0</f>
        <v>-33.406833139241144</v>
      </c>
      <c r="BX118" s="1">
        <f ca="1">OFFSET(A118,0, 24) -0</f>
        <v>58.844320856244394</v>
      </c>
      <c r="BY118" s="1">
        <f ca="1">OFFSET(A118,0, 21) -0</f>
        <v>-16.506371541046974</v>
      </c>
      <c r="BZ118" s="1">
        <f ca="1">OFFSET(A118,0, 23) -0</f>
        <v>-9.6059099428528043</v>
      </c>
      <c r="CB118" s="1">
        <f>COUNTIF(B118,"&lt;-68")</f>
        <v>0</v>
      </c>
      <c r="CC118" s="1">
        <f ca="1">COUNTIF(BC118:BN118,"&lt;-48")</f>
        <v>0</v>
      </c>
      <c r="CD118" s="1">
        <f ca="1">COUNTIF(BC118:BN118,"&gt;+48")</f>
        <v>0</v>
      </c>
      <c r="CE118" s="1">
        <f ca="1">COUNTIF(BO118:BZ118,"&lt;-48")</f>
        <v>0</v>
      </c>
      <c r="CF118" s="1">
        <f ca="1">COUNTIF(BO118:BZ118,"&gt;+48")</f>
        <v>1</v>
      </c>
    </row>
    <row r="119" spans="1:84">
      <c r="A119" s="1">
        <v>116</v>
      </c>
      <c r="B119" s="1">
        <f>'Team A 1'!B119-'Team A 1'!$AA119-('Team A 1'!B$2- 12.5)*'Team A 1'!$AC119</f>
        <v>32.778543712858664</v>
      </c>
      <c r="C119" s="1">
        <f>'Team A 1'!C119-'Team A 1'!$AA119-('Team A 1'!C$2- 12.5)*'Team A 1'!$AC119</f>
        <v>40.652873245077444</v>
      </c>
      <c r="D119" s="1">
        <f>'Team A 1'!D119-'Team A 1'!$AA119-('Team A 1'!D$2- 12.5)*'Team A 1'!$AC119</f>
        <v>58.52720277729577</v>
      </c>
      <c r="E119" s="1">
        <f>'Team A 1'!E119-'Team A 1'!$AA119-('Team A 1'!E$2- 12.5)*'Team A 1'!$AC119</f>
        <v>36.40153230951455</v>
      </c>
      <c r="F119" s="1">
        <f>'Team A 1'!F119-'Team A 1'!$AA119-('Team A 1'!F$2- 12.5)*'Team A 1'!$AC119</f>
        <v>34.275861841732876</v>
      </c>
      <c r="G119" s="1">
        <f>'Team A 1'!G119-'Team A 1'!$AA119-('Team A 1'!G$2- 12.5)*'Team A 1'!$AC119</f>
        <v>12.150191373951657</v>
      </c>
      <c r="H119" s="1">
        <f>'Team A 1'!H119-'Team A 1'!$AA119-('Team A 1'!H$2- 12.5)*'Team A 1'!$AC119</f>
        <v>20.024520906169982</v>
      </c>
      <c r="I119" s="1">
        <f>'Team A 1'!I119-'Team A 1'!$AA119-('Team A 1'!I$2- 12.5)*'Team A 1'!$AC119</f>
        <v>-12.101149561611351</v>
      </c>
      <c r="J119" s="1">
        <f>'Team A 1'!J119-'Team A 1'!$AA119-('Team A 1'!J$2- 12.5)*'Team A 1'!$AC119</f>
        <v>-54.226820029392798</v>
      </c>
      <c r="K119" s="1">
        <f>'Team A 1'!K119-'Team A 1'!$AA119-('Team A 1'!K$2- 12.5)*'Team A 1'!$AC119</f>
        <v>-16.352490497174244</v>
      </c>
      <c r="L119" s="1">
        <f>'Team A 1'!L119-'Team A 1'!$AA119-('Team A 1'!L$2- 12.5)*'Team A 1'!$AC119</f>
        <v>1.5218390350443087</v>
      </c>
      <c r="M119" s="1">
        <f>'Team A 1'!M119-'Team A 1'!$AA119-('Team A 1'!M$2- 12.5)*'Team A 1'!$AC119</f>
        <v>-10.603831432737138</v>
      </c>
      <c r="N119" s="1">
        <f>'Team A 1'!N119-'Team A 1'!$AA119-('Team A 1'!N$2- 12.5)*'Team A 1'!$AC119</f>
        <v>-2.729501900518585</v>
      </c>
      <c r="O119" s="1">
        <f>'Team A 1'!O119-'Team A 1'!$AA119-('Team A 1'!O$2- 12.5)*'Team A 1'!$AC119</f>
        <v>-4.8551723683000318</v>
      </c>
      <c r="P119" s="1">
        <f>'Team A 1'!P119-'Team A 1'!$AA119-('Team A 1'!P$2- 12.5)*'Team A 1'!$AC119</f>
        <v>13.019157163918521</v>
      </c>
      <c r="Q119" s="1">
        <f>'Team A 1'!Q119-'Team A 1'!$AA119-('Team A 1'!Q$2- 12.5)*'Team A 1'!$AC119</f>
        <v>30.893486696137074</v>
      </c>
      <c r="R119" s="1">
        <f>'Team A 1'!R119-'Team A 1'!$AA119-('Team A 1'!R$2- 12.5)*'Team A 1'!$AC119</f>
        <v>-11.232183771644372</v>
      </c>
      <c r="S119" s="1">
        <f>'Team A 1'!S119-'Team A 1'!$AA119-('Team A 1'!S$2- 12.5)*'Team A 1'!$AC119</f>
        <v>-33.357854239425706</v>
      </c>
      <c r="T119" s="1">
        <f>'Team A 1'!T119-'Team A 1'!$AA119-('Team A 1'!T$2- 12.5)*'Team A 1'!$AC119</f>
        <v>-35.48352470720738</v>
      </c>
      <c r="U119" s="1">
        <f>'Team A 1'!U119-'Team A 1'!$AA119-('Team A 1'!U$2- 12.5)*'Team A 1'!$AC119</f>
        <v>-57.609195174988599</v>
      </c>
      <c r="V119" s="1">
        <f>'Team A 1'!V119-'Team A 1'!$AA119-('Team A 1'!V$2- 12.5)*'Team A 1'!$AC119</f>
        <v>-9.7348656427702736</v>
      </c>
      <c r="W119" s="1">
        <f>'Team A 1'!W119-'Team A 1'!$AA119-('Team A 1'!W$2- 12.5)*'Team A 1'!$AC119</f>
        <v>-11.860536110551493</v>
      </c>
      <c r="X119" s="1">
        <f>'Team A 1'!X119-'Team A 1'!$AA119-('Team A 1'!X$2- 12.5)*'Team A 1'!$AC119</f>
        <v>-13.986206578333167</v>
      </c>
      <c r="Y119" s="1">
        <f>'Team A 1'!Y119-'Team A 1'!$AA119-('Team A 1'!Y$2- 12.5)*'Team A 1'!$AC119</f>
        <v>-6.1118770461143868</v>
      </c>
      <c r="AB119" s="1">
        <f>STDEV(B119:Y119)</f>
        <v>29.569616041593054</v>
      </c>
      <c r="AD119" s="5">
        <v>3</v>
      </c>
      <c r="AE119" s="5">
        <v>4</v>
      </c>
      <c r="AF119" s="5">
        <v>2</v>
      </c>
      <c r="AG119" s="5">
        <v>7</v>
      </c>
      <c r="AH119" s="5">
        <v>1</v>
      </c>
      <c r="AI119" s="5">
        <v>5</v>
      </c>
      <c r="AJ119" s="5">
        <v>6</v>
      </c>
      <c r="AK119" s="5">
        <v>9</v>
      </c>
      <c r="AL119" s="5">
        <v>8</v>
      </c>
      <c r="AM119" s="5" t="s">
        <v>46</v>
      </c>
      <c r="AN119" s="5" t="s">
        <v>45</v>
      </c>
      <c r="AO119" s="5" t="s">
        <v>47</v>
      </c>
      <c r="AP119" s="5">
        <v>4</v>
      </c>
      <c r="AQ119" s="5">
        <v>3</v>
      </c>
      <c r="AR119" s="5">
        <v>2</v>
      </c>
      <c r="AS119" s="5">
        <v>1</v>
      </c>
      <c r="AT119" s="5">
        <v>7</v>
      </c>
      <c r="AU119" s="5">
        <v>5</v>
      </c>
      <c r="AV119" s="5">
        <v>9</v>
      </c>
      <c r="AW119" s="5">
        <v>6</v>
      </c>
      <c r="AX119" s="5" t="s">
        <v>46</v>
      </c>
      <c r="AY119" s="5">
        <v>8</v>
      </c>
      <c r="AZ119" s="5" t="s">
        <v>47</v>
      </c>
      <c r="BA119" s="5" t="s">
        <v>45</v>
      </c>
      <c r="BB119" s="5"/>
      <c r="BC119" s="1">
        <f ca="1">OFFSET(A119,0, 5) -0</f>
        <v>34.275861841732876</v>
      </c>
      <c r="BD119" s="1">
        <f ca="1">OFFSET(A119,0, 3) -0</f>
        <v>58.52720277729577</v>
      </c>
      <c r="BE119" s="1">
        <f ca="1">OFFSET(A119,0, 1) -0</f>
        <v>32.778543712858664</v>
      </c>
      <c r="BF119" s="1">
        <f ca="1">OFFSET(A119,0, 2) -0</f>
        <v>40.652873245077444</v>
      </c>
      <c r="BG119" s="1">
        <f ca="1">OFFSET(A119,0, 6) -0</f>
        <v>12.150191373951657</v>
      </c>
      <c r="BH119" s="1">
        <f ca="1">OFFSET(A119,0, 7) -0</f>
        <v>20.024520906169982</v>
      </c>
      <c r="BI119" s="1">
        <f ca="1">OFFSET(A119,0, 4) -0</f>
        <v>36.40153230951455</v>
      </c>
      <c r="BJ119" s="1">
        <f ca="1">OFFSET(A119,0, 9) -0</f>
        <v>-54.226820029392798</v>
      </c>
      <c r="BK119" s="1">
        <f ca="1">OFFSET(A119,0, 8) -0</f>
        <v>-12.101149561611351</v>
      </c>
      <c r="BL119" s="1">
        <f ca="1">OFFSET(A119,0, 11) -0</f>
        <v>1.5218390350443087</v>
      </c>
      <c r="BM119" s="1">
        <f ca="1">OFFSET(A119,0, 10) -0</f>
        <v>-16.352490497174244</v>
      </c>
      <c r="BN119" s="1">
        <f ca="1">OFFSET(A119,0, 12) -0</f>
        <v>-10.603831432737138</v>
      </c>
      <c r="BO119" s="1">
        <f ca="1">OFFSET(A119,0, 16) -0</f>
        <v>30.893486696137074</v>
      </c>
      <c r="BP119" s="1">
        <f ca="1">OFFSET(A119,0, 15) -0</f>
        <v>13.019157163918521</v>
      </c>
      <c r="BQ119" s="1">
        <f ca="1">OFFSET(A119,0, 14) -0</f>
        <v>-4.8551723683000318</v>
      </c>
      <c r="BR119" s="1">
        <f ca="1">OFFSET(A119,0, 13) -0</f>
        <v>-2.729501900518585</v>
      </c>
      <c r="BS119" s="1">
        <f ca="1">OFFSET(A119,0, 18) -0</f>
        <v>-33.357854239425706</v>
      </c>
      <c r="BT119" s="1">
        <f ca="1">OFFSET(A119,0, 20) -0</f>
        <v>-57.609195174988599</v>
      </c>
      <c r="BU119" s="1">
        <f ca="1">OFFSET(A119,0, 17) -0</f>
        <v>-11.232183771644372</v>
      </c>
      <c r="BV119" s="1">
        <f ca="1">OFFSET(A119,0, 22) -0</f>
        <v>-11.860536110551493</v>
      </c>
      <c r="BW119" s="1">
        <f ca="1">OFFSET(A119,0, 19) -0</f>
        <v>-35.48352470720738</v>
      </c>
      <c r="BX119" s="1">
        <f ca="1">OFFSET(A119,0, 24) -0</f>
        <v>-6.1118770461143868</v>
      </c>
      <c r="BY119" s="1">
        <f ca="1">OFFSET(A119,0, 21) -0</f>
        <v>-9.7348656427702736</v>
      </c>
      <c r="BZ119" s="1">
        <f ca="1">OFFSET(A119,0, 23) -0</f>
        <v>-13.986206578333167</v>
      </c>
      <c r="CB119" s="1">
        <f>COUNTIF(B119,"&lt;-68")</f>
        <v>0</v>
      </c>
      <c r="CC119" s="1">
        <f ca="1">COUNTIF(BC119:BN119,"&lt;-48")</f>
        <v>1</v>
      </c>
      <c r="CD119" s="1">
        <f ca="1">COUNTIF(BC119:BN119,"&gt;+48")</f>
        <v>1</v>
      </c>
      <c r="CE119" s="1">
        <f ca="1">COUNTIF(BO119:BZ119,"&lt;-48")</f>
        <v>1</v>
      </c>
      <c r="CF119" s="1">
        <f ca="1">COUNTIF(BO119:BZ119,"&gt;+48")</f>
        <v>0</v>
      </c>
    </row>
    <row r="120" spans="1:84">
      <c r="A120" s="1">
        <v>117</v>
      </c>
      <c r="B120" s="1">
        <f>'Team A 1'!B120-'Team A 1'!$AA120-('Team A 1'!B$2- 12.5)*'Team A 1'!$AC120</f>
        <v>-14.283126740602711</v>
      </c>
      <c r="C120" s="1">
        <f>'Team A 1'!C120-'Team A 1'!$AA120-('Team A 1'!C$2- 12.5)*'Team A 1'!$AC120</f>
        <v>33.082072686113179</v>
      </c>
      <c r="D120" s="1">
        <f>'Team A 1'!D120-'Team A 1'!$AA120-('Team A 1'!D$2- 12.5)*'Team A 1'!$AC120</f>
        <v>30.447272112828841</v>
      </c>
      <c r="E120" s="1">
        <f>'Team A 1'!E120-'Team A 1'!$AA120-('Team A 1'!E$2- 12.5)*'Team A 1'!$AC120</f>
        <v>7.8124715395445037</v>
      </c>
      <c r="F120" s="1">
        <f>'Team A 1'!F120-'Team A 1'!$AA120-('Team A 1'!F$2- 12.5)*'Team A 1'!$AC120</f>
        <v>-24.822329033739834</v>
      </c>
      <c r="G120" s="1">
        <f>'Team A 1'!G120-'Team A 1'!$AA120-('Team A 1'!G$2- 12.5)*'Team A 1'!$AC120</f>
        <v>-7.4571296070241715</v>
      </c>
      <c r="H120" s="1">
        <f>'Team A 1'!H120-'Team A 1'!$AA120-('Team A 1'!H$2- 12.5)*'Team A 1'!$AC120</f>
        <v>49.908069819691491</v>
      </c>
      <c r="I120" s="1">
        <f>'Team A 1'!I120-'Team A 1'!$AA120-('Team A 1'!I$2- 12.5)*'Team A 1'!$AC120</f>
        <v>-22.726730753592733</v>
      </c>
      <c r="J120" s="1">
        <f>'Team A 1'!J120-'Team A 1'!$AA120-('Team A 1'!J$2- 12.5)*'Team A 1'!$AC120</f>
        <v>-25.361531326877071</v>
      </c>
      <c r="K120" s="1">
        <f>'Team A 1'!K120-'Team A 1'!$AA120-('Team A 1'!K$2- 12.5)*'Team A 1'!$AC120</f>
        <v>-27.996331900161351</v>
      </c>
      <c r="L120" s="1">
        <f>'Team A 1'!L120-'Team A 1'!$AA120-('Team A 1'!L$2- 12.5)*'Team A 1'!$AC120</f>
        <v>-20.631132473445689</v>
      </c>
      <c r="M120" s="1">
        <f>'Team A 1'!M120-'Team A 1'!$AA120-('Team A 1'!M$2- 12.5)*'Team A 1'!$AC120</f>
        <v>6.7340669532700161</v>
      </c>
      <c r="N120" s="1">
        <f>'Team A 1'!N120-'Team A 1'!$AA120-('Team A 1'!N$2- 12.5)*'Team A 1'!$AC120</f>
        <v>-25.900733620014293</v>
      </c>
      <c r="O120" s="1">
        <f>'Team A 1'!O120-'Team A 1'!$AA120-('Team A 1'!O$2- 12.5)*'Team A 1'!$AC120</f>
        <v>-48.535534193298588</v>
      </c>
      <c r="P120" s="1">
        <f>'Team A 1'!P120-'Team A 1'!$AA120-('Team A 1'!P$2- 12.5)*'Team A 1'!$AC120</f>
        <v>-21.170334766582926</v>
      </c>
      <c r="Q120" s="1">
        <f>'Team A 1'!Q120-'Team A 1'!$AA120-('Team A 1'!Q$2- 12.5)*'Team A 1'!$AC120</f>
        <v>6.1948646601327937</v>
      </c>
      <c r="R120" s="1">
        <f>'Team A 1'!R120-'Team A 1'!$AA120-('Team A 1'!R$2- 12.5)*'Team A 1'!$AC120</f>
        <v>-16.439935913151544</v>
      </c>
      <c r="S120" s="1">
        <f>'Team A 1'!S120-'Team A 1'!$AA120-('Team A 1'!S$2- 12.5)*'Team A 1'!$AC120</f>
        <v>30.925263513564232</v>
      </c>
      <c r="T120" s="1">
        <f>'Team A 1'!T120-'Team A 1'!$AA120-('Team A 1'!T$2- 12.5)*'Team A 1'!$AC120</f>
        <v>28.290462940279895</v>
      </c>
      <c r="U120" s="1">
        <f>'Team A 1'!U120-'Team A 1'!$AA120-('Team A 1'!U$2- 12.5)*'Team A 1'!$AC120</f>
        <v>25.655662366995557</v>
      </c>
      <c r="V120" s="1">
        <f>'Team A 1'!V120-'Team A 1'!$AA120-('Team A 1'!V$2- 12.5)*'Team A 1'!$AC120</f>
        <v>13.020861793711219</v>
      </c>
      <c r="W120" s="1">
        <f>'Team A 1'!W120-'Team A 1'!$AA120-('Team A 1'!W$2- 12.5)*'Team A 1'!$AC120</f>
        <v>-9.6139387795731182</v>
      </c>
      <c r="X120" s="1">
        <f>'Team A 1'!X120-'Team A 1'!$AA120-('Team A 1'!X$2- 12.5)*'Team A 1'!$AC120</f>
        <v>-2.2487393528574557</v>
      </c>
      <c r="Y120" s="1">
        <f>'Team A 1'!Y120-'Team A 1'!$AA120-('Team A 1'!Y$2- 12.5)*'Team A 1'!$AC120</f>
        <v>35.116460073858434</v>
      </c>
      <c r="AB120" s="1">
        <f>STDEV(B120:Y120)</f>
        <v>26.011767818667611</v>
      </c>
      <c r="AD120" s="5">
        <v>3</v>
      </c>
      <c r="AE120" s="5">
        <v>4</v>
      </c>
      <c r="AF120" s="5">
        <v>1</v>
      </c>
      <c r="AG120" s="5">
        <v>2</v>
      </c>
      <c r="AH120" s="5">
        <v>5</v>
      </c>
      <c r="AI120" s="5">
        <v>7</v>
      </c>
      <c r="AJ120" s="5">
        <v>6</v>
      </c>
      <c r="AK120" s="5">
        <v>9</v>
      </c>
      <c r="AL120" s="5">
        <v>8</v>
      </c>
      <c r="AM120" s="5" t="s">
        <v>46</v>
      </c>
      <c r="AN120" s="5" t="s">
        <v>45</v>
      </c>
      <c r="AO120" s="5" t="s">
        <v>47</v>
      </c>
      <c r="AP120" s="5">
        <v>3</v>
      </c>
      <c r="AQ120" s="5">
        <v>4</v>
      </c>
      <c r="AR120" s="5">
        <v>2</v>
      </c>
      <c r="AS120" s="5">
        <v>1</v>
      </c>
      <c r="AT120" s="5">
        <v>5</v>
      </c>
      <c r="AU120" s="5">
        <v>6</v>
      </c>
      <c r="AV120" s="5">
        <v>7</v>
      </c>
      <c r="AW120" s="5">
        <v>8</v>
      </c>
      <c r="AX120" s="5">
        <v>9</v>
      </c>
      <c r="AY120" s="5" t="s">
        <v>45</v>
      </c>
      <c r="AZ120" s="5" t="s">
        <v>46</v>
      </c>
      <c r="BA120" s="5" t="s">
        <v>47</v>
      </c>
      <c r="BB120" s="5"/>
      <c r="BC120" s="1">
        <f ca="1">OFFSET(A120,0, 3) -0</f>
        <v>30.447272112828841</v>
      </c>
      <c r="BD120" s="1">
        <f ca="1">OFFSET(A120,0, 4) -0</f>
        <v>7.8124715395445037</v>
      </c>
      <c r="BE120" s="1">
        <f ca="1">OFFSET(A120,0, 1) -0</f>
        <v>-14.283126740602711</v>
      </c>
      <c r="BF120" s="1">
        <f ca="1">OFFSET(A120,0, 2) -0</f>
        <v>33.082072686113179</v>
      </c>
      <c r="BG120" s="1">
        <f ca="1">OFFSET(A120,0, 5) -0</f>
        <v>-24.822329033739834</v>
      </c>
      <c r="BH120" s="1">
        <f ca="1">OFFSET(A120,0, 7) -0</f>
        <v>49.908069819691491</v>
      </c>
      <c r="BI120" s="1">
        <f ca="1">OFFSET(A120,0, 6) -0</f>
        <v>-7.4571296070241715</v>
      </c>
      <c r="BJ120" s="1">
        <f ca="1">OFFSET(A120,0, 9) -0</f>
        <v>-25.361531326877071</v>
      </c>
      <c r="BK120" s="1">
        <f ca="1">OFFSET(A120,0, 8) -0</f>
        <v>-22.726730753592733</v>
      </c>
      <c r="BL120" s="1">
        <f ca="1">OFFSET(A120,0, 11) -0</f>
        <v>-20.631132473445689</v>
      </c>
      <c r="BM120" s="1">
        <f ca="1">OFFSET(A120,0, 10) -0</f>
        <v>-27.996331900161351</v>
      </c>
      <c r="BN120" s="1">
        <f ca="1">OFFSET(A120,0, 12) -0</f>
        <v>6.7340669532700161</v>
      </c>
      <c r="BO120" s="1">
        <f ca="1">OFFSET(A120,0, 16) -0</f>
        <v>6.1948646601327937</v>
      </c>
      <c r="BP120" s="1">
        <f ca="1">OFFSET(A120,0, 15) -0</f>
        <v>-21.170334766582926</v>
      </c>
      <c r="BQ120" s="1">
        <f ca="1">OFFSET(A120,0, 13) -0</f>
        <v>-25.900733620014293</v>
      </c>
      <c r="BR120" s="1">
        <f ca="1">OFFSET(A120,0, 14) -0</f>
        <v>-48.535534193298588</v>
      </c>
      <c r="BS120" s="1">
        <f ca="1">OFFSET(A120,0, 17) -0</f>
        <v>-16.439935913151544</v>
      </c>
      <c r="BT120" s="1">
        <f ca="1">OFFSET(A120,0, 18) -0</f>
        <v>30.925263513564232</v>
      </c>
      <c r="BU120" s="1">
        <f ca="1">OFFSET(A120,0, 19) -0</f>
        <v>28.290462940279895</v>
      </c>
      <c r="BV120" s="1">
        <f ca="1">OFFSET(A120,0, 20) -0</f>
        <v>25.655662366995557</v>
      </c>
      <c r="BW120" s="1">
        <f ca="1">OFFSET(A120,0, 21) -0</f>
        <v>13.020861793711219</v>
      </c>
      <c r="BX120" s="1">
        <f ca="1">OFFSET(A120,0, 22) -0</f>
        <v>-9.6139387795731182</v>
      </c>
      <c r="BY120" s="1">
        <f ca="1">OFFSET(A120,0, 23) -0</f>
        <v>-2.2487393528574557</v>
      </c>
      <c r="BZ120" s="1">
        <f ca="1">OFFSET(A120,0, 24) -0</f>
        <v>35.116460073858434</v>
      </c>
      <c r="CB120" s="1">
        <f>COUNTIF(B120,"&lt;-68")</f>
        <v>0</v>
      </c>
      <c r="CC120" s="1">
        <f ca="1">COUNTIF(BC120:BN120,"&lt;-48")</f>
        <v>0</v>
      </c>
      <c r="CD120" s="1">
        <f ca="1">COUNTIF(BC120:BN120,"&gt;+48")</f>
        <v>1</v>
      </c>
      <c r="CE120" s="1">
        <f ca="1">COUNTIF(BO120:BZ120,"&lt;-48")</f>
        <v>1</v>
      </c>
      <c r="CF120" s="1">
        <f ca="1">COUNTIF(BO120:BZ120,"&gt;+48")</f>
        <v>0</v>
      </c>
    </row>
    <row r="121" spans="1:84">
      <c r="A121" s="1">
        <v>118</v>
      </c>
      <c r="B121" s="1">
        <f>'Team A 1'!B121-'Team A 1'!$AA121-('Team A 1'!B$2- 12.5)*'Team A 1'!$AC121</f>
        <v>85.422280860641877</v>
      </c>
      <c r="C121" s="1">
        <f>'Team A 1'!C121-'Team A 1'!$AA121-('Team A 1'!C$2- 12.5)*'Team A 1'!$AC121</f>
        <v>22.487010061162209</v>
      </c>
      <c r="D121" s="1">
        <f>'Team A 1'!D121-'Team A 1'!$AA121-('Team A 1'!D$2- 12.5)*'Team A 1'!$AC121</f>
        <v>29.551739261682769</v>
      </c>
      <c r="E121" s="1">
        <f>'Team A 1'!E121-'Team A 1'!$AA121-('Team A 1'!E$2- 12.5)*'Team A 1'!$AC121</f>
        <v>-3.3835315377966708</v>
      </c>
      <c r="F121" s="1">
        <f>'Team A 1'!F121-'Team A 1'!$AA121-('Team A 1'!F$2- 12.5)*'Team A 1'!$AC121</f>
        <v>13.681197662723889</v>
      </c>
      <c r="G121" s="1">
        <f>'Team A 1'!G121-'Team A 1'!$AA121-('Team A 1'!G$2- 12.5)*'Team A 1'!$AC121</f>
        <v>-9.2540731367555509</v>
      </c>
      <c r="H121" s="1">
        <f>'Team A 1'!H121-'Team A 1'!$AA121-('Team A 1'!H$2- 12.5)*'Team A 1'!$AC121</f>
        <v>-22.189343936234991</v>
      </c>
      <c r="I121" s="1">
        <f>'Team A 1'!I121-'Team A 1'!$AA121-('Team A 1'!I$2- 12.5)*'Team A 1'!$AC121</f>
        <v>4.8753852642854554</v>
      </c>
      <c r="J121" s="1">
        <f>'Team A 1'!J121-'Team A 1'!$AA121-('Team A 1'!J$2- 12.5)*'Team A 1'!$AC121</f>
        <v>1.9401144648060153</v>
      </c>
      <c r="K121" s="1">
        <f>'Team A 1'!K121-'Team A 1'!$AA121-('Team A 1'!K$2- 12.5)*'Team A 1'!$AC121</f>
        <v>-10.995156334673482</v>
      </c>
      <c r="L121" s="1">
        <f>'Team A 1'!L121-'Team A 1'!$AA121-('Team A 1'!L$2- 12.5)*'Team A 1'!$AC121</f>
        <v>6.0695728658470784</v>
      </c>
      <c r="M121" s="1">
        <f>'Team A 1'!M121-'Team A 1'!$AA121-('Team A 1'!M$2- 12.5)*'Team A 1'!$AC121</f>
        <v>-6.8656979336324042</v>
      </c>
      <c r="N121" s="1">
        <f>'Team A 1'!N121-'Team A 1'!$AA121-('Team A 1'!N$2- 12.5)*'Team A 1'!$AC121</f>
        <v>-9.8009687331118727</v>
      </c>
      <c r="O121" s="1">
        <f>'Team A 1'!O121-'Team A 1'!$AA121-('Team A 1'!O$2- 12.5)*'Team A 1'!$AC121</f>
        <v>17.263760467408645</v>
      </c>
      <c r="P121" s="1">
        <f>'Team A 1'!P121-'Team A 1'!$AA121-('Team A 1'!P$2- 12.5)*'Team A 1'!$AC121</f>
        <v>-15.671510332070795</v>
      </c>
      <c r="Q121" s="1">
        <f>'Team A 1'!Q121-'Team A 1'!$AA121-('Team A 1'!Q$2- 12.5)*'Team A 1'!$AC121</f>
        <v>-38.606781131550292</v>
      </c>
      <c r="R121" s="1">
        <f>'Team A 1'!R121-'Team A 1'!$AA121-('Team A 1'!R$2- 12.5)*'Team A 1'!$AC121</f>
        <v>-51.542051931029732</v>
      </c>
      <c r="S121" s="1">
        <f>'Team A 1'!S121-'Team A 1'!$AA121-('Team A 1'!S$2- 12.5)*'Team A 1'!$AC121</f>
        <v>-4.477322730509286</v>
      </c>
      <c r="T121" s="1">
        <f>'Team A 1'!T121-'Team A 1'!$AA121-('Team A 1'!T$2- 12.5)*'Team A 1'!$AC121</f>
        <v>-7.412593529988726</v>
      </c>
      <c r="U121" s="1">
        <f>'Team A 1'!U121-'Team A 1'!$AA121-('Team A 1'!U$2- 12.5)*'Team A 1'!$AC121</f>
        <v>19.652135670531834</v>
      </c>
      <c r="V121" s="1">
        <f>'Team A 1'!V121-'Team A 1'!$AA121-('Team A 1'!V$2- 12.5)*'Team A 1'!$AC121</f>
        <v>-13.283135128947606</v>
      </c>
      <c r="W121" s="1">
        <f>'Team A 1'!W121-'Team A 1'!$AA121-('Team A 1'!W$2- 12.5)*'Team A 1'!$AC121</f>
        <v>-6.2184059284270461</v>
      </c>
      <c r="X121" s="1">
        <f>'Team A 1'!X121-'Team A 1'!$AA121-('Team A 1'!X$2- 12.5)*'Team A 1'!$AC121</f>
        <v>-9.1536767279064861</v>
      </c>
      <c r="Y121" s="1">
        <f>'Team A 1'!Y121-'Team A 1'!$AA121-('Team A 1'!Y$2- 12.5)*'Team A 1'!$AC121</f>
        <v>7.9110524726138465</v>
      </c>
      <c r="AB121" s="1">
        <f>STDEV(B121:Y121)</f>
        <v>25.787099249433339</v>
      </c>
      <c r="AD121" s="5">
        <v>4</v>
      </c>
      <c r="AE121" s="5">
        <v>3</v>
      </c>
      <c r="AF121" s="5">
        <v>1</v>
      </c>
      <c r="AG121" s="5">
        <v>2</v>
      </c>
      <c r="AH121" s="5">
        <v>6</v>
      </c>
      <c r="AI121" s="5">
        <v>5</v>
      </c>
      <c r="AJ121" s="5">
        <v>8</v>
      </c>
      <c r="AK121" s="5">
        <v>7</v>
      </c>
      <c r="AL121" s="5" t="s">
        <v>45</v>
      </c>
      <c r="AM121" s="5">
        <v>9</v>
      </c>
      <c r="AN121" s="5" t="s">
        <v>47</v>
      </c>
      <c r="AO121" s="5" t="s">
        <v>46</v>
      </c>
      <c r="AP121" s="5">
        <v>4</v>
      </c>
      <c r="AQ121" s="5">
        <v>1</v>
      </c>
      <c r="AR121" s="5">
        <v>3</v>
      </c>
      <c r="AS121" s="5">
        <v>2</v>
      </c>
      <c r="AT121" s="5">
        <v>5</v>
      </c>
      <c r="AU121" s="5">
        <v>6</v>
      </c>
      <c r="AV121" s="5">
        <v>7</v>
      </c>
      <c r="AW121" s="5">
        <v>8</v>
      </c>
      <c r="AX121" s="5">
        <v>9</v>
      </c>
      <c r="AY121" s="5" t="s">
        <v>45</v>
      </c>
      <c r="AZ121" s="5" t="s">
        <v>46</v>
      </c>
      <c r="BA121" s="5" t="s">
        <v>47</v>
      </c>
      <c r="BB121" s="5"/>
      <c r="BC121" s="1">
        <f ca="1">OFFSET(A121,0, 3) -0</f>
        <v>29.551739261682769</v>
      </c>
      <c r="BD121" s="1">
        <f ca="1">OFFSET(A121,0, 4) -0</f>
        <v>-3.3835315377966708</v>
      </c>
      <c r="BE121" s="1">
        <f ca="1">OFFSET(A121,0, 2) -0</f>
        <v>22.487010061162209</v>
      </c>
      <c r="BF121" s="1">
        <f ca="1">OFFSET(A121,0, 1) -0</f>
        <v>85.422280860641877</v>
      </c>
      <c r="BG121" s="1">
        <f ca="1">OFFSET(A121,0, 6) -0</f>
        <v>-9.2540731367555509</v>
      </c>
      <c r="BH121" s="1">
        <f ca="1">OFFSET(A121,0, 5) -0</f>
        <v>13.681197662723889</v>
      </c>
      <c r="BI121" s="1">
        <f ca="1">OFFSET(A121,0, 8) -0</f>
        <v>4.8753852642854554</v>
      </c>
      <c r="BJ121" s="1">
        <f ca="1">OFFSET(A121,0, 7) -0</f>
        <v>-22.189343936234991</v>
      </c>
      <c r="BK121" s="1">
        <f ca="1">OFFSET(A121,0, 10) -0</f>
        <v>-10.995156334673482</v>
      </c>
      <c r="BL121" s="1">
        <f ca="1">OFFSET(A121,0, 9) -0</f>
        <v>1.9401144648060153</v>
      </c>
      <c r="BM121" s="1">
        <f ca="1">OFFSET(A121,0, 12) -0</f>
        <v>-6.8656979336324042</v>
      </c>
      <c r="BN121" s="1">
        <f ca="1">OFFSET(A121,0, 11) -0</f>
        <v>6.0695728658470784</v>
      </c>
      <c r="BO121" s="1">
        <f ca="1">OFFSET(A121,0, 14) -0</f>
        <v>17.263760467408645</v>
      </c>
      <c r="BP121" s="1">
        <f ca="1">OFFSET(A121,0, 16) -0</f>
        <v>-38.606781131550292</v>
      </c>
      <c r="BQ121" s="1">
        <f ca="1">OFFSET(A121,0, 15) -0</f>
        <v>-15.671510332070795</v>
      </c>
      <c r="BR121" s="1">
        <f ca="1">OFFSET(A121,0, 13) -0</f>
        <v>-9.8009687331118727</v>
      </c>
      <c r="BS121" s="1">
        <f ca="1">OFFSET(A121,0, 17) -0</f>
        <v>-51.542051931029732</v>
      </c>
      <c r="BT121" s="1">
        <f ca="1">OFFSET(A121,0, 18) -0</f>
        <v>-4.477322730509286</v>
      </c>
      <c r="BU121" s="1">
        <f ca="1">OFFSET(A121,0, 19) -0</f>
        <v>-7.412593529988726</v>
      </c>
      <c r="BV121" s="1">
        <f ca="1">OFFSET(A121,0, 20) -0</f>
        <v>19.652135670531834</v>
      </c>
      <c r="BW121" s="1">
        <f ca="1">OFFSET(A121,0, 21) -0</f>
        <v>-13.283135128947606</v>
      </c>
      <c r="BX121" s="1">
        <f ca="1">OFFSET(A121,0, 22) -0</f>
        <v>-6.2184059284270461</v>
      </c>
      <c r="BY121" s="1">
        <f ca="1">OFFSET(A121,0, 23) -0</f>
        <v>-9.1536767279064861</v>
      </c>
      <c r="BZ121" s="1">
        <f ca="1">OFFSET(A121,0, 24) -0</f>
        <v>7.9110524726138465</v>
      </c>
      <c r="CB121" s="1">
        <f>COUNTIF(B121,"&lt;-68")</f>
        <v>0</v>
      </c>
      <c r="CC121" s="1">
        <f ca="1">COUNTIF(BC121:BN121,"&lt;-48")</f>
        <v>0</v>
      </c>
      <c r="CD121" s="1">
        <f ca="1">COUNTIF(BC121:BN121,"&gt;+48")</f>
        <v>1</v>
      </c>
      <c r="CE121" s="1">
        <f ca="1">COUNTIF(BO121:BZ121,"&lt;-48")</f>
        <v>1</v>
      </c>
      <c r="CF121" s="1">
        <f ca="1">COUNTIF(BO121:BZ121,"&gt;+48")</f>
        <v>0</v>
      </c>
    </row>
    <row r="122" spans="1:84">
      <c r="A122" s="1">
        <v>119</v>
      </c>
      <c r="B122" s="1">
        <f>'Team A 1'!B122-'Team A 1'!$AA122-('Team A 1'!B$2- 12.5)*'Team A 1'!$AC122</f>
        <v>17.12168001610371</v>
      </c>
      <c r="C122" s="1">
        <f>'Team A 1'!C122-'Team A 1'!$AA122-('Team A 1'!C$2- 12.5)*'Team A 1'!$AC122</f>
        <v>44.219794797312034</v>
      </c>
      <c r="D122" s="1">
        <f>'Team A 1'!D122-'Team A 1'!$AA122-('Team A 1'!D$2- 12.5)*'Team A 1'!$AC122</f>
        <v>41.317909578520357</v>
      </c>
      <c r="E122" s="1">
        <f>'Team A 1'!E122-'Team A 1'!$AA122-('Team A 1'!E$2- 12.5)*'Team A 1'!$AC122</f>
        <v>18.416024359728681</v>
      </c>
      <c r="F122" s="1">
        <f>'Team A 1'!F122-'Team A 1'!$AA122-('Team A 1'!F$2- 12.5)*'Team A 1'!$AC122</f>
        <v>5.5141391409372318</v>
      </c>
      <c r="G122" s="1">
        <f>'Team A 1'!G122-'Team A 1'!$AA122-('Team A 1'!G$2- 12.5)*'Team A 1'!$AC122</f>
        <v>12.612253922145555</v>
      </c>
      <c r="H122" s="1">
        <f>'Team A 1'!H122-'Team A 1'!$AA122-('Team A 1'!H$2- 12.5)*'Team A 1'!$AC122</f>
        <v>-10.289631296646121</v>
      </c>
      <c r="I122" s="1">
        <f>'Team A 1'!I122-'Team A 1'!$AA122-('Team A 1'!I$2- 12.5)*'Team A 1'!$AC122</f>
        <v>26.808483484562316</v>
      </c>
      <c r="J122" s="1">
        <f>'Team A 1'!J122-'Team A 1'!$AA122-('Team A 1'!J$2- 12.5)*'Team A 1'!$AC122</f>
        <v>-6.09340173422936</v>
      </c>
      <c r="K122" s="1">
        <f>'Team A 1'!K122-'Team A 1'!$AA122-('Team A 1'!K$2- 12.5)*'Team A 1'!$AC122</f>
        <v>1.0047130469790773</v>
      </c>
      <c r="L122" s="1">
        <f>'Team A 1'!L122-'Team A 1'!$AA122-('Team A 1'!L$2- 12.5)*'Team A 1'!$AC122</f>
        <v>-41.897172171812599</v>
      </c>
      <c r="M122" s="1">
        <f>'Team A 1'!M122-'Team A 1'!$AA122-('Team A 1'!M$2- 12.5)*'Team A 1'!$AC122</f>
        <v>-34.79905739060419</v>
      </c>
      <c r="N122" s="1">
        <f>'Team A 1'!N122-'Team A 1'!$AA122-('Team A 1'!N$2- 12.5)*'Team A 1'!$AC122</f>
        <v>-27.70094260939581</v>
      </c>
      <c r="O122" s="1">
        <f>'Team A 1'!O122-'Team A 1'!$AA122-('Team A 1'!O$2- 12.5)*'Team A 1'!$AC122</f>
        <v>-0.60282782818740088</v>
      </c>
      <c r="P122" s="1">
        <f>'Team A 1'!P122-'Team A 1'!$AA122-('Team A 1'!P$2- 12.5)*'Team A 1'!$AC122</f>
        <v>26.495286953020923</v>
      </c>
      <c r="Q122" s="1">
        <f>'Team A 1'!Q122-'Team A 1'!$AA122-('Team A 1'!Q$2- 12.5)*'Team A 1'!$AC122</f>
        <v>33.59340173422936</v>
      </c>
      <c r="R122" s="1">
        <f>'Team A 1'!R122-'Team A 1'!$AA122-('Team A 1'!R$2- 12.5)*'Team A 1'!$AC122</f>
        <v>30.691516515437684</v>
      </c>
      <c r="S122" s="1">
        <f>'Team A 1'!S122-'Team A 1'!$AA122-('Team A 1'!S$2- 12.5)*'Team A 1'!$AC122</f>
        <v>27.789631296646121</v>
      </c>
      <c r="T122" s="1">
        <f>'Team A 1'!T122-'Team A 1'!$AA122-('Team A 1'!T$2- 12.5)*'Team A 1'!$AC122</f>
        <v>-25.112253922145555</v>
      </c>
      <c r="U122" s="1">
        <f>'Team A 1'!U122-'Team A 1'!$AA122-('Team A 1'!U$2- 12.5)*'Team A 1'!$AC122</f>
        <v>-58.014139140937232</v>
      </c>
      <c r="V122" s="1">
        <f>'Team A 1'!V122-'Team A 1'!$AA122-('Team A 1'!V$2- 12.5)*'Team A 1'!$AC122</f>
        <v>-30.916024359728681</v>
      </c>
      <c r="W122" s="1">
        <f>'Team A 1'!W122-'Team A 1'!$AA122-('Team A 1'!W$2- 12.5)*'Team A 1'!$AC122</f>
        <v>-23.817909578520357</v>
      </c>
      <c r="X122" s="1">
        <f>'Team A 1'!X122-'Team A 1'!$AA122-('Team A 1'!X$2- 12.5)*'Team A 1'!$AC122</f>
        <v>-16.719794797312034</v>
      </c>
      <c r="Y122" s="1">
        <f>'Team A 1'!Y122-'Team A 1'!$AA122-('Team A 1'!Y$2- 12.5)*'Team A 1'!$AC122</f>
        <v>-9.6216800161037099</v>
      </c>
      <c r="AB122" s="1">
        <f>STDEV(B122:Y122)</f>
        <v>28.374312291391426</v>
      </c>
      <c r="AD122" s="5">
        <v>1</v>
      </c>
      <c r="AE122" s="5">
        <v>4</v>
      </c>
      <c r="AF122" s="5">
        <v>2</v>
      </c>
      <c r="AG122" s="5">
        <v>3</v>
      </c>
      <c r="AH122" s="5">
        <v>6</v>
      </c>
      <c r="AI122" s="5">
        <v>5</v>
      </c>
      <c r="AJ122" s="5">
        <v>8</v>
      </c>
      <c r="AK122" s="5">
        <v>7</v>
      </c>
      <c r="AL122" s="5" t="s">
        <v>45</v>
      </c>
      <c r="AM122" s="5">
        <v>9</v>
      </c>
      <c r="AN122" s="5" t="s">
        <v>47</v>
      </c>
      <c r="AO122" s="5" t="s">
        <v>46</v>
      </c>
      <c r="AP122" s="5">
        <v>4</v>
      </c>
      <c r="AQ122" s="5">
        <v>1</v>
      </c>
      <c r="AR122" s="5">
        <v>2</v>
      </c>
      <c r="AS122" s="5">
        <v>6</v>
      </c>
      <c r="AT122" s="5">
        <v>3</v>
      </c>
      <c r="AU122" s="5">
        <v>8</v>
      </c>
      <c r="AV122" s="5">
        <v>5</v>
      </c>
      <c r="AW122" s="5" t="s">
        <v>45</v>
      </c>
      <c r="AX122" s="5">
        <v>7</v>
      </c>
      <c r="AY122" s="5" t="s">
        <v>47</v>
      </c>
      <c r="AZ122" s="5">
        <v>9</v>
      </c>
      <c r="BA122" s="5" t="s">
        <v>46</v>
      </c>
      <c r="BB122" s="5"/>
      <c r="BC122" s="1">
        <f ca="1">OFFSET(A122,0, 1) -0</f>
        <v>17.12168001610371</v>
      </c>
      <c r="BD122" s="1">
        <f ca="1">OFFSET(A122,0, 3) -0</f>
        <v>41.317909578520357</v>
      </c>
      <c r="BE122" s="1">
        <f ca="1">OFFSET(A122,0, 4) -0</f>
        <v>18.416024359728681</v>
      </c>
      <c r="BF122" s="1">
        <f ca="1">OFFSET(A122,0, 2) -0</f>
        <v>44.219794797312034</v>
      </c>
      <c r="BG122" s="1">
        <f ca="1">OFFSET(A122,0, 6) -0</f>
        <v>12.612253922145555</v>
      </c>
      <c r="BH122" s="1">
        <f ca="1">OFFSET(A122,0, 5) -0</f>
        <v>5.5141391409372318</v>
      </c>
      <c r="BI122" s="1">
        <f ca="1">OFFSET(A122,0, 8) -0</f>
        <v>26.808483484562316</v>
      </c>
      <c r="BJ122" s="1">
        <f ca="1">OFFSET(A122,0, 7) -0</f>
        <v>-10.289631296646121</v>
      </c>
      <c r="BK122" s="1">
        <f ca="1">OFFSET(A122,0, 10) -0</f>
        <v>1.0047130469790773</v>
      </c>
      <c r="BL122" s="1">
        <f ca="1">OFFSET(A122,0, 9) -0</f>
        <v>-6.09340173422936</v>
      </c>
      <c r="BM122" s="1">
        <f ca="1">OFFSET(A122,0, 12) -0</f>
        <v>-34.79905739060419</v>
      </c>
      <c r="BN122" s="1">
        <f ca="1">OFFSET(A122,0, 11) -0</f>
        <v>-41.897172171812599</v>
      </c>
      <c r="BO122" s="1">
        <f ca="1">OFFSET(A122,0, 14) -0</f>
        <v>-0.60282782818740088</v>
      </c>
      <c r="BP122" s="1">
        <f ca="1">OFFSET(A122,0, 15) -0</f>
        <v>26.495286953020923</v>
      </c>
      <c r="BQ122" s="1">
        <f ca="1">OFFSET(A122,0, 17) -0</f>
        <v>30.691516515437684</v>
      </c>
      <c r="BR122" s="1">
        <f ca="1">OFFSET(A122,0, 13) -0</f>
        <v>-27.70094260939581</v>
      </c>
      <c r="BS122" s="1">
        <f ca="1">OFFSET(A122,0, 19) -0</f>
        <v>-25.112253922145555</v>
      </c>
      <c r="BT122" s="1">
        <f ca="1">OFFSET(A122,0, 16) -0</f>
        <v>33.59340173422936</v>
      </c>
      <c r="BU122" s="1">
        <f ca="1">OFFSET(A122,0, 21) -0</f>
        <v>-30.916024359728681</v>
      </c>
      <c r="BV122" s="1">
        <f ca="1">OFFSET(A122,0, 18) -0</f>
        <v>27.789631296646121</v>
      </c>
      <c r="BW122" s="1">
        <f ca="1">OFFSET(A122,0, 23) -0</f>
        <v>-16.719794797312034</v>
      </c>
      <c r="BX122" s="1">
        <f ca="1">OFFSET(A122,0, 20) -0</f>
        <v>-58.014139140937232</v>
      </c>
      <c r="BY122" s="1">
        <f ca="1">OFFSET(A122,0, 24) -0</f>
        <v>-9.6216800161037099</v>
      </c>
      <c r="BZ122" s="1">
        <f ca="1">OFFSET(A122,0, 22) -0</f>
        <v>-23.817909578520357</v>
      </c>
      <c r="CB122" s="1">
        <f>COUNTIF(B122,"&lt;-68")</f>
        <v>0</v>
      </c>
      <c r="CC122" s="1">
        <f ca="1">COUNTIF(BC122:BN122,"&lt;-48")</f>
        <v>0</v>
      </c>
      <c r="CD122" s="1">
        <f ca="1">COUNTIF(BC122:BN122,"&gt;+48")</f>
        <v>0</v>
      </c>
      <c r="CE122" s="1">
        <f ca="1">COUNTIF(BO122:BZ122,"&lt;-48")</f>
        <v>1</v>
      </c>
      <c r="CF122" s="1">
        <f ca="1">COUNTIF(BO122:BZ122,"&gt;+48")</f>
        <v>0</v>
      </c>
    </row>
    <row r="123" spans="1:84">
      <c r="A123" s="1">
        <v>120</v>
      </c>
      <c r="B123" s="1">
        <f>'Team A 1'!B123-'Team A 1'!$AA123-('Team A 1'!B$2- 12.5)*'Team A 1'!$AC123</f>
        <v>2.8307251596884271</v>
      </c>
      <c r="C123" s="1">
        <f>'Team A 1'!C123-'Team A 1'!$AA123-('Team A 1'!C$2- 12.5)*'Team A 1'!$AC123</f>
        <v>-9.8791929701428671</v>
      </c>
      <c r="D123" s="1">
        <f>'Team A 1'!D123-'Team A 1'!$AA123-('Team A 1'!D$2- 12.5)*'Team A 1'!$AC123</f>
        <v>27.410888900025611</v>
      </c>
      <c r="E123" s="1">
        <f>'Team A 1'!E123-'Team A 1'!$AA123-('Team A 1'!E$2- 12.5)*'Team A 1'!$AC123</f>
        <v>34.700970770194317</v>
      </c>
      <c r="F123" s="1">
        <f>'Team A 1'!F123-'Team A 1'!$AA123-('Team A 1'!F$2- 12.5)*'Team A 1'!$AC123</f>
        <v>11.991052640363023</v>
      </c>
      <c r="G123" s="1">
        <f>'Team A 1'!G123-'Team A 1'!$AA123-('Team A 1'!G$2- 12.5)*'Team A 1'!$AC123</f>
        <v>-0.71886548946827133</v>
      </c>
      <c r="H123" s="1">
        <f>'Team A 1'!H123-'Team A 1'!$AA123-('Team A 1'!H$2- 12.5)*'Team A 1'!$AC123</f>
        <v>36.571216380700207</v>
      </c>
      <c r="I123" s="1">
        <f>'Team A 1'!I123-'Team A 1'!$AA123-('Team A 1'!I$2- 12.5)*'Team A 1'!$AC123</f>
        <v>13.861298250868913</v>
      </c>
      <c r="J123" s="1">
        <f>'Team A 1'!J123-'Team A 1'!$AA123-('Team A 1'!J$2- 12.5)*'Team A 1'!$AC123</f>
        <v>11.151380121037619</v>
      </c>
      <c r="K123" s="1">
        <f>'Team A 1'!K123-'Team A 1'!$AA123-('Team A 1'!K$2- 12.5)*'Team A 1'!$AC123</f>
        <v>-21.558538008793789</v>
      </c>
      <c r="L123" s="1">
        <f>'Team A 1'!L123-'Team A 1'!$AA123-('Team A 1'!L$2- 12.5)*'Team A 1'!$AC123</f>
        <v>-34.268456138625083</v>
      </c>
      <c r="M123" s="1">
        <f>'Team A 1'!M123-'Team A 1'!$AA123-('Team A 1'!M$2- 12.5)*'Team A 1'!$AC123</f>
        <v>-36.978374268456463</v>
      </c>
      <c r="N123" s="1">
        <f>'Team A 1'!N123-'Team A 1'!$AA123-('Team A 1'!N$2- 12.5)*'Team A 1'!$AC123</f>
        <v>0.31170760171218603</v>
      </c>
      <c r="O123" s="1">
        <f>'Team A 1'!O123-'Team A 1'!$AA123-('Team A 1'!O$2- 12.5)*'Team A 1'!$AC123</f>
        <v>-22.398210528119193</v>
      </c>
      <c r="P123" s="1">
        <f>'Team A 1'!P123-'Team A 1'!$AA123-('Team A 1'!P$2- 12.5)*'Team A 1'!$AC123</f>
        <v>24.891871342049512</v>
      </c>
      <c r="Q123" s="1">
        <f>'Team A 1'!Q123-'Team A 1'!$AA123-('Team A 1'!Q$2- 12.5)*'Team A 1'!$AC123</f>
        <v>32.181953212218104</v>
      </c>
      <c r="R123" s="1">
        <f>'Team A 1'!R123-'Team A 1'!$AA123-('Team A 1'!R$2- 12.5)*'Team A 1'!$AC123</f>
        <v>-0.52796491761318975</v>
      </c>
      <c r="S123" s="1">
        <f>'Team A 1'!S123-'Team A 1'!$AA123-('Team A 1'!S$2- 12.5)*'Team A 1'!$AC123</f>
        <v>26.762116952555516</v>
      </c>
      <c r="T123" s="1">
        <f>'Team A 1'!T123-'Team A 1'!$AA123-('Team A 1'!T$2- 12.5)*'Team A 1'!$AC123</f>
        <v>-15.947801177276006</v>
      </c>
      <c r="U123" s="1">
        <f>'Team A 1'!U123-'Team A 1'!$AA123-('Team A 1'!U$2- 12.5)*'Team A 1'!$AC123</f>
        <v>-8.6577193071072998</v>
      </c>
      <c r="V123" s="1">
        <f>'Team A 1'!V123-'Team A 1'!$AA123-('Team A 1'!V$2- 12.5)*'Team A 1'!$AC123</f>
        <v>-11.367637436938594</v>
      </c>
      <c r="W123" s="1">
        <f>'Team A 1'!W123-'Team A 1'!$AA123-('Team A 1'!W$2- 12.5)*'Team A 1'!$AC123</f>
        <v>-24.077555566769888</v>
      </c>
      <c r="X123" s="1">
        <f>'Team A 1'!X123-'Team A 1'!$AA123-('Team A 1'!X$2- 12.5)*'Team A 1'!$AC123</f>
        <v>-16.78747369660141</v>
      </c>
      <c r="Y123" s="1">
        <f>'Team A 1'!Y123-'Team A 1'!$AA123-('Team A 1'!Y$2- 12.5)*'Team A 1'!$AC123</f>
        <v>-19.497391826432704</v>
      </c>
      <c r="AB123" s="1">
        <f>STDEV(B123:Y123)</f>
        <v>22.30190694446857</v>
      </c>
      <c r="AD123" s="5">
        <v>1</v>
      </c>
      <c r="AE123" s="5">
        <v>4</v>
      </c>
      <c r="AF123" s="5">
        <v>6</v>
      </c>
      <c r="AG123" s="5">
        <v>2</v>
      </c>
      <c r="AH123" s="5">
        <v>8</v>
      </c>
      <c r="AI123" s="5">
        <v>3</v>
      </c>
      <c r="AJ123" s="5" t="s">
        <v>45</v>
      </c>
      <c r="AK123" s="5">
        <v>5</v>
      </c>
      <c r="AL123" s="5" t="s">
        <v>47</v>
      </c>
      <c r="AM123" s="5">
        <v>7</v>
      </c>
      <c r="AN123" s="5" t="s">
        <v>46</v>
      </c>
      <c r="AO123" s="5">
        <v>9</v>
      </c>
      <c r="AP123" s="5">
        <v>1</v>
      </c>
      <c r="AQ123" s="5">
        <v>4</v>
      </c>
      <c r="AR123" s="5">
        <v>2</v>
      </c>
      <c r="AS123" s="5">
        <v>6</v>
      </c>
      <c r="AT123" s="5">
        <v>3</v>
      </c>
      <c r="AU123" s="5">
        <v>8</v>
      </c>
      <c r="AV123" s="5">
        <v>5</v>
      </c>
      <c r="AW123" s="5" t="s">
        <v>45</v>
      </c>
      <c r="AX123" s="5">
        <v>7</v>
      </c>
      <c r="AY123" s="5" t="s">
        <v>47</v>
      </c>
      <c r="AZ123" s="5">
        <v>9</v>
      </c>
      <c r="BA123" s="5" t="s">
        <v>46</v>
      </c>
      <c r="BB123" s="5"/>
      <c r="BC123" s="1">
        <f ca="1">OFFSET(A123,0, 1) -0</f>
        <v>2.8307251596884271</v>
      </c>
      <c r="BD123" s="1">
        <f ca="1">OFFSET(A123,0, 4) -0</f>
        <v>34.700970770194317</v>
      </c>
      <c r="BE123" s="1">
        <f ca="1">OFFSET(A123,0, 6) -0</f>
        <v>-0.71886548946827133</v>
      </c>
      <c r="BF123" s="1">
        <f ca="1">OFFSET(A123,0, 2) -0</f>
        <v>-9.8791929701428671</v>
      </c>
      <c r="BG123" s="1">
        <f ca="1">OFFSET(A123,0, 8) -0</f>
        <v>13.861298250868913</v>
      </c>
      <c r="BH123" s="1">
        <f ca="1">OFFSET(A123,0, 3) -0</f>
        <v>27.410888900025611</v>
      </c>
      <c r="BI123" s="1">
        <f ca="1">OFFSET(A123,0, 10) -0</f>
        <v>-21.558538008793789</v>
      </c>
      <c r="BJ123" s="1">
        <f ca="1">OFFSET(A123,0, 5) -0</f>
        <v>11.991052640363023</v>
      </c>
      <c r="BK123" s="1">
        <f ca="1">OFFSET(A123,0, 12) -0</f>
        <v>-36.978374268456463</v>
      </c>
      <c r="BL123" s="1">
        <f ca="1">OFFSET(A123,0, 7) -0</f>
        <v>36.571216380700207</v>
      </c>
      <c r="BM123" s="1">
        <f ca="1">OFFSET(A123,0, 11) -0</f>
        <v>-34.268456138625083</v>
      </c>
      <c r="BN123" s="1">
        <f ca="1">OFFSET(A123,0, 9) -0</f>
        <v>11.151380121037619</v>
      </c>
      <c r="BO123" s="1">
        <f ca="1">OFFSET(A123,0, 13) -0</f>
        <v>0.31170760171218603</v>
      </c>
      <c r="BP123" s="1">
        <f ca="1">OFFSET(A123,0, 15) -0</f>
        <v>24.891871342049512</v>
      </c>
      <c r="BQ123" s="1">
        <f ca="1">OFFSET(A123,0, 17) -0</f>
        <v>-0.52796491761318975</v>
      </c>
      <c r="BR123" s="1">
        <f ca="1">OFFSET(A123,0, 14) -0</f>
        <v>-22.398210528119193</v>
      </c>
      <c r="BS123" s="1">
        <f ca="1">OFFSET(A123,0, 19) -0</f>
        <v>-15.947801177276006</v>
      </c>
      <c r="BT123" s="1">
        <f ca="1">OFFSET(A123,0, 16) -0</f>
        <v>32.181953212218104</v>
      </c>
      <c r="BU123" s="1">
        <f ca="1">OFFSET(A123,0, 21) -0</f>
        <v>-11.367637436938594</v>
      </c>
      <c r="BV123" s="1">
        <f ca="1">OFFSET(A123,0, 18) -0</f>
        <v>26.762116952555516</v>
      </c>
      <c r="BW123" s="1">
        <f ca="1">OFFSET(A123,0, 23) -0</f>
        <v>-16.78747369660141</v>
      </c>
      <c r="BX123" s="1">
        <f ca="1">OFFSET(A123,0, 20) -0</f>
        <v>-8.6577193071072998</v>
      </c>
      <c r="BY123" s="1">
        <f ca="1">OFFSET(A123,0, 24) -0</f>
        <v>-19.497391826432704</v>
      </c>
      <c r="BZ123" s="1">
        <f ca="1">OFFSET(A123,0, 22) -0</f>
        <v>-24.077555566769888</v>
      </c>
      <c r="CB123" s="1">
        <f>COUNTIF(B123,"&lt;-68")</f>
        <v>0</v>
      </c>
      <c r="CC123" s="1">
        <f ca="1">COUNTIF(BC123:BN123,"&lt;-48")</f>
        <v>0</v>
      </c>
      <c r="CD123" s="1">
        <f ca="1">COUNTIF(BC123:BN123,"&gt;+48")</f>
        <v>0</v>
      </c>
      <c r="CE123" s="1">
        <f ca="1">COUNTIF(BO123:BZ123,"&lt;-48")</f>
        <v>0</v>
      </c>
      <c r="CF123" s="1">
        <f ca="1">COUNTIF(BO123:BZ123,"&gt;+48")</f>
        <v>0</v>
      </c>
    </row>
    <row r="124" spans="1:84">
      <c r="A124" s="1">
        <v>121</v>
      </c>
      <c r="B124" s="1">
        <f>'Team A 1'!B124-'Team A 1'!$AA124-('Team A 1'!B$2- 12.5)*'Team A 1'!$AC124</f>
        <v>28.43271715011133</v>
      </c>
      <c r="C124" s="1">
        <f>'Team A 1'!C124-'Team A 1'!$AA124-('Team A 1'!C$2- 12.5)*'Team A 1'!$AC124</f>
        <v>25.380596818220965</v>
      </c>
      <c r="D124" s="1">
        <f>'Team A 1'!D124-'Team A 1'!$AA124-('Team A 1'!D$2- 12.5)*'Team A 1'!$AC124</f>
        <v>-7.6715235136693991</v>
      </c>
      <c r="E124" s="1">
        <f>'Team A 1'!E124-'Team A 1'!$AA124-('Team A 1'!E$2- 12.5)*'Team A 1'!$AC124</f>
        <v>19.276356154440236</v>
      </c>
      <c r="F124" s="1">
        <f>'Team A 1'!F124-'Team A 1'!$AA124-('Team A 1'!F$2- 12.5)*'Team A 1'!$AC124</f>
        <v>36.224235822549872</v>
      </c>
      <c r="G124" s="1">
        <f>'Team A 1'!G124-'Team A 1'!$AA124-('Team A 1'!G$2- 12.5)*'Team A 1'!$AC124</f>
        <v>13.172115490659507</v>
      </c>
      <c r="H124" s="1">
        <f>'Team A 1'!H124-'Team A 1'!$AA124-('Team A 1'!H$2- 12.5)*'Team A 1'!$AC124</f>
        <v>20.119995158769143</v>
      </c>
      <c r="I124" s="1">
        <f>'Team A 1'!I124-'Team A 1'!$AA124-('Team A 1'!I$2- 12.5)*'Team A 1'!$AC124</f>
        <v>17.067874826878779</v>
      </c>
      <c r="J124" s="1">
        <f>'Team A 1'!J124-'Team A 1'!$AA124-('Team A 1'!J$2- 12.5)*'Team A 1'!$AC124</f>
        <v>4.0157544949884141</v>
      </c>
      <c r="K124" s="1">
        <f>'Team A 1'!K124-'Team A 1'!$AA124-('Team A 1'!K$2- 12.5)*'Team A 1'!$AC124</f>
        <v>-19.03636583690195</v>
      </c>
      <c r="L124" s="1">
        <f>'Team A 1'!L124-'Team A 1'!$AA124-('Team A 1'!L$2- 12.5)*'Team A 1'!$AC124</f>
        <v>-22.088486168792315</v>
      </c>
      <c r="M124" s="1">
        <f>'Team A 1'!M124-'Team A 1'!$AA124-('Team A 1'!M$2- 12.5)*'Team A 1'!$AC124</f>
        <v>-45.140606500682679</v>
      </c>
      <c r="N124" s="1">
        <f>'Team A 1'!N124-'Team A 1'!$AA124-('Team A 1'!N$2- 12.5)*'Team A 1'!$AC124</f>
        <v>-18.192726832573044</v>
      </c>
      <c r="O124" s="1">
        <f>'Team A 1'!O124-'Team A 1'!$AA124-('Team A 1'!O$2- 12.5)*'Team A 1'!$AC124</f>
        <v>-41.244847164463408</v>
      </c>
      <c r="P124" s="1">
        <f>'Team A 1'!P124-'Team A 1'!$AA124-('Team A 1'!P$2- 12.5)*'Team A 1'!$AC124</f>
        <v>-24.296967496353773</v>
      </c>
      <c r="Q124" s="1">
        <f>'Team A 1'!Q124-'Team A 1'!$AA124-('Team A 1'!Q$2- 12.5)*'Team A 1'!$AC124</f>
        <v>22.650912171755863</v>
      </c>
      <c r="R124" s="1">
        <f>'Team A 1'!R124-'Team A 1'!$AA124-('Team A 1'!R$2- 12.5)*'Team A 1'!$AC124</f>
        <v>19.598791839865498</v>
      </c>
      <c r="S124" s="1">
        <f>'Team A 1'!S124-'Team A 1'!$AA124-('Team A 1'!S$2- 12.5)*'Team A 1'!$AC124</f>
        <v>6.5466715079751339</v>
      </c>
      <c r="T124" s="1">
        <f>'Team A 1'!T124-'Team A 1'!$AA124-('Team A 1'!T$2- 12.5)*'Team A 1'!$AC124</f>
        <v>13.494551176084769</v>
      </c>
      <c r="U124" s="1">
        <f>'Team A 1'!U124-'Team A 1'!$AA124-('Team A 1'!U$2- 12.5)*'Team A 1'!$AC124</f>
        <v>-9.5575691558055951</v>
      </c>
      <c r="V124" s="1">
        <f>'Team A 1'!V124-'Team A 1'!$AA124-('Team A 1'!V$2- 12.5)*'Team A 1'!$AC124</f>
        <v>-32.60968948769596</v>
      </c>
      <c r="W124" s="1">
        <f>'Team A 1'!W124-'Team A 1'!$AA124-('Team A 1'!W$2- 12.5)*'Team A 1'!$AC124</f>
        <v>4.338190180413676</v>
      </c>
      <c r="X124" s="1">
        <f>'Team A 1'!X124-'Team A 1'!$AA124-('Team A 1'!X$2- 12.5)*'Team A 1'!$AC124</f>
        <v>-28.713930151476688</v>
      </c>
      <c r="Y124" s="1">
        <f>'Team A 1'!Y124-'Team A 1'!$AA124-('Team A 1'!Y$2- 12.5)*'Team A 1'!$AC124</f>
        <v>18.233949516632947</v>
      </c>
      <c r="AB124" s="1">
        <f>STDEV(B124:Y124)</f>
        <v>23.814550738233557</v>
      </c>
      <c r="AD124" s="5">
        <v>4</v>
      </c>
      <c r="AE124" s="5">
        <v>1</v>
      </c>
      <c r="AF124" s="5">
        <v>6</v>
      </c>
      <c r="AG124" s="5">
        <v>2</v>
      </c>
      <c r="AH124" s="5">
        <v>8</v>
      </c>
      <c r="AI124" s="5">
        <v>3</v>
      </c>
      <c r="AJ124" s="5" t="s">
        <v>45</v>
      </c>
      <c r="AK124" s="5">
        <v>5</v>
      </c>
      <c r="AL124" s="5" t="s">
        <v>47</v>
      </c>
      <c r="AM124" s="5">
        <v>7</v>
      </c>
      <c r="AN124" s="5" t="s">
        <v>46</v>
      </c>
      <c r="AO124" s="5">
        <v>9</v>
      </c>
      <c r="AP124" s="5">
        <v>1</v>
      </c>
      <c r="AQ124" s="5">
        <v>4</v>
      </c>
      <c r="AR124" s="5">
        <v>6</v>
      </c>
      <c r="AS124" s="5">
        <v>8</v>
      </c>
      <c r="AT124" s="5">
        <v>2</v>
      </c>
      <c r="AU124" s="5" t="s">
        <v>45</v>
      </c>
      <c r="AV124" s="5">
        <v>3</v>
      </c>
      <c r="AW124" s="5" t="s">
        <v>47</v>
      </c>
      <c r="AX124" s="5">
        <v>5</v>
      </c>
      <c r="AY124" s="5" t="s">
        <v>46</v>
      </c>
      <c r="AZ124" s="5">
        <v>7</v>
      </c>
      <c r="BA124" s="5">
        <v>9</v>
      </c>
      <c r="BB124" s="5"/>
      <c r="BC124" s="1">
        <f ca="1">OFFSET(A124,0, 2) -0</f>
        <v>25.380596818220965</v>
      </c>
      <c r="BD124" s="1">
        <f ca="1">OFFSET(A124,0, 4) -0</f>
        <v>19.276356154440236</v>
      </c>
      <c r="BE124" s="1">
        <f ca="1">OFFSET(A124,0, 6) -0</f>
        <v>13.172115490659507</v>
      </c>
      <c r="BF124" s="1">
        <f ca="1">OFFSET(A124,0, 1) -0</f>
        <v>28.43271715011133</v>
      </c>
      <c r="BG124" s="1">
        <f ca="1">OFFSET(A124,0, 8) -0</f>
        <v>17.067874826878779</v>
      </c>
      <c r="BH124" s="1">
        <f ca="1">OFFSET(A124,0, 3) -0</f>
        <v>-7.6715235136693991</v>
      </c>
      <c r="BI124" s="1">
        <f ca="1">OFFSET(A124,0, 10) -0</f>
        <v>-19.03636583690195</v>
      </c>
      <c r="BJ124" s="1">
        <f ca="1">OFFSET(A124,0, 5) -0</f>
        <v>36.224235822549872</v>
      </c>
      <c r="BK124" s="1">
        <f ca="1">OFFSET(A124,0, 12) -0</f>
        <v>-45.140606500682679</v>
      </c>
      <c r="BL124" s="1">
        <f ca="1">OFFSET(A124,0, 7) -0</f>
        <v>20.119995158769143</v>
      </c>
      <c r="BM124" s="1">
        <f ca="1">OFFSET(A124,0, 11) -0</f>
        <v>-22.088486168792315</v>
      </c>
      <c r="BN124" s="1">
        <f ca="1">OFFSET(A124,0, 9) -0</f>
        <v>4.0157544949884141</v>
      </c>
      <c r="BO124" s="1">
        <f ca="1">OFFSET(A124,0, 13) -0</f>
        <v>-18.192726832573044</v>
      </c>
      <c r="BP124" s="1">
        <f ca="1">OFFSET(A124,0, 17) -0</f>
        <v>19.598791839865498</v>
      </c>
      <c r="BQ124" s="1">
        <f ca="1">OFFSET(A124,0, 19) -0</f>
        <v>13.494551176084769</v>
      </c>
      <c r="BR124" s="1">
        <f ca="1">OFFSET(A124,0, 14) -0</f>
        <v>-41.244847164463408</v>
      </c>
      <c r="BS124" s="1">
        <f ca="1">OFFSET(A124,0, 21) -0</f>
        <v>-32.60968948769596</v>
      </c>
      <c r="BT124" s="1">
        <f ca="1">OFFSET(A124,0, 15) -0</f>
        <v>-24.296967496353773</v>
      </c>
      <c r="BU124" s="1">
        <f ca="1">OFFSET(A124,0, 23) -0</f>
        <v>-28.713930151476688</v>
      </c>
      <c r="BV124" s="1">
        <f ca="1">OFFSET(A124,0, 16) -0</f>
        <v>22.650912171755863</v>
      </c>
      <c r="BW124" s="1">
        <f ca="1">OFFSET(A124,0, 24) -0</f>
        <v>18.233949516632947</v>
      </c>
      <c r="BX124" s="1">
        <f ca="1">OFFSET(A124,0, 18) -0</f>
        <v>6.5466715079751339</v>
      </c>
      <c r="BY124" s="1">
        <f ca="1">OFFSET(A124,0, 22) -0</f>
        <v>4.338190180413676</v>
      </c>
      <c r="BZ124" s="1">
        <f ca="1">OFFSET(A124,0, 20) -0</f>
        <v>-9.5575691558055951</v>
      </c>
      <c r="CB124" s="1">
        <f>COUNTIF(B124,"&lt;-68")</f>
        <v>0</v>
      </c>
      <c r="CC124" s="1">
        <f ca="1">COUNTIF(BC124:BN124,"&lt;-48")</f>
        <v>0</v>
      </c>
      <c r="CD124" s="1">
        <f ca="1">COUNTIF(BC124:BN124,"&gt;+48")</f>
        <v>0</v>
      </c>
      <c r="CE124" s="1">
        <f ca="1">COUNTIF(BO124:BZ124,"&lt;-48")</f>
        <v>0</v>
      </c>
      <c r="CF124" s="1">
        <f ca="1">COUNTIF(BO124:BZ124,"&gt;+48")</f>
        <v>0</v>
      </c>
    </row>
    <row r="125" spans="1:84">
      <c r="A125" s="1">
        <v>122</v>
      </c>
      <c r="B125" s="1">
        <f>'Team A 1'!B125-'Team A 1'!$AA125-('Team A 1'!B$2- 12.5)*'Team A 1'!$AC125</f>
        <v>22.241540362257638</v>
      </c>
      <c r="C125" s="1">
        <f>'Team A 1'!C125-'Team A 1'!$AA125-('Team A 1'!C$2- 12.5)*'Team A 1'!$AC125</f>
        <v>28.930681780028863</v>
      </c>
      <c r="D125" s="1">
        <f>'Team A 1'!D125-'Team A 1'!$AA125-('Team A 1'!D$2- 12.5)*'Team A 1'!$AC125</f>
        <v>-24.380176802199912</v>
      </c>
      <c r="E125" s="1">
        <f>'Team A 1'!E125-'Team A 1'!$AA125-('Team A 1'!E$2- 12.5)*'Team A 1'!$AC125</f>
        <v>-17.69103538442846</v>
      </c>
      <c r="F125" s="1">
        <f>'Team A 1'!F125-'Team A 1'!$AA125-('Team A 1'!F$2- 12.5)*'Team A 1'!$AC125</f>
        <v>-11.001893966657235</v>
      </c>
      <c r="G125" s="1">
        <f>'Team A 1'!G125-'Team A 1'!$AA125-('Team A 1'!G$2- 12.5)*'Team A 1'!$AC125</f>
        <v>15.687247451114217</v>
      </c>
      <c r="H125" s="1">
        <f>'Team A 1'!H125-'Team A 1'!$AA125-('Team A 1'!H$2- 12.5)*'Team A 1'!$AC125</f>
        <v>2.3763888688854422</v>
      </c>
      <c r="I125" s="1">
        <f>'Team A 1'!I125-'Team A 1'!$AA125-('Team A 1'!I$2- 12.5)*'Team A 1'!$AC125</f>
        <v>49.065530286656895</v>
      </c>
      <c r="J125" s="1">
        <f>'Team A 1'!J125-'Team A 1'!$AA125-('Team A 1'!J$2- 12.5)*'Team A 1'!$AC125</f>
        <v>-4.2453282955718805</v>
      </c>
      <c r="K125" s="1">
        <f>'Team A 1'!K125-'Team A 1'!$AA125-('Team A 1'!K$2- 12.5)*'Team A 1'!$AC125</f>
        <v>-27.556186877800485</v>
      </c>
      <c r="L125" s="1">
        <f>'Team A 1'!L125-'Team A 1'!$AA125-('Team A 1'!L$2- 12.5)*'Team A 1'!$AC125</f>
        <v>-20.867045460029146</v>
      </c>
      <c r="M125" s="1">
        <f>'Team A 1'!M125-'Team A 1'!$AA125-('Team A 1'!M$2- 12.5)*'Team A 1'!$AC125</f>
        <v>15.822095957742192</v>
      </c>
      <c r="N125" s="1">
        <f>'Team A 1'!N125-'Team A 1'!$AA125-('Team A 1'!N$2- 12.5)*'Team A 1'!$AC125</f>
        <v>-7.4887626244864691</v>
      </c>
      <c r="O125" s="1">
        <f>'Team A 1'!O125-'Team A 1'!$AA125-('Team A 1'!O$2- 12.5)*'Team A 1'!$AC125</f>
        <v>19.20037879328487</v>
      </c>
      <c r="P125" s="1">
        <f>'Team A 1'!P125-'Team A 1'!$AA125-('Team A 1'!P$2- 12.5)*'Team A 1'!$AC125</f>
        <v>35.889520211056208</v>
      </c>
      <c r="Q125" s="1">
        <f>'Team A 1'!Q125-'Team A 1'!$AA125-('Team A 1'!Q$2- 12.5)*'Team A 1'!$AC125</f>
        <v>-7.4213383711723964</v>
      </c>
      <c r="R125" s="1">
        <f>'Team A 1'!R125-'Team A 1'!$AA125-('Team A 1'!R$2- 12.5)*'Team A 1'!$AC125</f>
        <v>9.2678030465988286</v>
      </c>
      <c r="S125" s="1">
        <f>'Team A 1'!S125-'Team A 1'!$AA125-('Team A 1'!S$2- 12.5)*'Team A 1'!$AC125</f>
        <v>-24.043055535629719</v>
      </c>
      <c r="T125" s="1">
        <f>'Team A 1'!T125-'Team A 1'!$AA125-('Team A 1'!T$2- 12.5)*'Team A 1'!$AC125</f>
        <v>-17.353914117858494</v>
      </c>
      <c r="U125" s="1">
        <f>'Team A 1'!U125-'Team A 1'!$AA125-('Team A 1'!U$2- 12.5)*'Team A 1'!$AC125</f>
        <v>-10.664772700087042</v>
      </c>
      <c r="V125" s="1">
        <f>'Team A 1'!V125-'Team A 1'!$AA125-('Team A 1'!V$2- 12.5)*'Team A 1'!$AC125</f>
        <v>-33.975631282315817</v>
      </c>
      <c r="W125" s="1">
        <f>'Team A 1'!W125-'Team A 1'!$AA125-('Team A 1'!W$2- 12.5)*'Team A 1'!$AC125</f>
        <v>-27.286489864544365</v>
      </c>
      <c r="X125" s="1">
        <f>'Team A 1'!X125-'Team A 1'!$AA125-('Team A 1'!X$2- 12.5)*'Team A 1'!$AC125</f>
        <v>19.40265155322686</v>
      </c>
      <c r="Y125" s="1">
        <f>'Team A 1'!Y125-'Team A 1'!$AA125-('Team A 1'!Y$2- 12.5)*'Team A 1'!$AC125</f>
        <v>16.091792970998085</v>
      </c>
      <c r="AB125" s="1">
        <f>STDEV(B125:Y125)</f>
        <v>22.711241080734606</v>
      </c>
      <c r="AD125" s="5">
        <v>4</v>
      </c>
      <c r="AE125" s="5">
        <v>1</v>
      </c>
      <c r="AF125" s="5">
        <v>8</v>
      </c>
      <c r="AG125" s="5">
        <v>6</v>
      </c>
      <c r="AH125" s="5" t="s">
        <v>45</v>
      </c>
      <c r="AI125" s="5">
        <v>2</v>
      </c>
      <c r="AJ125" s="5" t="s">
        <v>47</v>
      </c>
      <c r="AK125" s="5">
        <v>3</v>
      </c>
      <c r="AL125" s="5" t="s">
        <v>46</v>
      </c>
      <c r="AM125" s="5">
        <v>5</v>
      </c>
      <c r="AN125" s="5">
        <v>9</v>
      </c>
      <c r="AO125" s="5">
        <v>7</v>
      </c>
      <c r="AP125" s="5">
        <v>4</v>
      </c>
      <c r="AQ125" s="5">
        <v>8</v>
      </c>
      <c r="AR125" s="5">
        <v>1</v>
      </c>
      <c r="AS125" s="5">
        <v>6</v>
      </c>
      <c r="AT125" s="5">
        <v>2</v>
      </c>
      <c r="AU125" s="5" t="s">
        <v>45</v>
      </c>
      <c r="AV125" s="5">
        <v>3</v>
      </c>
      <c r="AW125" s="5" t="s">
        <v>47</v>
      </c>
      <c r="AX125" s="5">
        <v>5</v>
      </c>
      <c r="AY125" s="5" t="s">
        <v>46</v>
      </c>
      <c r="AZ125" s="5">
        <v>7</v>
      </c>
      <c r="BA125" s="5">
        <v>9</v>
      </c>
      <c r="BB125" s="5"/>
      <c r="BC125" s="1">
        <f ca="1">OFFSET(A125,0, 2) -0</f>
        <v>28.930681780028863</v>
      </c>
      <c r="BD125" s="1">
        <f ca="1">OFFSET(A125,0, 6) -0</f>
        <v>15.687247451114217</v>
      </c>
      <c r="BE125" s="1">
        <f ca="1">OFFSET(A125,0, 8) -0</f>
        <v>49.065530286656895</v>
      </c>
      <c r="BF125" s="1">
        <f ca="1">OFFSET(A125,0, 1) -0</f>
        <v>22.241540362257638</v>
      </c>
      <c r="BG125" s="1">
        <f ca="1">OFFSET(A125,0, 10) -0</f>
        <v>-27.556186877800485</v>
      </c>
      <c r="BH125" s="1">
        <f ca="1">OFFSET(A125,0, 4) -0</f>
        <v>-17.69103538442846</v>
      </c>
      <c r="BI125" s="1">
        <f ca="1">OFFSET(A125,0, 12) -0</f>
        <v>15.822095957742192</v>
      </c>
      <c r="BJ125" s="1">
        <f ca="1">OFFSET(A125,0, 3) -0</f>
        <v>-24.380176802199912</v>
      </c>
      <c r="BK125" s="1">
        <f ca="1">OFFSET(A125,0, 11) -0</f>
        <v>-20.867045460029146</v>
      </c>
      <c r="BL125" s="1">
        <f ca="1">OFFSET(A125,0, 5) -0</f>
        <v>-11.001893966657235</v>
      </c>
      <c r="BM125" s="1">
        <f ca="1">OFFSET(A125,0, 9) -0</f>
        <v>-4.2453282955718805</v>
      </c>
      <c r="BN125" s="1">
        <f ca="1">OFFSET(A125,0, 7) -0</f>
        <v>2.3763888688854422</v>
      </c>
      <c r="BO125" s="1">
        <f ca="1">OFFSET(A125,0, 15) -0</f>
        <v>35.889520211056208</v>
      </c>
      <c r="BP125" s="1">
        <f ca="1">OFFSET(A125,0, 17) -0</f>
        <v>9.2678030465988286</v>
      </c>
      <c r="BQ125" s="1">
        <f ca="1">OFFSET(A125,0, 19) -0</f>
        <v>-17.353914117858494</v>
      </c>
      <c r="BR125" s="1">
        <f ca="1">OFFSET(A125,0, 13) -0</f>
        <v>-7.4887626244864691</v>
      </c>
      <c r="BS125" s="1">
        <f ca="1">OFFSET(A125,0, 21) -0</f>
        <v>-33.975631282315817</v>
      </c>
      <c r="BT125" s="1">
        <f ca="1">OFFSET(A125,0, 16) -0</f>
        <v>-7.4213383711723964</v>
      </c>
      <c r="BU125" s="1">
        <f ca="1">OFFSET(A125,0, 23) -0</f>
        <v>19.40265155322686</v>
      </c>
      <c r="BV125" s="1">
        <f ca="1">OFFSET(A125,0, 14) -0</f>
        <v>19.20037879328487</v>
      </c>
      <c r="BW125" s="1">
        <f ca="1">OFFSET(A125,0, 24) -0</f>
        <v>16.091792970998085</v>
      </c>
      <c r="BX125" s="1">
        <f ca="1">OFFSET(A125,0, 18) -0</f>
        <v>-24.043055535629719</v>
      </c>
      <c r="BY125" s="1">
        <f ca="1">OFFSET(A125,0, 22) -0</f>
        <v>-27.286489864544365</v>
      </c>
      <c r="BZ125" s="1">
        <f ca="1">OFFSET(A125,0, 20) -0</f>
        <v>-10.664772700087042</v>
      </c>
      <c r="CB125" s="1">
        <f>COUNTIF(B125,"&lt;-68")</f>
        <v>0</v>
      </c>
      <c r="CC125" s="1">
        <f ca="1">COUNTIF(BC125:BN125,"&lt;-48")</f>
        <v>0</v>
      </c>
      <c r="CD125" s="1">
        <f ca="1">COUNTIF(BC125:BN125,"&gt;+48")</f>
        <v>1</v>
      </c>
      <c r="CE125" s="1">
        <f ca="1">COUNTIF(BO125:BZ125,"&lt;-48")</f>
        <v>0</v>
      </c>
      <c r="CF125" s="1">
        <f ca="1">COUNTIF(BO125:BZ125,"&gt;+48")</f>
        <v>0</v>
      </c>
    </row>
    <row r="126" spans="1:84">
      <c r="A126" s="1">
        <v>123</v>
      </c>
      <c r="B126" s="1">
        <f>'Team A 1'!B126-'Team A 1'!$AA126-('Team A 1'!B$2- 12.5)*'Team A 1'!$AC126</f>
        <v>11.567441629109453</v>
      </c>
      <c r="C126" s="1">
        <f>'Team A 1'!C126-'Team A 1'!$AA126-('Team A 1'!C$2- 12.5)*'Team A 1'!$AC126</f>
        <v>38.206504675850056</v>
      </c>
      <c r="D126" s="1">
        <f>'Team A 1'!D126-'Team A 1'!$AA126-('Team A 1'!D$2- 12.5)*'Team A 1'!$AC126</f>
        <v>24.845567722590886</v>
      </c>
      <c r="E126" s="1">
        <f>'Team A 1'!E126-'Team A 1'!$AA126-('Team A 1'!E$2- 12.5)*'Team A 1'!$AC126</f>
        <v>1.4846307693314884</v>
      </c>
      <c r="F126" s="1">
        <f>'Team A 1'!F126-'Team A 1'!$AA126-('Team A 1'!F$2- 12.5)*'Team A 1'!$AC126</f>
        <v>-1.8763061839276816</v>
      </c>
      <c r="G126" s="1">
        <f>'Team A 1'!G126-'Team A 1'!$AA126-('Team A 1'!G$2- 12.5)*'Team A 1'!$AC126</f>
        <v>24.762756862812921</v>
      </c>
      <c r="H126" s="1">
        <f>'Team A 1'!H126-'Team A 1'!$AA126-('Team A 1'!H$2- 12.5)*'Team A 1'!$AC126</f>
        <v>1.4018199095537511</v>
      </c>
      <c r="I126" s="1">
        <f>'Team A 1'!I126-'Team A 1'!$AA126-('Team A 1'!I$2- 12.5)*'Team A 1'!$AC126</f>
        <v>28.040882956294467</v>
      </c>
      <c r="J126" s="1">
        <f>'Team A 1'!J126-'Team A 1'!$AA126-('Team A 1'!J$2- 12.5)*'Team A 1'!$AC126</f>
        <v>-15.320053996964702</v>
      </c>
      <c r="K126" s="1">
        <f>'Team A 1'!K126-'Team A 1'!$AA126-('Team A 1'!K$2- 12.5)*'Team A 1'!$AC126</f>
        <v>-38.680990950223986</v>
      </c>
      <c r="L126" s="1">
        <f>'Team A 1'!L126-'Team A 1'!$AA126-('Team A 1'!L$2- 12.5)*'Team A 1'!$AC126</f>
        <v>-22.04192790348327</v>
      </c>
      <c r="M126" s="1">
        <f>'Team A 1'!M126-'Team A 1'!$AA126-('Team A 1'!M$2- 12.5)*'Team A 1'!$AC126</f>
        <v>-15.402864856742511</v>
      </c>
      <c r="N126" s="1">
        <f>'Team A 1'!N126-'Team A 1'!$AA126-('Team A 1'!N$2- 12.5)*'Team A 1'!$AC126</f>
        <v>1.2361981899982339</v>
      </c>
      <c r="O126" s="1">
        <f>'Team A 1'!O126-'Team A 1'!$AA126-('Team A 1'!O$2- 12.5)*'Team A 1'!$AC126</f>
        <v>-22.124738763261007</v>
      </c>
      <c r="P126" s="1">
        <f>'Team A 1'!P126-'Team A 1'!$AA126-('Team A 1'!P$2- 12.5)*'Team A 1'!$AC126</f>
        <v>4.5143242834797093</v>
      </c>
      <c r="Q126" s="1">
        <f>'Team A 1'!Q126-'Team A 1'!$AA126-('Team A 1'!Q$2- 12.5)*'Team A 1'!$AC126</f>
        <v>1.1533873302204256</v>
      </c>
      <c r="R126" s="1">
        <f>'Team A 1'!R126-'Team A 1'!$AA126-('Team A 1'!R$2- 12.5)*'Team A 1'!$AC126</f>
        <v>7.7924503769612556</v>
      </c>
      <c r="S126" s="1">
        <f>'Team A 1'!S126-'Team A 1'!$AA126-('Team A 1'!S$2- 12.5)*'Team A 1'!$AC126</f>
        <v>14.431513423701972</v>
      </c>
      <c r="T126" s="1">
        <f>'Team A 1'!T126-'Team A 1'!$AA126-('Team A 1'!T$2- 12.5)*'Team A 1'!$AC126</f>
        <v>11.070576470442802</v>
      </c>
      <c r="U126" s="1">
        <f>'Team A 1'!U126-'Team A 1'!$AA126-('Team A 1'!U$2- 12.5)*'Team A 1'!$AC126</f>
        <v>-2.2903604828165953</v>
      </c>
      <c r="V126" s="1">
        <f>'Team A 1'!V126-'Team A 1'!$AA126-('Team A 1'!V$2- 12.5)*'Team A 1'!$AC126</f>
        <v>-25.651297436075765</v>
      </c>
      <c r="W126" s="1">
        <f>'Team A 1'!W126-'Team A 1'!$AA126-('Team A 1'!W$2- 12.5)*'Team A 1'!$AC126</f>
        <v>-9.0122343893351626</v>
      </c>
      <c r="X126" s="1">
        <f>'Team A 1'!X126-'Team A 1'!$AA126-('Team A 1'!X$2- 12.5)*'Team A 1'!$AC126</f>
        <v>-32.373171342594333</v>
      </c>
      <c r="Y126" s="1">
        <f>'Team A 1'!Y126-'Team A 1'!$AA126-('Team A 1'!Y$2- 12.5)*'Team A 1'!$AC126</f>
        <v>14.26589170414627</v>
      </c>
      <c r="AB126" s="1">
        <f>STDEV(B126:Y126)</f>
        <v>19.750972630769848</v>
      </c>
      <c r="AD126" s="5">
        <v>8</v>
      </c>
      <c r="AE126" s="5">
        <v>4</v>
      </c>
      <c r="AF126" s="5">
        <v>6</v>
      </c>
      <c r="AG126" s="5">
        <v>1</v>
      </c>
      <c r="AH126" s="5" t="s">
        <v>45</v>
      </c>
      <c r="AI126" s="5">
        <v>2</v>
      </c>
      <c r="AJ126" s="5" t="s">
        <v>47</v>
      </c>
      <c r="AK126" s="5">
        <v>3</v>
      </c>
      <c r="AL126" s="5" t="s">
        <v>46</v>
      </c>
      <c r="AM126" s="5">
        <v>5</v>
      </c>
      <c r="AN126" s="5">
        <v>9</v>
      </c>
      <c r="AO126" s="5">
        <v>7</v>
      </c>
      <c r="AP126" s="5">
        <v>8</v>
      </c>
      <c r="AQ126" s="5">
        <v>4</v>
      </c>
      <c r="AR126" s="5">
        <v>1</v>
      </c>
      <c r="AS126" s="5">
        <v>6</v>
      </c>
      <c r="AT126" s="5" t="s">
        <v>45</v>
      </c>
      <c r="AU126" s="5" t="s">
        <v>47</v>
      </c>
      <c r="AV126" s="5">
        <v>2</v>
      </c>
      <c r="AW126" s="5" t="s">
        <v>46</v>
      </c>
      <c r="AX126" s="5">
        <v>3</v>
      </c>
      <c r="AY126" s="5">
        <v>9</v>
      </c>
      <c r="AZ126" s="5">
        <v>5</v>
      </c>
      <c r="BA126" s="5">
        <v>7</v>
      </c>
      <c r="BB126" s="5"/>
      <c r="BC126" s="1">
        <f ca="1">OFFSET(A126,0, 4) -0</f>
        <v>1.4846307693314884</v>
      </c>
      <c r="BD126" s="1">
        <f ca="1">OFFSET(A126,0, 6) -0</f>
        <v>24.762756862812921</v>
      </c>
      <c r="BE126" s="1">
        <f ca="1">OFFSET(A126,0, 8) -0</f>
        <v>28.040882956294467</v>
      </c>
      <c r="BF126" s="1">
        <f ca="1">OFFSET(A126,0, 2) -0</f>
        <v>38.206504675850056</v>
      </c>
      <c r="BG126" s="1">
        <f ca="1">OFFSET(A126,0, 10) -0</f>
        <v>-38.680990950223986</v>
      </c>
      <c r="BH126" s="1">
        <f ca="1">OFFSET(A126,0, 3) -0</f>
        <v>24.845567722590886</v>
      </c>
      <c r="BI126" s="1">
        <f ca="1">OFFSET(A126,0, 12) -0</f>
        <v>-15.402864856742511</v>
      </c>
      <c r="BJ126" s="1">
        <f ca="1">OFFSET(A126,0, 1) -0</f>
        <v>11.567441629109453</v>
      </c>
      <c r="BK126" s="1">
        <f ca="1">OFFSET(A126,0, 11) -0</f>
        <v>-22.04192790348327</v>
      </c>
      <c r="BL126" s="1">
        <f ca="1">OFFSET(A126,0, 5) -0</f>
        <v>-1.8763061839276816</v>
      </c>
      <c r="BM126" s="1">
        <f ca="1">OFFSET(A126,0, 9) -0</f>
        <v>-15.320053996964702</v>
      </c>
      <c r="BN126" s="1">
        <f ca="1">OFFSET(A126,0, 7) -0</f>
        <v>1.4018199095537511</v>
      </c>
      <c r="BO126" s="1">
        <f ca="1">OFFSET(A126,0, 15) -0</f>
        <v>4.5143242834797093</v>
      </c>
      <c r="BP126" s="1">
        <f ca="1">OFFSET(A126,0, 19) -0</f>
        <v>11.070576470442802</v>
      </c>
      <c r="BQ126" s="1">
        <f ca="1">OFFSET(A126,0, 21) -0</f>
        <v>-25.651297436075765</v>
      </c>
      <c r="BR126" s="1">
        <f ca="1">OFFSET(A126,0, 14) -0</f>
        <v>-22.124738763261007</v>
      </c>
      <c r="BS126" s="1">
        <f ca="1">OFFSET(A126,0, 23) -0</f>
        <v>-32.373171342594333</v>
      </c>
      <c r="BT126" s="1">
        <f ca="1">OFFSET(A126,0, 16) -0</f>
        <v>1.1533873302204256</v>
      </c>
      <c r="BU126" s="1">
        <f ca="1">OFFSET(A126,0, 24) -0</f>
        <v>14.26589170414627</v>
      </c>
      <c r="BV126" s="1">
        <f ca="1">OFFSET(A126,0, 13) -0</f>
        <v>1.2361981899982339</v>
      </c>
      <c r="BW126" s="1">
        <f ca="1">OFFSET(A126,0, 22) -0</f>
        <v>-9.0122343893351626</v>
      </c>
      <c r="BX126" s="1">
        <f ca="1">OFFSET(A126,0, 17) -0</f>
        <v>7.7924503769612556</v>
      </c>
      <c r="BY126" s="1">
        <f ca="1">OFFSET(A126,0, 20) -0</f>
        <v>-2.2903604828165953</v>
      </c>
      <c r="BZ126" s="1">
        <f ca="1">OFFSET(A126,0, 18) -0</f>
        <v>14.431513423701972</v>
      </c>
      <c r="CB126" s="1">
        <f>COUNTIF(B126,"&lt;-68")</f>
        <v>0</v>
      </c>
      <c r="CC126" s="1">
        <f ca="1">COUNTIF(BC126:BN126,"&lt;-48")</f>
        <v>0</v>
      </c>
      <c r="CD126" s="1">
        <f ca="1">COUNTIF(BC126:BN126,"&gt;+48")</f>
        <v>0</v>
      </c>
      <c r="CE126" s="1">
        <f ca="1">COUNTIF(BO126:BZ126,"&lt;-48")</f>
        <v>0</v>
      </c>
      <c r="CF126" s="1">
        <f ca="1">COUNTIF(BO126:BZ126,"&gt;+48")</f>
        <v>0</v>
      </c>
    </row>
    <row r="127" spans="1:84">
      <c r="A127" s="1">
        <v>124</v>
      </c>
      <c r="B127" s="1">
        <f>'Team A 1'!B127-'Team A 1'!$AA127-('Team A 1'!B$2- 12.5)*'Team A 1'!$AC127</f>
        <v>14.795935730949168</v>
      </c>
      <c r="C127" s="1">
        <f>'Team A 1'!C127-'Team A 1'!$AA127-('Team A 1'!C$2- 12.5)*'Team A 1'!$AC127</f>
        <v>-18.990667376089959</v>
      </c>
      <c r="D127" s="1">
        <f>'Team A 1'!D127-'Team A 1'!$AA127-('Team A 1'!D$2- 12.5)*'Team A 1'!$AC127</f>
        <v>27.222729516870913</v>
      </c>
      <c r="E127" s="1">
        <f>'Team A 1'!E127-'Team A 1'!$AA127-('Team A 1'!E$2- 12.5)*'Team A 1'!$AC127</f>
        <v>-6.5638735901682139</v>
      </c>
      <c r="F127" s="1">
        <f>'Team A 1'!F127-'Team A 1'!$AA127-('Team A 1'!F$2- 12.5)*'Team A 1'!$AC127</f>
        <v>9.6495233027928862</v>
      </c>
      <c r="G127" s="1">
        <f>'Team A 1'!G127-'Team A 1'!$AA127-('Team A 1'!G$2- 12.5)*'Team A 1'!$AC127</f>
        <v>25.862920195753759</v>
      </c>
      <c r="H127" s="1">
        <f>'Team A 1'!H127-'Team A 1'!$AA127-('Team A 1'!H$2- 12.5)*'Team A 1'!$AC127</f>
        <v>-27.923682911285368</v>
      </c>
      <c r="I127" s="1">
        <f>'Team A 1'!I127-'Team A 1'!$AA127-('Team A 1'!I$2- 12.5)*'Team A 1'!$AC127</f>
        <v>-11.710286018324268</v>
      </c>
      <c r="J127" s="1">
        <f>'Team A 1'!J127-'Team A 1'!$AA127-('Team A 1'!J$2- 12.5)*'Team A 1'!$AC127</f>
        <v>-5.4968891253633956</v>
      </c>
      <c r="K127" s="1">
        <f>'Team A 1'!K127-'Team A 1'!$AA127-('Team A 1'!K$2- 12.5)*'Team A 1'!$AC127</f>
        <v>-19.283492232402409</v>
      </c>
      <c r="L127" s="1">
        <f>'Team A 1'!L127-'Team A 1'!$AA127-('Team A 1'!L$2- 12.5)*'Team A 1'!$AC127</f>
        <v>26.929904660558577</v>
      </c>
      <c r="M127" s="1">
        <f>'Team A 1'!M127-'Team A 1'!$AA127-('Team A 1'!M$2- 12.5)*'Team A 1'!$AC127</f>
        <v>13.143301553519521</v>
      </c>
      <c r="N127" s="1">
        <f>'Team A 1'!N127-'Team A 1'!$AA127-('Team A 1'!N$2- 12.5)*'Team A 1'!$AC127</f>
        <v>-10.643301553519521</v>
      </c>
      <c r="O127" s="1">
        <f>'Team A 1'!O127-'Team A 1'!$AA127-('Team A 1'!O$2- 12.5)*'Team A 1'!$AC127</f>
        <v>15.570095339441423</v>
      </c>
      <c r="P127" s="1">
        <f>'Team A 1'!P127-'Team A 1'!$AA127-('Team A 1'!P$2- 12.5)*'Team A 1'!$AC127</f>
        <v>21.783492232402409</v>
      </c>
      <c r="Q127" s="1">
        <f>'Team A 1'!Q127-'Team A 1'!$AA127-('Team A 1'!Q$2- 12.5)*'Team A 1'!$AC127</f>
        <v>27.996889125363396</v>
      </c>
      <c r="R127" s="1">
        <f>'Team A 1'!R127-'Team A 1'!$AA127-('Team A 1'!R$2- 12.5)*'Team A 1'!$AC127</f>
        <v>24.210286018324268</v>
      </c>
      <c r="S127" s="1">
        <f>'Team A 1'!S127-'Team A 1'!$AA127-('Team A 1'!S$2- 12.5)*'Team A 1'!$AC127</f>
        <v>0.42368291128536839</v>
      </c>
      <c r="T127" s="1">
        <f>'Team A 1'!T127-'Team A 1'!$AA127-('Team A 1'!T$2- 12.5)*'Team A 1'!$AC127</f>
        <v>16.637079804246241</v>
      </c>
      <c r="U127" s="1">
        <f>'Team A 1'!U127-'Team A 1'!$AA127-('Team A 1'!U$2- 12.5)*'Team A 1'!$AC127</f>
        <v>-37.149523302792886</v>
      </c>
      <c r="V127" s="1">
        <f>'Team A 1'!V127-'Team A 1'!$AA127-('Team A 1'!V$2- 12.5)*'Team A 1'!$AC127</f>
        <v>-30.936126409831786</v>
      </c>
      <c r="W127" s="1">
        <f>'Team A 1'!W127-'Team A 1'!$AA127-('Team A 1'!W$2- 12.5)*'Team A 1'!$AC127</f>
        <v>-24.722729516870913</v>
      </c>
      <c r="X127" s="1">
        <f>'Team A 1'!X127-'Team A 1'!$AA127-('Team A 1'!X$2- 12.5)*'Team A 1'!$AC127</f>
        <v>-38.509332623910041</v>
      </c>
      <c r="Y127" s="1">
        <f>'Team A 1'!Y127-'Team A 1'!$AA127-('Team A 1'!Y$2- 12.5)*'Team A 1'!$AC127</f>
        <v>7.7040642690508321</v>
      </c>
      <c r="AB127" s="1">
        <f>STDEV(B127:Y127)</f>
        <v>22.175640789714993</v>
      </c>
      <c r="AD127" s="5">
        <v>4</v>
      </c>
      <c r="AE127" s="5">
        <v>8</v>
      </c>
      <c r="AF127" s="5">
        <v>6</v>
      </c>
      <c r="AG127" s="5">
        <v>1</v>
      </c>
      <c r="AH127" s="5" t="s">
        <v>47</v>
      </c>
      <c r="AI127" s="5" t="s">
        <v>45</v>
      </c>
      <c r="AJ127" s="5" t="s">
        <v>46</v>
      </c>
      <c r="AK127" s="5">
        <v>2</v>
      </c>
      <c r="AL127" s="5">
        <v>9</v>
      </c>
      <c r="AM127" s="5">
        <v>3</v>
      </c>
      <c r="AN127" s="5">
        <v>7</v>
      </c>
      <c r="AO127" s="5">
        <v>5</v>
      </c>
      <c r="AP127" s="5">
        <v>8</v>
      </c>
      <c r="AQ127" s="5">
        <v>4</v>
      </c>
      <c r="AR127" s="5">
        <v>6</v>
      </c>
      <c r="AS127" s="5" t="s">
        <v>47</v>
      </c>
      <c r="AT127" s="5">
        <v>1</v>
      </c>
      <c r="AU127" s="5" t="s">
        <v>45</v>
      </c>
      <c r="AV127" s="5">
        <v>2</v>
      </c>
      <c r="AW127" s="5" t="s">
        <v>46</v>
      </c>
      <c r="AX127" s="5">
        <v>3</v>
      </c>
      <c r="AY127" s="5">
        <v>9</v>
      </c>
      <c r="AZ127" s="5">
        <v>5</v>
      </c>
      <c r="BA127" s="5">
        <v>7</v>
      </c>
      <c r="BB127" s="5"/>
      <c r="BC127" s="1">
        <f ca="1">OFFSET(A127,0, 4) -0</f>
        <v>-6.5638735901682139</v>
      </c>
      <c r="BD127" s="1">
        <f ca="1">OFFSET(A127,0, 8) -0</f>
        <v>-11.710286018324268</v>
      </c>
      <c r="BE127" s="1">
        <f ca="1">OFFSET(A127,0, 10) -0</f>
        <v>-19.283492232402409</v>
      </c>
      <c r="BF127" s="1">
        <f ca="1">OFFSET(A127,0, 1) -0</f>
        <v>14.795935730949168</v>
      </c>
      <c r="BG127" s="1">
        <f ca="1">OFFSET(A127,0, 12) -0</f>
        <v>13.143301553519521</v>
      </c>
      <c r="BH127" s="1">
        <f ca="1">OFFSET(A127,0, 3) -0</f>
        <v>27.222729516870913</v>
      </c>
      <c r="BI127" s="1">
        <f ca="1">OFFSET(A127,0, 11) -0</f>
        <v>26.929904660558577</v>
      </c>
      <c r="BJ127" s="1">
        <f ca="1">OFFSET(A127,0, 2) -0</f>
        <v>-18.990667376089959</v>
      </c>
      <c r="BK127" s="1">
        <f ca="1">OFFSET(A127,0, 9) -0</f>
        <v>-5.4968891253633956</v>
      </c>
      <c r="BL127" s="1">
        <f ca="1">OFFSET(A127,0, 6) -0</f>
        <v>25.862920195753759</v>
      </c>
      <c r="BM127" s="1">
        <f ca="1">OFFSET(A127,0, 7) -0</f>
        <v>-27.923682911285368</v>
      </c>
      <c r="BN127" s="1">
        <f ca="1">OFFSET(A127,0, 5) -0</f>
        <v>9.6495233027928862</v>
      </c>
      <c r="BO127" s="1">
        <f ca="1">OFFSET(A127,0, 17) -0</f>
        <v>24.210286018324268</v>
      </c>
      <c r="BP127" s="1">
        <f ca="1">OFFSET(A127,0, 19) -0</f>
        <v>16.637079804246241</v>
      </c>
      <c r="BQ127" s="1">
        <f ca="1">OFFSET(A127,0, 21) -0</f>
        <v>-30.936126409831786</v>
      </c>
      <c r="BR127" s="1">
        <f ca="1">OFFSET(A127,0, 14) -0</f>
        <v>15.570095339441423</v>
      </c>
      <c r="BS127" s="1">
        <f ca="1">OFFSET(A127,0, 23) -0</f>
        <v>-38.509332623910041</v>
      </c>
      <c r="BT127" s="1">
        <f ca="1">OFFSET(A127,0, 15) -0</f>
        <v>21.783492232402409</v>
      </c>
      <c r="BU127" s="1">
        <f ca="1">OFFSET(A127,0, 24) -0</f>
        <v>7.7040642690508321</v>
      </c>
      <c r="BV127" s="1">
        <f ca="1">OFFSET(A127,0, 13) -0</f>
        <v>-10.643301553519521</v>
      </c>
      <c r="BW127" s="1">
        <f ca="1">OFFSET(A127,0, 22) -0</f>
        <v>-24.722729516870913</v>
      </c>
      <c r="BX127" s="1">
        <f ca="1">OFFSET(A127,0, 18) -0</f>
        <v>0.42368291128536839</v>
      </c>
      <c r="BY127" s="1">
        <f ca="1">OFFSET(A127,0, 20) -0</f>
        <v>-37.149523302792886</v>
      </c>
      <c r="BZ127" s="1">
        <f ca="1">OFFSET(A127,0, 16) -0</f>
        <v>27.996889125363396</v>
      </c>
      <c r="CB127" s="1">
        <f>COUNTIF(B127,"&lt;-69")</f>
        <v>0</v>
      </c>
      <c r="CC127" s="1">
        <f ca="1">COUNTIF(BC127:BN127,"&lt;-48")</f>
        <v>0</v>
      </c>
      <c r="CD127" s="1">
        <f ca="1">COUNTIF(BC127:BN127,"&gt;+48")</f>
        <v>0</v>
      </c>
      <c r="CE127" s="1">
        <f ca="1">COUNTIF(BO127:BZ127,"&lt;-48")</f>
        <v>0</v>
      </c>
      <c r="CF127" s="1">
        <f ca="1">COUNTIF(BO127:BZ127,"&gt;+48")</f>
        <v>0</v>
      </c>
    </row>
    <row r="128" spans="1:84">
      <c r="A128" s="1">
        <v>125</v>
      </c>
      <c r="B128" s="1">
        <f>'Team A 1'!B128-'Team A 1'!$AA128-('Team A 1'!B$2- 12.5)*'Team A 1'!$AC128</f>
        <v>23.255771175764494</v>
      </c>
      <c r="C128" s="1">
        <f>'Team A 1'!C128-'Team A 1'!$AA128-('Team A 1'!C$2- 12.5)*'Team A 1'!$AC128</f>
        <v>-0.61429588299779425</v>
      </c>
      <c r="D128" s="1">
        <f>'Team A 1'!D128-'Team A 1'!$AA128-('Team A 1'!D$2- 12.5)*'Team A 1'!$AC128</f>
        <v>25.515637058240145</v>
      </c>
      <c r="E128" s="1">
        <f>'Team A 1'!E128-'Team A 1'!$AA128-('Team A 1'!E$2- 12.5)*'Team A 1'!$AC128</f>
        <v>21.645569999478084</v>
      </c>
      <c r="F128" s="1">
        <f>'Team A 1'!F128-'Team A 1'!$AA128-('Team A 1'!F$2- 12.5)*'Team A 1'!$AC128</f>
        <v>17.775502940715796</v>
      </c>
      <c r="G128" s="1">
        <f>'Team A 1'!G128-'Team A 1'!$AA128-('Team A 1'!G$2- 12.5)*'Team A 1'!$AC128</f>
        <v>13.905435881953736</v>
      </c>
      <c r="H128" s="1">
        <f>'Team A 1'!H128-'Team A 1'!$AA128-('Team A 1'!H$2- 12.5)*'Team A 1'!$AC128</f>
        <v>-19.964631176808325</v>
      </c>
      <c r="I128" s="1">
        <f>'Team A 1'!I128-'Team A 1'!$AA128-('Team A 1'!I$2- 12.5)*'Team A 1'!$AC128</f>
        <v>16.165301764429501</v>
      </c>
      <c r="J128" s="1">
        <f>'Team A 1'!J128-'Team A 1'!$AA128-('Team A 1'!J$2- 12.5)*'Team A 1'!$AC128</f>
        <v>12.29523470566744</v>
      </c>
      <c r="K128" s="1">
        <f>'Team A 1'!K128-'Team A 1'!$AA128-('Team A 1'!K$2- 12.5)*'Team A 1'!$AC128</f>
        <v>-41.574832353094735</v>
      </c>
      <c r="L128" s="1">
        <f>'Team A 1'!L128-'Team A 1'!$AA128-('Team A 1'!L$2- 12.5)*'Team A 1'!$AC128</f>
        <v>4.5551005881432047</v>
      </c>
      <c r="M128" s="1">
        <f>'Team A 1'!M128-'Team A 1'!$AA128-('Team A 1'!M$2- 12.5)*'Team A 1'!$AC128</f>
        <v>-19.314966470618941</v>
      </c>
      <c r="N128" s="1">
        <f>'Team A 1'!N128-'Team A 1'!$AA128-('Team A 1'!N$2- 12.5)*'Team A 1'!$AC128</f>
        <v>-43.185033529381059</v>
      </c>
      <c r="O128" s="1">
        <f>'Team A 1'!O128-'Team A 1'!$AA128-('Team A 1'!O$2- 12.5)*'Team A 1'!$AC128</f>
        <v>2.9448994118567953</v>
      </c>
      <c r="P128" s="1">
        <f>'Team A 1'!P128-'Team A 1'!$AA128-('Team A 1'!P$2- 12.5)*'Team A 1'!$AC128</f>
        <v>29.074832353094735</v>
      </c>
      <c r="Q128" s="1">
        <f>'Team A 1'!Q128-'Team A 1'!$AA128-('Team A 1'!Q$2- 12.5)*'Team A 1'!$AC128</f>
        <v>5.2047652943325602</v>
      </c>
      <c r="R128" s="1">
        <f>'Team A 1'!R128-'Team A 1'!$AA128-('Team A 1'!R$2- 12.5)*'Team A 1'!$AC128</f>
        <v>21.334698235570499</v>
      </c>
      <c r="S128" s="1">
        <f>'Team A 1'!S128-'Team A 1'!$AA128-('Team A 1'!S$2- 12.5)*'Team A 1'!$AC128</f>
        <v>-22.535368823191675</v>
      </c>
      <c r="T128" s="1">
        <f>'Team A 1'!T128-'Team A 1'!$AA128-('Team A 1'!T$2- 12.5)*'Team A 1'!$AC128</f>
        <v>-36.405435881953736</v>
      </c>
      <c r="U128" s="1">
        <f>'Team A 1'!U128-'Team A 1'!$AA128-('Team A 1'!U$2- 12.5)*'Team A 1'!$AC128</f>
        <v>-20.275502940715796</v>
      </c>
      <c r="V128" s="1">
        <f>'Team A 1'!V128-'Team A 1'!$AA128-('Team A 1'!V$2- 12.5)*'Team A 1'!$AC128</f>
        <v>5.8544300005219156</v>
      </c>
      <c r="W128" s="1">
        <f>'Team A 1'!W128-'Team A 1'!$AA128-('Team A 1'!W$2- 12.5)*'Team A 1'!$AC128</f>
        <v>31.984362941759855</v>
      </c>
      <c r="X128" s="1">
        <f>'Team A 1'!X128-'Team A 1'!$AA128-('Team A 1'!X$2- 12.5)*'Team A 1'!$AC128</f>
        <v>-21.885704117002206</v>
      </c>
      <c r="Y128" s="1">
        <f>'Team A 1'!Y128-'Team A 1'!$AA128-('Team A 1'!Y$2- 12.5)*'Team A 1'!$AC128</f>
        <v>-5.7557711757644938</v>
      </c>
      <c r="AB128" s="1">
        <f>STDEV(B128:Y128)</f>
        <v>22.954001196077581</v>
      </c>
      <c r="AD128" s="5">
        <v>4</v>
      </c>
      <c r="AE128" s="5">
        <v>8</v>
      </c>
      <c r="AF128" s="5" t="s">
        <v>47</v>
      </c>
      <c r="AG128" s="5">
        <v>6</v>
      </c>
      <c r="AH128" s="5" t="s">
        <v>45</v>
      </c>
      <c r="AI128" s="5">
        <v>1</v>
      </c>
      <c r="AJ128" s="5" t="s">
        <v>46</v>
      </c>
      <c r="AK128" s="5">
        <v>2</v>
      </c>
      <c r="AL128" s="5">
        <v>9</v>
      </c>
      <c r="AM128" s="5">
        <v>3</v>
      </c>
      <c r="AN128" s="5">
        <v>7</v>
      </c>
      <c r="AO128" s="5">
        <v>5</v>
      </c>
      <c r="AP128" s="5">
        <v>4</v>
      </c>
      <c r="AQ128" s="5" t="s">
        <v>47</v>
      </c>
      <c r="AR128" s="5">
        <v>8</v>
      </c>
      <c r="AS128" s="5">
        <v>6</v>
      </c>
      <c r="AT128" s="5">
        <v>1</v>
      </c>
      <c r="AU128" s="5" t="s">
        <v>45</v>
      </c>
      <c r="AV128" s="5" t="s">
        <v>46</v>
      </c>
      <c r="AW128" s="5">
        <v>9</v>
      </c>
      <c r="AX128" s="5">
        <v>2</v>
      </c>
      <c r="AY128" s="5">
        <v>7</v>
      </c>
      <c r="AZ128" s="5">
        <v>3</v>
      </c>
      <c r="BA128" s="5">
        <v>5</v>
      </c>
      <c r="BB128" s="5"/>
      <c r="BC128" s="1">
        <f ca="1">OFFSET(A128,0, 6) -0</f>
        <v>13.905435881953736</v>
      </c>
      <c r="BD128" s="1">
        <f ca="1">OFFSET(A128,0, 8) -0</f>
        <v>16.165301764429501</v>
      </c>
      <c r="BE128" s="1">
        <f ca="1">OFFSET(A128,0, 10) -0</f>
        <v>-41.574832353094735</v>
      </c>
      <c r="BF128" s="1">
        <f ca="1">OFFSET(A128,0, 1) -0</f>
        <v>23.255771175764494</v>
      </c>
      <c r="BG128" s="1">
        <f ca="1">OFFSET(A128,0, 12) -0</f>
        <v>-19.314966470618941</v>
      </c>
      <c r="BH128" s="1">
        <f ca="1">OFFSET(A128,0, 4) -0</f>
        <v>21.645569999478084</v>
      </c>
      <c r="BI128" s="1">
        <f ca="1">OFFSET(A128,0, 11) -0</f>
        <v>4.5551005881432047</v>
      </c>
      <c r="BJ128" s="1">
        <f ca="1">OFFSET(A128,0, 2) -0</f>
        <v>-0.61429588299779425</v>
      </c>
      <c r="BK128" s="1">
        <f ca="1">OFFSET(A128,0, 9) -0</f>
        <v>12.29523470566744</v>
      </c>
      <c r="BL128" s="1">
        <f ca="1">OFFSET(A128,0, 5) -0</f>
        <v>17.775502940715796</v>
      </c>
      <c r="BM128" s="1">
        <f ca="1">OFFSET(A128,0, 7) -0</f>
        <v>-19.964631176808325</v>
      </c>
      <c r="BN128" s="1">
        <f ca="1">OFFSET(A128,0, 3) -0</f>
        <v>25.515637058240145</v>
      </c>
      <c r="BO128" s="1">
        <f ca="1">OFFSET(A128,0, 17) -0</f>
        <v>21.334698235570499</v>
      </c>
      <c r="BP128" s="1">
        <f ca="1">OFFSET(A128,0, 21) -0</f>
        <v>5.8544300005219156</v>
      </c>
      <c r="BQ128" s="1">
        <f ca="1">OFFSET(A128,0, 23) -0</f>
        <v>-21.885704117002206</v>
      </c>
      <c r="BR128" s="1">
        <f ca="1">OFFSET(A128,0, 13) -0</f>
        <v>-43.185033529381059</v>
      </c>
      <c r="BS128" s="1">
        <f ca="1">OFFSET(A128,0, 24) -0</f>
        <v>-5.7557711757644938</v>
      </c>
      <c r="BT128" s="1">
        <f ca="1">OFFSET(A128,0, 16) -0</f>
        <v>5.2047652943325602</v>
      </c>
      <c r="BU128" s="1">
        <f ca="1">OFFSET(A128,0, 22) -0</f>
        <v>31.984362941759855</v>
      </c>
      <c r="BV128" s="1">
        <f ca="1">OFFSET(A128,0, 15) -0</f>
        <v>29.074832353094735</v>
      </c>
      <c r="BW128" s="1">
        <f ca="1">OFFSET(A128,0, 20) -0</f>
        <v>-20.275502940715796</v>
      </c>
      <c r="BX128" s="1">
        <f ca="1">OFFSET(A128,0, 18) -0</f>
        <v>-22.535368823191675</v>
      </c>
      <c r="BY128" s="1">
        <f ca="1">OFFSET(A128,0, 19) -0</f>
        <v>-36.405435881953736</v>
      </c>
      <c r="BZ128" s="1">
        <f ca="1">OFFSET(A128,0, 14) -0</f>
        <v>2.9448994118567953</v>
      </c>
      <c r="CB128" s="1">
        <f>COUNTIF(B128,"&lt;-69")</f>
        <v>0</v>
      </c>
      <c r="CC128" s="1">
        <f ca="1">COUNTIF(BC128:BN128,"&lt;-48")</f>
        <v>0</v>
      </c>
      <c r="CD128" s="1">
        <f ca="1">COUNTIF(BC128:BN128,"&gt;+48")</f>
        <v>0</v>
      </c>
      <c r="CE128" s="1">
        <f ca="1">COUNTIF(BO128:BZ128,"&lt;-48")</f>
        <v>0</v>
      </c>
      <c r="CF128" s="1">
        <f ca="1">COUNTIF(BO128:BZ128,"&gt;+48")</f>
        <v>0</v>
      </c>
    </row>
    <row r="129" spans="1:84">
      <c r="A129" s="1">
        <v>126</v>
      </c>
      <c r="B129" s="1">
        <f>'Team A 1'!B129-'Team A 1'!$AA129-('Team A 1'!B$2- 12.5)*'Team A 1'!$AC129</f>
        <v>35.118832774878229</v>
      </c>
      <c r="C129" s="1">
        <f>'Team A 1'!C129-'Team A 1'!$AA129-('Team A 1'!C$2- 12.5)*'Team A 1'!$AC129</f>
        <v>-8.5509207997524754</v>
      </c>
      <c r="D129" s="1">
        <f>'Team A 1'!D129-'Team A 1'!$AA129-('Team A 1'!D$2- 12.5)*'Team A 1'!$AC129</f>
        <v>7.779325625617048</v>
      </c>
      <c r="E129" s="1">
        <f>'Team A 1'!E129-'Team A 1'!$AA129-('Team A 1'!E$2- 12.5)*'Team A 1'!$AC129</f>
        <v>54.109572050986571</v>
      </c>
      <c r="F129" s="1">
        <f>'Team A 1'!F129-'Team A 1'!$AA129-('Team A 1'!F$2- 12.5)*'Team A 1'!$AC129</f>
        <v>70.439818476356322</v>
      </c>
      <c r="G129" s="1">
        <f>'Team A 1'!G129-'Team A 1'!$AA129-('Team A 1'!G$2- 12.5)*'Team A 1'!$AC129</f>
        <v>36.770064901725846</v>
      </c>
      <c r="H129" s="1">
        <f>'Team A 1'!H129-'Team A 1'!$AA129-('Team A 1'!H$2- 12.5)*'Team A 1'!$AC129</f>
        <v>-36.899688672904631</v>
      </c>
      <c r="I129" s="1">
        <f>'Team A 1'!I129-'Team A 1'!$AA129-('Team A 1'!I$2- 12.5)*'Team A 1'!$AC129</f>
        <v>-30.569442247535108</v>
      </c>
      <c r="J129" s="1">
        <f>'Team A 1'!J129-'Team A 1'!$AA129-('Team A 1'!J$2- 12.5)*'Team A 1'!$AC129</f>
        <v>-64.239195822165584</v>
      </c>
      <c r="K129" s="1">
        <f>'Team A 1'!K129-'Team A 1'!$AA129-('Team A 1'!K$2- 12.5)*'Team A 1'!$AC129</f>
        <v>-27.908949396796004</v>
      </c>
      <c r="L129" s="1">
        <f>'Team A 1'!L129-'Team A 1'!$AA129-('Team A 1'!L$2- 12.5)*'Team A 1'!$AC129</f>
        <v>-21.57870297142648</v>
      </c>
      <c r="M129" s="1">
        <f>'Team A 1'!M129-'Team A 1'!$AA129-('Team A 1'!M$2- 12.5)*'Team A 1'!$AC129</f>
        <v>-55.248456546056914</v>
      </c>
      <c r="N129" s="1">
        <f>'Team A 1'!N129-'Team A 1'!$AA129-('Team A 1'!N$2- 12.5)*'Team A 1'!$AC129</f>
        <v>1.0817898793126375</v>
      </c>
      <c r="O129" s="1">
        <f>'Team A 1'!O129-'Team A 1'!$AA129-('Team A 1'!O$2- 12.5)*'Team A 1'!$AC129</f>
        <v>7.4120363046822035</v>
      </c>
      <c r="P129" s="1">
        <f>'Team A 1'!P129-'Team A 1'!$AA129-('Team A 1'!P$2- 12.5)*'Team A 1'!$AC129</f>
        <v>-6.257717269948273</v>
      </c>
      <c r="Q129" s="1">
        <f>'Team A 1'!Q129-'Team A 1'!$AA129-('Team A 1'!Q$2- 12.5)*'Team A 1'!$AC129</f>
        <v>7.2529155421307223E-2</v>
      </c>
      <c r="R129" s="1">
        <f>'Team A 1'!R129-'Team A 1'!$AA129-('Team A 1'!R$2- 12.5)*'Team A 1'!$AC129</f>
        <v>16.402775580790831</v>
      </c>
      <c r="S129" s="1">
        <f>'Team A 1'!S129-'Team A 1'!$AA129-('Team A 1'!S$2- 12.5)*'Team A 1'!$AC129</f>
        <v>-7.2669779938396459</v>
      </c>
      <c r="T129" s="1">
        <f>'Team A 1'!T129-'Team A 1'!$AA129-('Team A 1'!T$2- 12.5)*'Team A 1'!$AC129</f>
        <v>-0.93673156847012251</v>
      </c>
      <c r="U129" s="1">
        <f>'Team A 1'!U129-'Team A 1'!$AA129-('Team A 1'!U$2- 12.5)*'Team A 1'!$AC129</f>
        <v>-34.606485143100599</v>
      </c>
      <c r="V129" s="1">
        <f>'Team A 1'!V129-'Team A 1'!$AA129-('Team A 1'!V$2- 12.5)*'Team A 1'!$AC129</f>
        <v>41.723761282269152</v>
      </c>
      <c r="W129" s="1">
        <f>'Team A 1'!W129-'Team A 1'!$AA129-('Team A 1'!W$2- 12.5)*'Team A 1'!$AC129</f>
        <v>28.054007707638675</v>
      </c>
      <c r="X129" s="1">
        <f>'Team A 1'!X129-'Team A 1'!$AA129-('Team A 1'!X$2- 12.5)*'Team A 1'!$AC129</f>
        <v>4.3842541330081986</v>
      </c>
      <c r="Y129" s="1">
        <f>'Team A 1'!Y129-'Team A 1'!$AA129-('Team A 1'!Y$2- 12.5)*'Team A 1'!$AC129</f>
        <v>-9.2854994416225054</v>
      </c>
      <c r="AB129" s="1">
        <f>STDEV(B129:Y129)</f>
        <v>33.34749512172673</v>
      </c>
      <c r="AD129" s="5" t="s">
        <v>47</v>
      </c>
      <c r="AE129" s="5">
        <v>4</v>
      </c>
      <c r="AF129" s="5">
        <v>6</v>
      </c>
      <c r="AG129" s="5">
        <v>8</v>
      </c>
      <c r="AH129" s="5" t="s">
        <v>45</v>
      </c>
      <c r="AI129" s="5">
        <v>1</v>
      </c>
      <c r="AJ129" s="5">
        <v>9</v>
      </c>
      <c r="AK129" s="5" t="s">
        <v>46</v>
      </c>
      <c r="AL129" s="5">
        <v>7</v>
      </c>
      <c r="AM129" s="5">
        <v>2</v>
      </c>
      <c r="AN129" s="5">
        <v>5</v>
      </c>
      <c r="AO129" s="5">
        <v>3</v>
      </c>
      <c r="AP129" s="5">
        <v>4</v>
      </c>
      <c r="AQ129" s="5" t="s">
        <v>47</v>
      </c>
      <c r="AR129" s="5">
        <v>8</v>
      </c>
      <c r="AS129" s="5">
        <v>6</v>
      </c>
      <c r="AT129" s="5" t="s">
        <v>45</v>
      </c>
      <c r="AU129" s="5">
        <v>9</v>
      </c>
      <c r="AV129" s="5">
        <v>1</v>
      </c>
      <c r="AW129" s="5" t="s">
        <v>46</v>
      </c>
      <c r="AX129" s="5">
        <v>2</v>
      </c>
      <c r="AY129" s="5">
        <v>7</v>
      </c>
      <c r="AZ129" s="5">
        <v>3</v>
      </c>
      <c r="BA129" s="5">
        <v>5</v>
      </c>
      <c r="BB129" s="5"/>
      <c r="BC129" s="1">
        <f ca="1">OFFSET(A129,0, 6) -0</f>
        <v>36.770064901725846</v>
      </c>
      <c r="BD129" s="1">
        <f ca="1">OFFSET(A129,0, 10) -0</f>
        <v>-27.908949396796004</v>
      </c>
      <c r="BE129" s="1">
        <f ca="1">OFFSET(A129,0, 12) -0</f>
        <v>-55.248456546056914</v>
      </c>
      <c r="BF129" s="1">
        <f ca="1">OFFSET(A129,0, 2) -0</f>
        <v>-8.5509207997524754</v>
      </c>
      <c r="BG129" s="1">
        <f ca="1">OFFSET(A129,0, 11) -0</f>
        <v>-21.57870297142648</v>
      </c>
      <c r="BH129" s="1">
        <f ca="1">OFFSET(A129,0, 3) -0</f>
        <v>7.779325625617048</v>
      </c>
      <c r="BI129" s="1">
        <f ca="1">OFFSET(A129,0, 9) -0</f>
        <v>-64.239195822165584</v>
      </c>
      <c r="BJ129" s="1">
        <f ca="1">OFFSET(A129,0, 4) -0</f>
        <v>54.109572050986571</v>
      </c>
      <c r="BK129" s="1">
        <f ca="1">OFFSET(A129,0, 7) -0</f>
        <v>-36.899688672904631</v>
      </c>
      <c r="BL129" s="1">
        <f ca="1">OFFSET(A129,0, 5) -0</f>
        <v>70.439818476356322</v>
      </c>
      <c r="BM129" s="1">
        <f ca="1">OFFSET(A129,0, 8) -0</f>
        <v>-30.569442247535108</v>
      </c>
      <c r="BN129" s="1">
        <f ca="1">OFFSET(A129,0, 1) -0</f>
        <v>35.118832774878229</v>
      </c>
      <c r="BO129" s="1">
        <f ca="1">OFFSET(A129,0, 19) -0</f>
        <v>-0.93673156847012251</v>
      </c>
      <c r="BP129" s="1">
        <f ca="1">OFFSET(A129,0, 21) -0</f>
        <v>41.723761282269152</v>
      </c>
      <c r="BQ129" s="1">
        <f ca="1">OFFSET(A129,0, 23) -0</f>
        <v>4.3842541330081986</v>
      </c>
      <c r="BR129" s="1">
        <f ca="1">OFFSET(A129,0, 13) -0</f>
        <v>1.0817898793126375</v>
      </c>
      <c r="BS129" s="1">
        <f ca="1">OFFSET(A129,0, 24) -0</f>
        <v>-9.2854994416225054</v>
      </c>
      <c r="BT129" s="1">
        <f ca="1">OFFSET(A129,0, 16) -0</f>
        <v>7.2529155421307223E-2</v>
      </c>
      <c r="BU129" s="1">
        <f ca="1">OFFSET(A129,0, 22) -0</f>
        <v>28.054007707638675</v>
      </c>
      <c r="BV129" s="1">
        <f ca="1">OFFSET(A129,0, 15) -0</f>
        <v>-6.257717269948273</v>
      </c>
      <c r="BW129" s="1">
        <f ca="1">OFFSET(A129,0, 18) -0</f>
        <v>-7.2669779938396459</v>
      </c>
      <c r="BX129" s="1">
        <f ca="1">OFFSET(A129,0, 17) -0</f>
        <v>16.402775580790831</v>
      </c>
      <c r="BY129" s="1">
        <f ca="1">OFFSET(A129,0, 20) -0</f>
        <v>-34.606485143100599</v>
      </c>
      <c r="BZ129" s="1">
        <f ca="1">OFFSET(A129,0, 14) -0</f>
        <v>7.4120363046822035</v>
      </c>
      <c r="CB129" s="1">
        <f>COUNTIF(B129,"&lt;-68")</f>
        <v>0</v>
      </c>
      <c r="CC129" s="1">
        <f ca="1">COUNTIF(BC129:BN129,"&lt;-48")</f>
        <v>2</v>
      </c>
      <c r="CD129" s="1">
        <f ca="1">COUNTIF(BC129:BN129,"&gt;+48")</f>
        <v>2</v>
      </c>
      <c r="CE129" s="1">
        <f ca="1">COUNTIF(BO129:BZ129,"&lt;-48")</f>
        <v>0</v>
      </c>
      <c r="CF129" s="1">
        <f ca="1">COUNTIF(BO129:BZ129,"&gt;+48")</f>
        <v>0</v>
      </c>
    </row>
    <row r="130" spans="1:84">
      <c r="A130" s="1">
        <v>127</v>
      </c>
      <c r="B130" s="1">
        <f>'Team A 1'!B130-'Team A 1'!$AA130-('Team A 1'!B$2- 12.5)*'Team A 1'!$AC130</f>
        <v>32.234898596941093</v>
      </c>
      <c r="C130" s="1">
        <f>'Team A 1'!C130-'Team A 1'!$AA130-('Team A 1'!C$2- 12.5)*'Team A 1'!$AC130</f>
        <v>-21.401469396999346</v>
      </c>
      <c r="D130" s="1">
        <f>'Team A 1'!D130-'Team A 1'!$AA130-('Team A 1'!D$2- 12.5)*'Team A 1'!$AC130</f>
        <v>-25.037837390939558</v>
      </c>
      <c r="E130" s="1">
        <f>'Team A 1'!E130-'Team A 1'!$AA130-('Team A 1'!E$2- 12.5)*'Team A 1'!$AC130</f>
        <v>1.3257946151202304</v>
      </c>
      <c r="F130" s="1">
        <f>'Team A 1'!F130-'Team A 1'!$AA130-('Team A 1'!F$2- 12.5)*'Team A 1'!$AC130</f>
        <v>-32.310573378820209</v>
      </c>
      <c r="G130" s="1">
        <f>'Team A 1'!G130-'Team A 1'!$AA130-('Team A 1'!G$2- 12.5)*'Team A 1'!$AC130</f>
        <v>24.053058627239579</v>
      </c>
      <c r="H130" s="1">
        <f>'Team A 1'!H130-'Team A 1'!$AA130-('Team A 1'!H$2- 12.5)*'Team A 1'!$AC130</f>
        <v>10.416690633299368</v>
      </c>
      <c r="I130" s="1">
        <f>'Team A 1'!I130-'Team A 1'!$AA130-('Team A 1'!I$2- 12.5)*'Team A 1'!$AC130</f>
        <v>6.7803226393590421</v>
      </c>
      <c r="J130" s="1">
        <f>'Team A 1'!J130-'Team A 1'!$AA130-('Team A 1'!J$2- 12.5)*'Team A 1'!$AC130</f>
        <v>-6.8560453545811697</v>
      </c>
      <c r="K130" s="1">
        <f>'Team A 1'!K130-'Team A 1'!$AA130-('Team A 1'!K$2- 12.5)*'Team A 1'!$AC130</f>
        <v>-20.492413348521495</v>
      </c>
      <c r="L130" s="1">
        <f>'Team A 1'!L130-'Team A 1'!$AA130-('Team A 1'!L$2- 12.5)*'Team A 1'!$AC130</f>
        <v>-24.128781342461707</v>
      </c>
      <c r="M130" s="1">
        <f>'Team A 1'!M130-'Team A 1'!$AA130-('Team A 1'!M$2- 12.5)*'Team A 1'!$AC130</f>
        <v>2.2348506635979959</v>
      </c>
      <c r="N130" s="1">
        <f>'Team A 1'!N130-'Team A 1'!$AA130-('Team A 1'!N$2- 12.5)*'Team A 1'!$AC130</f>
        <v>8.5984826696577272</v>
      </c>
      <c r="O130" s="1">
        <f>'Team A 1'!O130-'Team A 1'!$AA130-('Team A 1'!O$2- 12.5)*'Team A 1'!$AC130</f>
        <v>34.96211467571743</v>
      </c>
      <c r="P130" s="1">
        <f>'Team A 1'!P130-'Team A 1'!$AA130-('Team A 1'!P$2- 12.5)*'Team A 1'!$AC130</f>
        <v>21.325746681777218</v>
      </c>
      <c r="Q130" s="1">
        <f>'Team A 1'!Q130-'Team A 1'!$AA130-('Team A 1'!Q$2- 12.5)*'Team A 1'!$AC130</f>
        <v>-2.3106213121631072</v>
      </c>
      <c r="R130" s="1">
        <f>'Team A 1'!R130-'Team A 1'!$AA130-('Team A 1'!R$2- 12.5)*'Team A 1'!$AC130</f>
        <v>44.053010693896681</v>
      </c>
      <c r="S130" s="1">
        <f>'Team A 1'!S130-'Team A 1'!$AA130-('Team A 1'!S$2- 12.5)*'Team A 1'!$AC130</f>
        <v>0.4166426999563555</v>
      </c>
      <c r="T130" s="1">
        <f>'Team A 1'!T130-'Team A 1'!$AA130-('Team A 1'!T$2- 12.5)*'Team A 1'!$AC130</f>
        <v>26.780274706016144</v>
      </c>
      <c r="U130" s="1">
        <f>'Team A 1'!U130-'Team A 1'!$AA130-('Team A 1'!U$2- 12.5)*'Team A 1'!$AC130</f>
        <v>-36.856093287924068</v>
      </c>
      <c r="V130" s="1">
        <f>'Team A 1'!V130-'Team A 1'!$AA130-('Team A 1'!V$2- 12.5)*'Team A 1'!$AC130</f>
        <v>-20.492461281864507</v>
      </c>
      <c r="W130" s="1">
        <f>'Team A 1'!W130-'Team A 1'!$AA130-('Team A 1'!W$2- 12.5)*'Team A 1'!$AC130</f>
        <v>-24.128829275804719</v>
      </c>
      <c r="X130" s="1">
        <f>'Team A 1'!X130-'Team A 1'!$AA130-('Team A 1'!X$2- 12.5)*'Team A 1'!$AC130</f>
        <v>12.234802730255069</v>
      </c>
      <c r="Y130" s="1">
        <f>'Team A 1'!Y130-'Team A 1'!$AA130-('Team A 1'!Y$2- 12.5)*'Team A 1'!$AC130</f>
        <v>-11.40156526368537</v>
      </c>
      <c r="AB130" s="1">
        <f>STDEV(B130:Y130)</f>
        <v>22.852586153019459</v>
      </c>
      <c r="AD130" s="5" t="s">
        <v>47</v>
      </c>
      <c r="AE130" s="5">
        <v>4</v>
      </c>
      <c r="AF130" s="5">
        <v>6</v>
      </c>
      <c r="AG130" s="5">
        <v>8</v>
      </c>
      <c r="AH130" s="5">
        <v>9</v>
      </c>
      <c r="AI130" s="5" t="s">
        <v>45</v>
      </c>
      <c r="AJ130" s="5" t="s">
        <v>46</v>
      </c>
      <c r="AK130" s="5">
        <v>1</v>
      </c>
      <c r="AL130" s="5">
        <v>7</v>
      </c>
      <c r="AM130" s="5">
        <v>2</v>
      </c>
      <c r="AN130" s="5">
        <v>5</v>
      </c>
      <c r="AO130" s="5">
        <v>3</v>
      </c>
      <c r="AP130" s="5" t="s">
        <v>47</v>
      </c>
      <c r="AQ130" s="5">
        <v>6</v>
      </c>
      <c r="AR130" s="5">
        <v>4</v>
      </c>
      <c r="AS130" s="5">
        <v>9</v>
      </c>
      <c r="AT130" s="5">
        <v>8</v>
      </c>
      <c r="AU130" s="5" t="s">
        <v>45</v>
      </c>
      <c r="AV130" s="5">
        <v>1</v>
      </c>
      <c r="AW130" s="5" t="s">
        <v>46</v>
      </c>
      <c r="AX130" s="5">
        <v>7</v>
      </c>
      <c r="AY130" s="5">
        <v>5</v>
      </c>
      <c r="AZ130" s="5">
        <v>2</v>
      </c>
      <c r="BA130" s="5">
        <v>3</v>
      </c>
      <c r="BB130" s="5"/>
      <c r="BC130" s="1">
        <f ca="1">OFFSET(A130,0, 8) -0</f>
        <v>6.7803226393590421</v>
      </c>
      <c r="BD130" s="1">
        <f ca="1">OFFSET(A130,0, 10) -0</f>
        <v>-20.492413348521495</v>
      </c>
      <c r="BE130" s="1">
        <f ca="1">OFFSET(A130,0, 12) -0</f>
        <v>2.2348506635979959</v>
      </c>
      <c r="BF130" s="1">
        <f ca="1">OFFSET(A130,0, 2) -0</f>
        <v>-21.401469396999346</v>
      </c>
      <c r="BG130" s="1">
        <f ca="1">OFFSET(A130,0, 11) -0</f>
        <v>-24.128781342461707</v>
      </c>
      <c r="BH130" s="1">
        <f ca="1">OFFSET(A130,0, 3) -0</f>
        <v>-25.037837390939558</v>
      </c>
      <c r="BI130" s="1">
        <f ca="1">OFFSET(A130,0, 9) -0</f>
        <v>-6.8560453545811697</v>
      </c>
      <c r="BJ130" s="1">
        <f ca="1">OFFSET(A130,0, 4) -0</f>
        <v>1.3257946151202304</v>
      </c>
      <c r="BK130" s="1">
        <f ca="1">OFFSET(A130,0, 5) -0</f>
        <v>-32.310573378820209</v>
      </c>
      <c r="BL130" s="1">
        <f ca="1">OFFSET(A130,0, 6) -0</f>
        <v>24.053058627239579</v>
      </c>
      <c r="BM130" s="1">
        <f ca="1">OFFSET(A130,0, 7) -0</f>
        <v>10.416690633299368</v>
      </c>
      <c r="BN130" s="1">
        <f ca="1">OFFSET(A130,0, 1) -0</f>
        <v>32.234898596941093</v>
      </c>
      <c r="BO130" s="1">
        <f ca="1">OFFSET(A130,0, 19) -0</f>
        <v>26.780274706016144</v>
      </c>
      <c r="BP130" s="1">
        <f ca="1">OFFSET(A130,0, 23) -0</f>
        <v>12.234802730255069</v>
      </c>
      <c r="BQ130" s="1">
        <f ca="1">OFFSET(A130,0, 24) -0</f>
        <v>-11.40156526368537</v>
      </c>
      <c r="BR130" s="1">
        <f ca="1">OFFSET(A130,0, 15) -0</f>
        <v>21.325746681777218</v>
      </c>
      <c r="BS130" s="1">
        <f ca="1">OFFSET(A130,0, 22) -0</f>
        <v>-24.128829275804719</v>
      </c>
      <c r="BT130" s="1">
        <f ca="1">OFFSET(A130,0, 14) -0</f>
        <v>34.96211467571743</v>
      </c>
      <c r="BU130" s="1">
        <f ca="1">OFFSET(A130,0, 21) -0</f>
        <v>-20.492461281864507</v>
      </c>
      <c r="BV130" s="1">
        <f ca="1">OFFSET(A130,0, 17) -0</f>
        <v>44.053010693896681</v>
      </c>
      <c r="BW130" s="1">
        <f ca="1">OFFSET(A130,0, 16) -0</f>
        <v>-2.3106213121631072</v>
      </c>
      <c r="BX130" s="1">
        <f ca="1">OFFSET(A130,0, 18) -0</f>
        <v>0.4166426999563555</v>
      </c>
      <c r="BY130" s="1">
        <f ca="1">OFFSET(A130,0, 20) -0</f>
        <v>-36.856093287924068</v>
      </c>
      <c r="BZ130" s="1">
        <f ca="1">OFFSET(A130,0, 13) -0</f>
        <v>8.5984826696577272</v>
      </c>
      <c r="CB130" s="1">
        <f>COUNTIF(B130,"&lt;-68")</f>
        <v>0</v>
      </c>
      <c r="CC130" s="1">
        <f ca="1">COUNTIF(BC130:BN130,"&lt;-48")</f>
        <v>0</v>
      </c>
      <c r="CD130" s="1">
        <f ca="1">COUNTIF(BC130:BN130,"&gt;+48")</f>
        <v>0</v>
      </c>
      <c r="CE130" s="1">
        <f ca="1">COUNTIF(BO130:BZ130,"&lt;-48")</f>
        <v>0</v>
      </c>
      <c r="CF130" s="1">
        <f ca="1">COUNTIF(BO130:BZ130,"&gt;+48")</f>
        <v>0</v>
      </c>
    </row>
    <row r="131" spans="1:84">
      <c r="A131" s="1">
        <v>128</v>
      </c>
      <c r="B131" s="1">
        <f>'Team A 1'!B131-'Team A 1'!$AA131-('Team A 1'!B$2- 12.5)*'Team A 1'!$AC131</f>
        <v>29.50798509750939</v>
      </c>
      <c r="C131" s="1">
        <f>'Team A 1'!C131-'Team A 1'!$AA131-('Team A 1'!C$2- 12.5)*'Team A 1'!$AC131</f>
        <v>25.746421175987052</v>
      </c>
      <c r="D131" s="1">
        <f>'Team A 1'!D131-'Team A 1'!$AA131-('Team A 1'!D$2- 12.5)*'Team A 1'!$AC131</f>
        <v>-8.0151427455357407</v>
      </c>
      <c r="E131" s="1">
        <f>'Team A 1'!E131-'Team A 1'!$AA131-('Team A 1'!E$2- 12.5)*'Team A 1'!$AC131</f>
        <v>-51.776706667058079</v>
      </c>
      <c r="F131" s="1">
        <f>'Team A 1'!F131-'Team A 1'!$AA131-('Team A 1'!F$2- 12.5)*'Team A 1'!$AC131</f>
        <v>-55.538270588580872</v>
      </c>
      <c r="G131" s="1">
        <f>'Team A 1'!G131-'Team A 1'!$AA131-('Team A 1'!G$2- 12.5)*'Team A 1'!$AC131</f>
        <v>0.70016548989678995</v>
      </c>
      <c r="H131" s="1">
        <f>'Team A 1'!H131-'Team A 1'!$AA131-('Team A 1'!H$2- 12.5)*'Team A 1'!$AC131</f>
        <v>6.938601568373997</v>
      </c>
      <c r="I131" s="1">
        <f>'Team A 1'!I131-'Team A 1'!$AA131-('Team A 1'!I$2- 12.5)*'Team A 1'!$AC131</f>
        <v>33.177037646851545</v>
      </c>
      <c r="J131" s="1">
        <f>'Team A 1'!J131-'Team A 1'!$AA131-('Team A 1'!J$2- 12.5)*'Team A 1'!$AC131</f>
        <v>19.41547372532898</v>
      </c>
      <c r="K131" s="1">
        <f>'Team A 1'!K131-'Team A 1'!$AA131-('Team A 1'!K$2- 12.5)*'Team A 1'!$AC131</f>
        <v>15.653909803806414</v>
      </c>
      <c r="L131" s="1">
        <f>'Team A 1'!L131-'Team A 1'!$AA131-('Team A 1'!L$2- 12.5)*'Team A 1'!$AC131</f>
        <v>-28.107654117716152</v>
      </c>
      <c r="M131" s="1">
        <f>'Team A 1'!M131-'Team A 1'!$AA131-('Team A 1'!M$2- 12.5)*'Team A 1'!$AC131</f>
        <v>-11.869218039238717</v>
      </c>
      <c r="N131" s="1">
        <f>'Team A 1'!N131-'Team A 1'!$AA131-('Team A 1'!N$2- 12.5)*'Team A 1'!$AC131</f>
        <v>4.3692180392387172</v>
      </c>
      <c r="O131" s="1">
        <f>'Team A 1'!O131-'Team A 1'!$AA131-('Team A 1'!O$2- 12.5)*'Team A 1'!$AC131</f>
        <v>-9.3923458822838484</v>
      </c>
      <c r="P131" s="1">
        <f>'Team A 1'!P131-'Team A 1'!$AA131-('Team A 1'!P$2- 12.5)*'Team A 1'!$AC131</f>
        <v>-33.153909803806414</v>
      </c>
      <c r="Q131" s="1">
        <f>'Team A 1'!Q131-'Team A 1'!$AA131-('Team A 1'!Q$2- 12.5)*'Team A 1'!$AC131</f>
        <v>-36.91547372532898</v>
      </c>
      <c r="R131" s="1">
        <f>'Team A 1'!R131-'Team A 1'!$AA131-('Team A 1'!R$2- 12.5)*'Team A 1'!$AC131</f>
        <v>19.322962353148455</v>
      </c>
      <c r="S131" s="1">
        <f>'Team A 1'!S131-'Team A 1'!$AA131-('Team A 1'!S$2- 12.5)*'Team A 1'!$AC131</f>
        <v>-4.438601568373997</v>
      </c>
      <c r="T131" s="1">
        <f>'Team A 1'!T131-'Team A 1'!$AA131-('Team A 1'!T$2- 12.5)*'Team A 1'!$AC131</f>
        <v>-8.2001654898967899</v>
      </c>
      <c r="U131" s="1">
        <f>'Team A 1'!U131-'Team A 1'!$AA131-('Team A 1'!U$2- 12.5)*'Team A 1'!$AC131</f>
        <v>-21.961729411419128</v>
      </c>
      <c r="V131" s="1">
        <f>'Team A 1'!V131-'Team A 1'!$AA131-('Team A 1'!V$2- 12.5)*'Team A 1'!$AC131</f>
        <v>24.276706667058079</v>
      </c>
      <c r="W131" s="1">
        <f>'Team A 1'!W131-'Team A 1'!$AA131-('Team A 1'!W$2- 12.5)*'Team A 1'!$AC131</f>
        <v>40.515142745535741</v>
      </c>
      <c r="X131" s="1">
        <f>'Team A 1'!X131-'Team A 1'!$AA131-('Team A 1'!X$2- 12.5)*'Team A 1'!$AC131</f>
        <v>16.753578824012948</v>
      </c>
      <c r="Y131" s="1">
        <f>'Team A 1'!Y131-'Team A 1'!$AA131-('Team A 1'!Y$2- 12.5)*'Team A 1'!$AC131</f>
        <v>32.99201490249061</v>
      </c>
      <c r="AB131" s="1">
        <f>STDEV(B131:Y131)</f>
        <v>27.328367405959209</v>
      </c>
      <c r="AD131" s="5">
        <v>6</v>
      </c>
      <c r="AE131" s="5" t="s">
        <v>47</v>
      </c>
      <c r="AF131" s="5">
        <v>9</v>
      </c>
      <c r="AG131" s="5">
        <v>4</v>
      </c>
      <c r="AH131" s="5" t="s">
        <v>45</v>
      </c>
      <c r="AI131" s="5">
        <v>8</v>
      </c>
      <c r="AJ131" s="5" t="s">
        <v>46</v>
      </c>
      <c r="AK131" s="5">
        <v>1</v>
      </c>
      <c r="AL131" s="5">
        <v>5</v>
      </c>
      <c r="AM131" s="5">
        <v>7</v>
      </c>
      <c r="AN131" s="5">
        <v>3</v>
      </c>
      <c r="AO131" s="5">
        <v>2</v>
      </c>
      <c r="AP131" s="5" t="s">
        <v>47</v>
      </c>
      <c r="AQ131" s="5">
        <v>6</v>
      </c>
      <c r="AR131" s="5">
        <v>4</v>
      </c>
      <c r="AS131" s="5">
        <v>9</v>
      </c>
      <c r="AT131" s="5">
        <v>8</v>
      </c>
      <c r="AU131" s="5" t="s">
        <v>45</v>
      </c>
      <c r="AV131" s="5" t="s">
        <v>46</v>
      </c>
      <c r="AW131" s="5">
        <v>5</v>
      </c>
      <c r="AX131" s="5">
        <v>1</v>
      </c>
      <c r="AY131" s="5">
        <v>7</v>
      </c>
      <c r="AZ131" s="5">
        <v>2</v>
      </c>
      <c r="BA131" s="5">
        <v>3</v>
      </c>
      <c r="BB131" s="5"/>
      <c r="BC131" s="1">
        <f ca="1">OFFSET(A131,0, 8) -0</f>
        <v>33.177037646851545</v>
      </c>
      <c r="BD131" s="1">
        <f ca="1">OFFSET(A131,0, 12) -0</f>
        <v>-11.869218039238717</v>
      </c>
      <c r="BE131" s="1">
        <f ca="1">OFFSET(A131,0, 11) -0</f>
        <v>-28.107654117716152</v>
      </c>
      <c r="BF131" s="1">
        <f ca="1">OFFSET(A131,0, 4) -0</f>
        <v>-51.776706667058079</v>
      </c>
      <c r="BG131" s="1">
        <f ca="1">OFFSET(A131,0, 9) -0</f>
        <v>19.41547372532898</v>
      </c>
      <c r="BH131" s="1">
        <f ca="1">OFFSET(A131,0, 1) -0</f>
        <v>29.50798509750939</v>
      </c>
      <c r="BI131" s="1">
        <f ca="1">OFFSET(A131,0, 10) -0</f>
        <v>15.653909803806414</v>
      </c>
      <c r="BJ131" s="1">
        <f ca="1">OFFSET(A131,0, 6) -0</f>
        <v>0.70016548989678995</v>
      </c>
      <c r="BK131" s="1">
        <f ca="1">OFFSET(A131,0, 3) -0</f>
        <v>-8.0151427455357407</v>
      </c>
      <c r="BL131" s="1">
        <f ca="1">OFFSET(A131,0, 5) -0</f>
        <v>-55.538270588580872</v>
      </c>
      <c r="BM131" s="1">
        <f ca="1">OFFSET(A131,0, 7) -0</f>
        <v>6.938601568373997</v>
      </c>
      <c r="BN131" s="1">
        <f ca="1">OFFSET(A131,0, 2) -0</f>
        <v>25.746421175987052</v>
      </c>
      <c r="BO131" s="1">
        <f ca="1">OFFSET(A131,0, 21) -0</f>
        <v>24.276706667058079</v>
      </c>
      <c r="BP131" s="1">
        <f ca="1">OFFSET(A131,0, 23) -0</f>
        <v>16.753578824012948</v>
      </c>
      <c r="BQ131" s="1">
        <f ca="1">OFFSET(A131,0, 24) -0</f>
        <v>32.99201490249061</v>
      </c>
      <c r="BR131" s="1">
        <f ca="1">OFFSET(A131,0, 15) -0</f>
        <v>-33.153909803806414</v>
      </c>
      <c r="BS131" s="1">
        <f ca="1">OFFSET(A131,0, 20) -0</f>
        <v>-21.961729411419128</v>
      </c>
      <c r="BT131" s="1">
        <f ca="1">OFFSET(A131,0, 14) -0</f>
        <v>-9.3923458822838484</v>
      </c>
      <c r="BU131" s="1">
        <f ca="1">OFFSET(A131,0, 22) -0</f>
        <v>40.515142745535741</v>
      </c>
      <c r="BV131" s="1">
        <f ca="1">OFFSET(A131,0, 17) -0</f>
        <v>19.322962353148455</v>
      </c>
      <c r="BW131" s="1">
        <f ca="1">OFFSET(A131,0, 16) -0</f>
        <v>-36.91547372532898</v>
      </c>
      <c r="BX131" s="1">
        <f ca="1">OFFSET(A131,0, 18) -0</f>
        <v>-4.438601568373997</v>
      </c>
      <c r="BY131" s="1">
        <f ca="1">OFFSET(A131,0, 19) -0</f>
        <v>-8.2001654898967899</v>
      </c>
      <c r="BZ131" s="1">
        <f ca="1">OFFSET(A131,0, 13) -0</f>
        <v>4.3692180392387172</v>
      </c>
      <c r="CB131" s="1">
        <f>COUNTIF(B131,"&lt;-69")</f>
        <v>0</v>
      </c>
      <c r="CC131" s="1">
        <f ca="1">COUNTIF(BC131:BN131,"&lt;-48")</f>
        <v>2</v>
      </c>
      <c r="CD131" s="1">
        <f ca="1">COUNTIF(BC131:BN131,"&gt;+48")</f>
        <v>0</v>
      </c>
      <c r="CE131" s="1">
        <f ca="1">COUNTIF(BO131:BZ131,"&lt;-48")</f>
        <v>0</v>
      </c>
      <c r="CF131" s="1">
        <f ca="1">COUNTIF(BO131:BZ131,"&gt;+48")</f>
        <v>0</v>
      </c>
    </row>
    <row r="132" spans="1:84">
      <c r="A132" s="1">
        <v>129</v>
      </c>
      <c r="B132" s="1">
        <f>'Team A 1'!B132-'Team A 1'!$AA132-('Team A 1'!B$2- 12.5)*'Team A 1'!$AC132</f>
        <v>29.894133197191877</v>
      </c>
      <c r="C132" s="1">
        <f>'Team A 1'!C132-'Team A 1'!$AA132-('Team A 1'!C$2- 12.5)*'Team A 1'!$AC132</f>
        <v>46.207686832218542</v>
      </c>
      <c r="D132" s="1">
        <f>'Team A 1'!D132-'Team A 1'!$AA132-('Team A 1'!D$2- 12.5)*'Team A 1'!$AC132</f>
        <v>-7.478759532754566</v>
      </c>
      <c r="E132" s="1">
        <f>'Team A 1'!E132-'Team A 1'!$AA132-('Team A 1'!E$2- 12.5)*'Team A 1'!$AC132</f>
        <v>-41.165205897727901</v>
      </c>
      <c r="F132" s="1">
        <f>'Team A 1'!F132-'Team A 1'!$AA132-('Team A 1'!F$2- 12.5)*'Team A 1'!$AC132</f>
        <v>5.148347737298991</v>
      </c>
      <c r="G132" s="1">
        <f>'Team A 1'!G132-'Team A 1'!$AA132-('Team A 1'!G$2- 12.5)*'Team A 1'!$AC132</f>
        <v>-18.538098627674344</v>
      </c>
      <c r="H132" s="1">
        <f>'Team A 1'!H132-'Team A 1'!$AA132-('Team A 1'!H$2- 12.5)*'Team A 1'!$AC132</f>
        <v>-22.224544992647452</v>
      </c>
      <c r="I132" s="1">
        <f>'Team A 1'!I132-'Team A 1'!$AA132-('Team A 1'!I$2- 12.5)*'Team A 1'!$AC132</f>
        <v>-25.910991357620674</v>
      </c>
      <c r="J132" s="1">
        <f>'Team A 1'!J132-'Team A 1'!$AA132-('Team A 1'!J$2- 12.5)*'Team A 1'!$AC132</f>
        <v>-19.597437722593781</v>
      </c>
      <c r="K132" s="1">
        <f>'Team A 1'!K132-'Team A 1'!$AA132-('Team A 1'!K$2- 12.5)*'Team A 1'!$AC132</f>
        <v>-13.283884087567003</v>
      </c>
      <c r="L132" s="1">
        <f>'Team A 1'!L132-'Team A 1'!$AA132-('Team A 1'!L$2- 12.5)*'Team A 1'!$AC132</f>
        <v>23.029669547459775</v>
      </c>
      <c r="M132" s="1">
        <f>'Team A 1'!M132-'Team A 1'!$AA132-('Team A 1'!M$2- 12.5)*'Team A 1'!$AC132</f>
        <v>9.3432231824865966</v>
      </c>
      <c r="N132" s="1">
        <f>'Team A 1'!N132-'Team A 1'!$AA132-('Team A 1'!N$2- 12.5)*'Team A 1'!$AC132</f>
        <v>25.656776817513403</v>
      </c>
      <c r="O132" s="1">
        <f>'Team A 1'!O132-'Team A 1'!$AA132-('Team A 1'!O$2- 12.5)*'Team A 1'!$AC132</f>
        <v>21.970330452540225</v>
      </c>
      <c r="P132" s="1">
        <f>'Team A 1'!P132-'Team A 1'!$AA132-('Team A 1'!P$2- 12.5)*'Team A 1'!$AC132</f>
        <v>8.283884087567003</v>
      </c>
      <c r="Q132" s="1">
        <f>'Team A 1'!Q132-'Team A 1'!$AA132-('Team A 1'!Q$2- 12.5)*'Team A 1'!$AC132</f>
        <v>-15.402562277406219</v>
      </c>
      <c r="R132" s="1">
        <f>'Team A 1'!R132-'Team A 1'!$AA132-('Team A 1'!R$2- 12.5)*'Team A 1'!$AC132</f>
        <v>-9.0890086423793264</v>
      </c>
      <c r="S132" s="1">
        <f>'Team A 1'!S132-'Team A 1'!$AA132-('Team A 1'!S$2- 12.5)*'Team A 1'!$AC132</f>
        <v>-12.775455007352548</v>
      </c>
      <c r="T132" s="1">
        <f>'Team A 1'!T132-'Team A 1'!$AA132-('Team A 1'!T$2- 12.5)*'Team A 1'!$AC132</f>
        <v>-6.4619013723256558</v>
      </c>
      <c r="U132" s="1">
        <f>'Team A 1'!U132-'Team A 1'!$AA132-('Team A 1'!U$2- 12.5)*'Team A 1'!$AC132</f>
        <v>-20.148347737298991</v>
      </c>
      <c r="V132" s="1">
        <f>'Team A 1'!V132-'Team A 1'!$AA132-('Team A 1'!V$2- 12.5)*'Team A 1'!$AC132</f>
        <v>6.1652058977279012</v>
      </c>
      <c r="W132" s="1">
        <f>'Team A 1'!W132-'Team A 1'!$AA132-('Team A 1'!W$2- 12.5)*'Team A 1'!$AC132</f>
        <v>12.478759532754566</v>
      </c>
      <c r="X132" s="1">
        <f>'Team A 1'!X132-'Team A 1'!$AA132-('Team A 1'!X$2- 12.5)*'Team A 1'!$AC132</f>
        <v>8.7923131677814581</v>
      </c>
      <c r="Y132" s="1">
        <f>'Team A 1'!Y132-'Team A 1'!$AA132-('Team A 1'!Y$2- 12.5)*'Team A 1'!$AC132</f>
        <v>15.105866802808123</v>
      </c>
      <c r="AB132" s="1">
        <f>STDEV(B132:Y132)</f>
        <v>20.989187195078873</v>
      </c>
      <c r="AD132" s="5">
        <v>6</v>
      </c>
      <c r="AE132" s="5" t="s">
        <v>47</v>
      </c>
      <c r="AF132" s="5">
        <v>9</v>
      </c>
      <c r="AG132" s="5">
        <v>4</v>
      </c>
      <c r="AH132" s="5" t="s">
        <v>45</v>
      </c>
      <c r="AI132" s="5">
        <v>8</v>
      </c>
      <c r="AJ132" s="5">
        <v>5</v>
      </c>
      <c r="AK132" s="5" t="s">
        <v>46</v>
      </c>
      <c r="AL132" s="5">
        <v>7</v>
      </c>
      <c r="AM132" s="5">
        <v>1</v>
      </c>
      <c r="AN132" s="5">
        <v>3</v>
      </c>
      <c r="AO132" s="5">
        <v>2</v>
      </c>
      <c r="AP132" s="5">
        <v>6</v>
      </c>
      <c r="AQ132" s="5">
        <v>9</v>
      </c>
      <c r="AR132" s="5" t="s">
        <v>47</v>
      </c>
      <c r="AS132" s="5" t="s">
        <v>45</v>
      </c>
      <c r="AT132" s="5">
        <v>4</v>
      </c>
      <c r="AU132" s="5">
        <v>5</v>
      </c>
      <c r="AV132" s="5">
        <v>8</v>
      </c>
      <c r="AW132" s="5" t="s">
        <v>46</v>
      </c>
      <c r="AX132" s="5">
        <v>1</v>
      </c>
      <c r="AY132" s="5">
        <v>7</v>
      </c>
      <c r="AZ132" s="5">
        <v>2</v>
      </c>
      <c r="BA132" s="5">
        <v>3</v>
      </c>
      <c r="BB132" s="5"/>
      <c r="BC132" s="1">
        <f ca="1">OFFSET(A132,0, 10) -0</f>
        <v>-13.283884087567003</v>
      </c>
      <c r="BD132" s="1">
        <f ca="1">OFFSET(A132,0, 12) -0</f>
        <v>9.3432231824865966</v>
      </c>
      <c r="BE132" s="1">
        <f ca="1">OFFSET(A132,0, 11) -0</f>
        <v>23.029669547459775</v>
      </c>
      <c r="BF132" s="1">
        <f ca="1">OFFSET(A132,0, 4) -0</f>
        <v>-41.165205897727901</v>
      </c>
      <c r="BG132" s="1">
        <f ca="1">OFFSET(A132,0, 7) -0</f>
        <v>-22.224544992647452</v>
      </c>
      <c r="BH132" s="1">
        <f ca="1">OFFSET(A132,0, 1) -0</f>
        <v>29.894133197191877</v>
      </c>
      <c r="BI132" s="1">
        <f ca="1">OFFSET(A132,0, 9) -0</f>
        <v>-19.597437722593781</v>
      </c>
      <c r="BJ132" s="1">
        <f ca="1">OFFSET(A132,0, 6) -0</f>
        <v>-18.538098627674344</v>
      </c>
      <c r="BK132" s="1">
        <f ca="1">OFFSET(A132,0, 3) -0</f>
        <v>-7.478759532754566</v>
      </c>
      <c r="BL132" s="1">
        <f ca="1">OFFSET(A132,0, 5) -0</f>
        <v>5.148347737298991</v>
      </c>
      <c r="BM132" s="1">
        <f ca="1">OFFSET(A132,0, 8) -0</f>
        <v>-25.910991357620674</v>
      </c>
      <c r="BN132" s="1">
        <f ca="1">OFFSET(A132,0, 2) -0</f>
        <v>46.207686832218542</v>
      </c>
      <c r="BO132" s="1">
        <f ca="1">OFFSET(A132,0, 21) -0</f>
        <v>6.1652058977279012</v>
      </c>
      <c r="BP132" s="1">
        <f ca="1">OFFSET(A132,0, 23) -0</f>
        <v>8.7923131677814581</v>
      </c>
      <c r="BQ132" s="1">
        <f ca="1">OFFSET(A132,0, 24) -0</f>
        <v>15.105866802808123</v>
      </c>
      <c r="BR132" s="1">
        <f ca="1">OFFSET(A132,0, 17) -0</f>
        <v>-9.0890086423793264</v>
      </c>
      <c r="BS132" s="1">
        <f ca="1">OFFSET(A132,0, 18) -0</f>
        <v>-12.775455007352548</v>
      </c>
      <c r="BT132" s="1">
        <f ca="1">OFFSET(A132,0, 13) -0</f>
        <v>25.656776817513403</v>
      </c>
      <c r="BU132" s="1">
        <f ca="1">OFFSET(A132,0, 22) -0</f>
        <v>12.478759532754566</v>
      </c>
      <c r="BV132" s="1">
        <f ca="1">OFFSET(A132,0, 19) -0</f>
        <v>-6.4619013723256558</v>
      </c>
      <c r="BW132" s="1">
        <f ca="1">OFFSET(A132,0, 14) -0</f>
        <v>21.970330452540225</v>
      </c>
      <c r="BX132" s="1">
        <f ca="1">OFFSET(A132,0, 16) -0</f>
        <v>-15.402562277406219</v>
      </c>
      <c r="BY132" s="1">
        <f ca="1">OFFSET(A132,0, 20) -0</f>
        <v>-20.148347737298991</v>
      </c>
      <c r="BZ132" s="1">
        <f ca="1">OFFSET(A132,0, 15) -0</f>
        <v>8.283884087567003</v>
      </c>
      <c r="CB132" s="1">
        <f>COUNTIF(B132,"&lt;-68")</f>
        <v>0</v>
      </c>
      <c r="CC132" s="1">
        <f ca="1">COUNTIF(BC132:BN132,"&lt;-48")</f>
        <v>0</v>
      </c>
      <c r="CD132" s="1">
        <f ca="1">COUNTIF(BC132:BN132,"&gt;+48")</f>
        <v>0</v>
      </c>
      <c r="CE132" s="1">
        <f ca="1">COUNTIF(BO132:BZ132,"&lt;-48")</f>
        <v>0</v>
      </c>
      <c r="CF132" s="1">
        <f ca="1">COUNTIF(BO132:BZ132,"&gt;+48")</f>
        <v>0</v>
      </c>
    </row>
    <row r="133" spans="1:84">
      <c r="A133" s="1">
        <v>130</v>
      </c>
      <c r="B133" s="1">
        <f>'Team A 1'!B133-'Team A 1'!$AA133-('Team A 1'!B$2- 12.5)*'Team A 1'!$AC133</f>
        <v>6.9818943741079238</v>
      </c>
      <c r="C133" s="1">
        <f>'Team A 1'!C133-'Team A 1'!$AA133-('Team A 1'!C$2- 12.5)*'Team A 1'!$AC133</f>
        <v>13.512454283609259</v>
      </c>
      <c r="D133" s="1">
        <f>'Team A 1'!D133-'Team A 1'!$AA133-('Team A 1'!D$2- 12.5)*'Team A 1'!$AC133</f>
        <v>-9.9569858068894064</v>
      </c>
      <c r="E133" s="1">
        <f>'Team A 1'!E133-'Team A 1'!$AA133-('Team A 1'!E$2- 12.5)*'Team A 1'!$AC133</f>
        <v>56.573574102611701</v>
      </c>
      <c r="F133" s="1">
        <f>'Team A 1'!F133-'Team A 1'!$AA133-('Team A 1'!F$2- 12.5)*'Team A 1'!$AC133</f>
        <v>3.1041340121130361</v>
      </c>
      <c r="G133" s="1">
        <f>'Team A 1'!G133-'Team A 1'!$AA133-('Team A 1'!G$2- 12.5)*'Team A 1'!$AC133</f>
        <v>-20.365306078385856</v>
      </c>
      <c r="H133" s="1">
        <f>'Team A 1'!H133-'Team A 1'!$AA133-('Team A 1'!H$2- 12.5)*'Team A 1'!$AC133</f>
        <v>6.1652538311154785</v>
      </c>
      <c r="I133" s="1">
        <f>'Team A 1'!I133-'Team A 1'!$AA133-('Team A 1'!I$2- 12.5)*'Team A 1'!$AC133</f>
        <v>-17.304186259383414</v>
      </c>
      <c r="J133" s="1">
        <f>'Team A 1'!J133-'Team A 1'!$AA133-('Team A 1'!J$2- 12.5)*'Team A 1'!$AC133</f>
        <v>-30.773626349882079</v>
      </c>
      <c r="K133" s="1">
        <f>'Team A 1'!K133-'Team A 1'!$AA133-('Team A 1'!K$2- 12.5)*'Team A 1'!$AC133</f>
        <v>5.7569335596190854</v>
      </c>
      <c r="L133" s="1">
        <f>'Team A 1'!L133-'Team A 1'!$AA133-('Team A 1'!L$2- 12.5)*'Team A 1'!$AC133</f>
        <v>2.2874934691203066</v>
      </c>
      <c r="M133" s="1">
        <f>'Team A 1'!M133-'Team A 1'!$AA133-('Team A 1'!M$2- 12.5)*'Team A 1'!$AC133</f>
        <v>-11.181946621378472</v>
      </c>
      <c r="N133" s="1">
        <f>'Team A 1'!N133-'Team A 1'!$AA133-('Team A 1'!N$2- 12.5)*'Team A 1'!$AC133</f>
        <v>25.348613288122749</v>
      </c>
      <c r="O133" s="1">
        <f>'Team A 1'!O133-'Team A 1'!$AA133-('Team A 1'!O$2- 12.5)*'Team A 1'!$AC133</f>
        <v>-18.12082680237603</v>
      </c>
      <c r="P133" s="1">
        <f>'Team A 1'!P133-'Team A 1'!$AA133-('Team A 1'!P$2- 12.5)*'Team A 1'!$AC133</f>
        <v>18.409733107125192</v>
      </c>
      <c r="Q133" s="1">
        <f>'Team A 1'!Q133-'Team A 1'!$AA133-('Team A 1'!Q$2- 12.5)*'Team A 1'!$AC133</f>
        <v>14.940293016626356</v>
      </c>
      <c r="R133" s="1">
        <f>'Team A 1'!R133-'Team A 1'!$AA133-('Team A 1'!R$2- 12.5)*'Team A 1'!$AC133</f>
        <v>-8.5291470738723092</v>
      </c>
      <c r="S133" s="1">
        <f>'Team A 1'!S133-'Team A 1'!$AA133-('Team A 1'!S$2- 12.5)*'Team A 1'!$AC133</f>
        <v>-1.9985871643712017</v>
      </c>
      <c r="T133" s="1">
        <f>'Team A 1'!T133-'Team A 1'!$AA133-('Team A 1'!T$2- 12.5)*'Team A 1'!$AC133</f>
        <v>4.5319727451301333</v>
      </c>
      <c r="U133" s="1">
        <f>'Team A 1'!U133-'Team A 1'!$AA133-('Team A 1'!U$2- 12.5)*'Team A 1'!$AC133</f>
        <v>-18.937467345368759</v>
      </c>
      <c r="V133" s="1">
        <f>'Team A 1'!V133-'Team A 1'!$AA133-('Team A 1'!V$2- 12.5)*'Team A 1'!$AC133</f>
        <v>-22.406907435867424</v>
      </c>
      <c r="W133" s="1">
        <f>'Team A 1'!W133-'Team A 1'!$AA133-('Team A 1'!W$2- 12.5)*'Team A 1'!$AC133</f>
        <v>-5.8763475263663167</v>
      </c>
      <c r="X133" s="1">
        <f>'Team A 1'!X133-'Team A 1'!$AA133-('Team A 1'!X$2- 12.5)*'Team A 1'!$AC133</f>
        <v>-9.3457876168649818</v>
      </c>
      <c r="Y133" s="1">
        <f>'Team A 1'!Y133-'Team A 1'!$AA133-('Team A 1'!Y$2- 12.5)*'Team A 1'!$AC133</f>
        <v>17.184772292636353</v>
      </c>
      <c r="AB133" s="1">
        <f>STDEV(B133:Y133)</f>
        <v>19.009737824771765</v>
      </c>
      <c r="AD133" s="5">
        <v>9</v>
      </c>
      <c r="AE133" s="5">
        <v>6</v>
      </c>
      <c r="AF133" s="5" t="s">
        <v>45</v>
      </c>
      <c r="AG133" s="5" t="s">
        <v>47</v>
      </c>
      <c r="AH133" s="5">
        <v>5</v>
      </c>
      <c r="AI133" s="5">
        <v>4</v>
      </c>
      <c r="AJ133" s="5" t="s">
        <v>46</v>
      </c>
      <c r="AK133" s="5">
        <v>8</v>
      </c>
      <c r="AL133" s="5">
        <v>7</v>
      </c>
      <c r="AM133" s="5">
        <v>1</v>
      </c>
      <c r="AN133" s="5">
        <v>3</v>
      </c>
      <c r="AO133" s="5">
        <v>2</v>
      </c>
      <c r="AP133" s="5">
        <v>6</v>
      </c>
      <c r="AQ133" s="5">
        <v>9</v>
      </c>
      <c r="AR133" s="5" t="s">
        <v>47</v>
      </c>
      <c r="AS133" s="5" t="s">
        <v>45</v>
      </c>
      <c r="AT133" s="5">
        <v>4</v>
      </c>
      <c r="AU133" s="5">
        <v>5</v>
      </c>
      <c r="AV133" s="5">
        <v>8</v>
      </c>
      <c r="AW133" s="5" t="s">
        <v>46</v>
      </c>
      <c r="AX133" s="5">
        <v>7</v>
      </c>
      <c r="AY133" s="5">
        <v>3</v>
      </c>
      <c r="AZ133" s="5">
        <v>1</v>
      </c>
      <c r="BA133" s="5">
        <v>2</v>
      </c>
      <c r="BB133" s="5"/>
      <c r="BC133" s="1">
        <f ca="1">OFFSET(A133,0, 10) -0</f>
        <v>5.7569335596190854</v>
      </c>
      <c r="BD133" s="1">
        <f ca="1">OFFSET(A133,0, 12) -0</f>
        <v>-11.181946621378472</v>
      </c>
      <c r="BE133" s="1">
        <f ca="1">OFFSET(A133,0, 11) -0</f>
        <v>2.2874934691203066</v>
      </c>
      <c r="BF133" s="1">
        <f ca="1">OFFSET(A133,0, 6) -0</f>
        <v>-20.365306078385856</v>
      </c>
      <c r="BG133" s="1">
        <f ca="1">OFFSET(A133,0, 5) -0</f>
        <v>3.1041340121130361</v>
      </c>
      <c r="BH133" s="1">
        <f ca="1">OFFSET(A133,0, 2) -0</f>
        <v>13.512454283609259</v>
      </c>
      <c r="BI133" s="1">
        <f ca="1">OFFSET(A133,0, 9) -0</f>
        <v>-30.773626349882079</v>
      </c>
      <c r="BJ133" s="1">
        <f ca="1">OFFSET(A133,0, 8) -0</f>
        <v>-17.304186259383414</v>
      </c>
      <c r="BK133" s="1">
        <f ca="1">OFFSET(A133,0, 1) -0</f>
        <v>6.9818943741079238</v>
      </c>
      <c r="BL133" s="1">
        <f ca="1">OFFSET(A133,0, 3) -0</f>
        <v>-9.9569858068894064</v>
      </c>
      <c r="BM133" s="1">
        <f ca="1">OFFSET(A133,0, 7) -0</f>
        <v>6.1652538311154785</v>
      </c>
      <c r="BN133" s="1">
        <f ca="1">OFFSET(A133,0, 4) -0</f>
        <v>56.573574102611701</v>
      </c>
      <c r="BO133" s="1">
        <f ca="1">OFFSET(A133,0, 23) -0</f>
        <v>-9.3457876168649818</v>
      </c>
      <c r="BP133" s="1">
        <f ca="1">OFFSET(A133,0, 24) -0</f>
        <v>17.184772292636353</v>
      </c>
      <c r="BQ133" s="1">
        <f ca="1">OFFSET(A133,0, 22) -0</f>
        <v>-5.8763475263663167</v>
      </c>
      <c r="BR133" s="1">
        <f ca="1">OFFSET(A133,0, 17) -0</f>
        <v>-8.5291470738723092</v>
      </c>
      <c r="BS133" s="1">
        <f ca="1">OFFSET(A133,0, 18) -0</f>
        <v>-1.9985871643712017</v>
      </c>
      <c r="BT133" s="1">
        <f ca="1">OFFSET(A133,0, 13) -0</f>
        <v>25.348613288122749</v>
      </c>
      <c r="BU133" s="1">
        <f ca="1">OFFSET(A133,0, 21) -0</f>
        <v>-22.406907435867424</v>
      </c>
      <c r="BV133" s="1">
        <f ca="1">OFFSET(A133,0, 19) -0</f>
        <v>4.5319727451301333</v>
      </c>
      <c r="BW133" s="1">
        <f ca="1">OFFSET(A133,0, 14) -0</f>
        <v>-18.12082680237603</v>
      </c>
      <c r="BX133" s="1">
        <f ca="1">OFFSET(A133,0, 16) -0</f>
        <v>14.940293016626356</v>
      </c>
      <c r="BY133" s="1">
        <f ca="1">OFFSET(A133,0, 20) -0</f>
        <v>-18.937467345368759</v>
      </c>
      <c r="BZ133" s="1">
        <f ca="1">OFFSET(A133,0, 15) -0</f>
        <v>18.409733107125192</v>
      </c>
      <c r="CB133" s="1">
        <f>COUNTIF(B133,"&lt;-68")</f>
        <v>0</v>
      </c>
      <c r="CC133" s="1">
        <f ca="1">COUNTIF(BC133:BN133,"&lt;-48")</f>
        <v>0</v>
      </c>
      <c r="CD133" s="1">
        <f ca="1">COUNTIF(BC133:BN133,"&gt;+48")</f>
        <v>1</v>
      </c>
      <c r="CE133" s="1">
        <f ca="1">COUNTIF(BO133:BZ133,"&lt;-48")</f>
        <v>0</v>
      </c>
      <c r="CF133" s="1">
        <f ca="1">COUNTIF(BO133:BZ133,"&gt;+48")</f>
        <v>0</v>
      </c>
    </row>
    <row r="134" spans="1:84">
      <c r="A134" s="1">
        <v>131</v>
      </c>
      <c r="B134" s="1">
        <f>'Team A 1'!B134-'Team A 1'!$AA134-('Team A 1'!B$2- 12.5)*'Team A 1'!$AC134</f>
        <v>-38.631167225121771</v>
      </c>
      <c r="C134" s="1">
        <f>'Team A 1'!C134-'Team A 1'!$AA134-('Team A 1'!C$2- 12.5)*'Team A 1'!$AC134</f>
        <v>7.6990792002475246</v>
      </c>
      <c r="D134" s="1">
        <f>'Team A 1'!D134-'Team A 1'!$AA134-('Team A 1'!D$2- 12.5)*'Team A 1'!$AC134</f>
        <v>4.029325625617048</v>
      </c>
      <c r="E134" s="1">
        <f>'Team A 1'!E134-'Team A 1'!$AA134-('Team A 1'!E$2- 12.5)*'Team A 1'!$AC134</f>
        <v>50.359572050986571</v>
      </c>
      <c r="F134" s="1">
        <f>'Team A 1'!F134-'Team A 1'!$AA134-('Team A 1'!F$2- 12.5)*'Team A 1'!$AC134</f>
        <v>6.6898184763563222</v>
      </c>
      <c r="G134" s="1">
        <f>'Team A 1'!G134-'Team A 1'!$AA134-('Team A 1'!G$2- 12.5)*'Team A 1'!$AC134</f>
        <v>83.020064901725846</v>
      </c>
      <c r="H134" s="1">
        <f>'Team A 1'!H134-'Team A 1'!$AA134-('Team A 1'!H$2- 12.5)*'Team A 1'!$AC134</f>
        <v>-0.64968867290463095</v>
      </c>
      <c r="I134" s="1">
        <f>'Team A 1'!I134-'Team A 1'!$AA134-('Team A 1'!I$2- 12.5)*'Team A 1'!$AC134</f>
        <v>-4.3194422475351075</v>
      </c>
      <c r="J134" s="1">
        <f>'Team A 1'!J134-'Team A 1'!$AA134-('Team A 1'!J$2- 12.5)*'Team A 1'!$AC134</f>
        <v>-17.989195822165584</v>
      </c>
      <c r="K134" s="1">
        <f>'Team A 1'!K134-'Team A 1'!$AA134-('Team A 1'!K$2- 12.5)*'Team A 1'!$AC134</f>
        <v>-11.658949396796004</v>
      </c>
      <c r="L134" s="1">
        <f>'Team A 1'!L134-'Team A 1'!$AA134-('Team A 1'!L$2- 12.5)*'Team A 1'!$AC134</f>
        <v>-25.32870297142648</v>
      </c>
      <c r="M134" s="1">
        <f>'Team A 1'!M134-'Team A 1'!$AA134-('Team A 1'!M$2- 12.5)*'Team A 1'!$AC134</f>
        <v>11.001543453943086</v>
      </c>
      <c r="N134" s="1">
        <f>'Team A 1'!N134-'Team A 1'!$AA134-('Team A 1'!N$2- 12.5)*'Team A 1'!$AC134</f>
        <v>-52.668210120687363</v>
      </c>
      <c r="O134" s="1">
        <f>'Team A 1'!O134-'Team A 1'!$AA134-('Team A 1'!O$2- 12.5)*'Team A 1'!$AC134</f>
        <v>-6.3379636953177965</v>
      </c>
      <c r="P134" s="1">
        <f>'Team A 1'!P134-'Team A 1'!$AA134-('Team A 1'!P$2- 12.5)*'Team A 1'!$AC134</f>
        <v>-10.007717269948273</v>
      </c>
      <c r="Q134" s="1">
        <f>'Team A 1'!Q134-'Team A 1'!$AA134-('Team A 1'!Q$2- 12.5)*'Team A 1'!$AC134</f>
        <v>26.322529155421307</v>
      </c>
      <c r="R134" s="1">
        <f>'Team A 1'!R134-'Team A 1'!$AA134-('Team A 1'!R$2- 12.5)*'Team A 1'!$AC134</f>
        <v>-17.347224419209169</v>
      </c>
      <c r="S134" s="1">
        <f>'Team A 1'!S134-'Team A 1'!$AA134-('Team A 1'!S$2- 12.5)*'Team A 1'!$AC134</f>
        <v>8.9830220061603541</v>
      </c>
      <c r="T134" s="1">
        <f>'Team A 1'!T134-'Team A 1'!$AA134-('Team A 1'!T$2- 12.5)*'Team A 1'!$AC134</f>
        <v>-14.686731568470123</v>
      </c>
      <c r="U134" s="1">
        <f>'Team A 1'!U134-'Team A 1'!$AA134-('Team A 1'!U$2- 12.5)*'Team A 1'!$AC134</f>
        <v>-28.356485143100599</v>
      </c>
      <c r="V134" s="1">
        <f>'Team A 1'!V134-'Team A 1'!$AA134-('Team A 1'!V$2- 12.5)*'Team A 1'!$AC134</f>
        <v>-12.026238717730848</v>
      </c>
      <c r="W134" s="1">
        <f>'Team A 1'!W134-'Team A 1'!$AA134-('Team A 1'!W$2- 12.5)*'Team A 1'!$AC134</f>
        <v>24.304007707638675</v>
      </c>
      <c r="X134" s="1">
        <f>'Team A 1'!X134-'Team A 1'!$AA134-('Team A 1'!X$2- 12.5)*'Team A 1'!$AC134</f>
        <v>0.63425413300819855</v>
      </c>
      <c r="Y134" s="1">
        <f>'Team A 1'!Y134-'Team A 1'!$AA134-('Team A 1'!Y$2- 12.5)*'Team A 1'!$AC134</f>
        <v>16.964500558377495</v>
      </c>
      <c r="AB134" s="1">
        <f>STDEV(B134:Y134)</f>
        <v>28.218334984897826</v>
      </c>
      <c r="AD134" s="5">
        <v>9</v>
      </c>
      <c r="AE134" s="5">
        <v>6</v>
      </c>
      <c r="AF134" s="5" t="s">
        <v>45</v>
      </c>
      <c r="AG134" s="5" t="s">
        <v>47</v>
      </c>
      <c r="AH134" s="5">
        <v>5</v>
      </c>
      <c r="AI134" s="5">
        <v>4</v>
      </c>
      <c r="AJ134" s="5" t="s">
        <v>46</v>
      </c>
      <c r="AK134" s="5">
        <v>8</v>
      </c>
      <c r="AL134" s="5">
        <v>3</v>
      </c>
      <c r="AM134" s="5">
        <v>7</v>
      </c>
      <c r="AN134" s="5">
        <v>2</v>
      </c>
      <c r="AO134" s="5">
        <v>1</v>
      </c>
      <c r="AP134" s="5">
        <v>9</v>
      </c>
      <c r="AQ134" s="5" t="s">
        <v>45</v>
      </c>
      <c r="AR134" s="5">
        <v>6</v>
      </c>
      <c r="AS134" s="5">
        <v>5</v>
      </c>
      <c r="AT134" s="5" t="s">
        <v>47</v>
      </c>
      <c r="AU134" s="5" t="s">
        <v>46</v>
      </c>
      <c r="AV134" s="5">
        <v>4</v>
      </c>
      <c r="AW134" s="5">
        <v>3</v>
      </c>
      <c r="AX134" s="5">
        <v>8</v>
      </c>
      <c r="AY134" s="5">
        <v>7</v>
      </c>
      <c r="AZ134" s="5">
        <v>1</v>
      </c>
      <c r="BA134" s="5">
        <v>2</v>
      </c>
      <c r="BB134" s="5"/>
      <c r="BC134" s="1">
        <f ca="1">OFFSET(A134,0, 12) -0</f>
        <v>11.001543453943086</v>
      </c>
      <c r="BD134" s="1">
        <f ca="1">OFFSET(A134,0, 11) -0</f>
        <v>-25.32870297142648</v>
      </c>
      <c r="BE134" s="1">
        <f ca="1">OFFSET(A134,0, 9) -0</f>
        <v>-17.989195822165584</v>
      </c>
      <c r="BF134" s="1">
        <f ca="1">OFFSET(A134,0, 6) -0</f>
        <v>83.020064901725846</v>
      </c>
      <c r="BG134" s="1">
        <f ca="1">OFFSET(A134,0, 5) -0</f>
        <v>6.6898184763563222</v>
      </c>
      <c r="BH134" s="1">
        <f ca="1">OFFSET(A134,0, 2) -0</f>
        <v>7.6990792002475246</v>
      </c>
      <c r="BI134" s="1">
        <f ca="1">OFFSET(A134,0, 10) -0</f>
        <v>-11.658949396796004</v>
      </c>
      <c r="BJ134" s="1">
        <f ca="1">OFFSET(A134,0, 8) -0</f>
        <v>-4.3194422475351075</v>
      </c>
      <c r="BK134" s="1">
        <f ca="1">OFFSET(A134,0, 1) -0</f>
        <v>-38.631167225121771</v>
      </c>
      <c r="BL134" s="1">
        <f ca="1">OFFSET(A134,0, 3) -0</f>
        <v>4.029325625617048</v>
      </c>
      <c r="BM134" s="1">
        <f ca="1">OFFSET(A134,0, 7) -0</f>
        <v>-0.64968867290463095</v>
      </c>
      <c r="BN134" s="1">
        <f ca="1">OFFSET(A134,0, 4) -0</f>
        <v>50.359572050986571</v>
      </c>
      <c r="BO134" s="1">
        <f ca="1">OFFSET(A134,0, 23) -0</f>
        <v>0.63425413300819855</v>
      </c>
      <c r="BP134" s="1">
        <f ca="1">OFFSET(A134,0, 24) -0</f>
        <v>16.964500558377495</v>
      </c>
      <c r="BQ134" s="1">
        <f ca="1">OFFSET(A134,0, 20) -0</f>
        <v>-28.356485143100599</v>
      </c>
      <c r="BR134" s="1">
        <f ca="1">OFFSET(A134,0, 19) -0</f>
        <v>-14.686731568470123</v>
      </c>
      <c r="BS134" s="1">
        <f ca="1">OFFSET(A134,0, 16) -0</f>
        <v>26.322529155421307</v>
      </c>
      <c r="BT134" s="1">
        <f ca="1">OFFSET(A134,0, 15) -0</f>
        <v>-10.007717269948273</v>
      </c>
      <c r="BU134" s="1">
        <f ca="1">OFFSET(A134,0, 22) -0</f>
        <v>24.304007707638675</v>
      </c>
      <c r="BV134" s="1">
        <f ca="1">OFFSET(A134,0, 21) -0</f>
        <v>-12.026238717730848</v>
      </c>
      <c r="BW134" s="1">
        <f ca="1">OFFSET(A134,0, 13) -0</f>
        <v>-52.668210120687363</v>
      </c>
      <c r="BX134" s="1">
        <f ca="1">OFFSET(A134,0, 14) -0</f>
        <v>-6.3379636953177965</v>
      </c>
      <c r="BY134" s="1">
        <f ca="1">OFFSET(A134,0, 18) -0</f>
        <v>8.9830220061603541</v>
      </c>
      <c r="BZ134" s="1">
        <f ca="1">OFFSET(A134,0, 17) -0</f>
        <v>-17.347224419209169</v>
      </c>
      <c r="CB134" s="1">
        <f>COUNTIF(B134,"&lt;-68")</f>
        <v>0</v>
      </c>
      <c r="CC134" s="1">
        <f ca="1">COUNTIF(BC134:BN134,"&lt;-48")</f>
        <v>0</v>
      </c>
      <c r="CD134" s="1">
        <f ca="1">COUNTIF(BC134:BN134,"&gt;+48")</f>
        <v>2</v>
      </c>
      <c r="CE134" s="1">
        <f ca="1">COUNTIF(BO134:BZ134,"&lt;-48")</f>
        <v>1</v>
      </c>
      <c r="CF134" s="1">
        <f ca="1">COUNTIF(BO134:BZ134,"&gt;+48")</f>
        <v>0</v>
      </c>
    </row>
    <row r="135" spans="1:84">
      <c r="A135" s="1">
        <v>132</v>
      </c>
      <c r="B135" s="1">
        <f>'Team A 1'!B135-'Team A 1'!$AA135-('Team A 1'!B$2- 12.5)*'Team A 1'!$AC135</f>
        <v>2.6798699088590183</v>
      </c>
      <c r="C135" s="1">
        <f>'Team A 1'!C135-'Team A 1'!$AA135-('Team A 1'!C$2- 12.5)*'Team A 1'!$AC135</f>
        <v>-11.140118778867873</v>
      </c>
      <c r="D135" s="1">
        <f>'Team A 1'!D135-'Team A 1'!$AA135-('Team A 1'!D$2- 12.5)*'Team A 1'!$AC135</f>
        <v>35.039892533405236</v>
      </c>
      <c r="E135" s="1">
        <f>'Team A 1'!E135-'Team A 1'!$AA135-('Team A 1'!E$2- 12.5)*'Team A 1'!$AC135</f>
        <v>51.219903845678346</v>
      </c>
      <c r="F135" s="1">
        <f>'Team A 1'!F135-'Team A 1'!$AA135-('Team A 1'!F$2- 12.5)*'Team A 1'!$AC135</f>
        <v>-52.600084842048545</v>
      </c>
      <c r="G135" s="1">
        <f>'Team A 1'!G135-'Team A 1'!$AA135-('Team A 1'!G$2- 12.5)*'Team A 1'!$AC135</f>
        <v>-6.4200735297754363</v>
      </c>
      <c r="H135" s="1">
        <f>'Team A 1'!H135-'Team A 1'!$AA135-('Team A 1'!H$2- 12.5)*'Team A 1'!$AC135</f>
        <v>-0.24006221750232726</v>
      </c>
      <c r="I135" s="1">
        <f>'Team A 1'!I135-'Team A 1'!$AA135-('Team A 1'!I$2- 12.5)*'Team A 1'!$AC135</f>
        <v>35.939949094770895</v>
      </c>
      <c r="J135" s="1">
        <f>'Team A 1'!J135-'Team A 1'!$AA135-('Team A 1'!J$2- 12.5)*'Team A 1'!$AC135</f>
        <v>22.119960407044005</v>
      </c>
      <c r="K135" s="1">
        <f>'Team A 1'!K135-'Team A 1'!$AA135-('Team A 1'!K$2- 12.5)*'Team A 1'!$AC135</f>
        <v>-11.70002828068283</v>
      </c>
      <c r="L135" s="1">
        <f>'Team A 1'!L135-'Team A 1'!$AA135-('Team A 1'!L$2- 12.5)*'Team A 1'!$AC135</f>
        <v>24.47998303159028</v>
      </c>
      <c r="M135" s="1">
        <f>'Team A 1'!M135-'Team A 1'!$AA135-('Team A 1'!M$2- 12.5)*'Team A 1'!$AC135</f>
        <v>20.659994343863431</v>
      </c>
      <c r="N135" s="1">
        <f>'Team A 1'!N135-'Team A 1'!$AA135-('Team A 1'!N$2- 12.5)*'Team A 1'!$AC135</f>
        <v>-3.1599943438634313</v>
      </c>
      <c r="O135" s="1">
        <f>'Team A 1'!O135-'Team A 1'!$AA135-('Team A 1'!O$2- 12.5)*'Team A 1'!$AC135</f>
        <v>-6.9799830315902796</v>
      </c>
      <c r="P135" s="1">
        <f>'Team A 1'!P135-'Team A 1'!$AA135-('Team A 1'!P$2- 12.5)*'Team A 1'!$AC135</f>
        <v>9.2000282806828295</v>
      </c>
      <c r="Q135" s="1">
        <f>'Team A 1'!Q135-'Team A 1'!$AA135-('Team A 1'!Q$2- 12.5)*'Team A 1'!$AC135</f>
        <v>15.380039592955995</v>
      </c>
      <c r="R135" s="1">
        <f>'Team A 1'!R135-'Team A 1'!$AA135-('Team A 1'!R$2- 12.5)*'Team A 1'!$AC135</f>
        <v>-58.439949094770895</v>
      </c>
      <c r="S135" s="1">
        <f>'Team A 1'!S135-'Team A 1'!$AA135-('Team A 1'!S$2- 12.5)*'Team A 1'!$AC135</f>
        <v>-22.259937782497673</v>
      </c>
      <c r="T135" s="1">
        <f>'Team A 1'!T135-'Team A 1'!$AA135-('Team A 1'!T$2- 12.5)*'Team A 1'!$AC135</f>
        <v>-36.079926470224564</v>
      </c>
      <c r="U135" s="1">
        <f>'Team A 1'!U135-'Team A 1'!$AA135-('Team A 1'!U$2- 12.5)*'Team A 1'!$AC135</f>
        <v>-29.899915157951455</v>
      </c>
      <c r="V135" s="1">
        <f>'Team A 1'!V135-'Team A 1'!$AA135-('Team A 1'!V$2- 12.5)*'Team A 1'!$AC135</f>
        <v>-3.7199038456783455</v>
      </c>
      <c r="W135" s="1">
        <f>'Team A 1'!W135-'Team A 1'!$AA135-('Team A 1'!W$2- 12.5)*'Team A 1'!$AC135</f>
        <v>-17.539892533405236</v>
      </c>
      <c r="X135" s="1">
        <f>'Team A 1'!X135-'Team A 1'!$AA135-('Team A 1'!X$2- 12.5)*'Team A 1'!$AC135</f>
        <v>-1.3598812211321274</v>
      </c>
      <c r="Y135" s="1">
        <f>'Team A 1'!Y135-'Team A 1'!$AA135-('Team A 1'!Y$2- 12.5)*'Team A 1'!$AC135</f>
        <v>44.820130091140982</v>
      </c>
      <c r="AB135" s="1">
        <f>STDEV(B135:Y135)</f>
        <v>28.401728264423028</v>
      </c>
      <c r="AD135" s="5" t="s">
        <v>45</v>
      </c>
      <c r="AE135" s="5">
        <v>9</v>
      </c>
      <c r="AF135" s="5">
        <v>5</v>
      </c>
      <c r="AG135" s="5">
        <v>6</v>
      </c>
      <c r="AH135" s="5" t="s">
        <v>46</v>
      </c>
      <c r="AI135" s="5" t="s">
        <v>47</v>
      </c>
      <c r="AJ135" s="5">
        <v>3</v>
      </c>
      <c r="AK135" s="5">
        <v>4</v>
      </c>
      <c r="AL135" s="5">
        <v>7</v>
      </c>
      <c r="AM135" s="5">
        <v>8</v>
      </c>
      <c r="AN135" s="5">
        <v>2</v>
      </c>
      <c r="AO135" s="5">
        <v>1</v>
      </c>
      <c r="AP135" s="5">
        <v>9</v>
      </c>
      <c r="AQ135" s="5" t="s">
        <v>45</v>
      </c>
      <c r="AR135" s="5">
        <v>6</v>
      </c>
      <c r="AS135" s="5">
        <v>5</v>
      </c>
      <c r="AT135" s="5" t="s">
        <v>47</v>
      </c>
      <c r="AU135" s="5" t="s">
        <v>46</v>
      </c>
      <c r="AV135" s="5">
        <v>4</v>
      </c>
      <c r="AW135" s="5">
        <v>3</v>
      </c>
      <c r="AX135" s="5">
        <v>8</v>
      </c>
      <c r="AY135" s="5">
        <v>7</v>
      </c>
      <c r="AZ135" s="5">
        <v>2</v>
      </c>
      <c r="BA135" s="5">
        <v>1</v>
      </c>
      <c r="BB135" s="5"/>
      <c r="BC135" s="1">
        <f ca="1">OFFSET(A135,0, 12) -0</f>
        <v>20.659994343863431</v>
      </c>
      <c r="BD135" s="1">
        <f ca="1">OFFSET(A135,0, 11) -0</f>
        <v>24.47998303159028</v>
      </c>
      <c r="BE135" s="1">
        <f ca="1">OFFSET(A135,0, 7) -0</f>
        <v>-0.24006221750232726</v>
      </c>
      <c r="BF135" s="1">
        <f ca="1">OFFSET(A135,0, 8) -0</f>
        <v>35.939949094770895</v>
      </c>
      <c r="BG135" s="1">
        <f ca="1">OFFSET(A135,0, 3) -0</f>
        <v>35.039892533405236</v>
      </c>
      <c r="BH135" s="1">
        <f ca="1">OFFSET(A135,0, 4) -0</f>
        <v>51.219903845678346</v>
      </c>
      <c r="BI135" s="1">
        <f ca="1">OFFSET(A135,0, 9) -0</f>
        <v>22.119960407044005</v>
      </c>
      <c r="BJ135" s="1">
        <f ca="1">OFFSET(A135,0, 10) -0</f>
        <v>-11.70002828068283</v>
      </c>
      <c r="BK135" s="1">
        <f ca="1">OFFSET(A135,0, 2) -0</f>
        <v>-11.140118778867873</v>
      </c>
      <c r="BL135" s="1">
        <f ca="1">OFFSET(A135,0, 1) -0</f>
        <v>2.6798699088590183</v>
      </c>
      <c r="BM135" s="1">
        <f ca="1">OFFSET(A135,0, 5) -0</f>
        <v>-52.600084842048545</v>
      </c>
      <c r="BN135" s="1">
        <f ca="1">OFFSET(A135,0, 6) -0</f>
        <v>-6.4200735297754363</v>
      </c>
      <c r="BO135" s="1">
        <f ca="1">OFFSET(A135,0, 24) -0</f>
        <v>44.820130091140982</v>
      </c>
      <c r="BP135" s="1">
        <f ca="1">OFFSET(A135,0, 23) -0</f>
        <v>-1.3598812211321274</v>
      </c>
      <c r="BQ135" s="1">
        <f ca="1">OFFSET(A135,0, 20) -0</f>
        <v>-29.899915157951455</v>
      </c>
      <c r="BR135" s="1">
        <f ca="1">OFFSET(A135,0, 19) -0</f>
        <v>-36.079926470224564</v>
      </c>
      <c r="BS135" s="1">
        <f ca="1">OFFSET(A135,0, 16) -0</f>
        <v>15.380039592955995</v>
      </c>
      <c r="BT135" s="1">
        <f ca="1">OFFSET(A135,0, 15) -0</f>
        <v>9.2000282806828295</v>
      </c>
      <c r="BU135" s="1">
        <f ca="1">OFFSET(A135,0, 22) -0</f>
        <v>-17.539892533405236</v>
      </c>
      <c r="BV135" s="1">
        <f ca="1">OFFSET(A135,0, 21) -0</f>
        <v>-3.7199038456783455</v>
      </c>
      <c r="BW135" s="1">
        <f ca="1">OFFSET(A135,0, 13) -0</f>
        <v>-3.1599943438634313</v>
      </c>
      <c r="BX135" s="1">
        <f ca="1">OFFSET(A135,0, 14) -0</f>
        <v>-6.9799830315902796</v>
      </c>
      <c r="BY135" s="1">
        <f ca="1">OFFSET(A135,0, 18) -0</f>
        <v>-22.259937782497673</v>
      </c>
      <c r="BZ135" s="1">
        <f ca="1">OFFSET(A135,0, 17) -0</f>
        <v>-58.439949094770895</v>
      </c>
      <c r="CB135" s="1">
        <f>COUNTIF(B135,"&lt;-69")</f>
        <v>0</v>
      </c>
      <c r="CC135" s="1">
        <f ca="1">COUNTIF(BC135:BN135,"&lt;-48")</f>
        <v>1</v>
      </c>
      <c r="CD135" s="1">
        <f ca="1">COUNTIF(BC135:BN135,"&gt;+48")</f>
        <v>1</v>
      </c>
      <c r="CE135" s="1">
        <f ca="1">COUNTIF(BO135:BZ135,"&lt;-48")</f>
        <v>1</v>
      </c>
      <c r="CF135" s="1">
        <f ca="1">COUNTIF(BO135:BZ135,"&gt;+48")</f>
        <v>0</v>
      </c>
    </row>
    <row r="136" spans="1:84">
      <c r="A136" s="1">
        <v>133</v>
      </c>
      <c r="B136" s="1">
        <f>'Team A 1'!B136-'Team A 1'!$AA136-('Team A 1'!B$2- 12.5)*'Team A 1'!$AC136</f>
        <v>-3.8885992914993039</v>
      </c>
      <c r="C136" s="1">
        <f>'Team A 1'!C136-'Team A 1'!$AA136-('Team A 1'!C$2- 12.5)*'Team A 1'!$AC136</f>
        <v>-7.6084312371624492</v>
      </c>
      <c r="D136" s="1">
        <f>'Team A 1'!D136-'Team A 1'!$AA136-('Team A 1'!D$2- 12.5)*'Team A 1'!$AC136</f>
        <v>-1.3282631828258218</v>
      </c>
      <c r="E136" s="1">
        <f>'Team A 1'!E136-'Team A 1'!$AA136-('Team A 1'!E$2- 12.5)*'Team A 1'!$AC136</f>
        <v>44.951904871510806</v>
      </c>
      <c r="F136" s="1">
        <f>'Team A 1'!F136-'Team A 1'!$AA136-('Team A 1'!F$2- 12.5)*'Team A 1'!$AC136</f>
        <v>1.232072925847433</v>
      </c>
      <c r="G136" s="1">
        <f>'Team A 1'!G136-'Team A 1'!$AA136-('Team A 1'!G$2- 12.5)*'Team A 1'!$AC136</f>
        <v>7.5122409801840604</v>
      </c>
      <c r="H136" s="1">
        <f>'Team A 1'!H136-'Team A 1'!$AA136-('Team A 1'!H$2- 12.5)*'Team A 1'!$AC136</f>
        <v>-6.2075909654793122</v>
      </c>
      <c r="I136" s="1">
        <f>'Team A 1'!I136-'Team A 1'!$AA136-('Team A 1'!I$2- 12.5)*'Team A 1'!$AC136</f>
        <v>50.072577088857315</v>
      </c>
      <c r="J136" s="1">
        <f>'Team A 1'!J136-'Team A 1'!$AA136-('Team A 1'!J$2- 12.5)*'Team A 1'!$AC136</f>
        <v>-13.647254856806057</v>
      </c>
      <c r="K136" s="1">
        <f>'Team A 1'!K136-'Team A 1'!$AA136-('Team A 1'!K$2- 12.5)*'Team A 1'!$AC136</f>
        <v>-27.36708680246943</v>
      </c>
      <c r="L136" s="1">
        <f>'Team A 1'!L136-'Team A 1'!$AA136-('Team A 1'!L$2- 12.5)*'Team A 1'!$AC136</f>
        <v>8.9130812518671974</v>
      </c>
      <c r="M136" s="1">
        <f>'Team A 1'!M136-'Team A 1'!$AA136-('Team A 1'!M$2- 12.5)*'Team A 1'!$AC136</f>
        <v>-14.806750693796175</v>
      </c>
      <c r="N136" s="1">
        <f>'Team A 1'!N136-'Team A 1'!$AA136-('Team A 1'!N$2- 12.5)*'Team A 1'!$AC136</f>
        <v>1.4734173605404521</v>
      </c>
      <c r="O136" s="1">
        <f>'Team A 1'!O136-'Team A 1'!$AA136-('Team A 1'!O$2- 12.5)*'Team A 1'!$AC136</f>
        <v>-2.2464145851229205</v>
      </c>
      <c r="P136" s="1">
        <f>'Team A 1'!P136-'Team A 1'!$AA136-('Team A 1'!P$2- 12.5)*'Team A 1'!$AC136</f>
        <v>24.033753469213707</v>
      </c>
      <c r="Q136" s="1">
        <f>'Team A 1'!Q136-'Team A 1'!$AA136-('Team A 1'!Q$2- 12.5)*'Team A 1'!$AC136</f>
        <v>-49.686078476449666</v>
      </c>
      <c r="R136" s="1">
        <f>'Team A 1'!R136-'Team A 1'!$AA136-('Team A 1'!R$2- 12.5)*'Team A 1'!$AC136</f>
        <v>-33.405910422113038</v>
      </c>
      <c r="S136" s="1">
        <f>'Team A 1'!S136-'Team A 1'!$AA136-('Team A 1'!S$2- 12.5)*'Team A 1'!$AC136</f>
        <v>-27.125742367776411</v>
      </c>
      <c r="T136" s="1">
        <f>'Team A 1'!T136-'Team A 1'!$AA136-('Team A 1'!T$2- 12.5)*'Team A 1'!$AC136</f>
        <v>-10.845574313439784</v>
      </c>
      <c r="U136" s="1">
        <f>'Team A 1'!U136-'Team A 1'!$AA136-('Team A 1'!U$2- 12.5)*'Team A 1'!$AC136</f>
        <v>25.434593740896844</v>
      </c>
      <c r="V136" s="1">
        <f>'Team A 1'!V136-'Team A 1'!$AA136-('Team A 1'!V$2- 12.5)*'Team A 1'!$AC136</f>
        <v>-8.2852382047665287</v>
      </c>
      <c r="W136" s="1">
        <f>'Team A 1'!W136-'Team A 1'!$AA136-('Team A 1'!W$2- 12.5)*'Team A 1'!$AC136</f>
        <v>17.994929849570099</v>
      </c>
      <c r="X136" s="1">
        <f>'Team A 1'!X136-'Team A 1'!$AA136-('Team A 1'!X$2- 12.5)*'Team A 1'!$AC136</f>
        <v>4.2750979039067261</v>
      </c>
      <c r="Y136" s="1">
        <f>'Team A 1'!Y136-'Team A 1'!$AA136-('Team A 1'!Y$2- 12.5)*'Team A 1'!$AC136</f>
        <v>20.555265958243581</v>
      </c>
      <c r="AB136" s="1">
        <f>STDEV(B136:Y136)</f>
        <v>23.253043938587552</v>
      </c>
      <c r="AD136" s="5" t="s">
        <v>45</v>
      </c>
      <c r="AE136" s="5">
        <v>9</v>
      </c>
      <c r="AF136" s="5">
        <v>5</v>
      </c>
      <c r="AG136" s="5">
        <v>6</v>
      </c>
      <c r="AH136" s="5" t="s">
        <v>46</v>
      </c>
      <c r="AI136" s="5" t="s">
        <v>47</v>
      </c>
      <c r="AJ136" s="5">
        <v>3</v>
      </c>
      <c r="AK136" s="5">
        <v>4</v>
      </c>
      <c r="AL136" s="5">
        <v>7</v>
      </c>
      <c r="AM136" s="5">
        <v>8</v>
      </c>
      <c r="AN136" s="5">
        <v>1</v>
      </c>
      <c r="AO136" s="5">
        <v>2</v>
      </c>
      <c r="AP136" s="5" t="s">
        <v>45</v>
      </c>
      <c r="AQ136" s="5">
        <v>5</v>
      </c>
      <c r="AR136" s="5">
        <v>9</v>
      </c>
      <c r="AS136" s="5" t="s">
        <v>46</v>
      </c>
      <c r="AT136" s="5">
        <v>6</v>
      </c>
      <c r="AU136" s="5">
        <v>3</v>
      </c>
      <c r="AV136" s="5" t="s">
        <v>47</v>
      </c>
      <c r="AW136" s="5">
        <v>7</v>
      </c>
      <c r="AX136" s="5">
        <v>4</v>
      </c>
      <c r="AY136" s="5">
        <v>8</v>
      </c>
      <c r="AZ136" s="5">
        <v>2</v>
      </c>
      <c r="BA136" s="5">
        <v>1</v>
      </c>
      <c r="BB136" s="5"/>
      <c r="BC136" s="1">
        <f ca="1">OFFSET(A136,0, 11) -0</f>
        <v>8.9130812518671974</v>
      </c>
      <c r="BD136" s="1">
        <f ca="1">OFFSET(A136,0, 12) -0</f>
        <v>-14.806750693796175</v>
      </c>
      <c r="BE136" s="1">
        <f ca="1">OFFSET(A136,0, 7) -0</f>
        <v>-6.2075909654793122</v>
      </c>
      <c r="BF136" s="1">
        <f ca="1">OFFSET(A136,0, 8) -0</f>
        <v>50.072577088857315</v>
      </c>
      <c r="BG136" s="1">
        <f ca="1">OFFSET(A136,0, 3) -0</f>
        <v>-1.3282631828258218</v>
      </c>
      <c r="BH136" s="1">
        <f ca="1">OFFSET(A136,0, 4) -0</f>
        <v>44.951904871510806</v>
      </c>
      <c r="BI136" s="1">
        <f ca="1">OFFSET(A136,0, 9) -0</f>
        <v>-13.647254856806057</v>
      </c>
      <c r="BJ136" s="1">
        <f ca="1">OFFSET(A136,0, 10) -0</f>
        <v>-27.36708680246943</v>
      </c>
      <c r="BK136" s="1">
        <f ca="1">OFFSET(A136,0, 2) -0</f>
        <v>-7.6084312371624492</v>
      </c>
      <c r="BL136" s="1">
        <f ca="1">OFFSET(A136,0, 1) -0</f>
        <v>-3.8885992914993039</v>
      </c>
      <c r="BM136" s="1">
        <f ca="1">OFFSET(A136,0, 5) -0</f>
        <v>1.232072925847433</v>
      </c>
      <c r="BN136" s="1">
        <f ca="1">OFFSET(A136,0, 6) -0</f>
        <v>7.5122409801840604</v>
      </c>
      <c r="BO136" s="1">
        <f ca="1">OFFSET(A136,0, 24) -0</f>
        <v>20.555265958243581</v>
      </c>
      <c r="BP136" s="1">
        <f ca="1">OFFSET(A136,0, 23) -0</f>
        <v>4.2750979039067261</v>
      </c>
      <c r="BQ136" s="1">
        <f ca="1">OFFSET(A136,0, 18) -0</f>
        <v>-27.125742367776411</v>
      </c>
      <c r="BR136" s="1">
        <f ca="1">OFFSET(A136,0, 21) -0</f>
        <v>-8.2852382047665287</v>
      </c>
      <c r="BS136" s="1">
        <f ca="1">OFFSET(A136,0, 14) -0</f>
        <v>-2.2464145851229205</v>
      </c>
      <c r="BT136" s="1">
        <f ca="1">OFFSET(A136,0, 17) -0</f>
        <v>-33.405910422113038</v>
      </c>
      <c r="BU136" s="1">
        <f ca="1">OFFSET(A136,0, 20) -0</f>
        <v>25.434593740896844</v>
      </c>
      <c r="BV136" s="1">
        <f ca="1">OFFSET(A136,0, 22) -0</f>
        <v>17.994929849570099</v>
      </c>
      <c r="BW136" s="1">
        <f ca="1">OFFSET(A136,0, 15) -0</f>
        <v>24.033753469213707</v>
      </c>
      <c r="BX136" s="1">
        <f ca="1">OFFSET(A136,0, 13) -0</f>
        <v>1.4734173605404521</v>
      </c>
      <c r="BY136" s="1">
        <f ca="1">OFFSET(A136,0, 16) -0</f>
        <v>-49.686078476449666</v>
      </c>
      <c r="BZ136" s="1">
        <f ca="1">OFFSET(A136,0, 19) -0</f>
        <v>-10.845574313439784</v>
      </c>
      <c r="CB136" s="1">
        <f>COUNTIF(B136,"&lt;-68")</f>
        <v>0</v>
      </c>
      <c r="CC136" s="1">
        <f ca="1">COUNTIF(BC136:BN136,"&lt;-48")</f>
        <v>0</v>
      </c>
      <c r="CD136" s="1">
        <f ca="1">COUNTIF(BC136:BN136,"&gt;+48")</f>
        <v>1</v>
      </c>
      <c r="CE136" s="1">
        <f ca="1">COUNTIF(BO136:BZ136,"&lt;-48")</f>
        <v>1</v>
      </c>
      <c r="CF136" s="1">
        <f ca="1">COUNTIF(BO136:BZ136,"&gt;+48")</f>
        <v>0</v>
      </c>
    </row>
    <row r="137" spans="1:84">
      <c r="A137" s="1">
        <v>134</v>
      </c>
      <c r="B137" s="1">
        <f>'Team A 1'!B137-'Team A 1'!$AA137-('Team A 1'!B$2- 12.5)*'Team A 1'!$AC137</f>
        <v>33.382273287180851</v>
      </c>
      <c r="C137" s="1">
        <f>'Team A 1'!C137-'Team A 1'!$AA137-('Team A 1'!C$2- 12.5)*'Team A 1'!$AC137</f>
        <v>19.428742276697903</v>
      </c>
      <c r="D137" s="1">
        <f>'Team A 1'!D137-'Team A 1'!$AA137-('Team A 1'!D$2- 12.5)*'Team A 1'!$AC137</f>
        <v>-14.524788733785044</v>
      </c>
      <c r="E137" s="1">
        <f>'Team A 1'!E137-'Team A 1'!$AA137-('Team A 1'!E$2- 12.5)*'Team A 1'!$AC137</f>
        <v>-38.478319744267765</v>
      </c>
      <c r="F137" s="1">
        <f>'Team A 1'!F137-'Team A 1'!$AA137-('Team A 1'!F$2- 12.5)*'Team A 1'!$AC137</f>
        <v>-2.4318507547507124</v>
      </c>
      <c r="G137" s="1">
        <f>'Team A 1'!G137-'Team A 1'!$AA137-('Team A 1'!G$2- 12.5)*'Team A 1'!$AC137</f>
        <v>13.614618234766567</v>
      </c>
      <c r="H137" s="1">
        <f>'Team A 1'!H137-'Team A 1'!$AA137-('Team A 1'!H$2- 12.5)*'Team A 1'!$AC137</f>
        <v>-20.338912775716381</v>
      </c>
      <c r="I137" s="1">
        <f>'Team A 1'!I137-'Team A 1'!$AA137-('Team A 1'!I$2- 12.5)*'Team A 1'!$AC137</f>
        <v>15.707556213800785</v>
      </c>
      <c r="J137" s="1">
        <f>'Team A 1'!J137-'Team A 1'!$AA137-('Team A 1'!J$2- 12.5)*'Team A 1'!$AC137</f>
        <v>11.754025203317838</v>
      </c>
      <c r="K137" s="1">
        <f>'Team A 1'!K137-'Team A 1'!$AA137-('Team A 1'!K$2- 12.5)*'Team A 1'!$AC137</f>
        <v>-12.199505807164996</v>
      </c>
      <c r="L137" s="1">
        <f>'Team A 1'!L137-'Team A 1'!$AA137-('Team A 1'!L$2- 12.5)*'Team A 1'!$AC137</f>
        <v>-16.153036817647831</v>
      </c>
      <c r="M137" s="1">
        <f>'Team A 1'!M137-'Team A 1'!$AA137-('Team A 1'!M$2- 12.5)*'Team A 1'!$AC137</f>
        <v>-10.106567828130707</v>
      </c>
      <c r="N137" s="1">
        <f>'Team A 1'!N137-'Team A 1'!$AA137-('Team A 1'!N$2- 12.5)*'Team A 1'!$AC137</f>
        <v>25.93990116138643</v>
      </c>
      <c r="O137" s="1">
        <f>'Team A 1'!O137-'Team A 1'!$AA137-('Team A 1'!O$2- 12.5)*'Team A 1'!$AC137</f>
        <v>-8.0136298490964464</v>
      </c>
      <c r="P137" s="1">
        <f>'Team A 1'!P137-'Team A 1'!$AA137-('Team A 1'!P$2- 12.5)*'Team A 1'!$AC137</f>
        <v>-1.9671608595792804</v>
      </c>
      <c r="Q137" s="1">
        <f>'Team A 1'!Q137-'Team A 1'!$AA137-('Team A 1'!Q$2- 12.5)*'Team A 1'!$AC137</f>
        <v>-15.920691870062115</v>
      </c>
      <c r="R137" s="1">
        <f>'Team A 1'!R137-'Team A 1'!$AA137-('Team A 1'!R$2- 12.5)*'Team A 1'!$AC137</f>
        <v>-49.874222880545062</v>
      </c>
      <c r="S137" s="1">
        <f>'Team A 1'!S137-'Team A 1'!$AA137-('Team A 1'!S$2- 12.5)*'Team A 1'!$AC137</f>
        <v>-23.827753891027896</v>
      </c>
      <c r="T137" s="1">
        <f>'Team A 1'!T137-'Team A 1'!$AA137-('Team A 1'!T$2- 12.5)*'Team A 1'!$AC137</f>
        <v>-17.781284901510844</v>
      </c>
      <c r="U137" s="1">
        <f>'Team A 1'!U137-'Team A 1'!$AA137-('Team A 1'!U$2- 12.5)*'Team A 1'!$AC137</f>
        <v>-11.734815911993564</v>
      </c>
      <c r="V137" s="1">
        <f>'Team A 1'!V137-'Team A 1'!$AA137-('Team A 1'!V$2- 12.5)*'Team A 1'!$AC137</f>
        <v>24.311653077523488</v>
      </c>
      <c r="W137" s="1">
        <f>'Team A 1'!W137-'Team A 1'!$AA137-('Team A 1'!W$2- 12.5)*'Team A 1'!$AC137</f>
        <v>30.358122067040767</v>
      </c>
      <c r="X137" s="1">
        <f>'Team A 1'!X137-'Team A 1'!$AA137-('Team A 1'!X$2- 12.5)*'Team A 1'!$AC137</f>
        <v>46.40459105655782</v>
      </c>
      <c r="Y137" s="1">
        <f>'Team A 1'!Y137-'Team A 1'!$AA137-('Team A 1'!Y$2- 12.5)*'Team A 1'!$AC137</f>
        <v>22.451060046074872</v>
      </c>
      <c r="AB137" s="1">
        <f>STDEV(B137:Y137)</f>
        <v>24.100103397079305</v>
      </c>
      <c r="AD137" s="5">
        <v>5</v>
      </c>
      <c r="AE137" s="5" t="s">
        <v>45</v>
      </c>
      <c r="AF137" s="5" t="s">
        <v>46</v>
      </c>
      <c r="AG137" s="5">
        <v>9</v>
      </c>
      <c r="AH137" s="5">
        <v>3</v>
      </c>
      <c r="AI137" s="5">
        <v>6</v>
      </c>
      <c r="AJ137" s="5">
        <v>7</v>
      </c>
      <c r="AK137" s="5" t="s">
        <v>47</v>
      </c>
      <c r="AL137" s="5">
        <v>8</v>
      </c>
      <c r="AM137" s="5">
        <v>4</v>
      </c>
      <c r="AN137" s="5">
        <v>1</v>
      </c>
      <c r="AO137" s="5">
        <v>2</v>
      </c>
      <c r="AP137" s="5" t="s">
        <v>45</v>
      </c>
      <c r="AQ137" s="5">
        <v>5</v>
      </c>
      <c r="AR137" s="5">
        <v>9</v>
      </c>
      <c r="AS137" s="5" t="s">
        <v>46</v>
      </c>
      <c r="AT137" s="5">
        <v>6</v>
      </c>
      <c r="AU137" s="5">
        <v>3</v>
      </c>
      <c r="AV137" s="5" t="s">
        <v>47</v>
      </c>
      <c r="AW137" s="5">
        <v>7</v>
      </c>
      <c r="AX137" s="5">
        <v>8</v>
      </c>
      <c r="AY137" s="5">
        <v>1</v>
      </c>
      <c r="AZ137" s="5">
        <v>4</v>
      </c>
      <c r="BA137" s="5">
        <v>2</v>
      </c>
      <c r="BB137" s="5"/>
      <c r="BC137" s="1">
        <f ca="1">OFFSET(A137,0, 11) -0</f>
        <v>-16.153036817647831</v>
      </c>
      <c r="BD137" s="1">
        <f ca="1">OFFSET(A137,0, 12) -0</f>
        <v>-10.106567828130707</v>
      </c>
      <c r="BE137" s="1">
        <f ca="1">OFFSET(A137,0, 5) -0</f>
        <v>-2.4318507547507124</v>
      </c>
      <c r="BF137" s="1">
        <f ca="1">OFFSET(A137,0, 10) -0</f>
        <v>-12.199505807164996</v>
      </c>
      <c r="BG137" s="1">
        <f ca="1">OFFSET(A137,0, 1) -0</f>
        <v>33.382273287180851</v>
      </c>
      <c r="BH137" s="1">
        <f ca="1">OFFSET(A137,0, 6) -0</f>
        <v>13.614618234766567</v>
      </c>
      <c r="BI137" s="1">
        <f ca="1">OFFSET(A137,0, 7) -0</f>
        <v>-20.338912775716381</v>
      </c>
      <c r="BJ137" s="1">
        <f ca="1">OFFSET(A137,0, 9) -0</f>
        <v>11.754025203317838</v>
      </c>
      <c r="BK137" s="1">
        <f ca="1">OFFSET(A137,0, 4) -0</f>
        <v>-38.478319744267765</v>
      </c>
      <c r="BL137" s="1">
        <f ca="1">OFFSET(A137,0, 2) -0</f>
        <v>19.428742276697903</v>
      </c>
      <c r="BM137" s="1">
        <f ca="1">OFFSET(A137,0, 3) -0</f>
        <v>-14.524788733785044</v>
      </c>
      <c r="BN137" s="1">
        <f ca="1">OFFSET(A137,0, 8) -0</f>
        <v>15.707556213800785</v>
      </c>
      <c r="BO137" s="1">
        <f ca="1">OFFSET(A137,0, 22) -0</f>
        <v>30.358122067040767</v>
      </c>
      <c r="BP137" s="1">
        <f ca="1">OFFSET(A137,0, 24) -0</f>
        <v>22.451060046074872</v>
      </c>
      <c r="BQ137" s="1">
        <f ca="1">OFFSET(A137,0, 18) -0</f>
        <v>-23.827753891027896</v>
      </c>
      <c r="BR137" s="1">
        <f ca="1">OFFSET(A137,0, 23) -0</f>
        <v>46.40459105655782</v>
      </c>
      <c r="BS137" s="1">
        <f ca="1">OFFSET(A137,0, 14) -0</f>
        <v>-8.0136298490964464</v>
      </c>
      <c r="BT137" s="1">
        <f ca="1">OFFSET(A137,0, 17) -0</f>
        <v>-49.874222880545062</v>
      </c>
      <c r="BU137" s="1">
        <f ca="1">OFFSET(A137,0, 20) -0</f>
        <v>-11.734815911993564</v>
      </c>
      <c r="BV137" s="1">
        <f ca="1">OFFSET(A137,0, 21) -0</f>
        <v>24.311653077523488</v>
      </c>
      <c r="BW137" s="1">
        <f ca="1">OFFSET(A137,0, 15) -0</f>
        <v>-1.9671608595792804</v>
      </c>
      <c r="BX137" s="1">
        <f ca="1">OFFSET(A137,0, 13) -0</f>
        <v>25.93990116138643</v>
      </c>
      <c r="BY137" s="1">
        <f ca="1">OFFSET(A137,0, 16) -0</f>
        <v>-15.920691870062115</v>
      </c>
      <c r="BZ137" s="1">
        <f ca="1">OFFSET(A137,0, 19) -0</f>
        <v>-17.781284901510844</v>
      </c>
      <c r="CB137" s="1">
        <f>COUNTIF(B137,"&lt;-69")</f>
        <v>0</v>
      </c>
      <c r="CC137" s="1">
        <f ca="1">COUNTIF(BC137:BN137,"&lt;-48")</f>
        <v>0</v>
      </c>
      <c r="CD137" s="1">
        <f ca="1">COUNTIF(BC137:BN137,"&gt;+48")</f>
        <v>0</v>
      </c>
      <c r="CE137" s="1">
        <f ca="1">COUNTIF(BO137:BZ137,"&lt;-48")</f>
        <v>1</v>
      </c>
      <c r="CF137" s="1">
        <f ca="1">COUNTIF(BO137:BZ137,"&gt;+48")</f>
        <v>0</v>
      </c>
    </row>
    <row r="138" spans="1:84">
      <c r="A138" s="1">
        <v>135</v>
      </c>
      <c r="B138" s="1">
        <f>'Team A 1'!B138-'Team A 1'!$AA138-('Team A 1'!B$2- 12.5)*'Team A 1'!$AC138</f>
        <v>19.562380466227751</v>
      </c>
      <c r="C138" s="1">
        <f>'Team A 1'!C138-'Team A 1'!$AA138-('Team A 1'!C$2- 12.5)*'Team A 1'!$AC138</f>
        <v>25.325072019892559</v>
      </c>
      <c r="D138" s="1">
        <f>'Team A 1'!D138-'Team A 1'!$AA138-('Team A 1'!D$2- 12.5)*'Team A 1'!$AC138</f>
        <v>-18.912236426442632</v>
      </c>
      <c r="E138" s="1">
        <f>'Team A 1'!E138-'Team A 1'!$AA138-('Team A 1'!E$2- 12.5)*'Team A 1'!$AC138</f>
        <v>-43.149544872778051</v>
      </c>
      <c r="F138" s="1">
        <f>'Team A 1'!F138-'Team A 1'!$AA138-('Team A 1'!F$2- 12.5)*'Team A 1'!$AC138</f>
        <v>-7.3868533191132428</v>
      </c>
      <c r="G138" s="1">
        <f>'Team A 1'!G138-'Team A 1'!$AA138-('Team A 1'!G$2- 12.5)*'Team A 1'!$AC138</f>
        <v>-21.624161765448662</v>
      </c>
      <c r="H138" s="1">
        <f>'Team A 1'!H138-'Team A 1'!$AA138-('Team A 1'!H$2- 12.5)*'Team A 1'!$AC138</f>
        <v>4.1385297882161467</v>
      </c>
      <c r="I138" s="1">
        <f>'Team A 1'!I138-'Team A 1'!$AA138-('Team A 1'!I$2- 12.5)*'Team A 1'!$AC138</f>
        <v>-9.8778658119158536E-2</v>
      </c>
      <c r="J138" s="1">
        <f>'Team A 1'!J138-'Team A 1'!$AA138-('Team A 1'!J$2- 12.5)*'Team A 1'!$AC138</f>
        <v>25.66391289554565</v>
      </c>
      <c r="K138" s="1">
        <f>'Team A 1'!K138-'Team A 1'!$AA138-('Team A 1'!K$2- 12.5)*'Team A 1'!$AC138</f>
        <v>-28.573395550789655</v>
      </c>
      <c r="L138" s="1">
        <f>'Team A 1'!L138-'Team A 1'!$AA138-('Team A 1'!L$2- 12.5)*'Team A 1'!$AC138</f>
        <v>17.189296002875039</v>
      </c>
      <c r="M138" s="1">
        <f>'Team A 1'!M138-'Team A 1'!$AA138-('Team A 1'!M$2- 12.5)*'Team A 1'!$AC138</f>
        <v>32.951987556539777</v>
      </c>
      <c r="N138" s="1">
        <f>'Team A 1'!N138-'Team A 1'!$AA138-('Team A 1'!N$2- 12.5)*'Team A 1'!$AC138</f>
        <v>-21.2853208897955</v>
      </c>
      <c r="O138" s="1">
        <f>'Team A 1'!O138-'Team A 1'!$AA138-('Team A 1'!O$2- 12.5)*'Team A 1'!$AC138</f>
        <v>-15.522629336130763</v>
      </c>
      <c r="P138" s="1">
        <f>'Team A 1'!P138-'Team A 1'!$AA138-('Team A 1'!P$2- 12.5)*'Team A 1'!$AC138</f>
        <v>-19.759937782466068</v>
      </c>
      <c r="Q138" s="1">
        <f>'Team A 1'!Q138-'Team A 1'!$AA138-('Team A 1'!Q$2- 12.5)*'Team A 1'!$AC138</f>
        <v>-23.997246228801373</v>
      </c>
      <c r="R138" s="1">
        <f>'Team A 1'!R138-'Team A 1'!$AA138-('Team A 1'!R$2- 12.5)*'Team A 1'!$AC138</f>
        <v>-18.234554675136565</v>
      </c>
      <c r="S138" s="1">
        <f>'Team A 1'!S138-'Team A 1'!$AA138-('Team A 1'!S$2- 12.5)*'Team A 1'!$AC138</f>
        <v>17.52813687852813</v>
      </c>
      <c r="T138" s="1">
        <f>'Team A 1'!T138-'Team A 1'!$AA138-('Team A 1'!T$2- 12.5)*'Team A 1'!$AC138</f>
        <v>13.290828432192939</v>
      </c>
      <c r="U138" s="1">
        <f>'Team A 1'!U138-'Team A 1'!$AA138-('Team A 1'!U$2- 12.5)*'Team A 1'!$AC138</f>
        <v>-30.94648001414248</v>
      </c>
      <c r="V138" s="1">
        <f>'Team A 1'!V138-'Team A 1'!$AA138-('Team A 1'!V$2- 12.5)*'Team A 1'!$AC138</f>
        <v>14.816211539522328</v>
      </c>
      <c r="W138" s="1">
        <f>'Team A 1'!W138-'Team A 1'!$AA138-('Team A 1'!W$2- 12.5)*'Team A 1'!$AC138</f>
        <v>0.57890309318690925</v>
      </c>
      <c r="X138" s="1">
        <f>'Team A 1'!X138-'Team A 1'!$AA138-('Team A 1'!X$2- 12.5)*'Team A 1'!$AC138</f>
        <v>6.3415946468517177</v>
      </c>
      <c r="Y138" s="1">
        <f>'Team A 1'!Y138-'Team A 1'!$AA138-('Team A 1'!Y$2- 12.5)*'Team A 1'!$AC138</f>
        <v>72.104286200516526</v>
      </c>
      <c r="AB138" s="1">
        <f>STDEV(B138:Y138)</f>
        <v>25.98728297892626</v>
      </c>
      <c r="AD138" s="5">
        <v>5</v>
      </c>
      <c r="AE138" s="5" t="s">
        <v>45</v>
      </c>
      <c r="AF138" s="5" t="s">
        <v>46</v>
      </c>
      <c r="AG138" s="5">
        <v>9</v>
      </c>
      <c r="AH138" s="5">
        <v>3</v>
      </c>
      <c r="AI138" s="5">
        <v>6</v>
      </c>
      <c r="AJ138" s="5">
        <v>7</v>
      </c>
      <c r="AK138" s="5" t="s">
        <v>47</v>
      </c>
      <c r="AL138" s="5">
        <v>1</v>
      </c>
      <c r="AM138" s="5">
        <v>8</v>
      </c>
      <c r="AN138" s="5">
        <v>2</v>
      </c>
      <c r="AO138" s="5">
        <v>4</v>
      </c>
      <c r="AP138" s="5">
        <v>5</v>
      </c>
      <c r="AQ138" s="5" t="s">
        <v>46</v>
      </c>
      <c r="AR138" s="5" t="s">
        <v>45</v>
      </c>
      <c r="AS138" s="5">
        <v>3</v>
      </c>
      <c r="AT138" s="5">
        <v>9</v>
      </c>
      <c r="AU138" s="5">
        <v>7</v>
      </c>
      <c r="AV138" s="5">
        <v>6</v>
      </c>
      <c r="AW138" s="5" t="s">
        <v>47</v>
      </c>
      <c r="AX138" s="5">
        <v>8</v>
      </c>
      <c r="AY138" s="5">
        <v>1</v>
      </c>
      <c r="AZ138" s="5">
        <v>4</v>
      </c>
      <c r="BA138" s="5">
        <v>2</v>
      </c>
      <c r="BB138" s="5"/>
      <c r="BC138" s="1">
        <f ca="1">OFFSET(A138,0, 9) -0</f>
        <v>25.66391289554565</v>
      </c>
      <c r="BD138" s="1">
        <f ca="1">OFFSET(A138,0, 11) -0</f>
        <v>17.189296002875039</v>
      </c>
      <c r="BE138" s="1">
        <f ca="1">OFFSET(A138,0, 5) -0</f>
        <v>-7.3868533191132428</v>
      </c>
      <c r="BF138" s="1">
        <f ca="1">OFFSET(A138,0, 12) -0</f>
        <v>32.951987556539777</v>
      </c>
      <c r="BG138" s="1">
        <f ca="1">OFFSET(A138,0, 1) -0</f>
        <v>19.562380466227751</v>
      </c>
      <c r="BH138" s="1">
        <f ca="1">OFFSET(A138,0, 6) -0</f>
        <v>-21.624161765448662</v>
      </c>
      <c r="BI138" s="1">
        <f ca="1">OFFSET(A138,0, 7) -0</f>
        <v>4.1385297882161467</v>
      </c>
      <c r="BJ138" s="1">
        <f ca="1">OFFSET(A138,0, 10) -0</f>
        <v>-28.573395550789655</v>
      </c>
      <c r="BK138" s="1">
        <f ca="1">OFFSET(A138,0, 4) -0</f>
        <v>-43.149544872778051</v>
      </c>
      <c r="BL138" s="1">
        <f ca="1">OFFSET(A138,0, 2) -0</f>
        <v>25.325072019892559</v>
      </c>
      <c r="BM138" s="1">
        <f ca="1">OFFSET(A138,0, 3) -0</f>
        <v>-18.912236426442632</v>
      </c>
      <c r="BN138" s="1">
        <f ca="1">OFFSET(A138,0, 8) -0</f>
        <v>-9.8778658119158536E-2</v>
      </c>
      <c r="BO138" s="1">
        <f ca="1">OFFSET(A138,0, 22) -0</f>
        <v>0.57890309318690925</v>
      </c>
      <c r="BP138" s="1">
        <f ca="1">OFFSET(A138,0, 24) -0</f>
        <v>72.104286200516526</v>
      </c>
      <c r="BQ138" s="1">
        <f ca="1">OFFSET(A138,0, 16) -0</f>
        <v>-23.997246228801373</v>
      </c>
      <c r="BR138" s="1">
        <f ca="1">OFFSET(A138,0, 23) -0</f>
        <v>6.3415946468517177</v>
      </c>
      <c r="BS138" s="1">
        <f ca="1">OFFSET(A138,0, 13) -0</f>
        <v>-21.2853208897955</v>
      </c>
      <c r="BT138" s="1">
        <f ca="1">OFFSET(A138,0, 19) -0</f>
        <v>13.290828432192939</v>
      </c>
      <c r="BU138" s="1">
        <f ca="1">OFFSET(A138,0, 18) -0</f>
        <v>17.52813687852813</v>
      </c>
      <c r="BV138" s="1">
        <f ca="1">OFFSET(A138,0, 21) -0</f>
        <v>14.816211539522328</v>
      </c>
      <c r="BW138" s="1">
        <f ca="1">OFFSET(A138,0, 17) -0</f>
        <v>-18.234554675136565</v>
      </c>
      <c r="BX138" s="1">
        <f ca="1">OFFSET(A138,0, 15) -0</f>
        <v>-19.759937782466068</v>
      </c>
      <c r="BY138" s="1">
        <f ca="1">OFFSET(A138,0, 14) -0</f>
        <v>-15.522629336130763</v>
      </c>
      <c r="BZ138" s="1">
        <f ca="1">OFFSET(A138,0, 20) -0</f>
        <v>-30.94648001414248</v>
      </c>
      <c r="CB138" s="1">
        <f>COUNTIF(B138,"&lt;-69")</f>
        <v>0</v>
      </c>
      <c r="CC138" s="1">
        <f ca="1">COUNTIF(BC138:BN138,"&lt;-49")</f>
        <v>0</v>
      </c>
      <c r="CD138" s="1">
        <f ca="1">COUNTIF(BC138:BN138,"&gt;+49")</f>
        <v>0</v>
      </c>
      <c r="CE138" s="1">
        <f ca="1">COUNTIF(BO138:BZ138,"&lt;-49")</f>
        <v>0</v>
      </c>
      <c r="CF138" s="1">
        <f ca="1">COUNTIF(BO138:BZ138,"&gt;+49")</f>
        <v>1</v>
      </c>
    </row>
    <row r="139" spans="1:84">
      <c r="A139" s="1">
        <v>136</v>
      </c>
      <c r="B139" s="1">
        <f>'Team A 1'!B139-'Team A 1'!$AA139-('Team A 1'!B$2- 12.5)*'Team A 1'!$AC139</f>
        <v>20.65093194423207</v>
      </c>
      <c r="C139" s="1">
        <f>'Team A 1'!C139-'Team A 1'!$AA139-('Team A 1'!C$2- 12.5)*'Team A 1'!$AC139</f>
        <v>6.3551987316900522</v>
      </c>
      <c r="D139" s="1">
        <f>'Team A 1'!D139-'Team A 1'!$AA139-('Team A 1'!D$2- 12.5)*'Team A 1'!$AC139</f>
        <v>-17.940534480851966</v>
      </c>
      <c r="E139" s="1">
        <f>'Team A 1'!E139-'Team A 1'!$AA139-('Team A 1'!E$2- 12.5)*'Team A 1'!$AC139</f>
        <v>-2.2362676933937564</v>
      </c>
      <c r="F139" s="1">
        <f>'Team A 1'!F139-'Team A 1'!$AA139-('Team A 1'!F$2- 12.5)*'Team A 1'!$AC139</f>
        <v>-16.532000905935774</v>
      </c>
      <c r="G139" s="1">
        <f>'Team A 1'!G139-'Team A 1'!$AA139-('Team A 1'!G$2- 12.5)*'Team A 1'!$AC139</f>
        <v>-10.827734118477565</v>
      </c>
      <c r="H139" s="1">
        <f>'Team A 1'!H139-'Team A 1'!$AA139-('Team A 1'!H$2- 12.5)*'Team A 1'!$AC139</f>
        <v>14.876532668980417</v>
      </c>
      <c r="I139" s="1">
        <f>'Team A 1'!I139-'Team A 1'!$AA139-('Team A 1'!I$2- 12.5)*'Team A 1'!$AC139</f>
        <v>-29.419200543561374</v>
      </c>
      <c r="J139" s="1">
        <f>'Team A 1'!J139-'Team A 1'!$AA139-('Team A 1'!J$2- 12.5)*'Team A 1'!$AC139</f>
        <v>-13.714933756103392</v>
      </c>
      <c r="K139" s="1">
        <f>'Team A 1'!K139-'Team A 1'!$AA139-('Team A 1'!K$2- 12.5)*'Team A 1'!$AC139</f>
        <v>-8.0106669686452392</v>
      </c>
      <c r="L139" s="1">
        <f>'Team A 1'!L139-'Team A 1'!$AA139-('Team A 1'!L$2- 12.5)*'Team A 1'!$AC139</f>
        <v>-2.3064001811871435</v>
      </c>
      <c r="M139" s="1">
        <f>'Team A 1'!M139-'Team A 1'!$AA139-('Team A 1'!M$2- 12.5)*'Team A 1'!$AC139</f>
        <v>33.397866606270952</v>
      </c>
      <c r="N139" s="1">
        <f>'Team A 1'!N139-'Team A 1'!$AA139-('Team A 1'!N$2- 12.5)*'Team A 1'!$AC139</f>
        <v>-0.89786660627095216</v>
      </c>
      <c r="O139" s="1">
        <f>'Team A 1'!O139-'Team A 1'!$AA139-('Team A 1'!O$2- 12.5)*'Team A 1'!$AC139</f>
        <v>14.806400181187144</v>
      </c>
      <c r="P139" s="1">
        <f>'Team A 1'!P139-'Team A 1'!$AA139-('Team A 1'!P$2- 12.5)*'Team A 1'!$AC139</f>
        <v>10.510666968645239</v>
      </c>
      <c r="Q139" s="1">
        <f>'Team A 1'!Q139-'Team A 1'!$AA139-('Team A 1'!Q$2- 12.5)*'Team A 1'!$AC139</f>
        <v>-3.7850662438966083</v>
      </c>
      <c r="R139" s="1">
        <f>'Team A 1'!R139-'Team A 1'!$AA139-('Team A 1'!R$2- 12.5)*'Team A 1'!$AC139</f>
        <v>-28.080799456438626</v>
      </c>
      <c r="S139" s="1">
        <f>'Team A 1'!S139-'Team A 1'!$AA139-('Team A 1'!S$2- 12.5)*'Team A 1'!$AC139</f>
        <v>-32.376532668980417</v>
      </c>
      <c r="T139" s="1">
        <f>'Team A 1'!T139-'Team A 1'!$AA139-('Team A 1'!T$2- 12.5)*'Team A 1'!$AC139</f>
        <v>-26.672265881522435</v>
      </c>
      <c r="U139" s="1">
        <f>'Team A 1'!U139-'Team A 1'!$AA139-('Team A 1'!U$2- 12.5)*'Team A 1'!$AC139</f>
        <v>29.032000905935774</v>
      </c>
      <c r="V139" s="1">
        <f>'Team A 1'!V139-'Team A 1'!$AA139-('Team A 1'!V$2- 12.5)*'Team A 1'!$AC139</f>
        <v>-5.2637323066062436</v>
      </c>
      <c r="W139" s="1">
        <f>'Team A 1'!W139-'Team A 1'!$AA139-('Team A 1'!W$2- 12.5)*'Team A 1'!$AC139</f>
        <v>10.440534480851966</v>
      </c>
      <c r="X139" s="1">
        <f>'Team A 1'!X139-'Team A 1'!$AA139-('Team A 1'!X$2- 12.5)*'Team A 1'!$AC139</f>
        <v>6.1448012683099478</v>
      </c>
      <c r="Y139" s="1">
        <f>'Team A 1'!Y139-'Team A 1'!$AA139-('Team A 1'!Y$2- 12.5)*'Team A 1'!$AC139</f>
        <v>51.84906805576793</v>
      </c>
      <c r="AB139" s="1">
        <f>STDEV(B139:Y139)</f>
        <v>21.102996316709582</v>
      </c>
      <c r="AD139" s="5" t="s">
        <v>46</v>
      </c>
      <c r="AE139" s="5">
        <v>5</v>
      </c>
      <c r="AF139" s="5">
        <v>3</v>
      </c>
      <c r="AG139" s="5" t="s">
        <v>45</v>
      </c>
      <c r="AH139" s="5">
        <v>7</v>
      </c>
      <c r="AI139" s="5">
        <v>9</v>
      </c>
      <c r="AJ139" s="5" t="s">
        <v>47</v>
      </c>
      <c r="AK139" s="5">
        <v>6</v>
      </c>
      <c r="AL139" s="5">
        <v>1</v>
      </c>
      <c r="AM139" s="5">
        <v>8</v>
      </c>
      <c r="AN139" s="5">
        <v>2</v>
      </c>
      <c r="AO139" s="5">
        <v>4</v>
      </c>
      <c r="AP139" s="5">
        <v>5</v>
      </c>
      <c r="AQ139" s="5" t="s">
        <v>46</v>
      </c>
      <c r="AR139" s="5" t="s">
        <v>45</v>
      </c>
      <c r="AS139" s="5">
        <v>3</v>
      </c>
      <c r="AT139" s="5">
        <v>9</v>
      </c>
      <c r="AU139" s="5">
        <v>7</v>
      </c>
      <c r="AV139" s="5" t="s">
        <v>47</v>
      </c>
      <c r="AW139" s="5">
        <v>1</v>
      </c>
      <c r="AX139" s="5">
        <v>6</v>
      </c>
      <c r="AY139" s="5">
        <v>8</v>
      </c>
      <c r="AZ139" s="5">
        <v>4</v>
      </c>
      <c r="BA139" s="5">
        <v>2</v>
      </c>
      <c r="BB139" s="5"/>
      <c r="BC139" s="1">
        <f ca="1">OFFSET(A139,0, 9) -0</f>
        <v>-13.714933756103392</v>
      </c>
      <c r="BD139" s="1">
        <f ca="1">OFFSET(A139,0, 11) -0</f>
        <v>-2.3064001811871435</v>
      </c>
      <c r="BE139" s="1">
        <f ca="1">OFFSET(A139,0, 3) -0</f>
        <v>-17.940534480851966</v>
      </c>
      <c r="BF139" s="1">
        <f ca="1">OFFSET(A139,0, 12) -0</f>
        <v>33.397866606270952</v>
      </c>
      <c r="BG139" s="1">
        <f ca="1">OFFSET(A139,0, 2) -0</f>
        <v>6.3551987316900522</v>
      </c>
      <c r="BH139" s="1">
        <f ca="1">OFFSET(A139,0, 8) -0</f>
        <v>-29.419200543561374</v>
      </c>
      <c r="BI139" s="1">
        <f ca="1">OFFSET(A139,0, 5) -0</f>
        <v>-16.532000905935774</v>
      </c>
      <c r="BJ139" s="1">
        <f ca="1">OFFSET(A139,0, 10) -0</f>
        <v>-8.0106669686452392</v>
      </c>
      <c r="BK139" s="1">
        <f ca="1">OFFSET(A139,0, 6) -0</f>
        <v>-10.827734118477565</v>
      </c>
      <c r="BL139" s="1">
        <f ca="1">OFFSET(A139,0, 4) -0</f>
        <v>-2.2362676933937564</v>
      </c>
      <c r="BM139" s="1">
        <f ca="1">OFFSET(A139,0, 1) -0</f>
        <v>20.65093194423207</v>
      </c>
      <c r="BN139" s="1">
        <f ca="1">OFFSET(A139,0, 7) -0</f>
        <v>14.876532668980417</v>
      </c>
      <c r="BO139" s="1">
        <f ca="1">OFFSET(A139,0, 20) -0</f>
        <v>29.032000905935774</v>
      </c>
      <c r="BP139" s="1">
        <f ca="1">OFFSET(A139,0, 24) -0</f>
        <v>51.84906805576793</v>
      </c>
      <c r="BQ139" s="1">
        <f ca="1">OFFSET(A139,0, 16) -0</f>
        <v>-3.7850662438966083</v>
      </c>
      <c r="BR139" s="1">
        <f ca="1">OFFSET(A139,0, 23) -0</f>
        <v>6.1448012683099478</v>
      </c>
      <c r="BS139" s="1">
        <f ca="1">OFFSET(A139,0, 13) -0</f>
        <v>-0.89786660627095216</v>
      </c>
      <c r="BT139" s="1">
        <f ca="1">OFFSET(A139,0, 21) -0</f>
        <v>-5.2637323066062436</v>
      </c>
      <c r="BU139" s="1">
        <f ca="1">OFFSET(A139,0, 18) -0</f>
        <v>-32.376532668980417</v>
      </c>
      <c r="BV139" s="1">
        <f ca="1">OFFSET(A139,0, 22) -0</f>
        <v>10.440534480851966</v>
      </c>
      <c r="BW139" s="1">
        <f ca="1">OFFSET(A139,0, 17) -0</f>
        <v>-28.080799456438626</v>
      </c>
      <c r="BX139" s="1">
        <f ca="1">OFFSET(A139,0, 15) -0</f>
        <v>10.510666968645239</v>
      </c>
      <c r="BY139" s="1">
        <f ca="1">OFFSET(A139,0, 14) -0</f>
        <v>14.806400181187144</v>
      </c>
      <c r="BZ139" s="1">
        <f ca="1">OFFSET(A139,0, 19) -0</f>
        <v>-26.672265881522435</v>
      </c>
      <c r="CB139" s="1">
        <f>COUNTIF(B139,"&lt;-69")</f>
        <v>0</v>
      </c>
      <c r="CC139" s="1">
        <f ca="1">COUNTIF(BC139:BN139,"&lt;-49")</f>
        <v>0</v>
      </c>
      <c r="CD139" s="1">
        <f ca="1">COUNTIF(BC139:BN139,"&gt;+49")</f>
        <v>0</v>
      </c>
      <c r="CE139" s="1">
        <f ca="1">COUNTIF(BO139:BZ139,"&lt;-49")</f>
        <v>0</v>
      </c>
      <c r="CF139" s="1">
        <f ca="1">COUNTIF(BO139:BZ139,"&gt;+49")</f>
        <v>1</v>
      </c>
    </row>
    <row r="140" spans="1:84">
      <c r="A140" s="1">
        <v>137</v>
      </c>
      <c r="B140" s="1">
        <f>'Team A 1'!B140-'Team A 1'!$AA140-('Team A 1'!B$2- 12.5)*'Team A 1'!$AC140</f>
        <v>-0.98078831193288352</v>
      </c>
      <c r="C140" s="1">
        <f>'Team A 1'!C140-'Team A 1'!$AA140-('Team A 1'!C$2- 12.5)*'Team A 1'!$AC140</f>
        <v>-5.1346328065474154</v>
      </c>
      <c r="D140" s="1">
        <f>'Team A 1'!D140-'Team A 1'!$AA140-('Team A 1'!D$2- 12.5)*'Team A 1'!$AC140</f>
        <v>-19.288477301161947</v>
      </c>
      <c r="E140" s="1">
        <f>'Team A 1'!E140-'Team A 1'!$AA140-('Team A 1'!E$2- 12.5)*'Team A 1'!$AC140</f>
        <v>-3.4423217957764791</v>
      </c>
      <c r="F140" s="1">
        <f>'Team A 1'!F140-'Team A 1'!$AA140-('Team A 1'!F$2- 12.5)*'Team A 1'!$AC140</f>
        <v>-37.596166290391011</v>
      </c>
      <c r="G140" s="1">
        <f>'Team A 1'!G140-'Team A 1'!$AA140-('Team A 1'!G$2- 12.5)*'Team A 1'!$AC140</f>
        <v>-41.750010785005543</v>
      </c>
      <c r="H140" s="1">
        <f>'Team A 1'!H140-'Team A 1'!$AA140-('Team A 1'!H$2- 12.5)*'Team A 1'!$AC140</f>
        <v>24.096144720379925</v>
      </c>
      <c r="I140" s="1">
        <f>'Team A 1'!I140-'Team A 1'!$AA140-('Team A 1'!I$2- 12.5)*'Team A 1'!$AC140</f>
        <v>-10.057699774234607</v>
      </c>
      <c r="J140" s="1">
        <f>'Team A 1'!J140-'Team A 1'!$AA140-('Team A 1'!J$2- 12.5)*'Team A 1'!$AC140</f>
        <v>-4.2115442688491385</v>
      </c>
      <c r="K140" s="1">
        <f>'Team A 1'!K140-'Team A 1'!$AA140-('Team A 1'!K$2- 12.5)*'Team A 1'!$AC140</f>
        <v>1.6346112365363297</v>
      </c>
      <c r="L140" s="1">
        <f>'Team A 1'!L140-'Team A 1'!$AA140-('Team A 1'!L$2- 12.5)*'Team A 1'!$AC140</f>
        <v>7.4807667419217978</v>
      </c>
      <c r="M140" s="1">
        <f>'Team A 1'!M140-'Team A 1'!$AA140-('Team A 1'!M$2- 12.5)*'Team A 1'!$AC140</f>
        <v>-16.673077752692734</v>
      </c>
      <c r="N140" s="1">
        <f>'Team A 1'!N140-'Team A 1'!$AA140-('Team A 1'!N$2- 12.5)*'Team A 1'!$AC140</f>
        <v>-10.826922247307266</v>
      </c>
      <c r="O140" s="1">
        <f>'Team A 1'!O140-'Team A 1'!$AA140-('Team A 1'!O$2- 12.5)*'Team A 1'!$AC140</f>
        <v>25.019233258078202</v>
      </c>
      <c r="P140" s="1">
        <f>'Team A 1'!P140-'Team A 1'!$AA140-('Team A 1'!P$2- 12.5)*'Team A 1'!$AC140</f>
        <v>-9.1346112365363297</v>
      </c>
      <c r="Q140" s="1">
        <f>'Team A 1'!Q140-'Team A 1'!$AA140-('Team A 1'!Q$2- 12.5)*'Team A 1'!$AC140</f>
        <v>-3.2884557311508615</v>
      </c>
      <c r="R140" s="1">
        <f>'Team A 1'!R140-'Team A 1'!$AA140-('Team A 1'!R$2- 12.5)*'Team A 1'!$AC140</f>
        <v>12.557699774234607</v>
      </c>
      <c r="S140" s="1">
        <f>'Team A 1'!S140-'Team A 1'!$AA140-('Team A 1'!S$2- 12.5)*'Team A 1'!$AC140</f>
        <v>-31.596144720379925</v>
      </c>
      <c r="T140" s="1">
        <f>'Team A 1'!T140-'Team A 1'!$AA140-('Team A 1'!T$2- 12.5)*'Team A 1'!$AC140</f>
        <v>-5.7499892149944571</v>
      </c>
      <c r="U140" s="1">
        <f>'Team A 1'!U140-'Team A 1'!$AA140-('Team A 1'!U$2- 12.5)*'Team A 1'!$AC140</f>
        <v>30.096166290391011</v>
      </c>
      <c r="V140" s="1">
        <f>'Team A 1'!V140-'Team A 1'!$AA140-('Team A 1'!V$2- 12.5)*'Team A 1'!$AC140</f>
        <v>55.942321795776479</v>
      </c>
      <c r="W140" s="1">
        <f>'Team A 1'!W140-'Team A 1'!$AA140-('Team A 1'!W$2- 12.5)*'Team A 1'!$AC140</f>
        <v>31.788477301161947</v>
      </c>
      <c r="X140" s="1">
        <f>'Team A 1'!X140-'Team A 1'!$AA140-('Team A 1'!X$2- 12.5)*'Team A 1'!$AC140</f>
        <v>7.6346328065474154</v>
      </c>
      <c r="Y140" s="1">
        <f>'Team A 1'!Y140-'Team A 1'!$AA140-('Team A 1'!Y$2- 12.5)*'Team A 1'!$AC140</f>
        <v>3.4807883119328835</v>
      </c>
      <c r="AB140" s="1">
        <f>STDEV(B140:Y140)</f>
        <v>22.599199402145629</v>
      </c>
      <c r="AD140" s="5" t="s">
        <v>46</v>
      </c>
      <c r="AE140" s="5">
        <v>5</v>
      </c>
      <c r="AF140" s="5">
        <v>3</v>
      </c>
      <c r="AG140" s="5" t="s">
        <v>45</v>
      </c>
      <c r="AH140" s="5">
        <v>7</v>
      </c>
      <c r="AI140" s="5">
        <v>9</v>
      </c>
      <c r="AJ140" s="5">
        <v>1</v>
      </c>
      <c r="AK140" s="5" t="s">
        <v>47</v>
      </c>
      <c r="AL140" s="5">
        <v>8</v>
      </c>
      <c r="AM140" s="5">
        <v>6</v>
      </c>
      <c r="AN140" s="5">
        <v>2</v>
      </c>
      <c r="AO140" s="5">
        <v>4</v>
      </c>
      <c r="AP140" s="5" t="s">
        <v>46</v>
      </c>
      <c r="AQ140" s="5">
        <v>3</v>
      </c>
      <c r="AR140" s="5">
        <v>5</v>
      </c>
      <c r="AS140" s="5">
        <v>7</v>
      </c>
      <c r="AT140" s="5" t="s">
        <v>45</v>
      </c>
      <c r="AU140" s="5">
        <v>9</v>
      </c>
      <c r="AV140" s="5" t="s">
        <v>47</v>
      </c>
      <c r="AW140" s="5">
        <v>1</v>
      </c>
      <c r="AX140" s="5">
        <v>8</v>
      </c>
      <c r="AY140" s="5">
        <v>2</v>
      </c>
      <c r="AZ140" s="5">
        <v>6</v>
      </c>
      <c r="BA140" s="5">
        <v>4</v>
      </c>
      <c r="BB140" s="5"/>
      <c r="BC140" s="1">
        <f ca="1">OFFSET(A140,0, 7) -0</f>
        <v>24.096144720379925</v>
      </c>
      <c r="BD140" s="1">
        <f ca="1">OFFSET(A140,0, 11) -0</f>
        <v>7.4807667419217978</v>
      </c>
      <c r="BE140" s="1">
        <f ca="1">OFFSET(A140,0, 3) -0</f>
        <v>-19.288477301161947</v>
      </c>
      <c r="BF140" s="1">
        <f ca="1">OFFSET(A140,0, 12) -0</f>
        <v>-16.673077752692734</v>
      </c>
      <c r="BG140" s="1">
        <f ca="1">OFFSET(A140,0, 2) -0</f>
        <v>-5.1346328065474154</v>
      </c>
      <c r="BH140" s="1">
        <f ca="1">OFFSET(A140,0, 10) -0</f>
        <v>1.6346112365363297</v>
      </c>
      <c r="BI140" s="1">
        <f ca="1">OFFSET(A140,0, 5) -0</f>
        <v>-37.596166290391011</v>
      </c>
      <c r="BJ140" s="1">
        <f ca="1">OFFSET(A140,0, 9) -0</f>
        <v>-4.2115442688491385</v>
      </c>
      <c r="BK140" s="1">
        <f ca="1">OFFSET(A140,0, 6) -0</f>
        <v>-41.750010785005543</v>
      </c>
      <c r="BL140" s="1">
        <f ca="1">OFFSET(A140,0, 4) -0</f>
        <v>-3.4423217957764791</v>
      </c>
      <c r="BM140" s="1">
        <f ca="1">OFFSET(A140,0, 1) -0</f>
        <v>-0.98078831193288352</v>
      </c>
      <c r="BN140" s="1">
        <f ca="1">OFFSET(A140,0, 8) -0</f>
        <v>-10.057699774234607</v>
      </c>
      <c r="BO140" s="1">
        <f ca="1">OFFSET(A140,0, 20) -0</f>
        <v>30.096166290391011</v>
      </c>
      <c r="BP140" s="1">
        <f ca="1">OFFSET(A140,0, 22) -0</f>
        <v>31.788477301161947</v>
      </c>
      <c r="BQ140" s="1">
        <f ca="1">OFFSET(A140,0, 14) -0</f>
        <v>25.019233258078202</v>
      </c>
      <c r="BR140" s="1">
        <f ca="1">OFFSET(A140,0, 24) -0</f>
        <v>3.4807883119328835</v>
      </c>
      <c r="BS140" s="1">
        <f ca="1">OFFSET(A140,0, 15) -0</f>
        <v>-9.1346112365363297</v>
      </c>
      <c r="BT140" s="1">
        <f ca="1">OFFSET(A140,0, 23) -0</f>
        <v>7.6346328065474154</v>
      </c>
      <c r="BU140" s="1">
        <f ca="1">OFFSET(A140,0, 16) -0</f>
        <v>-3.2884557311508615</v>
      </c>
      <c r="BV140" s="1">
        <f ca="1">OFFSET(A140,0, 21) -0</f>
        <v>55.942321795776479</v>
      </c>
      <c r="BW140" s="1">
        <f ca="1">OFFSET(A140,0, 18) -0</f>
        <v>-31.596144720379925</v>
      </c>
      <c r="BX140" s="1">
        <f ca="1">OFFSET(A140,0, 17) -0</f>
        <v>12.557699774234607</v>
      </c>
      <c r="BY140" s="1">
        <f ca="1">OFFSET(A140,0, 13) -0</f>
        <v>-10.826922247307266</v>
      </c>
      <c r="BZ140" s="1">
        <f ca="1">OFFSET(A140,0, 19) -0</f>
        <v>-5.7499892149944571</v>
      </c>
      <c r="CB140" s="1">
        <f>COUNTIF(B140,"&lt;-69")</f>
        <v>0</v>
      </c>
      <c r="CC140" s="1">
        <f ca="1">COUNTIF(BC140:BN140,"&lt;-49")</f>
        <v>0</v>
      </c>
      <c r="CD140" s="1">
        <f ca="1">COUNTIF(BC140:BN140,"&gt;+49")</f>
        <v>0</v>
      </c>
      <c r="CE140" s="1">
        <f ca="1">COUNTIF(BO140:BZ140,"&lt;-49")</f>
        <v>0</v>
      </c>
      <c r="CF140" s="1">
        <f ca="1">COUNTIF(BO140:BZ140,"&gt;+49")</f>
        <v>1</v>
      </c>
    </row>
    <row r="141" spans="1:84">
      <c r="A141" s="1">
        <v>138</v>
      </c>
      <c r="B141" s="1">
        <f>'Team A 1'!B141-'Team A 1'!$AA141-('Team A 1'!B$2- 12.5)*'Team A 1'!$AC141</f>
        <v>-5.208492112568365</v>
      </c>
      <c r="C141" s="1">
        <f>'Team A 1'!C141-'Team A 1'!$AA141-('Team A 1'!C$2- 12.5)*'Team A 1'!$AC141</f>
        <v>-9.2121014940842088</v>
      </c>
      <c r="D141" s="1">
        <f>'Team A 1'!D141-'Team A 1'!$AA141-('Team A 1'!D$2- 12.5)*'Team A 1'!$AC141</f>
        <v>26.784289124399947</v>
      </c>
      <c r="E141" s="1">
        <f>'Team A 1'!E141-'Team A 1'!$AA141-('Team A 1'!E$2- 12.5)*'Team A 1'!$AC141</f>
        <v>32.780679742884104</v>
      </c>
      <c r="F141" s="1">
        <f>'Team A 1'!F141-'Team A 1'!$AA141-('Team A 1'!F$2- 12.5)*'Team A 1'!$AC141</f>
        <v>-31.222929638631513</v>
      </c>
      <c r="G141" s="1">
        <f>'Team A 1'!G141-'Team A 1'!$AA141-('Team A 1'!G$2- 12.5)*'Team A 1'!$AC141</f>
        <v>44.773460979852644</v>
      </c>
      <c r="H141" s="1">
        <f>'Team A 1'!H141-'Team A 1'!$AA141-('Team A 1'!H$2- 12.5)*'Team A 1'!$AC141</f>
        <v>-9.2301484016632003</v>
      </c>
      <c r="I141" s="1">
        <f>'Team A 1'!I141-'Team A 1'!$AA141-('Team A 1'!I$2- 12.5)*'Team A 1'!$AC141</f>
        <v>-3.2337577831789304</v>
      </c>
      <c r="J141" s="1">
        <f>'Team A 1'!J141-'Team A 1'!$AA141-('Team A 1'!J$2- 12.5)*'Team A 1'!$AC141</f>
        <v>2.7626328353052259</v>
      </c>
      <c r="K141" s="1">
        <f>'Team A 1'!K141-'Team A 1'!$AA141-('Team A 1'!K$2- 12.5)*'Team A 1'!$AC141</f>
        <v>-1.2409765462105042</v>
      </c>
      <c r="L141" s="1">
        <f>'Team A 1'!L141-'Team A 1'!$AA141-('Team A 1'!L$2- 12.5)*'Team A 1'!$AC141</f>
        <v>-55.244585927726348</v>
      </c>
      <c r="M141" s="1">
        <f>'Team A 1'!M141-'Team A 1'!$AA141-('Team A 1'!M$2- 12.5)*'Team A 1'!$AC141</f>
        <v>-39.248195309242107</v>
      </c>
      <c r="N141" s="1">
        <f>'Team A 1'!N141-'Team A 1'!$AA141-('Team A 1'!N$2- 12.5)*'Team A 1'!$AC141</f>
        <v>6.7481953092421065</v>
      </c>
      <c r="O141" s="1">
        <f>'Team A 1'!O141-'Team A 1'!$AA141-('Team A 1'!O$2- 12.5)*'Team A 1'!$AC141</f>
        <v>12.744585927726348</v>
      </c>
      <c r="P141" s="1">
        <f>'Team A 1'!P141-'Team A 1'!$AA141-('Team A 1'!P$2- 12.5)*'Team A 1'!$AC141</f>
        <v>-61.259023453789496</v>
      </c>
      <c r="Q141" s="1">
        <f>'Team A 1'!Q141-'Team A 1'!$AA141-('Team A 1'!Q$2- 12.5)*'Team A 1'!$AC141</f>
        <v>14.737367164694774</v>
      </c>
      <c r="R141" s="1">
        <f>'Team A 1'!R141-'Team A 1'!$AA141-('Team A 1'!R$2- 12.5)*'Team A 1'!$AC141</f>
        <v>-9.2662422168210696</v>
      </c>
      <c r="S141" s="1">
        <f>'Team A 1'!S141-'Team A 1'!$AA141-('Team A 1'!S$2- 12.5)*'Team A 1'!$AC141</f>
        <v>16.7301484016632</v>
      </c>
      <c r="T141" s="1">
        <f>'Team A 1'!T141-'Team A 1'!$AA141-('Team A 1'!T$2- 12.5)*'Team A 1'!$AC141</f>
        <v>-7.2734609798526435</v>
      </c>
      <c r="U141" s="1">
        <f>'Team A 1'!U141-'Team A 1'!$AA141-('Team A 1'!U$2- 12.5)*'Team A 1'!$AC141</f>
        <v>18.722929638631513</v>
      </c>
      <c r="V141" s="1">
        <f>'Team A 1'!V141-'Team A 1'!$AA141-('Team A 1'!V$2- 12.5)*'Team A 1'!$AC141</f>
        <v>24.719320257115896</v>
      </c>
      <c r="W141" s="1">
        <f>'Team A 1'!W141-'Team A 1'!$AA141-('Team A 1'!W$2- 12.5)*'Team A 1'!$AC141</f>
        <v>40.715710875600053</v>
      </c>
      <c r="X141" s="1">
        <f>'Team A 1'!X141-'Team A 1'!$AA141-('Team A 1'!X$2- 12.5)*'Team A 1'!$AC141</f>
        <v>6.7121014940842088</v>
      </c>
      <c r="Y141" s="1">
        <f>'Team A 1'!Y141-'Team A 1'!$AA141-('Team A 1'!Y$2- 12.5)*'Team A 1'!$AC141</f>
        <v>-17.291507887431635</v>
      </c>
      <c r="AB141" s="1">
        <f>STDEV(B141:Y141)</f>
        <v>27.299149540485214</v>
      </c>
      <c r="AD141" s="5">
        <v>3</v>
      </c>
      <c r="AE141" s="5" t="s">
        <v>46</v>
      </c>
      <c r="AF141" s="5">
        <v>7</v>
      </c>
      <c r="AG141" s="5">
        <v>5</v>
      </c>
      <c r="AH141" s="5">
        <v>9</v>
      </c>
      <c r="AI141" s="5" t="s">
        <v>45</v>
      </c>
      <c r="AJ141" s="5">
        <v>1</v>
      </c>
      <c r="AK141" s="5" t="s">
        <v>47</v>
      </c>
      <c r="AL141" s="5">
        <v>2</v>
      </c>
      <c r="AM141" s="5">
        <v>8</v>
      </c>
      <c r="AN141" s="5">
        <v>4</v>
      </c>
      <c r="AO141" s="5">
        <v>6</v>
      </c>
      <c r="AP141" s="5" t="s">
        <v>46</v>
      </c>
      <c r="AQ141" s="5">
        <v>3</v>
      </c>
      <c r="AR141" s="5">
        <v>5</v>
      </c>
      <c r="AS141" s="5">
        <v>7</v>
      </c>
      <c r="AT141" s="5">
        <v>9</v>
      </c>
      <c r="AU141" s="5">
        <v>1</v>
      </c>
      <c r="AV141" s="5" t="s">
        <v>45</v>
      </c>
      <c r="AW141" s="5" t="s">
        <v>47</v>
      </c>
      <c r="AX141" s="5">
        <v>8</v>
      </c>
      <c r="AY141" s="5">
        <v>2</v>
      </c>
      <c r="AZ141" s="5">
        <v>6</v>
      </c>
      <c r="BA141" s="5">
        <v>4</v>
      </c>
      <c r="BB141" s="5"/>
      <c r="BC141" s="1">
        <f ca="1">OFFSET(A141,0, 7) -0</f>
        <v>-9.2301484016632003</v>
      </c>
      <c r="BD141" s="1">
        <f ca="1">OFFSET(A141,0, 9) -0</f>
        <v>2.7626328353052259</v>
      </c>
      <c r="BE141" s="1">
        <f ca="1">OFFSET(A141,0, 1) -0</f>
        <v>-5.208492112568365</v>
      </c>
      <c r="BF141" s="1">
        <f ca="1">OFFSET(A141,0, 11) -0</f>
        <v>-55.244585927726348</v>
      </c>
      <c r="BG141" s="1">
        <f ca="1">OFFSET(A141,0, 4) -0</f>
        <v>32.780679742884104</v>
      </c>
      <c r="BH141" s="1">
        <f ca="1">OFFSET(A141,0, 12) -0</f>
        <v>-39.248195309242107</v>
      </c>
      <c r="BI141" s="1">
        <f ca="1">OFFSET(A141,0, 3) -0</f>
        <v>26.784289124399947</v>
      </c>
      <c r="BJ141" s="1">
        <f ca="1">OFFSET(A141,0, 10) -0</f>
        <v>-1.2409765462105042</v>
      </c>
      <c r="BK141" s="1">
        <f ca="1">OFFSET(A141,0, 5) -0</f>
        <v>-31.222929638631513</v>
      </c>
      <c r="BL141" s="1">
        <f ca="1">OFFSET(A141,0, 6) -0</f>
        <v>44.773460979852644</v>
      </c>
      <c r="BM141" s="1">
        <f ca="1">OFFSET(A141,0, 2) -0</f>
        <v>-9.2121014940842088</v>
      </c>
      <c r="BN141" s="1">
        <f ca="1">OFFSET(A141,0, 8) -0</f>
        <v>-3.2337577831789304</v>
      </c>
      <c r="BO141" s="1">
        <f ca="1">OFFSET(A141,0, 18) -0</f>
        <v>16.7301484016632</v>
      </c>
      <c r="BP141" s="1">
        <f ca="1">OFFSET(A141,0, 22) -0</f>
        <v>40.715710875600053</v>
      </c>
      <c r="BQ141" s="1">
        <f ca="1">OFFSET(A141,0, 14) -0</f>
        <v>12.744585927726348</v>
      </c>
      <c r="BR141" s="1">
        <f ca="1">OFFSET(A141,0, 24) -0</f>
        <v>-17.291507887431635</v>
      </c>
      <c r="BS141" s="1">
        <f ca="1">OFFSET(A141,0, 15) -0</f>
        <v>-61.259023453789496</v>
      </c>
      <c r="BT141" s="1">
        <f ca="1">OFFSET(A141,0, 23) -0</f>
        <v>6.7121014940842088</v>
      </c>
      <c r="BU141" s="1">
        <f ca="1">OFFSET(A141,0, 16) -0</f>
        <v>14.737367164694774</v>
      </c>
      <c r="BV141" s="1">
        <f ca="1">OFFSET(A141,0, 21) -0</f>
        <v>24.719320257115896</v>
      </c>
      <c r="BW141" s="1">
        <f ca="1">OFFSET(A141,0, 17) -0</f>
        <v>-9.2662422168210696</v>
      </c>
      <c r="BX141" s="1">
        <f ca="1">OFFSET(A141,0, 19) -0</f>
        <v>-7.2734609798526435</v>
      </c>
      <c r="BY141" s="1">
        <f ca="1">OFFSET(A141,0, 13) -0</f>
        <v>6.7481953092421065</v>
      </c>
      <c r="BZ141" s="1">
        <f ca="1">OFFSET(A141,0, 20) -0</f>
        <v>18.722929638631513</v>
      </c>
      <c r="CB141" s="1">
        <f>COUNTIF(B141,"&lt;-69")</f>
        <v>0</v>
      </c>
      <c r="CC141" s="1">
        <f ca="1">COUNTIF(BC141:BN141,"&lt;-49")</f>
        <v>1</v>
      </c>
      <c r="CD141" s="1">
        <f ca="1">COUNTIF(BC141:BN141,"&gt;+49")</f>
        <v>0</v>
      </c>
      <c r="CE141" s="1">
        <f ca="1">COUNTIF(BO141:BZ141,"&lt;-49")</f>
        <v>1</v>
      </c>
      <c r="CF141" s="1">
        <f ca="1">COUNTIF(BO141:BZ141,"&gt;+49")</f>
        <v>0</v>
      </c>
    </row>
    <row r="142" spans="1:84">
      <c r="A142" s="1">
        <v>139</v>
      </c>
      <c r="B142" s="1">
        <f>'Team A 1'!B142-'Team A 1'!$AA142-('Team A 1'!B$2- 12.5)*'Team A 1'!$AC142</f>
        <v>20.467820542324716</v>
      </c>
      <c r="C142" s="1">
        <f>'Team A 1'!C142-'Team A 1'!$AA142-('Team A 1'!C$2- 12.5)*'Team A 1'!$AC142</f>
        <v>-3.3772073309207826</v>
      </c>
      <c r="D142" s="1">
        <f>'Team A 1'!D142-'Team A 1'!$AA142-('Team A 1'!D$2- 12.5)*'Team A 1'!$AC142</f>
        <v>22.777764795833491</v>
      </c>
      <c r="E142" s="1">
        <f>'Team A 1'!E142-'Team A 1'!$AA142-('Team A 1'!E$2- 12.5)*'Team A 1'!$AC142</f>
        <v>8.932736922587992</v>
      </c>
      <c r="F142" s="1">
        <f>'Team A 1'!F142-'Team A 1'!$AA142-('Team A 1'!F$2- 12.5)*'Team A 1'!$AC142</f>
        <v>55.087709049342266</v>
      </c>
      <c r="G142" s="1">
        <f>'Team A 1'!G142-'Team A 1'!$AA142-('Team A 1'!G$2- 12.5)*'Team A 1'!$AC142</f>
        <v>11.242681176096767</v>
      </c>
      <c r="H142" s="1">
        <f>'Team A 1'!H142-'Team A 1'!$AA142-('Team A 1'!H$2- 12.5)*'Team A 1'!$AC142</f>
        <v>17.39765330285104</v>
      </c>
      <c r="I142" s="1">
        <f>'Team A 1'!I142-'Team A 1'!$AA142-('Team A 1'!I$2- 12.5)*'Team A 1'!$AC142</f>
        <v>-36.447374570394572</v>
      </c>
      <c r="J142" s="1">
        <f>'Team A 1'!J142-'Team A 1'!$AA142-('Team A 1'!J$2- 12.5)*'Team A 1'!$AC142</f>
        <v>29.707597556359701</v>
      </c>
      <c r="K142" s="1">
        <f>'Team A 1'!K142-'Team A 1'!$AA142-('Team A 1'!K$2- 12.5)*'Team A 1'!$AC142</f>
        <v>25.862569683114089</v>
      </c>
      <c r="L142" s="1">
        <f>'Team A 1'!L142-'Team A 1'!$AA142-('Team A 1'!L$2- 12.5)*'Team A 1'!$AC142</f>
        <v>-37.982458190131524</v>
      </c>
      <c r="M142" s="1">
        <f>'Team A 1'!M142-'Team A 1'!$AA142-('Team A 1'!M$2- 12.5)*'Team A 1'!$AC142</f>
        <v>-11.827486063377179</v>
      </c>
      <c r="N142" s="1">
        <f>'Team A 1'!N142-'Team A 1'!$AA142-('Team A 1'!N$2- 12.5)*'Team A 1'!$AC142</f>
        <v>-15.672513936622821</v>
      </c>
      <c r="O142" s="1">
        <f>'Team A 1'!O142-'Team A 1'!$AA142-('Team A 1'!O$2- 12.5)*'Team A 1'!$AC142</f>
        <v>10.482458190131524</v>
      </c>
      <c r="P142" s="1">
        <f>'Team A 1'!P142-'Team A 1'!$AA142-('Team A 1'!P$2- 12.5)*'Team A 1'!$AC142</f>
        <v>-13.362569683114089</v>
      </c>
      <c r="Q142" s="1">
        <f>'Team A 1'!Q142-'Team A 1'!$AA142-('Team A 1'!Q$2- 12.5)*'Team A 1'!$AC142</f>
        <v>-47.207597556359701</v>
      </c>
      <c r="R142" s="1">
        <f>'Team A 1'!R142-'Team A 1'!$AA142-('Team A 1'!R$2- 12.5)*'Team A 1'!$AC142</f>
        <v>-31.052625429605428</v>
      </c>
      <c r="S142" s="1">
        <f>'Team A 1'!S142-'Team A 1'!$AA142-('Team A 1'!S$2- 12.5)*'Team A 1'!$AC142</f>
        <v>25.10234669714896</v>
      </c>
      <c r="T142" s="1">
        <f>'Team A 1'!T142-'Team A 1'!$AA142-('Team A 1'!T$2- 12.5)*'Team A 1'!$AC142</f>
        <v>21.257318823903233</v>
      </c>
      <c r="U142" s="1">
        <f>'Team A 1'!U142-'Team A 1'!$AA142-('Team A 1'!U$2- 12.5)*'Team A 1'!$AC142</f>
        <v>-12.587709049342266</v>
      </c>
      <c r="V142" s="1">
        <f>'Team A 1'!V142-'Team A 1'!$AA142-('Team A 1'!V$2- 12.5)*'Team A 1'!$AC142</f>
        <v>-6.432736922587992</v>
      </c>
      <c r="W142" s="1">
        <f>'Team A 1'!W142-'Team A 1'!$AA142-('Team A 1'!W$2- 12.5)*'Team A 1'!$AC142</f>
        <v>-50.277764795833491</v>
      </c>
      <c r="X142" s="1">
        <f>'Team A 1'!X142-'Team A 1'!$AA142-('Team A 1'!X$2- 12.5)*'Team A 1'!$AC142</f>
        <v>-24.122792669079217</v>
      </c>
      <c r="Y142" s="1">
        <f>'Team A 1'!Y142-'Team A 1'!$AA142-('Team A 1'!Y$2- 12.5)*'Team A 1'!$AC142</f>
        <v>42.032179457675284</v>
      </c>
      <c r="AB142" s="1">
        <f>STDEV(B142:Y142)</f>
        <v>28.620652711132973</v>
      </c>
      <c r="AD142" s="5">
        <v>3</v>
      </c>
      <c r="AE142" s="5" t="s">
        <v>46</v>
      </c>
      <c r="AF142" s="5">
        <v>7</v>
      </c>
      <c r="AG142" s="5">
        <v>5</v>
      </c>
      <c r="AH142" s="5">
        <v>1</v>
      </c>
      <c r="AI142" s="5">
        <v>9</v>
      </c>
      <c r="AJ142" s="5" t="s">
        <v>47</v>
      </c>
      <c r="AK142" s="5" t="s">
        <v>45</v>
      </c>
      <c r="AL142" s="5">
        <v>2</v>
      </c>
      <c r="AM142" s="5">
        <v>8</v>
      </c>
      <c r="AN142" s="5">
        <v>4</v>
      </c>
      <c r="AO142" s="5">
        <v>6</v>
      </c>
      <c r="AP142" s="5">
        <v>3</v>
      </c>
      <c r="AQ142" s="5">
        <v>7</v>
      </c>
      <c r="AR142" s="5" t="s">
        <v>46</v>
      </c>
      <c r="AS142" s="5">
        <v>5</v>
      </c>
      <c r="AT142" s="5">
        <v>9</v>
      </c>
      <c r="AU142" s="5">
        <v>1</v>
      </c>
      <c r="AV142" s="5" t="s">
        <v>47</v>
      </c>
      <c r="AW142" s="5">
        <v>2</v>
      </c>
      <c r="AX142" s="5" t="s">
        <v>45</v>
      </c>
      <c r="AY142" s="5">
        <v>4</v>
      </c>
      <c r="AZ142" s="5">
        <v>8</v>
      </c>
      <c r="BA142" s="5">
        <v>6</v>
      </c>
      <c r="BB142" s="5"/>
      <c r="BC142" s="1">
        <f ca="1">OFFSET(A142,0, 5) -0</f>
        <v>55.087709049342266</v>
      </c>
      <c r="BD142" s="1">
        <f ca="1">OFFSET(A142,0, 9) -0</f>
        <v>29.707597556359701</v>
      </c>
      <c r="BE142" s="1">
        <f ca="1">OFFSET(A142,0, 1) -0</f>
        <v>20.467820542324716</v>
      </c>
      <c r="BF142" s="1">
        <f ca="1">OFFSET(A142,0, 11) -0</f>
        <v>-37.982458190131524</v>
      </c>
      <c r="BG142" s="1">
        <f ca="1">OFFSET(A142,0, 4) -0</f>
        <v>8.932736922587992</v>
      </c>
      <c r="BH142" s="1">
        <f ca="1">OFFSET(A142,0, 12) -0</f>
        <v>-11.827486063377179</v>
      </c>
      <c r="BI142" s="1">
        <f ca="1">OFFSET(A142,0, 3) -0</f>
        <v>22.777764795833491</v>
      </c>
      <c r="BJ142" s="1">
        <f ca="1">OFFSET(A142,0, 10) -0</f>
        <v>25.862569683114089</v>
      </c>
      <c r="BK142" s="1">
        <f ca="1">OFFSET(A142,0, 6) -0</f>
        <v>11.242681176096767</v>
      </c>
      <c r="BL142" s="1">
        <f ca="1">OFFSET(A142,0, 8) -0</f>
        <v>-36.447374570394572</v>
      </c>
      <c r="BM142" s="1">
        <f ca="1">OFFSET(A142,0, 2) -0</f>
        <v>-3.3772073309207826</v>
      </c>
      <c r="BN142" s="1">
        <f ca="1">OFFSET(A142,0, 7) -0</f>
        <v>17.39765330285104</v>
      </c>
      <c r="BO142" s="1">
        <f ca="1">OFFSET(A142,0, 18) -0</f>
        <v>25.10234669714896</v>
      </c>
      <c r="BP142" s="1">
        <f ca="1">OFFSET(A142,0, 20) -0</f>
        <v>-12.587709049342266</v>
      </c>
      <c r="BQ142" s="1">
        <f ca="1">OFFSET(A142,0, 13) -0</f>
        <v>-15.672513936622821</v>
      </c>
      <c r="BR142" s="1">
        <f ca="1">OFFSET(A142,0, 22) -0</f>
        <v>-50.277764795833491</v>
      </c>
      <c r="BS142" s="1">
        <f ca="1">OFFSET(A142,0, 16) -0</f>
        <v>-47.207597556359701</v>
      </c>
      <c r="BT142" s="1">
        <f ca="1">OFFSET(A142,0, 24) -0</f>
        <v>42.032179457675284</v>
      </c>
      <c r="BU142" s="1">
        <f ca="1">OFFSET(A142,0, 14) -0</f>
        <v>10.482458190131524</v>
      </c>
      <c r="BV142" s="1">
        <f ca="1">OFFSET(A142,0, 23) -0</f>
        <v>-24.122792669079217</v>
      </c>
      <c r="BW142" s="1">
        <f ca="1">OFFSET(A142,0, 17) -0</f>
        <v>-31.052625429605428</v>
      </c>
      <c r="BX142" s="1">
        <f ca="1">OFFSET(A142,0, 21) -0</f>
        <v>-6.432736922587992</v>
      </c>
      <c r="BY142" s="1">
        <f ca="1">OFFSET(A142,0, 15) -0</f>
        <v>-13.362569683114089</v>
      </c>
      <c r="BZ142" s="1">
        <f ca="1">OFFSET(A142,0, 19) -0</f>
        <v>21.257318823903233</v>
      </c>
      <c r="CB142" s="1">
        <f>COUNTIF(B142,"&lt;-69")</f>
        <v>0</v>
      </c>
      <c r="CC142" s="1">
        <f ca="1">COUNTIF(BC142:BN142,"&lt;-48")</f>
        <v>0</v>
      </c>
      <c r="CD142" s="1">
        <f ca="1">COUNTIF(BC142:BN142,"&gt;+48")</f>
        <v>1</v>
      </c>
      <c r="CE142" s="1">
        <f ca="1">COUNTIF(BO142:BZ142,"&lt;-48")</f>
        <v>1</v>
      </c>
      <c r="CF142" s="1">
        <f ca="1">COUNTIF(BO142:BZ142,"&gt;+48")</f>
        <v>0</v>
      </c>
    </row>
    <row r="143" spans="1:84">
      <c r="A143" s="1">
        <v>140</v>
      </c>
      <c r="B143" s="1">
        <f>'Team A 1'!B143-'Team A 1'!$AA143-('Team A 1'!B$2- 12.5)*'Team A 1'!$AC143</f>
        <v>-2.6757596238508086</v>
      </c>
      <c r="C143" s="1">
        <f>'Team A 1'!C143-'Team A 1'!$AA143-('Team A 1'!C$2- 12.5)*'Team A 1'!$AC143</f>
        <v>-6.6459834246788887</v>
      </c>
      <c r="D143" s="1">
        <f>'Team A 1'!D143-'Team A 1'!$AA143-('Team A 1'!D$2- 12.5)*'Team A 1'!$AC143</f>
        <v>9.3837927744932585</v>
      </c>
      <c r="E143" s="1">
        <f>'Team A 1'!E143-'Team A 1'!$AA143-('Team A 1'!E$2- 12.5)*'Team A 1'!$AC143</f>
        <v>5.4135689736654058</v>
      </c>
      <c r="F143" s="1">
        <f>'Team A 1'!F143-'Team A 1'!$AA143-('Team A 1'!F$2- 12.5)*'Team A 1'!$AC143</f>
        <v>41.443345172837326</v>
      </c>
      <c r="G143" s="1">
        <f>'Team A 1'!G143-'Team A 1'!$AA143-('Team A 1'!G$2- 12.5)*'Team A 1'!$AC143</f>
        <v>-32.526878627990527</v>
      </c>
      <c r="H143" s="1">
        <f>'Team A 1'!H143-'Team A 1'!$AA143-('Team A 1'!H$2- 12.5)*'Team A 1'!$AC143</f>
        <v>3.5028975711816202</v>
      </c>
      <c r="I143" s="1">
        <f>'Team A 1'!I143-'Team A 1'!$AA143-('Team A 1'!I$2- 12.5)*'Team A 1'!$AC143</f>
        <v>19.53267377035354</v>
      </c>
      <c r="J143" s="1">
        <f>'Team A 1'!J143-'Team A 1'!$AA143-('Team A 1'!J$2- 12.5)*'Team A 1'!$AC143</f>
        <v>-44.437550030474313</v>
      </c>
      <c r="K143" s="1">
        <f>'Team A 1'!K143-'Team A 1'!$AA143-('Team A 1'!K$2- 12.5)*'Team A 1'!$AC143</f>
        <v>-8.4077738313022792</v>
      </c>
      <c r="L143" s="1">
        <f>'Team A 1'!L143-'Team A 1'!$AA143-('Team A 1'!L$2- 12.5)*'Team A 1'!$AC143</f>
        <v>17.622002367869754</v>
      </c>
      <c r="M143" s="1">
        <f>'Team A 1'!M143-'Team A 1'!$AA143-('Team A 1'!M$2- 12.5)*'Team A 1'!$AC143</f>
        <v>-16.348221432958169</v>
      </c>
      <c r="N143" s="1">
        <f>'Team A 1'!N143-'Team A 1'!$AA143-('Team A 1'!N$2- 12.5)*'Team A 1'!$AC143</f>
        <v>-10.318445233786107</v>
      </c>
      <c r="O143" s="1">
        <f>'Team A 1'!O143-'Team A 1'!$AA143-('Team A 1'!O$2- 12.5)*'Team A 1'!$AC143</f>
        <v>15.711330965385969</v>
      </c>
      <c r="P143" s="1">
        <f>'Team A 1'!P143-'Team A 1'!$AA143-('Team A 1'!P$2- 12.5)*'Team A 1'!$AC143</f>
        <v>-8.2588928354419977</v>
      </c>
      <c r="Q143" s="1">
        <f>'Team A 1'!Q143-'Team A 1'!$AA143-('Team A 1'!Q$2- 12.5)*'Team A 1'!$AC143</f>
        <v>17.770883363730036</v>
      </c>
      <c r="R143" s="1">
        <f>'Team A 1'!R143-'Team A 1'!$AA143-('Team A 1'!R$2- 12.5)*'Team A 1'!$AC143</f>
        <v>-6.1993404370978169</v>
      </c>
      <c r="S143" s="1">
        <f>'Team A 1'!S143-'Team A 1'!$AA143-('Team A 1'!S$2- 12.5)*'Team A 1'!$AC143</f>
        <v>-60.169564237925897</v>
      </c>
      <c r="T143" s="1">
        <f>'Team A 1'!T143-'Team A 1'!$AA143-('Team A 1'!T$2- 12.5)*'Team A 1'!$AC143</f>
        <v>-4.1397880387537498</v>
      </c>
      <c r="U143" s="1">
        <f>'Team A 1'!U143-'Team A 1'!$AA143-('Team A 1'!U$2- 12.5)*'Team A 1'!$AC143</f>
        <v>1.8899881604183975</v>
      </c>
      <c r="V143" s="1">
        <f>'Team A 1'!V143-'Team A 1'!$AA143-('Team A 1'!V$2- 12.5)*'Team A 1'!$AC143</f>
        <v>-2.0802356404096827</v>
      </c>
      <c r="W143" s="1">
        <f>'Team A 1'!W143-'Team A 1'!$AA143-('Team A 1'!W$2- 12.5)*'Team A 1'!$AC143</f>
        <v>13.949540558762465</v>
      </c>
      <c r="X143" s="1">
        <f>'Team A 1'!X143-'Team A 1'!$AA143-('Team A 1'!X$2- 12.5)*'Team A 1'!$AC143</f>
        <v>19.979316757934612</v>
      </c>
      <c r="Y143" s="1">
        <f>'Team A 1'!Y143-'Team A 1'!$AA143-('Team A 1'!Y$2- 12.5)*'Team A 1'!$AC143</f>
        <v>36.009092957106532</v>
      </c>
      <c r="AB143" s="1">
        <f>STDEV(B143:Y143)</f>
        <v>23.099796904963316</v>
      </c>
      <c r="AD143" s="5">
        <v>7</v>
      </c>
      <c r="AE143" s="5">
        <v>3</v>
      </c>
      <c r="AF143" s="5">
        <v>5</v>
      </c>
      <c r="AG143" s="5" t="s">
        <v>46</v>
      </c>
      <c r="AH143" s="5">
        <v>1</v>
      </c>
      <c r="AI143" s="5">
        <v>9</v>
      </c>
      <c r="AJ143" s="5">
        <v>2</v>
      </c>
      <c r="AK143" s="5" t="s">
        <v>47</v>
      </c>
      <c r="AL143" s="5">
        <v>4</v>
      </c>
      <c r="AM143" s="5" t="s">
        <v>45</v>
      </c>
      <c r="AN143" s="5">
        <v>6</v>
      </c>
      <c r="AO143" s="5">
        <v>8</v>
      </c>
      <c r="AP143" s="5">
        <v>3</v>
      </c>
      <c r="AQ143" s="5">
        <v>7</v>
      </c>
      <c r="AR143" s="5">
        <v>5</v>
      </c>
      <c r="AS143" s="5">
        <v>1</v>
      </c>
      <c r="AT143" s="5" t="s">
        <v>46</v>
      </c>
      <c r="AU143" s="5">
        <v>9</v>
      </c>
      <c r="AV143" s="5" t="s">
        <v>47</v>
      </c>
      <c r="AW143" s="5">
        <v>2</v>
      </c>
      <c r="AX143" s="5" t="s">
        <v>45</v>
      </c>
      <c r="AY143" s="5">
        <v>4</v>
      </c>
      <c r="AZ143" s="5">
        <v>8</v>
      </c>
      <c r="BA143" s="5">
        <v>6</v>
      </c>
      <c r="BB143" s="5"/>
      <c r="BC143" s="1">
        <f ca="1">OFFSET(A143,0, 5) -0</f>
        <v>41.443345172837326</v>
      </c>
      <c r="BD143" s="1">
        <f ca="1">OFFSET(A143,0, 7) -0</f>
        <v>3.5028975711816202</v>
      </c>
      <c r="BE143" s="1">
        <f ca="1">OFFSET(A143,0, 2) -0</f>
        <v>-6.6459834246788887</v>
      </c>
      <c r="BF143" s="1">
        <f ca="1">OFFSET(A143,0, 9) -0</f>
        <v>-44.437550030474313</v>
      </c>
      <c r="BG143" s="1">
        <f ca="1">OFFSET(A143,0, 3) -0</f>
        <v>9.3837927744932585</v>
      </c>
      <c r="BH143" s="1">
        <f ca="1">OFFSET(A143,0, 11) -0</f>
        <v>17.622002367869754</v>
      </c>
      <c r="BI143" s="1">
        <f ca="1">OFFSET(A143,0, 1) -0</f>
        <v>-2.6757596238508086</v>
      </c>
      <c r="BJ143" s="1">
        <f ca="1">OFFSET(A143,0, 12) -0</f>
        <v>-16.348221432958169</v>
      </c>
      <c r="BK143" s="1">
        <f ca="1">OFFSET(A143,0, 6) -0</f>
        <v>-32.526878627990527</v>
      </c>
      <c r="BL143" s="1">
        <f ca="1">OFFSET(A143,0, 10) -0</f>
        <v>-8.4077738313022792</v>
      </c>
      <c r="BM143" s="1">
        <f ca="1">OFFSET(A143,0, 4) -0</f>
        <v>5.4135689736654058</v>
      </c>
      <c r="BN143" s="1">
        <f ca="1">OFFSET(A143,0, 8) -0</f>
        <v>19.53267377035354</v>
      </c>
      <c r="BO143" s="1">
        <f ca="1">OFFSET(A143,0, 16) -0</f>
        <v>17.770883363730036</v>
      </c>
      <c r="BP143" s="1">
        <f ca="1">OFFSET(A143,0, 20) -0</f>
        <v>1.8899881604183975</v>
      </c>
      <c r="BQ143" s="1">
        <f ca="1">OFFSET(A143,0, 13) -0</f>
        <v>-10.318445233786107</v>
      </c>
      <c r="BR143" s="1">
        <f ca="1">OFFSET(A143,0, 22) -0</f>
        <v>13.949540558762465</v>
      </c>
      <c r="BS143" s="1">
        <f ca="1">OFFSET(A143,0, 15) -0</f>
        <v>-8.2588928354419977</v>
      </c>
      <c r="BT143" s="1">
        <f ca="1">OFFSET(A143,0, 24) -0</f>
        <v>36.009092957106532</v>
      </c>
      <c r="BU143" s="1">
        <f ca="1">OFFSET(A143,0, 14) -0</f>
        <v>15.711330965385969</v>
      </c>
      <c r="BV143" s="1">
        <f ca="1">OFFSET(A143,0, 23) -0</f>
        <v>19.979316757934612</v>
      </c>
      <c r="BW143" s="1">
        <f ca="1">OFFSET(A143,0, 18) -0</f>
        <v>-60.169564237925897</v>
      </c>
      <c r="BX143" s="1">
        <f ca="1">OFFSET(A143,0, 21) -0</f>
        <v>-2.0802356404096827</v>
      </c>
      <c r="BY143" s="1">
        <f ca="1">OFFSET(A143,0, 17) -0</f>
        <v>-6.1993404370978169</v>
      </c>
      <c r="BZ143" s="1">
        <f ca="1">OFFSET(A143,0, 19) -0</f>
        <v>-4.1397880387537498</v>
      </c>
      <c r="CB143" s="1">
        <f>COUNTIF(B143,"&lt;-69")</f>
        <v>0</v>
      </c>
      <c r="CC143" s="1">
        <f ca="1">COUNTIF(BC143:BN143,"&lt;-48")</f>
        <v>0</v>
      </c>
      <c r="CD143" s="1">
        <f ca="1">COUNTIF(BC143:BN143,"&gt;+48")</f>
        <v>0</v>
      </c>
      <c r="CE143" s="1">
        <f ca="1">COUNTIF(BO143:BZ143,"&lt;-48")</f>
        <v>1</v>
      </c>
      <c r="CF143" s="1">
        <f ca="1">COUNTIF(BO143:BZ143,"&gt;+48")</f>
        <v>0</v>
      </c>
    </row>
    <row r="144" spans="1:84">
      <c r="A144" s="1">
        <v>141</v>
      </c>
      <c r="B144" s="1">
        <f>'Team A 1'!B144-'Team A 1'!$AA144-('Team A 1'!B$2- 12.5)*'Team A 1'!$AC144</f>
        <v>21.549730255012946</v>
      </c>
      <c r="C144" s="1">
        <f>'Team A 1'!C144-'Team A 1'!$AA144-('Team A 1'!C$2- 12.5)*'Team A 1'!$AC144</f>
        <v>17.320768203848957</v>
      </c>
      <c r="D144" s="1">
        <f>'Team A 1'!D144-'Team A 1'!$AA144-('Team A 1'!D$2- 12.5)*'Team A 1'!$AC144</f>
        <v>13.091806152684967</v>
      </c>
      <c r="E144" s="1">
        <f>'Team A 1'!E144-'Team A 1'!$AA144-('Team A 1'!E$2- 12.5)*'Team A 1'!$AC144</f>
        <v>-1.1371558984790227</v>
      </c>
      <c r="F144" s="1">
        <f>'Team A 1'!F144-'Team A 1'!$AA144-('Team A 1'!F$2- 12.5)*'Team A 1'!$AC144</f>
        <v>-35.366117949642785</v>
      </c>
      <c r="G144" s="1">
        <f>'Team A 1'!G144-'Team A 1'!$AA144-('Team A 1'!G$2- 12.5)*'Team A 1'!$AC144</f>
        <v>-19.595080000806774</v>
      </c>
      <c r="H144" s="1">
        <f>'Team A 1'!H144-'Team A 1'!$AA144-('Team A 1'!H$2- 12.5)*'Team A 1'!$AC144</f>
        <v>-23.824042051970764</v>
      </c>
      <c r="I144" s="1">
        <f>'Team A 1'!I144-'Team A 1'!$AA144-('Team A 1'!I$2- 12.5)*'Team A 1'!$AC144</f>
        <v>1.9469958968654737</v>
      </c>
      <c r="J144" s="1">
        <f>'Team A 1'!J144-'Team A 1'!$AA144-('Team A 1'!J$2- 12.5)*'Team A 1'!$AC144</f>
        <v>-12.281966154298516</v>
      </c>
      <c r="K144" s="1">
        <f>'Team A 1'!K144-'Team A 1'!$AA144-('Team A 1'!K$2- 12.5)*'Team A 1'!$AC144</f>
        <v>23.489071794537608</v>
      </c>
      <c r="L144" s="1">
        <f>'Team A 1'!L144-'Team A 1'!$AA144-('Team A 1'!L$2- 12.5)*'Team A 1'!$AC144</f>
        <v>-20.739890256626268</v>
      </c>
      <c r="M144" s="1">
        <f>'Team A 1'!M144-'Team A 1'!$AA144-('Team A 1'!M$2- 12.5)*'Team A 1'!$AC144</f>
        <v>5.0311476922098137</v>
      </c>
      <c r="N144" s="1">
        <f>'Team A 1'!N144-'Team A 1'!$AA144-('Team A 1'!N$2- 12.5)*'Team A 1'!$AC144</f>
        <v>20.802185641045909</v>
      </c>
      <c r="O144" s="1">
        <f>'Team A 1'!O144-'Team A 1'!$AA144-('Team A 1'!O$2- 12.5)*'Team A 1'!$AC144</f>
        <v>6.5732235898819908</v>
      </c>
      <c r="P144" s="1">
        <f>'Team A 1'!P144-'Team A 1'!$AA144-('Team A 1'!P$2- 12.5)*'Team A 1'!$AC144</f>
        <v>12.344261538718115</v>
      </c>
      <c r="Q144" s="1">
        <f>'Team A 1'!Q144-'Team A 1'!$AA144-('Team A 1'!Q$2- 12.5)*'Team A 1'!$AC144</f>
        <v>28.115299487554239</v>
      </c>
      <c r="R144" s="1">
        <f>'Team A 1'!R144-'Team A 1'!$AA144-('Team A 1'!R$2- 12.5)*'Team A 1'!$AC144</f>
        <v>-6.1136625636097506</v>
      </c>
      <c r="S144" s="1">
        <f>'Team A 1'!S144-'Team A 1'!$AA144-('Team A 1'!S$2- 12.5)*'Team A 1'!$AC144</f>
        <v>19.657375385226487</v>
      </c>
      <c r="T144" s="1">
        <f>'Team A 1'!T144-'Team A 1'!$AA144-('Team A 1'!T$2- 12.5)*'Team A 1'!$AC144</f>
        <v>-14.571586665937502</v>
      </c>
      <c r="U144" s="1">
        <f>'Team A 1'!U144-'Team A 1'!$AA144-('Team A 1'!U$2- 12.5)*'Team A 1'!$AC144</f>
        <v>-18.800548717101492</v>
      </c>
      <c r="V144" s="1">
        <f>'Team A 1'!V144-'Team A 1'!$AA144-('Team A 1'!V$2- 12.5)*'Team A 1'!$AC144</f>
        <v>-43.029510768265254</v>
      </c>
      <c r="W144" s="1">
        <f>'Team A 1'!W144-'Team A 1'!$AA144-('Team A 1'!W$2- 12.5)*'Team A 1'!$AC144</f>
        <v>-7.2584728194292438</v>
      </c>
      <c r="X144" s="1">
        <f>'Team A 1'!X144-'Team A 1'!$AA144-('Team A 1'!X$2- 12.5)*'Team A 1'!$AC144</f>
        <v>-11.487434870593233</v>
      </c>
      <c r="Y144" s="1">
        <f>'Team A 1'!Y144-'Team A 1'!$AA144-('Team A 1'!Y$2- 12.5)*'Team A 1'!$AC144</f>
        <v>44.283603078242777</v>
      </c>
      <c r="AB144" s="1">
        <f>STDEV(B144:Y144)</f>
        <v>21.575776773143144</v>
      </c>
      <c r="AD144" s="5">
        <v>7</v>
      </c>
      <c r="AE144" s="5">
        <v>3</v>
      </c>
      <c r="AF144" s="5">
        <v>1</v>
      </c>
      <c r="AG144" s="5">
        <v>5</v>
      </c>
      <c r="AH144" s="5">
        <v>9</v>
      </c>
      <c r="AI144" s="5" t="s">
        <v>46</v>
      </c>
      <c r="AJ144" s="5">
        <v>2</v>
      </c>
      <c r="AK144" s="5" t="s">
        <v>47</v>
      </c>
      <c r="AL144" s="5">
        <v>4</v>
      </c>
      <c r="AM144" s="5" t="s">
        <v>45</v>
      </c>
      <c r="AN144" s="5">
        <v>6</v>
      </c>
      <c r="AO144" s="5">
        <v>8</v>
      </c>
      <c r="AP144" s="5">
        <v>7</v>
      </c>
      <c r="AQ144" s="5">
        <v>3</v>
      </c>
      <c r="AR144" s="5">
        <v>5</v>
      </c>
      <c r="AS144" s="5">
        <v>1</v>
      </c>
      <c r="AT144" s="5">
        <v>9</v>
      </c>
      <c r="AU144" s="5">
        <v>2</v>
      </c>
      <c r="AV144" s="5" t="s">
        <v>46</v>
      </c>
      <c r="AW144" s="5">
        <v>4</v>
      </c>
      <c r="AX144" s="5" t="s">
        <v>47</v>
      </c>
      <c r="AY144" s="5">
        <v>6</v>
      </c>
      <c r="AZ144" s="5" t="s">
        <v>45</v>
      </c>
      <c r="BA144" s="5">
        <v>8</v>
      </c>
      <c r="BB144" s="5"/>
      <c r="BC144" s="1">
        <f ca="1">OFFSET(A144,0, 3) -0</f>
        <v>13.091806152684967</v>
      </c>
      <c r="BD144" s="1">
        <f ca="1">OFFSET(A144,0, 7) -0</f>
        <v>-23.824042051970764</v>
      </c>
      <c r="BE144" s="1">
        <f ca="1">OFFSET(A144,0, 2) -0</f>
        <v>17.320768203848957</v>
      </c>
      <c r="BF144" s="1">
        <f ca="1">OFFSET(A144,0, 9) -0</f>
        <v>-12.281966154298516</v>
      </c>
      <c r="BG144" s="1">
        <f ca="1">OFFSET(A144,0, 4) -0</f>
        <v>-1.1371558984790227</v>
      </c>
      <c r="BH144" s="1">
        <f ca="1">OFFSET(A144,0, 11) -0</f>
        <v>-20.739890256626268</v>
      </c>
      <c r="BI144" s="1">
        <f ca="1">OFFSET(A144,0, 1) -0</f>
        <v>21.549730255012946</v>
      </c>
      <c r="BJ144" s="1">
        <f ca="1">OFFSET(A144,0, 12) -0</f>
        <v>5.0311476922098137</v>
      </c>
      <c r="BK144" s="1">
        <f ca="1">OFFSET(A144,0, 5) -0</f>
        <v>-35.366117949642785</v>
      </c>
      <c r="BL144" s="1">
        <f ca="1">OFFSET(A144,0, 10) -0</f>
        <v>23.489071794537608</v>
      </c>
      <c r="BM144" s="1">
        <f ca="1">OFFSET(A144,0, 6) -0</f>
        <v>-19.595080000806774</v>
      </c>
      <c r="BN144" s="1">
        <f ca="1">OFFSET(A144,0, 8) -0</f>
        <v>1.9469958968654737</v>
      </c>
      <c r="BO144" s="1">
        <f ca="1">OFFSET(A144,0, 16) -0</f>
        <v>28.115299487554239</v>
      </c>
      <c r="BP144" s="1">
        <f ca="1">OFFSET(A144,0, 18) -0</f>
        <v>19.657375385226487</v>
      </c>
      <c r="BQ144" s="1">
        <f ca="1">OFFSET(A144,0, 14) -0</f>
        <v>6.5732235898819908</v>
      </c>
      <c r="BR144" s="1">
        <f ca="1">OFFSET(A144,0, 20) -0</f>
        <v>-18.800548717101492</v>
      </c>
      <c r="BS144" s="1">
        <f ca="1">OFFSET(A144,0, 15) -0</f>
        <v>12.344261538718115</v>
      </c>
      <c r="BT144" s="1">
        <f ca="1">OFFSET(A144,0, 22) -0</f>
        <v>-7.2584728194292438</v>
      </c>
      <c r="BU144" s="1">
        <f ca="1">OFFSET(A144,0, 13) -0</f>
        <v>20.802185641045909</v>
      </c>
      <c r="BV144" s="1">
        <f ca="1">OFFSET(A144,0, 24) -0</f>
        <v>44.283603078242777</v>
      </c>
      <c r="BW144" s="1">
        <f ca="1">OFFSET(A144,0, 17) -0</f>
        <v>-6.1136625636097506</v>
      </c>
      <c r="BX144" s="1">
        <f ca="1">OFFSET(A144,0, 23) -0</f>
        <v>-11.487434870593233</v>
      </c>
      <c r="BY144" s="1">
        <f ca="1">OFFSET(A144,0, 19) -0</f>
        <v>-14.571586665937502</v>
      </c>
      <c r="BZ144" s="1">
        <f ca="1">OFFSET(A144,0, 21) -0</f>
        <v>-43.029510768265254</v>
      </c>
      <c r="CB144" s="1">
        <f>COUNTIF(B144,"&lt;-69")</f>
        <v>0</v>
      </c>
      <c r="CC144" s="1">
        <f ca="1">COUNTIF(BC144:BN144,"&lt;-49")</f>
        <v>0</v>
      </c>
      <c r="CD144" s="1">
        <f ca="1">COUNTIF(BC144:BN144,"&gt;+49")</f>
        <v>0</v>
      </c>
      <c r="CE144" s="1">
        <f ca="1">COUNTIF(BO144:BZ144,"&lt;-49")</f>
        <v>0</v>
      </c>
      <c r="CF144" s="1">
        <f ca="1">COUNTIF(BO144:BZ144,"&gt;+49")</f>
        <v>0</v>
      </c>
    </row>
    <row r="145" spans="1:84">
      <c r="A145" s="1">
        <v>142</v>
      </c>
      <c r="B145" s="1">
        <f>'Team A 1'!B145-'Team A 1'!$AA145-('Team A 1'!B$2- 12.5)*'Team A 1'!$AC145</f>
        <v>12.13005936540867</v>
      </c>
      <c r="C145" s="1">
        <f>'Team A 1'!C145-'Team A 1'!$AA145-('Team A 1'!C$2- 12.5)*'Team A 1'!$AC145</f>
        <v>58.068025217688501</v>
      </c>
      <c r="D145" s="1">
        <f>'Team A 1'!D145-'Team A 1'!$AA145-('Team A 1'!D$2- 12.5)*'Team A 1'!$AC145</f>
        <v>44.005991069968331</v>
      </c>
      <c r="E145" s="1">
        <f>'Team A 1'!E145-'Team A 1'!$AA145-('Team A 1'!E$2- 12.5)*'Team A 1'!$AC145</f>
        <v>29.94395692224839</v>
      </c>
      <c r="F145" s="1">
        <f>'Team A 1'!F145-'Team A 1'!$AA145-('Team A 1'!F$2- 12.5)*'Team A 1'!$AC145</f>
        <v>15.881922774528221</v>
      </c>
      <c r="G145" s="1">
        <f>'Team A 1'!G145-'Team A 1'!$AA145-('Team A 1'!G$2- 12.5)*'Team A 1'!$AC145</f>
        <v>-8.1801113731917212</v>
      </c>
      <c r="H145" s="1">
        <f>'Team A 1'!H145-'Team A 1'!$AA145-('Team A 1'!H$2- 12.5)*'Team A 1'!$AC145</f>
        <v>7.7578544790881097</v>
      </c>
      <c r="I145" s="1">
        <f>'Team A 1'!I145-'Team A 1'!$AA145-('Team A 1'!I$2- 12.5)*'Team A 1'!$AC145</f>
        <v>3.6958203313681679</v>
      </c>
      <c r="J145" s="1">
        <f>'Team A 1'!J145-'Team A 1'!$AA145-('Team A 1'!J$2- 12.5)*'Team A 1'!$AC145</f>
        <v>-30.366213816352001</v>
      </c>
      <c r="K145" s="1">
        <f>'Team A 1'!K145-'Team A 1'!$AA145-('Team A 1'!K$2- 12.5)*'Team A 1'!$AC145</f>
        <v>-34.428247964072</v>
      </c>
      <c r="L145" s="1">
        <f>'Team A 1'!L145-'Team A 1'!$AA145-('Team A 1'!L$2- 12.5)*'Team A 1'!$AC145</f>
        <v>-28.490282111792055</v>
      </c>
      <c r="M145" s="1">
        <f>'Team A 1'!M145-'Team A 1'!$AA145-('Team A 1'!M$2- 12.5)*'Team A 1'!$AC145</f>
        <v>7.4476837404878893</v>
      </c>
      <c r="N145" s="1">
        <f>'Team A 1'!N145-'Team A 1'!$AA145-('Team A 1'!N$2- 12.5)*'Team A 1'!$AC145</f>
        <v>-16.614350407232166</v>
      </c>
      <c r="O145" s="1">
        <f>'Team A 1'!O145-'Team A 1'!$AA145-('Team A 1'!O$2- 12.5)*'Team A 1'!$AC145</f>
        <v>29.323615445047778</v>
      </c>
      <c r="P145" s="1">
        <f>'Team A 1'!P145-'Team A 1'!$AA145-('Team A 1'!P$2- 12.5)*'Team A 1'!$AC145</f>
        <v>25.261581297327723</v>
      </c>
      <c r="Q145" s="1">
        <f>'Team A 1'!Q145-'Team A 1'!$AA145-('Team A 1'!Q$2- 12.5)*'Team A 1'!$AC145</f>
        <v>1.1995471496077244</v>
      </c>
      <c r="R145" s="1">
        <f>'Team A 1'!R145-'Team A 1'!$AA145-('Team A 1'!R$2- 12.5)*'Team A 1'!$AC145</f>
        <v>-2.8624869981124448</v>
      </c>
      <c r="S145" s="1">
        <f>'Team A 1'!S145-'Team A 1'!$AA145-('Team A 1'!S$2- 12.5)*'Team A 1'!$AC145</f>
        <v>13.075478854167613</v>
      </c>
      <c r="T145" s="1">
        <f>'Team A 1'!T145-'Team A 1'!$AA145-('Team A 1'!T$2- 12.5)*'Team A 1'!$AC145</f>
        <v>-10.986555293552556</v>
      </c>
      <c r="U145" s="1">
        <f>'Team A 1'!U145-'Team A 1'!$AA145-('Team A 1'!U$2- 12.5)*'Team A 1'!$AC145</f>
        <v>-15.048589441272497</v>
      </c>
      <c r="V145" s="1">
        <f>'Team A 1'!V145-'Team A 1'!$AA145-('Team A 1'!V$2- 12.5)*'Team A 1'!$AC145</f>
        <v>-49.110623588992667</v>
      </c>
      <c r="W145" s="1">
        <f>'Team A 1'!W145-'Team A 1'!$AA145-('Team A 1'!W$2- 12.5)*'Team A 1'!$AC145</f>
        <v>-53.172657736712608</v>
      </c>
      <c r="X145" s="1">
        <f>'Team A 1'!X145-'Team A 1'!$AA145-('Team A 1'!X$2- 12.5)*'Team A 1'!$AC145</f>
        <v>-27.234691884432777</v>
      </c>
      <c r="Y145" s="1">
        <f>'Team A 1'!Y145-'Team A 1'!$AA145-('Team A 1'!Y$2- 12.5)*'Team A 1'!$AC145</f>
        <v>28.703273967847053</v>
      </c>
      <c r="AB145" s="1">
        <f>STDEV(B145:Y145)</f>
        <v>28.610111695189648</v>
      </c>
      <c r="AD145" s="5">
        <v>3</v>
      </c>
      <c r="AE145" s="5">
        <v>7</v>
      </c>
      <c r="AF145" s="5">
        <v>1</v>
      </c>
      <c r="AG145" s="5">
        <v>5</v>
      </c>
      <c r="AH145" s="5">
        <v>2</v>
      </c>
      <c r="AI145" s="5">
        <v>9</v>
      </c>
      <c r="AJ145" s="5">
        <v>4</v>
      </c>
      <c r="AK145" s="5" t="s">
        <v>46</v>
      </c>
      <c r="AL145" s="5">
        <v>6</v>
      </c>
      <c r="AM145" s="5" t="s">
        <v>47</v>
      </c>
      <c r="AN145" s="5">
        <v>8</v>
      </c>
      <c r="AO145" s="5" t="s">
        <v>45</v>
      </c>
      <c r="AP145" s="5">
        <v>3</v>
      </c>
      <c r="AQ145" s="5">
        <v>1</v>
      </c>
      <c r="AR145" s="5">
        <v>7</v>
      </c>
      <c r="AS145" s="5">
        <v>5</v>
      </c>
      <c r="AT145" s="5">
        <v>9</v>
      </c>
      <c r="AU145" s="5">
        <v>2</v>
      </c>
      <c r="AV145" s="5" t="s">
        <v>46</v>
      </c>
      <c r="AW145" s="5">
        <v>4</v>
      </c>
      <c r="AX145" s="5" t="s">
        <v>47</v>
      </c>
      <c r="AY145" s="5">
        <v>6</v>
      </c>
      <c r="AZ145" s="5" t="s">
        <v>45</v>
      </c>
      <c r="BA145" s="5">
        <v>8</v>
      </c>
      <c r="BB145" s="5"/>
      <c r="BC145" s="1">
        <f ca="1">OFFSET(A145,0, 3) -0</f>
        <v>44.005991069968331</v>
      </c>
      <c r="BD145" s="1">
        <f ca="1">OFFSET(A145,0, 5) -0</f>
        <v>15.881922774528221</v>
      </c>
      <c r="BE145" s="1">
        <f ca="1">OFFSET(A145,0, 1) -0</f>
        <v>12.13005936540867</v>
      </c>
      <c r="BF145" s="1">
        <f ca="1">OFFSET(A145,0, 7) -0</f>
        <v>7.7578544790881097</v>
      </c>
      <c r="BG145" s="1">
        <f ca="1">OFFSET(A145,0, 4) -0</f>
        <v>29.94395692224839</v>
      </c>
      <c r="BH145" s="1">
        <f ca="1">OFFSET(A145,0, 9) -0</f>
        <v>-30.366213816352001</v>
      </c>
      <c r="BI145" s="1">
        <f ca="1">OFFSET(A145,0, 2) -0</f>
        <v>58.068025217688501</v>
      </c>
      <c r="BJ145" s="1">
        <f ca="1">OFFSET(A145,0, 11) -0</f>
        <v>-28.490282111792055</v>
      </c>
      <c r="BK145" s="1">
        <f ca="1">OFFSET(A145,0, 6) -0</f>
        <v>-8.1801113731917212</v>
      </c>
      <c r="BL145" s="1">
        <f ca="1">OFFSET(A145,0, 12) -0</f>
        <v>7.4476837404878893</v>
      </c>
      <c r="BM145" s="1">
        <f ca="1">OFFSET(A145,0, 8) -0</f>
        <v>3.6958203313681679</v>
      </c>
      <c r="BN145" s="1">
        <f ca="1">OFFSET(A145,0, 10) -0</f>
        <v>-34.428247964072</v>
      </c>
      <c r="BO145" s="1">
        <f ca="1">OFFSET(A145,0, 14) -0</f>
        <v>29.323615445047778</v>
      </c>
      <c r="BP145" s="1">
        <f ca="1">OFFSET(A145,0, 18) -0</f>
        <v>13.075478854167613</v>
      </c>
      <c r="BQ145" s="1">
        <f ca="1">OFFSET(A145,0, 13) -0</f>
        <v>-16.614350407232166</v>
      </c>
      <c r="BR145" s="1">
        <f ca="1">OFFSET(A145,0, 20) -0</f>
        <v>-15.048589441272497</v>
      </c>
      <c r="BS145" s="1">
        <f ca="1">OFFSET(A145,0, 16) -0</f>
        <v>1.1995471496077244</v>
      </c>
      <c r="BT145" s="1">
        <f ca="1">OFFSET(A145,0, 22) -0</f>
        <v>-53.172657736712608</v>
      </c>
      <c r="BU145" s="1">
        <f ca="1">OFFSET(A145,0, 15) -0</f>
        <v>25.261581297327723</v>
      </c>
      <c r="BV145" s="1">
        <f ca="1">OFFSET(A145,0, 24) -0</f>
        <v>28.703273967847053</v>
      </c>
      <c r="BW145" s="1">
        <f ca="1">OFFSET(A145,0, 17) -0</f>
        <v>-2.8624869981124448</v>
      </c>
      <c r="BX145" s="1">
        <f ca="1">OFFSET(A145,0, 23) -0</f>
        <v>-27.234691884432777</v>
      </c>
      <c r="BY145" s="1">
        <f ca="1">OFFSET(A145,0, 19) -0</f>
        <v>-10.986555293552556</v>
      </c>
      <c r="BZ145" s="1">
        <f ca="1">OFFSET(A145,0, 21) -0</f>
        <v>-49.110623588992667</v>
      </c>
      <c r="CB145" s="1">
        <f>COUNTIF(B145,"&lt;-69")</f>
        <v>0</v>
      </c>
      <c r="CC145" s="1">
        <f ca="1">COUNTIF(BC145:BN145,"&lt;-49")</f>
        <v>0</v>
      </c>
      <c r="CD145" s="1">
        <f ca="1">COUNTIF(BC145:BN145,"&gt;+49")</f>
        <v>1</v>
      </c>
      <c r="CE145" s="1">
        <f ca="1">COUNTIF(BO145:BZ145,"&lt;-49")</f>
        <v>2</v>
      </c>
      <c r="CF145" s="1">
        <f ca="1">COUNTIF(BO145:BZ145,"&gt;+49")</f>
        <v>0</v>
      </c>
    </row>
    <row r="146" spans="1:84">
      <c r="A146" s="1">
        <v>143</v>
      </c>
      <c r="B146" s="1">
        <f>'Team A 1'!B146-'Team A 1'!$AA146-('Team A 1'!B$2- 12.5)*'Team A 1'!$AC146</f>
        <v>40.84954079846284</v>
      </c>
      <c r="C146" s="1">
        <f>'Team A 1'!C146-'Team A 1'!$AA146-('Team A 1'!C$2- 12.5)*'Team A 1'!$AC146</f>
        <v>6.8626242072921286</v>
      </c>
      <c r="D146" s="1">
        <f>'Team A 1'!D146-'Team A 1'!$AA146-('Team A 1'!D$2- 12.5)*'Team A 1'!$AC146</f>
        <v>22.875707616121417</v>
      </c>
      <c r="E146" s="1">
        <f>'Team A 1'!E146-'Team A 1'!$AA146-('Team A 1'!E$2- 12.5)*'Team A 1'!$AC146</f>
        <v>38.888791024950706</v>
      </c>
      <c r="F146" s="1">
        <f>'Team A 1'!F146-'Team A 1'!$AA146-('Team A 1'!F$2- 12.5)*'Team A 1'!$AC146</f>
        <v>34.901874433780222</v>
      </c>
      <c r="G146" s="1">
        <f>'Team A 1'!G146-'Team A 1'!$AA146-('Team A 1'!G$2- 12.5)*'Team A 1'!$AC146</f>
        <v>0.91495784260951041</v>
      </c>
      <c r="H146" s="1">
        <f>'Team A 1'!H146-'Team A 1'!$AA146-('Team A 1'!H$2- 12.5)*'Team A 1'!$AC146</f>
        <v>6.928041251438799</v>
      </c>
      <c r="I146" s="1">
        <f>'Team A 1'!I146-'Team A 1'!$AA146-('Team A 1'!I$2- 12.5)*'Team A 1'!$AC146</f>
        <v>42.941124660268088</v>
      </c>
      <c r="J146" s="1">
        <f>'Team A 1'!J146-'Team A 1'!$AA146-('Team A 1'!J$2- 12.5)*'Team A 1'!$AC146</f>
        <v>-31.045791930902624</v>
      </c>
      <c r="K146" s="1">
        <f>'Team A 1'!K146-'Team A 1'!$AA146-('Team A 1'!K$2- 12.5)*'Team A 1'!$AC146</f>
        <v>-25.032708522073278</v>
      </c>
      <c r="L146" s="1">
        <f>'Team A 1'!L146-'Team A 1'!$AA146-('Team A 1'!L$2- 12.5)*'Team A 1'!$AC146</f>
        <v>-59.01962511324399</v>
      </c>
      <c r="M146" s="1">
        <f>'Team A 1'!M146-'Team A 1'!$AA146-('Team A 1'!M$2- 12.5)*'Team A 1'!$AC146</f>
        <v>-43.006541704414659</v>
      </c>
      <c r="N146" s="1">
        <f>'Team A 1'!N146-'Team A 1'!$AA146-('Team A 1'!N$2- 12.5)*'Team A 1'!$AC146</f>
        <v>-26.993458295585341</v>
      </c>
      <c r="O146" s="1">
        <f>'Team A 1'!O146-'Team A 1'!$AA146-('Team A 1'!O$2- 12.5)*'Team A 1'!$AC146</f>
        <v>29.01962511324399</v>
      </c>
      <c r="P146" s="1">
        <f>'Team A 1'!P146-'Team A 1'!$AA146-('Team A 1'!P$2- 12.5)*'Team A 1'!$AC146</f>
        <v>25.032708522073278</v>
      </c>
      <c r="Q146" s="1">
        <f>'Team A 1'!Q146-'Team A 1'!$AA146-('Team A 1'!Q$2- 12.5)*'Team A 1'!$AC146</f>
        <v>21.045791930902624</v>
      </c>
      <c r="R146" s="1">
        <f>'Team A 1'!R146-'Team A 1'!$AA146-('Team A 1'!R$2- 12.5)*'Team A 1'!$AC146</f>
        <v>-22.941124660268088</v>
      </c>
      <c r="S146" s="1">
        <f>'Team A 1'!S146-'Team A 1'!$AA146-('Team A 1'!S$2- 12.5)*'Team A 1'!$AC146</f>
        <v>-6.928041251438799</v>
      </c>
      <c r="T146" s="1">
        <f>'Team A 1'!T146-'Team A 1'!$AA146-('Team A 1'!T$2- 12.5)*'Team A 1'!$AC146</f>
        <v>-10.91495784260951</v>
      </c>
      <c r="U146" s="1">
        <f>'Team A 1'!U146-'Team A 1'!$AA146-('Team A 1'!U$2- 12.5)*'Team A 1'!$AC146</f>
        <v>15.098125566219778</v>
      </c>
      <c r="V146" s="1">
        <f>'Team A 1'!V146-'Team A 1'!$AA146-('Team A 1'!V$2- 12.5)*'Team A 1'!$AC146</f>
        <v>11.111208975049294</v>
      </c>
      <c r="W146" s="1">
        <f>'Team A 1'!W146-'Team A 1'!$AA146-('Team A 1'!W$2- 12.5)*'Team A 1'!$AC146</f>
        <v>-62.875707616121417</v>
      </c>
      <c r="X146" s="1">
        <f>'Team A 1'!X146-'Team A 1'!$AA146-('Team A 1'!X$2- 12.5)*'Team A 1'!$AC146</f>
        <v>-16.862624207292129</v>
      </c>
      <c r="Y146" s="1">
        <f>'Team A 1'!Y146-'Team A 1'!$AA146-('Team A 1'!Y$2- 12.5)*'Team A 1'!$AC146</f>
        <v>9.15045920153716</v>
      </c>
      <c r="AB146" s="1">
        <f>STDEV(B146:Y146)</f>
        <v>30.781354870037575</v>
      </c>
      <c r="AD146" s="5">
        <v>1</v>
      </c>
      <c r="AE146" s="5">
        <v>3</v>
      </c>
      <c r="AF146" s="5">
        <v>5</v>
      </c>
      <c r="AG146" s="5">
        <v>7</v>
      </c>
      <c r="AH146" s="5">
        <v>2</v>
      </c>
      <c r="AI146" s="5">
        <v>9</v>
      </c>
      <c r="AJ146" s="5">
        <v>4</v>
      </c>
      <c r="AK146" s="5" t="s">
        <v>46</v>
      </c>
      <c r="AL146" s="5">
        <v>6</v>
      </c>
      <c r="AM146" s="5" t="s">
        <v>47</v>
      </c>
      <c r="AN146" s="5">
        <v>8</v>
      </c>
      <c r="AO146" s="5" t="s">
        <v>45</v>
      </c>
      <c r="AP146" s="5">
        <v>3</v>
      </c>
      <c r="AQ146" s="5">
        <v>1</v>
      </c>
      <c r="AR146" s="5">
        <v>5</v>
      </c>
      <c r="AS146" s="5">
        <v>2</v>
      </c>
      <c r="AT146" s="5">
        <v>7</v>
      </c>
      <c r="AU146" s="5">
        <v>4</v>
      </c>
      <c r="AV146" s="5">
        <v>9</v>
      </c>
      <c r="AW146" s="5">
        <v>6</v>
      </c>
      <c r="AX146" s="5" t="s">
        <v>46</v>
      </c>
      <c r="AY146" s="5">
        <v>8</v>
      </c>
      <c r="AZ146" s="5" t="s">
        <v>47</v>
      </c>
      <c r="BA146" s="5" t="s">
        <v>45</v>
      </c>
      <c r="BB146" s="5"/>
      <c r="BC146" s="1">
        <f ca="1">OFFSET(A146,0, 1) -0</f>
        <v>40.84954079846284</v>
      </c>
      <c r="BD146" s="1">
        <f ca="1">OFFSET(A146,0, 5) -0</f>
        <v>34.901874433780222</v>
      </c>
      <c r="BE146" s="1">
        <f ca="1">OFFSET(A146,0, 2) -0</f>
        <v>6.8626242072921286</v>
      </c>
      <c r="BF146" s="1">
        <f ca="1">OFFSET(A146,0, 7) -0</f>
        <v>6.928041251438799</v>
      </c>
      <c r="BG146" s="1">
        <f ca="1">OFFSET(A146,0, 3) -0</f>
        <v>22.875707616121417</v>
      </c>
      <c r="BH146" s="1">
        <f ca="1">OFFSET(A146,0, 9) -0</f>
        <v>-31.045791930902624</v>
      </c>
      <c r="BI146" s="1">
        <f ca="1">OFFSET(A146,0, 4) -0</f>
        <v>38.888791024950706</v>
      </c>
      <c r="BJ146" s="1">
        <f ca="1">OFFSET(A146,0, 11) -0</f>
        <v>-59.01962511324399</v>
      </c>
      <c r="BK146" s="1">
        <f ca="1">OFFSET(A146,0, 6) -0</f>
        <v>0.91495784260951041</v>
      </c>
      <c r="BL146" s="1">
        <f ca="1">OFFSET(A146,0, 12) -0</f>
        <v>-43.006541704414659</v>
      </c>
      <c r="BM146" s="1">
        <f ca="1">OFFSET(A146,0, 8) -0</f>
        <v>42.941124660268088</v>
      </c>
      <c r="BN146" s="1">
        <f ca="1">OFFSET(A146,0, 10) -0</f>
        <v>-25.032708522073278</v>
      </c>
      <c r="BO146" s="1">
        <f ca="1">OFFSET(A146,0, 14) -0</f>
        <v>29.01962511324399</v>
      </c>
      <c r="BP146" s="1">
        <f ca="1">OFFSET(A146,0, 16) -0</f>
        <v>21.045791930902624</v>
      </c>
      <c r="BQ146" s="1">
        <f ca="1">OFFSET(A146,0, 13) -0</f>
        <v>-26.993458295585341</v>
      </c>
      <c r="BR146" s="1">
        <f ca="1">OFFSET(A146,0, 18) -0</f>
        <v>-6.928041251438799</v>
      </c>
      <c r="BS146" s="1">
        <f ca="1">OFFSET(A146,0, 15) -0</f>
        <v>25.032708522073278</v>
      </c>
      <c r="BT146" s="1">
        <f ca="1">OFFSET(A146,0, 20) -0</f>
        <v>15.098125566219778</v>
      </c>
      <c r="BU146" s="1">
        <f ca="1">OFFSET(A146,0, 17) -0</f>
        <v>-22.941124660268088</v>
      </c>
      <c r="BV146" s="1">
        <f ca="1">OFFSET(A146,0, 22) -0</f>
        <v>-62.875707616121417</v>
      </c>
      <c r="BW146" s="1">
        <f ca="1">OFFSET(A146,0, 19) -0</f>
        <v>-10.91495784260951</v>
      </c>
      <c r="BX146" s="1">
        <f ca="1">OFFSET(A146,0, 24) -0</f>
        <v>9.15045920153716</v>
      </c>
      <c r="BY146" s="1">
        <f ca="1">OFFSET(A146,0, 21) -0</f>
        <v>11.111208975049294</v>
      </c>
      <c r="BZ146" s="1">
        <f ca="1">OFFSET(A146,0, 23) -0</f>
        <v>-16.862624207292129</v>
      </c>
      <c r="CB146" s="1">
        <f>COUNTIF(B146,"&lt;-69")</f>
        <v>0</v>
      </c>
      <c r="CC146" s="1">
        <f ca="1">COUNTIF(BC146:BN146,"&lt;-48")</f>
        <v>1</v>
      </c>
      <c r="CD146" s="1">
        <f ca="1">COUNTIF(BC146:BN146,"&gt;+48")</f>
        <v>0</v>
      </c>
      <c r="CE146" s="1">
        <f ca="1">COUNTIF(BO146:BZ146,"&lt;-48")</f>
        <v>1</v>
      </c>
      <c r="CF146" s="1">
        <f ca="1">COUNTIF(BO146:BZ146,"&gt;+48")</f>
        <v>0</v>
      </c>
    </row>
    <row r="147" spans="1:84">
      <c r="A147" s="1">
        <v>144</v>
      </c>
      <c r="B147" s="1">
        <f>'Team A 1'!B147-'Team A 1'!$AA147-('Team A 1'!B$2- 12.5)*'Team A 1'!$AC147</f>
        <v>57.885120528406333</v>
      </c>
      <c r="C147" s="1">
        <f>'Team A 1'!C147-'Team A 1'!$AA147-('Team A 1'!C$2- 12.5)*'Team A 1'!$AC147</f>
        <v>14.699457873762412</v>
      </c>
      <c r="D147" s="1">
        <f>'Team A 1'!D147-'Team A 1'!$AA147-('Team A 1'!D$2- 12.5)*'Team A 1'!$AC147</f>
        <v>41.513795219118265</v>
      </c>
      <c r="E147" s="1">
        <f>'Team A 1'!E147-'Team A 1'!$AA147-('Team A 1'!E$2- 12.5)*'Team A 1'!$AC147</f>
        <v>38.328132564474345</v>
      </c>
      <c r="F147" s="1">
        <f>'Team A 1'!F147-'Team A 1'!$AA147-('Team A 1'!F$2- 12.5)*'Team A 1'!$AC147</f>
        <v>15.142469909830197</v>
      </c>
      <c r="G147" s="1">
        <f>'Team A 1'!G147-'Team A 1'!$AA147-('Team A 1'!G$2- 12.5)*'Team A 1'!$AC147</f>
        <v>-8.043192744813723</v>
      </c>
      <c r="H147" s="1">
        <f>'Team A 1'!H147-'Team A 1'!$AA147-('Team A 1'!H$2- 12.5)*'Team A 1'!$AC147</f>
        <v>28.771144600542129</v>
      </c>
      <c r="I147" s="1">
        <f>'Team A 1'!I147-'Team A 1'!$AA147-('Team A 1'!I$2- 12.5)*'Team A 1'!$AC147</f>
        <v>-14.414518054101791</v>
      </c>
      <c r="J147" s="1">
        <f>'Team A 1'!J147-'Team A 1'!$AA147-('Team A 1'!J$2- 12.5)*'Team A 1'!$AC147</f>
        <v>-67.600180708745938</v>
      </c>
      <c r="K147" s="1">
        <f>'Team A 1'!K147-'Team A 1'!$AA147-('Team A 1'!K$2- 12.5)*'Team A 1'!$AC147</f>
        <v>-70.785843363389915</v>
      </c>
      <c r="L147" s="1">
        <f>'Team A 1'!L147-'Team A 1'!$AA147-('Team A 1'!L$2- 12.5)*'Team A 1'!$AC147</f>
        <v>-33.971506018033949</v>
      </c>
      <c r="M147" s="1">
        <f>'Team A 1'!M147-'Team A 1'!$AA147-('Team A 1'!M$2- 12.5)*'Team A 1'!$AC147</f>
        <v>-17.157168672677983</v>
      </c>
      <c r="N147" s="1">
        <f>'Team A 1'!N147-'Team A 1'!$AA147-('Team A 1'!N$2- 12.5)*'Team A 1'!$AC147</f>
        <v>29.657168672677983</v>
      </c>
      <c r="O147" s="1">
        <f>'Team A 1'!O147-'Team A 1'!$AA147-('Team A 1'!O$2- 12.5)*'Team A 1'!$AC147</f>
        <v>-3.5284939819660508</v>
      </c>
      <c r="P147" s="1">
        <f>'Team A 1'!P147-'Team A 1'!$AA147-('Team A 1'!P$2- 12.5)*'Team A 1'!$AC147</f>
        <v>13.285843363389915</v>
      </c>
      <c r="Q147" s="1">
        <f>'Team A 1'!Q147-'Team A 1'!$AA147-('Team A 1'!Q$2- 12.5)*'Team A 1'!$AC147</f>
        <v>30.100180708745938</v>
      </c>
      <c r="R147" s="1">
        <f>'Team A 1'!R147-'Team A 1'!$AA147-('Team A 1'!R$2- 12.5)*'Team A 1'!$AC147</f>
        <v>-13.085481945898209</v>
      </c>
      <c r="S147" s="1">
        <f>'Team A 1'!S147-'Team A 1'!$AA147-('Team A 1'!S$2- 12.5)*'Team A 1'!$AC147</f>
        <v>33.728855399457871</v>
      </c>
      <c r="T147" s="1">
        <f>'Team A 1'!T147-'Team A 1'!$AA147-('Team A 1'!T$2- 12.5)*'Team A 1'!$AC147</f>
        <v>0.54319274481372304</v>
      </c>
      <c r="U147" s="1">
        <f>'Team A 1'!U147-'Team A 1'!$AA147-('Team A 1'!U$2- 12.5)*'Team A 1'!$AC147</f>
        <v>-12.642469909830197</v>
      </c>
      <c r="V147" s="1">
        <f>'Team A 1'!V147-'Team A 1'!$AA147-('Team A 1'!V$2- 12.5)*'Team A 1'!$AC147</f>
        <v>-25.828132564474345</v>
      </c>
      <c r="W147" s="1">
        <f>'Team A 1'!W147-'Team A 1'!$AA147-('Team A 1'!W$2- 12.5)*'Team A 1'!$AC147</f>
        <v>-19.013795219118265</v>
      </c>
      <c r="X147" s="1">
        <f>'Team A 1'!X147-'Team A 1'!$AA147-('Team A 1'!X$2- 12.5)*'Team A 1'!$AC147</f>
        <v>-42.199457873762412</v>
      </c>
      <c r="Y147" s="1">
        <f>'Team A 1'!Y147-'Team A 1'!$AA147-('Team A 1'!Y$2- 12.5)*'Team A 1'!$AC147</f>
        <v>24.614879471593667</v>
      </c>
      <c r="AB147" s="1">
        <f>STDEV(B147:Y147)</f>
        <v>33.606693670660363</v>
      </c>
      <c r="AD147" s="5">
        <v>1</v>
      </c>
      <c r="AE147" s="5">
        <v>3</v>
      </c>
      <c r="AF147" s="5">
        <v>2</v>
      </c>
      <c r="AG147" s="5">
        <v>5</v>
      </c>
      <c r="AH147" s="5">
        <v>4</v>
      </c>
      <c r="AI147" s="5">
        <v>7</v>
      </c>
      <c r="AJ147" s="5">
        <v>6</v>
      </c>
      <c r="AK147" s="5">
        <v>9</v>
      </c>
      <c r="AL147" s="5">
        <v>8</v>
      </c>
      <c r="AM147" s="5" t="s">
        <v>46</v>
      </c>
      <c r="AN147" s="5" t="s">
        <v>45</v>
      </c>
      <c r="AO147" s="5" t="s">
        <v>47</v>
      </c>
      <c r="AP147" s="5">
        <v>1</v>
      </c>
      <c r="AQ147" s="5">
        <v>2</v>
      </c>
      <c r="AR147" s="5">
        <v>3</v>
      </c>
      <c r="AS147" s="5">
        <v>4</v>
      </c>
      <c r="AT147" s="5">
        <v>5</v>
      </c>
      <c r="AU147" s="5">
        <v>6</v>
      </c>
      <c r="AV147" s="5">
        <v>7</v>
      </c>
      <c r="AW147" s="5">
        <v>8</v>
      </c>
      <c r="AX147" s="5">
        <v>9</v>
      </c>
      <c r="AY147" s="5" t="s">
        <v>45</v>
      </c>
      <c r="AZ147" s="5" t="s">
        <v>46</v>
      </c>
      <c r="BA147" s="5" t="s">
        <v>47</v>
      </c>
      <c r="BB147" s="5"/>
      <c r="BC147" s="1">
        <f ca="1">OFFSET(A147,0, 1) -0</f>
        <v>57.885120528406333</v>
      </c>
      <c r="BD147" s="1">
        <f ca="1">OFFSET(A147,0, 3) -0</f>
        <v>41.513795219118265</v>
      </c>
      <c r="BE147" s="1">
        <f ca="1">OFFSET(A147,0, 2) -0</f>
        <v>14.699457873762412</v>
      </c>
      <c r="BF147" s="1">
        <f ca="1">OFFSET(A147,0, 5) -0</f>
        <v>15.142469909830197</v>
      </c>
      <c r="BG147" s="1">
        <f ca="1">OFFSET(A147,0, 4) -0</f>
        <v>38.328132564474345</v>
      </c>
      <c r="BH147" s="1">
        <f ca="1">OFFSET(A147,0, 7) -0</f>
        <v>28.771144600542129</v>
      </c>
      <c r="BI147" s="1">
        <f ca="1">OFFSET(A147,0, 6) -0</f>
        <v>-8.043192744813723</v>
      </c>
      <c r="BJ147" s="1">
        <f ca="1">OFFSET(A147,0, 9) -0</f>
        <v>-67.600180708745938</v>
      </c>
      <c r="BK147" s="1">
        <f ca="1">OFFSET(A147,0, 8) -0</f>
        <v>-14.414518054101791</v>
      </c>
      <c r="BL147" s="1">
        <f ca="1">OFFSET(A147,0, 11) -0</f>
        <v>-33.971506018033949</v>
      </c>
      <c r="BM147" s="1">
        <f ca="1">OFFSET(A147,0, 10) -0</f>
        <v>-70.785843363389915</v>
      </c>
      <c r="BN147" s="1">
        <f ca="1">OFFSET(A147,0, 12) -0</f>
        <v>-17.157168672677983</v>
      </c>
      <c r="BO147" s="1">
        <f ca="1">OFFSET(A147,0, 13) -0</f>
        <v>29.657168672677983</v>
      </c>
      <c r="BP147" s="1">
        <f ca="1">OFFSET(A147,0, 14) -0</f>
        <v>-3.5284939819660508</v>
      </c>
      <c r="BQ147" s="1">
        <f ca="1">OFFSET(A147,0, 15) -0</f>
        <v>13.285843363389915</v>
      </c>
      <c r="BR147" s="1">
        <f ca="1">OFFSET(A147,0, 16) -0</f>
        <v>30.100180708745938</v>
      </c>
      <c r="BS147" s="1">
        <f ca="1">OFFSET(A147,0, 17) -0</f>
        <v>-13.085481945898209</v>
      </c>
      <c r="BT147" s="1">
        <f ca="1">OFFSET(A147,0, 18) -0</f>
        <v>33.728855399457871</v>
      </c>
      <c r="BU147" s="1">
        <f ca="1">OFFSET(A147,0, 19) -0</f>
        <v>0.54319274481372304</v>
      </c>
      <c r="BV147" s="1">
        <f ca="1">OFFSET(A147,0, 20) -0</f>
        <v>-12.642469909830197</v>
      </c>
      <c r="BW147" s="1">
        <f ca="1">OFFSET(A147,0, 21) -0</f>
        <v>-25.828132564474345</v>
      </c>
      <c r="BX147" s="1">
        <f ca="1">OFFSET(A147,0, 22) -0</f>
        <v>-19.013795219118265</v>
      </c>
      <c r="BY147" s="1">
        <f ca="1">OFFSET(A147,0, 23) -0</f>
        <v>-42.199457873762412</v>
      </c>
      <c r="BZ147" s="1">
        <f ca="1">OFFSET(A147,0, 24) -0</f>
        <v>24.614879471593667</v>
      </c>
      <c r="CB147" s="1">
        <f>COUNTIF(B147,"&lt;-68")</f>
        <v>0</v>
      </c>
      <c r="CC147" s="1">
        <f ca="1">COUNTIF(BC147:BN147,"&lt;-48")</f>
        <v>2</v>
      </c>
      <c r="CD147" s="1">
        <f ca="1">COUNTIF(BC147:BN147,"&gt;+48")</f>
        <v>1</v>
      </c>
      <c r="CE147" s="1">
        <f ca="1">COUNTIF(BO147:BZ147,"&lt;-48")</f>
        <v>0</v>
      </c>
      <c r="CF147" s="1">
        <f ca="1">COUNTIF(BO147:BZ147,"&gt;+48")</f>
        <v>0</v>
      </c>
    </row>
    <row r="148" spans="1:84"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</row>
    <row r="149" spans="1:84">
      <c r="A149" s="1" t="s">
        <v>49</v>
      </c>
      <c r="B149" s="1">
        <f>AVERAGE(B4:B147)</f>
        <v>10.922200043887674</v>
      </c>
      <c r="C149" s="1">
        <f>AVERAGE(C4:C147)</f>
        <v>11.897262358911695</v>
      </c>
      <c r="D149" s="1">
        <f>AVERAGE(D4:D147)</f>
        <v>7.5945468961579383</v>
      </c>
      <c r="E149" s="1">
        <f>AVERAGE(E4:E147)</f>
        <v>12.736275877848636</v>
      </c>
      <c r="F149" s="1">
        <f>AVERAGE(F4:F147)</f>
        <v>2.4613381928726645</v>
      </c>
      <c r="G149" s="1">
        <f>AVERAGE(G4:G147)</f>
        <v>6.4919560634522515</v>
      </c>
      <c r="H149" s="1">
        <f>AVERAGE(H4:H147)</f>
        <v>-1.28298162152373</v>
      </c>
      <c r="I149" s="1">
        <f>AVERAGE(I4:I147)</f>
        <v>5.5254140268336416</v>
      </c>
      <c r="J149" s="1">
        <f>AVERAGE(J4:J147)</f>
        <v>-2.8050792136978919</v>
      </c>
      <c r="K149" s="1">
        <f>AVERAGE(K4:K147)</f>
        <v>-5.9966835653405264</v>
      </c>
      <c r="L149" s="1">
        <f>AVERAGE(L4:L147)</f>
        <v>-11.063287916983166</v>
      </c>
      <c r="M149" s="1">
        <f>AVERAGE(M4:M147)</f>
        <v>-5.366003379736914</v>
      </c>
      <c r="N149" s="1">
        <f>AVERAGE(N4:N147)</f>
        <v>-5.6409410647128864</v>
      </c>
      <c r="O149" s="1">
        <f>AVERAGE(O4:O147)</f>
        <v>2.8341212503111417</v>
      </c>
      <c r="P149" s="1">
        <f>AVERAGE(P4:P147)</f>
        <v>-0.70470532355371729</v>
      </c>
      <c r="Q149" s="1">
        <f>AVERAGE(Q4:Q147)</f>
        <v>1.3814681025814248</v>
      </c>
      <c r="R149" s="1">
        <f>AVERAGE(R4:R147)</f>
        <v>-5.0045806935056643</v>
      </c>
      <c r="S149" s="1">
        <f>AVERAGE(S4:S147)</f>
        <v>-2.5017406007038483</v>
      </c>
      <c r="T149" s="1">
        <f>AVERAGE(T4:T147)</f>
        <v>-5.4155671745687179</v>
      </c>
      <c r="U149" s="1">
        <f>AVERAGE(U4:U147)</f>
        <v>-5.9682826373224644</v>
      </c>
      <c r="V149" s="1">
        <f>AVERAGE(V4:V147)</f>
        <v>-8.8821092111873252</v>
      </c>
      <c r="W149" s="1">
        <f>AVERAGE(W4:W147)</f>
        <v>-3.532046896163294</v>
      </c>
      <c r="X149" s="1">
        <f>AVERAGE(X4:X147)</f>
        <v>-8.6680956922503825</v>
      </c>
      <c r="Y149" s="1">
        <f>AVERAGE(Y4:Y147)</f>
        <v>10.987522178329193</v>
      </c>
      <c r="AB149" s="1">
        <f ca="1">(DEVSQ(BC4:BZ147)/(144*23))^0.5</f>
        <v>27.247710923641431</v>
      </c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 t="s">
        <v>49</v>
      </c>
      <c r="BC149" s="1">
        <f ca="1">AVERAGE(BC4:BC147)</f>
        <v>17.667511446248092</v>
      </c>
      <c r="BD149" s="1">
        <f ca="1">AVERAGE(BD4:BD147)</f>
        <v>10.457181855178213</v>
      </c>
      <c r="BE149" s="1">
        <f ca="1">AVERAGE(BE4:BE147)</f>
        <v>8.68018315631085E-2</v>
      </c>
      <c r="BF149" s="1">
        <f ca="1">AVERAGE(BF4:BF147)</f>
        <v>10.293022893465112</v>
      </c>
      <c r="BG149" s="1">
        <f ca="1">AVERAGE(BG4:BG147)</f>
        <v>8.0618886874652365</v>
      </c>
      <c r="BH149" s="1">
        <f ca="1">AVERAGE(BH4:BH147)</f>
        <v>10.136252658466598</v>
      </c>
      <c r="BI149" s="1">
        <f ca="1">AVERAGE(BI4:BI147)</f>
        <v>2.0693977718343941</v>
      </c>
      <c r="BJ149" s="1">
        <f ca="1">AVERAGE(BJ4:BJ147)</f>
        <v>-14.091800781031161</v>
      </c>
      <c r="BK149" s="1">
        <f ca="1">AVERAGE(BK4:BK147)</f>
        <v>-13.400142171495194</v>
      </c>
      <c r="BL149" s="1">
        <f ca="1">AVERAGE(BL4:BL147)</f>
        <v>9.2599406659943</v>
      </c>
      <c r="BM149" s="1">
        <f ca="1">AVERAGE(BM4:BM147)</f>
        <v>-12.461751534836315</v>
      </c>
      <c r="BN149" s="1">
        <f ca="1">AVERAGE(BN4:BN147)</f>
        <v>3.0366544398298942</v>
      </c>
      <c r="BO149" s="1">
        <f ca="1">AVERAGE(BO4:BO147)</f>
        <v>17.691623254525219</v>
      </c>
      <c r="BP149" s="1">
        <f ca="1">AVERAGE(BP4:BP147)</f>
        <v>10.883530684767596</v>
      </c>
      <c r="BQ149" s="1">
        <f ca="1">AVERAGE(BQ4:BQ147)</f>
        <v>-0.84468348957762884</v>
      </c>
      <c r="BR149" s="1">
        <f ca="1">AVERAGE(BR4:BR147)</f>
        <v>-3.9810555944698276</v>
      </c>
      <c r="BS149" s="1">
        <f ca="1">AVERAGE(BS4:BS147)</f>
        <v>-17.208713192678584</v>
      </c>
      <c r="BT149" s="1">
        <f ca="1">AVERAGE(BT4:BT147)</f>
        <v>8.1037725354982584</v>
      </c>
      <c r="BU149" s="1">
        <f ca="1">AVERAGE(BU4:BU147)</f>
        <v>2.5014354000515566</v>
      </c>
      <c r="BV149" s="1">
        <f ca="1">AVERAGE(BV4:BV147)</f>
        <v>0.53874041449263055</v>
      </c>
      <c r="BW149" s="1">
        <f ca="1">AVERAGE(BW4:BW147)</f>
        <v>-15.968095772140174</v>
      </c>
      <c r="BX149" s="1">
        <f ca="1">AVERAGE(BX4:BX147)</f>
        <v>-11.978339254602039</v>
      </c>
      <c r="BY149" s="1">
        <f ca="1">AVERAGE(BY4:BY147)</f>
        <v>-11.291446019289719</v>
      </c>
      <c r="BZ149" s="1">
        <f ca="1">AVERAGE(BZ4:BZ147)</f>
        <v>-9.5617267293238513</v>
      </c>
      <c r="CB149" s="1">
        <f>SUM(CB4:CB147)</f>
        <v>0</v>
      </c>
      <c r="CC149" s="1">
        <f ca="1">SUM(CC4:CC147)</f>
        <v>50</v>
      </c>
      <c r="CD149" s="1">
        <f ca="1">SUM(CD4:CD147)</f>
        <v>72</v>
      </c>
      <c r="CE149" s="1">
        <f ca="1">SUM(CE4:CE147)</f>
        <v>72</v>
      </c>
      <c r="CF149" s="1">
        <f ca="1">SUM(CF4:CF147)</f>
        <v>34</v>
      </c>
    </row>
    <row r="150" spans="1:84">
      <c r="A150" s="1" t="s">
        <v>67</v>
      </c>
      <c r="B150" s="1">
        <f>STDEV(B4:B147)</f>
        <v>28.111913656273856</v>
      </c>
      <c r="C150" s="1">
        <f>STDEV(C4:C147)</f>
        <v>23.20530390014585</v>
      </c>
      <c r="D150" s="1">
        <f>STDEV(D4:D147)</f>
        <v>25.725321334637673</v>
      </c>
      <c r="E150" s="1">
        <f>STDEV(E4:E147)</f>
        <v>26.140045456541088</v>
      </c>
      <c r="F150" s="1">
        <f>STDEV(F4:F147)</f>
        <v>26.379414623857091</v>
      </c>
      <c r="G150" s="1">
        <f>STDEV(G4:G147)</f>
        <v>26.081532946930356</v>
      </c>
      <c r="H150" s="1">
        <f>STDEV(H4:H147)</f>
        <v>25.117330457771729</v>
      </c>
      <c r="I150" s="1">
        <f>STDEV(I4:I147)</f>
        <v>25.580097849122211</v>
      </c>
      <c r="J150" s="1">
        <f>STDEV(J4:J147)</f>
        <v>23.858908626887381</v>
      </c>
      <c r="K150" s="1">
        <f>STDEV(K4:K147)</f>
        <v>27.563647199548768</v>
      </c>
      <c r="L150" s="1">
        <f>STDEV(L4:L147)</f>
        <v>32.113975842082446</v>
      </c>
      <c r="M150" s="1">
        <f>STDEV(M4:M147)</f>
        <v>29.119272471737407</v>
      </c>
      <c r="N150" s="1">
        <f>STDEV(N4:N147)</f>
        <v>25.936431087280596</v>
      </c>
      <c r="O150" s="1">
        <f>STDEV(O4:O147)</f>
        <v>24.610213090459077</v>
      </c>
      <c r="P150" s="1">
        <f>STDEV(P4:P147)</f>
        <v>24.870798011352615</v>
      </c>
      <c r="Q150" s="1">
        <f>STDEV(Q4:Q147)</f>
        <v>21.227120474984712</v>
      </c>
      <c r="R150" s="1">
        <f>STDEV(R4:R147)</f>
        <v>23.375027311352774</v>
      </c>
      <c r="S150" s="1">
        <f>STDEV(S4:S147)</f>
        <v>24.103940676176599</v>
      </c>
      <c r="T150" s="1">
        <f>STDEV(T4:T147)</f>
        <v>23.719281680416909</v>
      </c>
      <c r="U150" s="1">
        <f>STDEV(U4:U147)</f>
        <v>22.341722489021702</v>
      </c>
      <c r="V150" s="1">
        <f>STDEV(V4:V147)</f>
        <v>22.800459230515699</v>
      </c>
      <c r="W150" s="1">
        <f>STDEV(W4:W147)</f>
        <v>26.888851433232116</v>
      </c>
      <c r="X150" s="1">
        <f>STDEV(X4:X147)</f>
        <v>27.304269931922299</v>
      </c>
      <c r="Y150" s="1">
        <f>STDEV(Y4:Y147)</f>
        <v>30.60807441858644</v>
      </c>
      <c r="AA150" s="1">
        <f>MIN(B4:Y147)</f>
        <v>-203.92182609303933</v>
      </c>
      <c r="AB150" s="1">
        <f>'Team A 1'!AE151</f>
        <v>15.693650826502326</v>
      </c>
      <c r="BB150" s="1" t="s">
        <v>67</v>
      </c>
      <c r="BC150" s="1">
        <f ca="1">STDEV(BC4:BC147)</f>
        <v>19.284058425606656</v>
      </c>
      <c r="BD150" s="1">
        <f ca="1">STDEV(BD4:BD147)</f>
        <v>21.530813401324657</v>
      </c>
      <c r="BE150" s="1">
        <f ca="1">STDEV(BE4:BE147)</f>
        <v>22.464096947251498</v>
      </c>
      <c r="BF150" s="1">
        <f ca="1">STDEV(BF4:BF147)</f>
        <v>30.350422013997779</v>
      </c>
      <c r="BG150" s="1">
        <f ca="1">STDEV(BG4:BG147)</f>
        <v>23.63572641905834</v>
      </c>
      <c r="BH150" s="1">
        <f ca="1">STDEV(BH4:BH147)</f>
        <v>30.003552366819427</v>
      </c>
      <c r="BI150" s="1">
        <f ca="1">STDEV(BI4:BI147)</f>
        <v>26.748670807286292</v>
      </c>
      <c r="BJ150" s="1">
        <f ca="1">STDEV(BJ4:BJ147)</f>
        <v>28.495659863969042</v>
      </c>
      <c r="BK150" s="1">
        <f ca="1">STDEV(BK4:BK147)</f>
        <v>21.91032655837919</v>
      </c>
      <c r="BL150" s="1">
        <f ca="1">STDEV(BL4:BL147)</f>
        <v>31.823467504364316</v>
      </c>
      <c r="BM150" s="1">
        <f ca="1">STDEV(BM4:BM147)</f>
        <v>23.003293743928097</v>
      </c>
      <c r="BN150" s="1">
        <f ca="1">STDEV(BN4:BN147)</f>
        <v>26.422783212016643</v>
      </c>
      <c r="BO150" s="1">
        <f ca="1">STDEV(BO4:BO147)</f>
        <v>19.012396675513873</v>
      </c>
      <c r="BP150" s="1">
        <f ca="1">STDEV(BP4:BP147)</f>
        <v>22.396257393240429</v>
      </c>
      <c r="BQ150" s="1">
        <f ca="1">STDEV(BQ4:BQ147)</f>
        <v>22.876717737189594</v>
      </c>
      <c r="BR150" s="1">
        <f ca="1">STDEV(BR4:BR147)</f>
        <v>24.141175647009064</v>
      </c>
      <c r="BS150" s="1">
        <f ca="1">STDEV(BS4:BS147)</f>
        <v>19.92885378972538</v>
      </c>
      <c r="BT150" s="1">
        <f ca="1">STDEV(BT4:BT147)</f>
        <v>28.594439799225356</v>
      </c>
      <c r="BU150" s="1">
        <f ca="1">STDEV(BU4:BU147)</f>
        <v>23.877882350318409</v>
      </c>
      <c r="BV150" s="1">
        <f ca="1">STDEV(BV4:BV147)</f>
        <v>25.115881765009263</v>
      </c>
      <c r="BW150" s="1">
        <f ca="1">STDEV(BW4:BW147)</f>
        <v>21.474963790324814</v>
      </c>
      <c r="BX150" s="1">
        <f ca="1">STDEV(BX4:BX147)</f>
        <v>24.190750169277699</v>
      </c>
      <c r="BY150" s="1">
        <f ca="1">STDEV(BY4:BY147)</f>
        <v>19.312321907666426</v>
      </c>
      <c r="BZ150" s="1">
        <f ca="1">STDEV(BZ4:BZ147)</f>
        <v>25.348537636124885</v>
      </c>
    </row>
    <row r="151" spans="1:84" s="6" customFormat="1">
      <c r="A151" s="6" t="s">
        <v>68</v>
      </c>
      <c r="C151" s="6">
        <f>CORREL(B4:B147,C4:C147)</f>
        <v>0.40430280346558128</v>
      </c>
      <c r="D151" s="6">
        <f>CORREL(C4:C147,D4:D147)</f>
        <v>0.33788964553169853</v>
      </c>
      <c r="E151" s="6">
        <f>CORREL(D4:D147,E4:E147)</f>
        <v>0.39245788831007022</v>
      </c>
      <c r="F151" s="6">
        <f>CORREL(E4:E147,F4:F147)</f>
        <v>0.1514547839583322</v>
      </c>
      <c r="G151" s="6">
        <f>CORREL(F4:F147,G4:G147)</f>
        <v>0.32045519903987152</v>
      </c>
      <c r="H151" s="6">
        <f>CORREL(G4:G147,H4:H147)</f>
        <v>0.1954357197495093</v>
      </c>
      <c r="I151" s="6">
        <f>CORREL(H4:H147,I4:I147)</f>
        <v>0.20076000161695876</v>
      </c>
      <c r="J151" s="6">
        <f>CORREL(I4:I147,J4:J147)</f>
        <v>0.23695839052332798</v>
      </c>
      <c r="K151" s="6">
        <f>CORREL(J4:J147,K4:K147)</f>
        <v>0.29700554453526246</v>
      </c>
      <c r="L151" s="6">
        <f>CORREL(K4:K147,L4:L147)</f>
        <v>0.37256541529947557</v>
      </c>
      <c r="M151" s="6">
        <f>CORREL(L4:L147,M4:M147)</f>
        <v>0.54034449654715921</v>
      </c>
      <c r="N151" s="6">
        <f>CORREL(M4:M147,N4:N147)</f>
        <v>-6.1375858990364643E-2</v>
      </c>
      <c r="O151" s="6">
        <f>CORREL(N4:N147,O4:O147)</f>
        <v>0.40997088878090876</v>
      </c>
      <c r="P151" s="6">
        <f>CORREL(O4:O147,P4:P147)</f>
        <v>0.31819132407125095</v>
      </c>
      <c r="Q151" s="6">
        <f>CORREL(P4:P147,Q4:Q147)</f>
        <v>0.14794839381461944</v>
      </c>
      <c r="R151" s="6">
        <f>CORREL(Q4:Q147,R4:R147)</f>
        <v>0.1889278178348521</v>
      </c>
      <c r="S151" s="6">
        <f>CORREL(R4:R147,S4:S147)</f>
        <v>0.27372307275284941</v>
      </c>
      <c r="T151" s="6">
        <f>CORREL(S4:S147,T4:T147)</f>
        <v>0.25363231635567018</v>
      </c>
      <c r="U151" s="6">
        <f>CORREL(T4:T147,U4:U147)</f>
        <v>0.2044907733211922</v>
      </c>
      <c r="V151" s="6">
        <f>CORREL(U4:U147,V4:V147)</f>
        <v>0.21220173324606262</v>
      </c>
      <c r="W151" s="6">
        <f>CORREL(V4:V147,W4:W147)</f>
        <v>0.28526906524821299</v>
      </c>
      <c r="X151" s="6">
        <f>CORREL(W4:W147,X4:X147)</f>
        <v>0.2852184207748531</v>
      </c>
      <c r="Y151" s="6">
        <f>CORREL(X4:X147,Y4:Y147)</f>
        <v>0.42524407647233997</v>
      </c>
      <c r="AA151" s="1">
        <f>MAX(B4:Y147)</f>
        <v>97.547217348957474</v>
      </c>
      <c r="AB151" s="6">
        <f ca="1">IF(AB149&lt;AB150,((AB150^2-AB149^2)/4)^0.5,0)</f>
        <v>0</v>
      </c>
      <c r="BB151" s="6" t="s">
        <v>72</v>
      </c>
      <c r="BO151" s="6">
        <f ca="1">((BC150^2+BO150^2)/2)^0.5</f>
        <v>19.148709313022927</v>
      </c>
      <c r="BP151" s="6">
        <f ca="1">((BD150^2+BP150^2)/2)^0.5</f>
        <v>21.967797692838239</v>
      </c>
      <c r="BQ151" s="6">
        <f ca="1">((BE150^2+BQ150^2)/2)^0.5</f>
        <v>22.671346079165204</v>
      </c>
      <c r="BR151" s="6">
        <f ca="1">((BF150^2+BR150^2)/2)^0.5</f>
        <v>27.422112227612086</v>
      </c>
      <c r="BS151" s="6">
        <f ca="1">((BG150^2+BS150^2)/2)^0.5</f>
        <v>21.861001540744009</v>
      </c>
      <c r="BT151" s="6">
        <f ca="1">((BH150^2+BT150^2)/2)^0.5</f>
        <v>29.307466131175506</v>
      </c>
      <c r="BU151" s="6">
        <f ca="1">((BI150^2+BU150^2)/2)^0.5</f>
        <v>25.353941069311269</v>
      </c>
      <c r="BV151" s="6">
        <f ca="1">((BJ150^2+BV150^2)/2)^0.5</f>
        <v>26.858984976325342</v>
      </c>
      <c r="BW151" s="6">
        <f ca="1">((BK150^2+BW150^2)/2)^0.5</f>
        <v>21.693737341576007</v>
      </c>
      <c r="BX151" s="6">
        <f ca="1">((BL150^2+BX150^2)/2)^0.5</f>
        <v>28.265928940632222</v>
      </c>
      <c r="BY151" s="6">
        <f ca="1">((BM150^2+BY150^2)/2)^0.5</f>
        <v>21.238141403319336</v>
      </c>
      <c r="BZ151" s="6">
        <f ca="1">((BN150^2+BZ150^2)/2)^0.5</f>
        <v>25.891232424889207</v>
      </c>
    </row>
    <row r="152" spans="1:84">
      <c r="AB152" s="1">
        <f ca="1">(AB149^2+AB151^2)^0.5</f>
        <v>27.247710923641431</v>
      </c>
    </row>
    <row r="153" spans="1:84">
      <c r="A153" s="1" t="s">
        <v>69</v>
      </c>
      <c r="BB153" s="1" t="s">
        <v>69</v>
      </c>
    </row>
    <row r="154" spans="1:84">
      <c r="A154" s="1" t="s">
        <v>70</v>
      </c>
      <c r="B154" s="1">
        <f>SUMIF(B4:B147,"&lt;0")</f>
        <v>-985.15915970465721</v>
      </c>
      <c r="C154" s="1">
        <f>SUMIF(C4:C147,"&lt;0")</f>
        <v>-608.51021939123871</v>
      </c>
      <c r="D154" s="1">
        <f>SUMIF(D4:D147,"&lt;0")</f>
        <v>-1010.2132375145754</v>
      </c>
      <c r="E154" s="1">
        <f>SUMIF(E4:E147,"&lt;0")</f>
        <v>-715.70015949836397</v>
      </c>
      <c r="F154" s="1">
        <f>SUMIF(F4:F147,"&lt;0")</f>
        <v>-1337.686553616099</v>
      </c>
      <c r="G154" s="1">
        <f>SUMIF(G4:G147,"&lt;0")</f>
        <v>-1053.7688827457555</v>
      </c>
      <c r="H154" s="1">
        <f>SUMIF(H4:H147,"&lt;0")</f>
        <v>-1556.3027776181686</v>
      </c>
      <c r="I154" s="1">
        <f>SUMIF(I4:I147,"&lt;0")</f>
        <v>-1070.3383285879513</v>
      </c>
      <c r="J154" s="1">
        <f>SUMIF(J4:J147,"&lt;0")</f>
        <v>-1591.1336507721558</v>
      </c>
      <c r="K154" s="1">
        <f>SUMIF(K4:K147,"&lt;0")</f>
        <v>-1947.5582330332411</v>
      </c>
      <c r="L154" s="1">
        <f>SUMIF(L4:L147,"&lt;0")</f>
        <v>-2526.2115724302298</v>
      </c>
      <c r="M154" s="1">
        <f>SUMIF(M4:M147,"&lt;0")</f>
        <v>-1910.2514433932322</v>
      </c>
      <c r="N154" s="1">
        <f>SUMIF(N4:N147,"&lt;0")</f>
        <v>-1945.7451389591083</v>
      </c>
      <c r="O154" s="1">
        <f>SUMIF(O4:O147,"&lt;0")</f>
        <v>-1214.4299106523401</v>
      </c>
      <c r="P154" s="1">
        <f>SUMIF(P4:P147,"&lt;0")</f>
        <v>-1444.2238661366237</v>
      </c>
      <c r="Q154" s="1">
        <f>SUMIF(Q4:Q147,"&lt;0")</f>
        <v>-1129.125635716292</v>
      </c>
      <c r="R154" s="1">
        <f>SUMIF(R4:R147,"&lt;0")</f>
        <v>-1725.8946191216455</v>
      </c>
      <c r="S154" s="1">
        <f>SUMIF(S4:S147,"&lt;0")</f>
        <v>-1546.472126155935</v>
      </c>
      <c r="T154" s="1">
        <f>SUMIF(T4:T147,"&lt;0")</f>
        <v>-1824.0481364713862</v>
      </c>
      <c r="U154" s="1">
        <f>SUMIF(U4:U147,"&lt;0")</f>
        <v>-1780.2023236892921</v>
      </c>
      <c r="V154" s="1">
        <f>SUMIF(V4:V147,"&lt;0")</f>
        <v>-2054.9631212763038</v>
      </c>
      <c r="W154" s="1">
        <f>SUMIF(W4:W147,"&lt;0")</f>
        <v>-1720.0814237884333</v>
      </c>
      <c r="X154" s="1">
        <f>SUMIF(X4:X147,"&lt;0")</f>
        <v>-2133.7573008489499</v>
      </c>
      <c r="Y154" s="1">
        <f>SUMIF(Y4:Y147,"&lt;0")</f>
        <v>-1018.9767547203019</v>
      </c>
      <c r="BB154" s="1" t="s">
        <v>70</v>
      </c>
      <c r="BC154" s="1">
        <f ca="1">SUMIF(BC4:BC147,"&lt;0")</f>
        <v>-239.77409909270602</v>
      </c>
      <c r="BD154" s="1">
        <f ca="1">SUMIF(BD4:BD147,"&lt;0")</f>
        <v>-497.64097498857399</v>
      </c>
      <c r="BE154" s="1">
        <f ca="1">SUMIF(BE4:BE147,"&lt;0")</f>
        <v>-1309.8404238746241</v>
      </c>
      <c r="BF154" s="1">
        <f ca="1">SUMIF(BF4:BF147,"&lt;0")</f>
        <v>-1085.4095395764564</v>
      </c>
      <c r="BG154" s="1">
        <f ca="1">SUMIF(BG4:BG147,"&lt;0")</f>
        <v>-861.90185765753836</v>
      </c>
      <c r="BH154" s="1">
        <f ca="1">SUMIF(BH4:BH147,"&lt;0")</f>
        <v>-1073.4669415646565</v>
      </c>
      <c r="BI154" s="1">
        <f ca="1">SUMIF(BI4:BI147,"&lt;0")</f>
        <v>-1423.3231265249767</v>
      </c>
      <c r="BJ154" s="1">
        <f ca="1">SUMIF(BJ4:BJ147,"&lt;0")</f>
        <v>-2696.1153641978785</v>
      </c>
      <c r="BK154" s="1">
        <f ca="1">SUMIF(BK4:BK147,"&lt;0")</f>
        <v>-2483.9215175226454</v>
      </c>
      <c r="BL154" s="1">
        <f ca="1">SUMIF(BL4:BL147,"&lt;0")</f>
        <v>-1061.5744788448515</v>
      </c>
      <c r="BM154" s="1">
        <f ca="1">SUMIF(BM4:BM147,"&lt;0")</f>
        <v>-2394.9021949884664</v>
      </c>
      <c r="BN154" s="1">
        <f ca="1">SUMIF(BN4:BN147,"&lt;0")</f>
        <v>-1184.963699472296</v>
      </c>
      <c r="BO154" s="1">
        <f ca="1">SUMIF(BO4:BO147,"&lt;0")</f>
        <v>-214.63528709696442</v>
      </c>
      <c r="BP154" s="1">
        <f ca="1">SUMIF(BP4:BP147,"&lt;0")</f>
        <v>-553.21321834124751</v>
      </c>
      <c r="BQ154" s="1">
        <f ca="1">SUMIF(BQ4:BQ147,"&lt;0")</f>
        <v>-1375.7895402234749</v>
      </c>
      <c r="BR154" s="1">
        <f ca="1">SUMIF(BR4:BR147,"&lt;0")</f>
        <v>-1669.6134264919085</v>
      </c>
      <c r="BS154" s="1">
        <f ca="1">SUMIF(BS4:BS147,"&lt;0")</f>
        <v>-2735.0554768651164</v>
      </c>
      <c r="BT154" s="1">
        <f ca="1">SUMIF(BT4:BT147,"&lt;0")</f>
        <v>-988.2184310935437</v>
      </c>
      <c r="BU154" s="1">
        <f ca="1">SUMIF(BU4:BU147,"&lt;0")</f>
        <v>-1268.2240992123923</v>
      </c>
      <c r="BV154" s="1">
        <f ca="1">SUMIF(BV4:BV147,"&lt;0")</f>
        <v>-1372.2326846752619</v>
      </c>
      <c r="BW154" s="1">
        <f ca="1">SUMIF(BW4:BW147,"&lt;0")</f>
        <v>-2668.9478658874154</v>
      </c>
      <c r="BX154" s="1">
        <f ca="1">SUMIF(BX4:BX147,"&lt;0")</f>
        <v>-2417.2977122610746</v>
      </c>
      <c r="BY154" s="1">
        <f ca="1">SUMIF(BY4:BY147,"&lt;0")</f>
        <v>-2100.0845694151112</v>
      </c>
      <c r="BZ154" s="1">
        <f ca="1">SUMIF(BZ4:BZ147,"&lt;0")</f>
        <v>-2174.6080459731011</v>
      </c>
    </row>
    <row r="155" spans="1:84">
      <c r="A155" s="1" t="s">
        <v>71</v>
      </c>
      <c r="B155" s="1">
        <f>SUMIF(B4:B147,"&gt;0")</f>
        <v>2557.9559660244822</v>
      </c>
      <c r="C155" s="1">
        <f>SUMIF(C4:C147,"&gt;0")</f>
        <v>2321.7159990745222</v>
      </c>
      <c r="D155" s="1">
        <f>SUMIF(D4:D147,"&gt;0")</f>
        <v>2103.8279905613181</v>
      </c>
      <c r="E155" s="1">
        <f>SUMIF(E4:E147,"&gt;0")</f>
        <v>2549.7238859085678</v>
      </c>
      <c r="F155" s="1">
        <f>SUMIF(F4:F147,"&gt;0")</f>
        <v>1692.1192533897627</v>
      </c>
      <c r="G155" s="1">
        <f>SUMIF(G4:G147,"&gt;0")</f>
        <v>1988.6105558828797</v>
      </c>
      <c r="H155" s="1">
        <f>SUMIF(H4:H147,"&gt;0")</f>
        <v>1371.5534241187515</v>
      </c>
      <c r="I155" s="1">
        <f>SUMIF(I4:I147,"&gt;0")</f>
        <v>1865.9979484519954</v>
      </c>
      <c r="J155" s="1">
        <f>SUMIF(J4:J147,"&gt;0")</f>
        <v>1187.2022439996595</v>
      </c>
      <c r="K155" s="1">
        <f>SUMIF(K4:K147,"&gt;0")</f>
        <v>1084.0357996242055</v>
      </c>
      <c r="L155" s="1">
        <f>SUMIF(L4:L147,"&gt;0")</f>
        <v>933.09811238465534</v>
      </c>
      <c r="M155" s="1">
        <f>SUMIF(M4:M147,"&gt;0")</f>
        <v>1137.5469567111168</v>
      </c>
      <c r="N155" s="1">
        <f>SUMIF(N4:N147,"&gt;0")</f>
        <v>1133.4496256404525</v>
      </c>
      <c r="O155" s="1">
        <f>SUMIF(O4:O147,"&gt;0")</f>
        <v>1622.5433706971448</v>
      </c>
      <c r="P155" s="1">
        <f>SUMIF(P4:P147,"&gt;0")</f>
        <v>1342.746299544888</v>
      </c>
      <c r="Q155" s="1">
        <f>SUMIF(Q4:Q147,"&gt;0")</f>
        <v>1328.0570424880168</v>
      </c>
      <c r="R155" s="1">
        <f>SUMIF(R4:R147,"&gt;0")</f>
        <v>1005.23499925683</v>
      </c>
      <c r="S155" s="1">
        <f>SUMIF(S4:S147,"&gt;0")</f>
        <v>1186.2214796545809</v>
      </c>
      <c r="T155" s="1">
        <f>SUMIF(T4:T147,"&gt;0")</f>
        <v>1044.2064633334908</v>
      </c>
      <c r="U155" s="1">
        <f>SUMIF(U4:U147,"&gt;0")</f>
        <v>920.76962391485722</v>
      </c>
      <c r="V155" s="1">
        <f>SUMIF(V4:V147,"&gt;0")</f>
        <v>775.93939486532895</v>
      </c>
      <c r="W155" s="1">
        <f>SUMIF(W4:W147,"&gt;0")</f>
        <v>1211.466670740919</v>
      </c>
      <c r="X155" s="1">
        <f>SUMIF(X4:X147,"&gt;0")</f>
        <v>885.55152116489467</v>
      </c>
      <c r="Y155" s="1">
        <f>SUMIF(Y4:Y147,"&gt;0")</f>
        <v>2601.1799483997056</v>
      </c>
      <c r="BB155" s="1" t="s">
        <v>71</v>
      </c>
      <c r="BC155" s="1">
        <f ca="1">SUMIF(BC4:BC147,"&gt;0")</f>
        <v>2783.895747352431</v>
      </c>
      <c r="BD155" s="1">
        <f ca="1">SUMIF(BD4:BD147,"&gt;0")</f>
        <v>2003.4751621342373</v>
      </c>
      <c r="BE155" s="1">
        <f ca="1">SUMIF(BE4:BE147,"&gt;0")</f>
        <v>1322.3398876197123</v>
      </c>
      <c r="BF155" s="1">
        <f ca="1">SUMIF(BF4:BF147,"&gt;0")</f>
        <v>2567.6048362354318</v>
      </c>
      <c r="BG155" s="1">
        <f ca="1">SUMIF(BG4:BG147,"&gt;0")</f>
        <v>2022.8138286525327</v>
      </c>
      <c r="BH155" s="1">
        <f ca="1">SUMIF(BH4:BH147,"&gt;0")</f>
        <v>2533.0873243838469</v>
      </c>
      <c r="BI155" s="1">
        <f ca="1">SUMIF(BI4:BI147,"&gt;0")</f>
        <v>1721.3164056691294</v>
      </c>
      <c r="BJ155" s="1">
        <f ca="1">SUMIF(BJ4:BJ147,"&gt;0")</f>
        <v>666.89605172939127</v>
      </c>
      <c r="BK155" s="1">
        <f ca="1">SUMIF(BK4:BK147,"&gt;0")</f>
        <v>554.30104482733782</v>
      </c>
      <c r="BL155" s="1">
        <f ca="1">SUMIF(BL4:BL147,"&gt;0")</f>
        <v>2395.0059347480296</v>
      </c>
      <c r="BM155" s="1">
        <f ca="1">SUMIF(BM4:BM147,"&gt;0")</f>
        <v>600.40997397203728</v>
      </c>
      <c r="BN155" s="1">
        <f ca="1">SUMIF(BN4:BN147,"&gt;0")</f>
        <v>1622.2419388078001</v>
      </c>
      <c r="BO155" s="1">
        <f ca="1">SUMIF(BO4:BO147,"&gt;0")</f>
        <v>2762.2290357485954</v>
      </c>
      <c r="BP155" s="1">
        <f ca="1">SUMIF(BP4:BP147,"&gt;0")</f>
        <v>2120.4416369477813</v>
      </c>
      <c r="BQ155" s="1">
        <f ca="1">SUMIF(BQ4:BQ147,"&gt;0")</f>
        <v>1254.1551177242964</v>
      </c>
      <c r="BR155" s="1">
        <f ca="1">SUMIF(BR4:BR147,"&gt;0")</f>
        <v>1096.3414208882534</v>
      </c>
      <c r="BS155" s="1">
        <f ca="1">SUMIF(BS4:BS147,"&gt;0")</f>
        <v>257.00077711940122</v>
      </c>
      <c r="BT155" s="1">
        <f ca="1">SUMIF(BT4:BT147,"&gt;0")</f>
        <v>2155.1616762052927</v>
      </c>
      <c r="BU155" s="1">
        <f ca="1">SUMIF(BU4:BU147,"&gt;0")</f>
        <v>1628.4307968198166</v>
      </c>
      <c r="BV155" s="1">
        <f ca="1">SUMIF(BV4:BV147,"&gt;0")</f>
        <v>1449.8113043622006</v>
      </c>
      <c r="BW155" s="1">
        <f ca="1">SUMIF(BW4:BW147,"&gt;0")</f>
        <v>369.54207469923153</v>
      </c>
      <c r="BX155" s="1">
        <f ca="1">SUMIF(BX4:BX147,"&gt;0")</f>
        <v>692.41685959838082</v>
      </c>
      <c r="BY155" s="1">
        <f ca="1">SUMIF(BY4:BY147,"&gt;0")</f>
        <v>474.11634263739097</v>
      </c>
      <c r="BZ155" s="1">
        <f ca="1">SUMIF(BZ4:BZ147,"&gt;0")</f>
        <v>797.71939695046694</v>
      </c>
    </row>
    <row r="156" spans="1:84">
      <c r="A156" s="1" t="s">
        <v>72</v>
      </c>
      <c r="B156" s="1">
        <f>-B154+B155</f>
        <v>3543.1151257291394</v>
      </c>
      <c r="C156" s="1">
        <f>-C154+C155</f>
        <v>2930.2262184657611</v>
      </c>
      <c r="D156" s="1">
        <f>-D154+D155</f>
        <v>3114.0412280758937</v>
      </c>
      <c r="E156" s="1">
        <f>-E154+E155</f>
        <v>3265.4240454069318</v>
      </c>
      <c r="F156" s="1">
        <f>-F154+F155</f>
        <v>3029.8058070058614</v>
      </c>
      <c r="G156" s="1">
        <f>-G154+G155</f>
        <v>3042.3794386286354</v>
      </c>
      <c r="H156" s="1">
        <f>-H154+H155</f>
        <v>2927.8562017369204</v>
      </c>
      <c r="I156" s="1">
        <f>-I154+I155</f>
        <v>2936.3362770399467</v>
      </c>
      <c r="J156" s="1">
        <f>-J154+J155</f>
        <v>2778.3358947718152</v>
      </c>
      <c r="K156" s="1">
        <f>-K154+K155</f>
        <v>3031.5940326574464</v>
      </c>
      <c r="L156" s="1">
        <f>-L154+L155</f>
        <v>3459.3096848148853</v>
      </c>
      <c r="M156" s="1">
        <f>-M154+M155</f>
        <v>3047.7984001043487</v>
      </c>
      <c r="N156" s="1">
        <f>-N154+N155</f>
        <v>3079.1947645995606</v>
      </c>
      <c r="O156" s="1">
        <f>-O154+O155</f>
        <v>2836.9732813494848</v>
      </c>
      <c r="P156" s="1">
        <f>-P154+P155</f>
        <v>2786.9701656815114</v>
      </c>
      <c r="Q156" s="1">
        <f>-Q154+Q155</f>
        <v>2457.182678204309</v>
      </c>
      <c r="R156" s="1">
        <f>-R154+R155</f>
        <v>2731.1296183784752</v>
      </c>
      <c r="S156" s="1">
        <f>-S154+S155</f>
        <v>2732.6936058105157</v>
      </c>
      <c r="T156" s="1">
        <f>-T154+T155</f>
        <v>2868.2545998048772</v>
      </c>
      <c r="U156" s="1">
        <f>-U154+U155</f>
        <v>2700.9719476041491</v>
      </c>
      <c r="V156" s="1">
        <f>-V154+V155</f>
        <v>2830.902516141633</v>
      </c>
      <c r="W156" s="1">
        <f>-W154+W155</f>
        <v>2931.5480945293521</v>
      </c>
      <c r="X156" s="1">
        <f>-X154+X155</f>
        <v>3019.3088220138443</v>
      </c>
      <c r="Y156" s="1">
        <f>-Y154+Y155</f>
        <v>3620.1567031200075</v>
      </c>
      <c r="BB156" s="1" t="s">
        <v>72</v>
      </c>
      <c r="BC156" s="1">
        <f ca="1">-BC154 + BC155</f>
        <v>3023.669846445137</v>
      </c>
      <c r="BD156" s="1">
        <f ca="1">-BD154 + BD155</f>
        <v>2501.1161371228113</v>
      </c>
      <c r="BE156" s="1">
        <f ca="1">-BE154 + BE155</f>
        <v>2632.1803114943364</v>
      </c>
      <c r="BF156" s="1">
        <f ca="1">-BF154 + BF155</f>
        <v>3653.0143758118884</v>
      </c>
      <c r="BG156" s="1">
        <f ca="1">-BG154 + BG155</f>
        <v>2884.7156863100709</v>
      </c>
      <c r="BH156" s="1">
        <f ca="1">-BH154 + BH155</f>
        <v>3606.5542659485036</v>
      </c>
      <c r="BI156" s="1">
        <f ca="1">-BI154 + BI155</f>
        <v>3144.6395321941063</v>
      </c>
      <c r="BJ156" s="1">
        <f ca="1">-BJ154 + BJ155</f>
        <v>3363.0114159272698</v>
      </c>
      <c r="BK156" s="1">
        <f ca="1">-BK154 + BK155</f>
        <v>3038.2225623499835</v>
      </c>
      <c r="BL156" s="1">
        <f ca="1">-BL154 + BL155</f>
        <v>3456.5804135928811</v>
      </c>
      <c r="BM156" s="1">
        <f ca="1">-BM154 + BM155</f>
        <v>2995.3121689605036</v>
      </c>
      <c r="BN156" s="1">
        <f ca="1">-BN154 + BN155</f>
        <v>2807.2056382800961</v>
      </c>
      <c r="BO156" s="1">
        <f ca="1">-BO154 + BO155</f>
        <v>2976.8643228455599</v>
      </c>
      <c r="BP156" s="1">
        <f ca="1">-BP154 + BP155</f>
        <v>2673.654855289029</v>
      </c>
      <c r="BQ156" s="1">
        <f ca="1">-BQ154 + BQ155</f>
        <v>2629.9446579477712</v>
      </c>
      <c r="BR156" s="1">
        <f ca="1">-BR154 + BR155</f>
        <v>2765.9548473801619</v>
      </c>
      <c r="BS156" s="1">
        <f ca="1">-BS154 + BS155</f>
        <v>2992.0562539845178</v>
      </c>
      <c r="BT156" s="1">
        <f ca="1">-BT154 + BT155</f>
        <v>3143.3801072988363</v>
      </c>
      <c r="BU156" s="1">
        <f ca="1">-BU154 + BU155</f>
        <v>2896.6548960322089</v>
      </c>
      <c r="BV156" s="1">
        <f ca="1">-BV154 + BV155</f>
        <v>2822.0439890374628</v>
      </c>
      <c r="BW156" s="1">
        <f ca="1">-BW154 + BW155</f>
        <v>3038.4899405866472</v>
      </c>
      <c r="BX156" s="1">
        <f ca="1">-BX154 + BX155</f>
        <v>3109.7145718594556</v>
      </c>
      <c r="BY156" s="1">
        <f ca="1">-BY154 + BY155</f>
        <v>2574.2009120525022</v>
      </c>
      <c r="BZ156" s="1">
        <f ca="1">-BZ154 + BZ155</f>
        <v>2972.327442923568</v>
      </c>
    </row>
    <row r="157" spans="1:84">
      <c r="BB157" s="1" t="s">
        <v>73</v>
      </c>
      <c r="BO157" s="1">
        <f ca="1">BC156+BO156</f>
        <v>6000.5341692906968</v>
      </c>
      <c r="BP157" s="1">
        <f ca="1">BD156+BP156</f>
        <v>5174.7709924118408</v>
      </c>
      <c r="BQ157" s="1">
        <f ca="1">BE156+BQ156</f>
        <v>5262.1249694421076</v>
      </c>
      <c r="BR157" s="1">
        <f ca="1">BF156+BR156</f>
        <v>6418.9692231920508</v>
      </c>
      <c r="BS157" s="1">
        <f ca="1">BG156+BS156</f>
        <v>5876.7719402945886</v>
      </c>
      <c r="BT157" s="1">
        <f ca="1">BH156+BT156</f>
        <v>6749.9343732473399</v>
      </c>
      <c r="BU157" s="1">
        <f ca="1">BI156+BU156</f>
        <v>6041.2944282263152</v>
      </c>
      <c r="BV157" s="1">
        <f ca="1">BJ156+BV156</f>
        <v>6185.0554049647326</v>
      </c>
      <c r="BW157" s="1">
        <f ca="1">BK156+BW156</f>
        <v>6076.7125029366307</v>
      </c>
      <c r="BX157" s="1">
        <f ca="1">BL156+BX156</f>
        <v>6566.2949854523367</v>
      </c>
      <c r="BY157" s="1">
        <f ca="1">BM156+BY156</f>
        <v>5569.5130810130058</v>
      </c>
      <c r="BZ157" s="1">
        <f ca="1">BN156+BZ156</f>
        <v>5779.5330812036646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/>
  <dimension ref="A1:Z309"/>
  <sheetViews>
    <sheetView workbookViewId="0"/>
  </sheetViews>
  <sheetFormatPr defaultRowHeight="12.75"/>
  <cols>
    <col min="15" max="26" width="2.85546875" customWidth="1"/>
  </cols>
  <sheetData>
    <row r="1" spans="1:26">
      <c r="A1">
        <v>0</v>
      </c>
      <c r="B1">
        <v>220</v>
      </c>
      <c r="C1">
        <v>470</v>
      </c>
      <c r="D1">
        <v>650</v>
      </c>
      <c r="E1">
        <v>890</v>
      </c>
      <c r="F1">
        <v>1130</v>
      </c>
      <c r="G1">
        <v>1380</v>
      </c>
      <c r="H1">
        <v>1590</v>
      </c>
      <c r="I1">
        <v>1760</v>
      </c>
      <c r="J1">
        <v>1980</v>
      </c>
      <c r="K1">
        <v>2140</v>
      </c>
      <c r="L1">
        <v>2290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 t="s">
        <v>45</v>
      </c>
      <c r="Y1" t="s">
        <v>46</v>
      </c>
      <c r="Z1" t="s">
        <v>47</v>
      </c>
    </row>
    <row r="2" spans="1:26">
      <c r="A2">
        <v>2650</v>
      </c>
      <c r="B2">
        <v>2890</v>
      </c>
      <c r="C2">
        <v>3000</v>
      </c>
      <c r="D2">
        <v>3190</v>
      </c>
      <c r="E2">
        <v>3390</v>
      </c>
      <c r="F2">
        <v>3600</v>
      </c>
      <c r="G2">
        <v>3840</v>
      </c>
      <c r="H2">
        <v>4050</v>
      </c>
      <c r="I2">
        <v>4200</v>
      </c>
      <c r="J2">
        <v>4380</v>
      </c>
      <c r="K2">
        <v>4640</v>
      </c>
      <c r="L2">
        <v>4860</v>
      </c>
      <c r="O2">
        <v>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  <c r="V2">
        <v>8</v>
      </c>
      <c r="W2">
        <v>9</v>
      </c>
      <c r="X2" t="s">
        <v>45</v>
      </c>
      <c r="Y2" t="s">
        <v>46</v>
      </c>
      <c r="Z2" t="s">
        <v>47</v>
      </c>
    </row>
    <row r="3" spans="1:26">
      <c r="A3">
        <v>5260</v>
      </c>
      <c r="B3">
        <v>5460</v>
      </c>
      <c r="C3">
        <v>5650</v>
      </c>
      <c r="D3">
        <v>5880</v>
      </c>
      <c r="E3">
        <v>6070</v>
      </c>
      <c r="F3">
        <v>6270</v>
      </c>
      <c r="G3">
        <v>6440</v>
      </c>
      <c r="H3">
        <v>6670</v>
      </c>
      <c r="I3">
        <v>6850</v>
      </c>
      <c r="J3">
        <v>7070</v>
      </c>
      <c r="K3">
        <v>7250</v>
      </c>
      <c r="L3">
        <v>7440</v>
      </c>
      <c r="O3">
        <v>1</v>
      </c>
      <c r="P3">
        <v>2</v>
      </c>
      <c r="Q3">
        <v>3</v>
      </c>
      <c r="R3">
        <v>4</v>
      </c>
      <c r="S3">
        <v>5</v>
      </c>
      <c r="T3">
        <v>6</v>
      </c>
      <c r="U3">
        <v>7</v>
      </c>
      <c r="V3">
        <v>8</v>
      </c>
      <c r="W3">
        <v>9</v>
      </c>
      <c r="X3" t="s">
        <v>45</v>
      </c>
      <c r="Y3" t="s">
        <v>46</v>
      </c>
      <c r="Z3" t="s">
        <v>47</v>
      </c>
    </row>
    <row r="4" spans="1:26">
      <c r="A4">
        <v>7680</v>
      </c>
      <c r="B4">
        <v>7850</v>
      </c>
      <c r="C4">
        <v>8020</v>
      </c>
      <c r="D4">
        <v>8190</v>
      </c>
      <c r="E4">
        <v>8380</v>
      </c>
      <c r="F4">
        <v>8620</v>
      </c>
      <c r="G4">
        <v>8820</v>
      </c>
      <c r="H4">
        <v>9020</v>
      </c>
      <c r="I4">
        <v>9180</v>
      </c>
      <c r="J4">
        <v>9380</v>
      </c>
      <c r="K4">
        <v>9600</v>
      </c>
      <c r="L4">
        <v>9830</v>
      </c>
      <c r="O4">
        <v>1</v>
      </c>
      <c r="P4">
        <v>2</v>
      </c>
      <c r="Q4">
        <v>3</v>
      </c>
      <c r="R4">
        <v>4</v>
      </c>
      <c r="S4">
        <v>5</v>
      </c>
      <c r="T4">
        <v>6</v>
      </c>
      <c r="U4">
        <v>7</v>
      </c>
      <c r="V4">
        <v>8</v>
      </c>
      <c r="W4">
        <v>9</v>
      </c>
      <c r="X4" t="s">
        <v>45</v>
      </c>
      <c r="Y4" t="s">
        <v>46</v>
      </c>
      <c r="Z4" t="s">
        <v>47</v>
      </c>
    </row>
    <row r="5" spans="1:26">
      <c r="A5">
        <v>10280</v>
      </c>
      <c r="B5">
        <v>10460</v>
      </c>
      <c r="C5">
        <v>10620</v>
      </c>
      <c r="D5">
        <v>10830</v>
      </c>
      <c r="E5">
        <v>11000</v>
      </c>
      <c r="F5">
        <v>11190</v>
      </c>
      <c r="G5">
        <v>11420</v>
      </c>
      <c r="H5">
        <v>11630</v>
      </c>
      <c r="I5">
        <v>11810</v>
      </c>
      <c r="J5">
        <v>12020</v>
      </c>
      <c r="K5">
        <v>12200</v>
      </c>
      <c r="L5">
        <v>12390</v>
      </c>
      <c r="O5">
        <v>1</v>
      </c>
      <c r="P5">
        <v>2</v>
      </c>
      <c r="Q5">
        <v>3</v>
      </c>
      <c r="R5">
        <v>4</v>
      </c>
      <c r="S5">
        <v>5</v>
      </c>
      <c r="T5">
        <v>6</v>
      </c>
      <c r="U5">
        <v>7</v>
      </c>
      <c r="V5">
        <v>8</v>
      </c>
      <c r="W5">
        <v>9</v>
      </c>
      <c r="X5" t="s">
        <v>45</v>
      </c>
      <c r="Y5" t="s">
        <v>46</v>
      </c>
      <c r="Z5" t="s">
        <v>47</v>
      </c>
    </row>
    <row r="6" spans="1:26">
      <c r="A6">
        <v>12600</v>
      </c>
      <c r="B6">
        <v>12810</v>
      </c>
      <c r="C6">
        <v>12980</v>
      </c>
      <c r="D6">
        <v>13140</v>
      </c>
      <c r="E6">
        <v>13320</v>
      </c>
      <c r="F6">
        <v>13560</v>
      </c>
      <c r="G6">
        <v>13760</v>
      </c>
      <c r="H6">
        <v>13960</v>
      </c>
      <c r="I6">
        <v>14120</v>
      </c>
      <c r="J6">
        <v>14330</v>
      </c>
      <c r="K6">
        <v>14520</v>
      </c>
      <c r="L6">
        <v>14760</v>
      </c>
      <c r="O6">
        <v>1</v>
      </c>
      <c r="P6">
        <v>2</v>
      </c>
      <c r="Q6">
        <v>3</v>
      </c>
      <c r="R6">
        <v>4</v>
      </c>
      <c r="S6">
        <v>5</v>
      </c>
      <c r="T6">
        <v>6</v>
      </c>
      <c r="U6">
        <v>7</v>
      </c>
      <c r="V6">
        <v>8</v>
      </c>
      <c r="W6">
        <v>9</v>
      </c>
      <c r="X6" t="s">
        <v>45</v>
      </c>
      <c r="Y6" t="s">
        <v>46</v>
      </c>
      <c r="Z6" t="s">
        <v>47</v>
      </c>
    </row>
    <row r="7" spans="1:26">
      <c r="A7">
        <v>15170</v>
      </c>
      <c r="B7">
        <v>15360</v>
      </c>
      <c r="C7">
        <v>15550</v>
      </c>
      <c r="D7">
        <v>15750</v>
      </c>
      <c r="E7">
        <v>15930</v>
      </c>
      <c r="F7">
        <v>16120</v>
      </c>
      <c r="G7">
        <v>16290</v>
      </c>
      <c r="H7">
        <v>16490</v>
      </c>
      <c r="I7">
        <v>16690</v>
      </c>
      <c r="J7">
        <v>16900</v>
      </c>
      <c r="K7">
        <v>17060</v>
      </c>
      <c r="L7">
        <v>17280</v>
      </c>
      <c r="O7">
        <v>1</v>
      </c>
      <c r="P7">
        <v>2</v>
      </c>
      <c r="Q7">
        <v>3</v>
      </c>
      <c r="R7">
        <v>4</v>
      </c>
      <c r="S7">
        <v>5</v>
      </c>
      <c r="T7">
        <v>6</v>
      </c>
      <c r="U7">
        <v>7</v>
      </c>
      <c r="V7">
        <v>8</v>
      </c>
      <c r="W7">
        <v>9</v>
      </c>
      <c r="X7" t="s">
        <v>45</v>
      </c>
      <c r="Y7" t="s">
        <v>46</v>
      </c>
      <c r="Z7" t="s">
        <v>47</v>
      </c>
    </row>
    <row r="8" spans="1:26">
      <c r="A8">
        <v>17530</v>
      </c>
      <c r="B8">
        <v>17710</v>
      </c>
      <c r="C8">
        <v>17880</v>
      </c>
      <c r="D8">
        <v>18050</v>
      </c>
      <c r="E8">
        <v>18220</v>
      </c>
      <c r="F8">
        <v>18450</v>
      </c>
      <c r="G8">
        <v>18650</v>
      </c>
      <c r="H8">
        <v>18840</v>
      </c>
      <c r="I8">
        <v>19010</v>
      </c>
      <c r="J8">
        <v>19200</v>
      </c>
      <c r="K8">
        <v>19390</v>
      </c>
      <c r="L8">
        <v>19660</v>
      </c>
      <c r="O8">
        <v>1</v>
      </c>
      <c r="P8">
        <v>2</v>
      </c>
      <c r="Q8">
        <v>3</v>
      </c>
      <c r="R8">
        <v>4</v>
      </c>
      <c r="S8">
        <v>5</v>
      </c>
      <c r="T8">
        <v>6</v>
      </c>
      <c r="U8">
        <v>7</v>
      </c>
      <c r="V8">
        <v>8</v>
      </c>
      <c r="W8">
        <v>9</v>
      </c>
      <c r="X8" t="s">
        <v>45</v>
      </c>
      <c r="Y8" t="s">
        <v>46</v>
      </c>
      <c r="Z8" t="s">
        <v>47</v>
      </c>
    </row>
    <row r="9" spans="1:26">
      <c r="A9">
        <v>20060</v>
      </c>
      <c r="B9">
        <v>20250</v>
      </c>
      <c r="C9">
        <v>20450</v>
      </c>
      <c r="D9">
        <v>20630</v>
      </c>
      <c r="E9">
        <v>20800</v>
      </c>
      <c r="F9">
        <v>21010</v>
      </c>
      <c r="G9">
        <v>21200</v>
      </c>
      <c r="H9">
        <v>21400</v>
      </c>
      <c r="I9">
        <v>21560</v>
      </c>
      <c r="J9">
        <v>21800</v>
      </c>
      <c r="K9">
        <v>21970</v>
      </c>
      <c r="L9">
        <v>22180</v>
      </c>
      <c r="O9">
        <v>1</v>
      </c>
      <c r="P9">
        <v>2</v>
      </c>
      <c r="Q9">
        <v>3</v>
      </c>
      <c r="R9">
        <v>4</v>
      </c>
      <c r="S9">
        <v>5</v>
      </c>
      <c r="T9">
        <v>6</v>
      </c>
      <c r="U9">
        <v>7</v>
      </c>
      <c r="V9">
        <v>8</v>
      </c>
      <c r="W9">
        <v>9</v>
      </c>
      <c r="X9" t="s">
        <v>45</v>
      </c>
      <c r="Y9" t="s">
        <v>46</v>
      </c>
      <c r="Z9" t="s">
        <v>47</v>
      </c>
    </row>
    <row r="10" spans="1:26">
      <c r="A10">
        <v>22380</v>
      </c>
      <c r="B10">
        <v>22590</v>
      </c>
      <c r="C10">
        <v>22740</v>
      </c>
      <c r="D10">
        <v>22920</v>
      </c>
      <c r="E10">
        <v>23110</v>
      </c>
      <c r="F10">
        <v>23330</v>
      </c>
      <c r="G10">
        <v>23510</v>
      </c>
      <c r="H10">
        <v>23720</v>
      </c>
      <c r="I10">
        <v>23880</v>
      </c>
      <c r="J10">
        <v>24080</v>
      </c>
      <c r="K10">
        <v>24300</v>
      </c>
      <c r="L10">
        <v>24550</v>
      </c>
      <c r="O10">
        <v>1</v>
      </c>
      <c r="P10">
        <v>2</v>
      </c>
      <c r="Q10">
        <v>3</v>
      </c>
      <c r="R10">
        <v>4</v>
      </c>
      <c r="S10">
        <v>5</v>
      </c>
      <c r="T10">
        <v>6</v>
      </c>
      <c r="U10">
        <v>7</v>
      </c>
      <c r="V10">
        <v>8</v>
      </c>
      <c r="W10">
        <v>9</v>
      </c>
      <c r="X10" t="s">
        <v>45</v>
      </c>
      <c r="Y10" t="s">
        <v>46</v>
      </c>
      <c r="Z10" t="s">
        <v>47</v>
      </c>
    </row>
    <row r="11" spans="1:26">
      <c r="A11">
        <v>24910</v>
      </c>
      <c r="B11">
        <v>25100</v>
      </c>
      <c r="C11">
        <v>25270</v>
      </c>
      <c r="D11">
        <v>25490</v>
      </c>
      <c r="E11">
        <v>25670</v>
      </c>
      <c r="F11">
        <v>25870</v>
      </c>
      <c r="G11">
        <v>26070</v>
      </c>
      <c r="H11">
        <v>26290</v>
      </c>
      <c r="I11">
        <v>26450</v>
      </c>
      <c r="J11">
        <v>26680</v>
      </c>
      <c r="K11">
        <v>26810</v>
      </c>
      <c r="L11">
        <v>27020</v>
      </c>
      <c r="O11">
        <v>1</v>
      </c>
      <c r="P11">
        <v>2</v>
      </c>
      <c r="Q11">
        <v>3</v>
      </c>
      <c r="R11">
        <v>4</v>
      </c>
      <c r="S11">
        <v>5</v>
      </c>
      <c r="T11">
        <v>6</v>
      </c>
      <c r="U11">
        <v>7</v>
      </c>
      <c r="V11">
        <v>8</v>
      </c>
      <c r="W11">
        <v>9</v>
      </c>
      <c r="X11" t="s">
        <v>45</v>
      </c>
      <c r="Y11" t="s">
        <v>46</v>
      </c>
      <c r="Z11" t="s">
        <v>47</v>
      </c>
    </row>
    <row r="12" spans="1:26">
      <c r="A12">
        <v>27220</v>
      </c>
      <c r="B12">
        <v>27410</v>
      </c>
      <c r="C12">
        <v>27600</v>
      </c>
      <c r="D12">
        <v>27780</v>
      </c>
      <c r="E12">
        <v>27960</v>
      </c>
      <c r="F12">
        <v>28200</v>
      </c>
      <c r="G12">
        <v>28390</v>
      </c>
      <c r="H12">
        <v>28590</v>
      </c>
      <c r="I12">
        <v>28730</v>
      </c>
      <c r="J12">
        <v>28940</v>
      </c>
      <c r="K12">
        <v>29130</v>
      </c>
      <c r="L12">
        <v>29360</v>
      </c>
      <c r="O12">
        <v>1</v>
      </c>
      <c r="P12">
        <v>2</v>
      </c>
      <c r="Q12">
        <v>3</v>
      </c>
      <c r="R12">
        <v>4</v>
      </c>
      <c r="S12">
        <v>5</v>
      </c>
      <c r="T12">
        <v>6</v>
      </c>
      <c r="U12">
        <v>7</v>
      </c>
      <c r="V12">
        <v>8</v>
      </c>
      <c r="W12">
        <v>9</v>
      </c>
      <c r="X12" t="s">
        <v>45</v>
      </c>
      <c r="Y12" t="s">
        <v>46</v>
      </c>
      <c r="Z12" t="s">
        <v>47</v>
      </c>
    </row>
    <row r="13" spans="1:26">
      <c r="A13">
        <v>29770</v>
      </c>
      <c r="B13">
        <v>29960</v>
      </c>
      <c r="C13">
        <v>30160</v>
      </c>
      <c r="D13">
        <v>30360</v>
      </c>
      <c r="E13">
        <v>30550</v>
      </c>
      <c r="F13">
        <v>30740</v>
      </c>
      <c r="G13">
        <v>30950</v>
      </c>
      <c r="H13">
        <v>31140</v>
      </c>
      <c r="I13">
        <v>31290</v>
      </c>
      <c r="J13">
        <v>31500</v>
      </c>
      <c r="K13">
        <v>31690</v>
      </c>
      <c r="L13">
        <v>31870</v>
      </c>
      <c r="O13">
        <v>1</v>
      </c>
      <c r="P13">
        <v>2</v>
      </c>
      <c r="Q13">
        <v>3</v>
      </c>
      <c r="R13">
        <v>4</v>
      </c>
      <c r="S13">
        <v>5</v>
      </c>
      <c r="T13">
        <v>6</v>
      </c>
      <c r="U13">
        <v>7</v>
      </c>
      <c r="V13">
        <v>8</v>
      </c>
      <c r="W13">
        <v>9</v>
      </c>
      <c r="X13" t="s">
        <v>45</v>
      </c>
      <c r="Y13" t="s">
        <v>46</v>
      </c>
      <c r="Z13" t="s">
        <v>47</v>
      </c>
    </row>
    <row r="14" spans="1:26">
      <c r="A14">
        <v>32110</v>
      </c>
      <c r="B14">
        <v>32320</v>
      </c>
      <c r="C14">
        <v>32470</v>
      </c>
      <c r="D14">
        <v>32650</v>
      </c>
      <c r="E14">
        <v>32820</v>
      </c>
      <c r="F14">
        <v>33020</v>
      </c>
      <c r="G14">
        <v>33220</v>
      </c>
      <c r="H14">
        <v>33440</v>
      </c>
      <c r="I14">
        <v>33620</v>
      </c>
      <c r="J14">
        <v>33810</v>
      </c>
      <c r="K14">
        <v>34030</v>
      </c>
      <c r="L14">
        <v>34270</v>
      </c>
      <c r="O14">
        <v>1</v>
      </c>
      <c r="P14">
        <v>2</v>
      </c>
      <c r="Q14">
        <v>3</v>
      </c>
      <c r="R14">
        <v>4</v>
      </c>
      <c r="S14">
        <v>5</v>
      </c>
      <c r="T14">
        <v>6</v>
      </c>
      <c r="U14">
        <v>7</v>
      </c>
      <c r="V14">
        <v>8</v>
      </c>
      <c r="W14">
        <v>9</v>
      </c>
      <c r="X14" t="s">
        <v>45</v>
      </c>
      <c r="Y14" t="s">
        <v>46</v>
      </c>
      <c r="Z14" t="s">
        <v>47</v>
      </c>
    </row>
    <row r="15" spans="1:26">
      <c r="A15">
        <v>34660</v>
      </c>
      <c r="B15">
        <v>34840</v>
      </c>
      <c r="C15">
        <v>34990</v>
      </c>
      <c r="D15">
        <v>35200</v>
      </c>
      <c r="E15">
        <v>35370</v>
      </c>
      <c r="F15">
        <v>35560</v>
      </c>
      <c r="G15">
        <v>35790</v>
      </c>
      <c r="H15">
        <v>35980</v>
      </c>
      <c r="I15">
        <v>36150</v>
      </c>
      <c r="J15">
        <v>36360</v>
      </c>
      <c r="K15">
        <v>36550</v>
      </c>
      <c r="L15">
        <v>36750</v>
      </c>
      <c r="O15">
        <v>1</v>
      </c>
      <c r="P15">
        <v>2</v>
      </c>
      <c r="Q15">
        <v>3</v>
      </c>
      <c r="R15">
        <v>4</v>
      </c>
      <c r="S15">
        <v>5</v>
      </c>
      <c r="T15">
        <v>6</v>
      </c>
      <c r="U15">
        <v>7</v>
      </c>
      <c r="V15">
        <v>8</v>
      </c>
      <c r="W15">
        <v>9</v>
      </c>
      <c r="X15" t="s">
        <v>45</v>
      </c>
      <c r="Y15" t="s">
        <v>46</v>
      </c>
      <c r="Z15" t="s">
        <v>47</v>
      </c>
    </row>
    <row r="16" spans="1:26">
      <c r="A16">
        <v>36990</v>
      </c>
      <c r="B16">
        <v>37210</v>
      </c>
      <c r="C16">
        <v>37350</v>
      </c>
      <c r="D16">
        <v>37530</v>
      </c>
      <c r="E16">
        <v>37710</v>
      </c>
      <c r="F16">
        <v>37910</v>
      </c>
      <c r="G16">
        <v>38110</v>
      </c>
      <c r="H16">
        <v>38330</v>
      </c>
      <c r="I16">
        <v>38480</v>
      </c>
      <c r="J16">
        <v>38690</v>
      </c>
      <c r="K16">
        <v>38910</v>
      </c>
      <c r="L16">
        <v>39140</v>
      </c>
      <c r="O16">
        <v>1</v>
      </c>
      <c r="P16">
        <v>2</v>
      </c>
      <c r="Q16">
        <v>3</v>
      </c>
      <c r="R16">
        <v>4</v>
      </c>
      <c r="S16">
        <v>5</v>
      </c>
      <c r="T16">
        <v>6</v>
      </c>
      <c r="U16">
        <v>7</v>
      </c>
      <c r="V16">
        <v>8</v>
      </c>
      <c r="W16">
        <v>9</v>
      </c>
      <c r="X16" t="s">
        <v>45</v>
      </c>
      <c r="Y16" t="s">
        <v>46</v>
      </c>
      <c r="Z16" t="s">
        <v>47</v>
      </c>
    </row>
    <row r="17" spans="1:26">
      <c r="A17">
        <v>39740</v>
      </c>
      <c r="B17">
        <v>39520</v>
      </c>
      <c r="C17">
        <v>40110</v>
      </c>
      <c r="D17">
        <v>39920</v>
      </c>
      <c r="E17">
        <v>40510</v>
      </c>
      <c r="F17">
        <v>40310</v>
      </c>
      <c r="G17">
        <v>40950</v>
      </c>
      <c r="H17">
        <v>40700</v>
      </c>
      <c r="I17">
        <v>41250</v>
      </c>
      <c r="J17">
        <v>41090</v>
      </c>
      <c r="K17">
        <v>41660</v>
      </c>
      <c r="L17">
        <v>41460</v>
      </c>
      <c r="O17">
        <v>2</v>
      </c>
      <c r="P17">
        <v>1</v>
      </c>
      <c r="Q17">
        <v>4</v>
      </c>
      <c r="R17">
        <v>3</v>
      </c>
      <c r="S17">
        <v>6</v>
      </c>
      <c r="T17">
        <v>5</v>
      </c>
      <c r="U17">
        <v>8</v>
      </c>
      <c r="V17">
        <v>7</v>
      </c>
      <c r="W17" t="s">
        <v>45</v>
      </c>
      <c r="X17">
        <v>9</v>
      </c>
      <c r="Y17" t="s">
        <v>47</v>
      </c>
      <c r="Z17" t="s">
        <v>46</v>
      </c>
    </row>
    <row r="18" spans="1:26">
      <c r="A18">
        <v>41850</v>
      </c>
      <c r="B18">
        <v>42060</v>
      </c>
      <c r="C18">
        <v>42650</v>
      </c>
      <c r="D18">
        <v>42220</v>
      </c>
      <c r="E18">
        <v>43020</v>
      </c>
      <c r="F18">
        <v>42440</v>
      </c>
      <c r="G18">
        <v>43470</v>
      </c>
      <c r="H18">
        <v>42800</v>
      </c>
      <c r="I18">
        <v>43810</v>
      </c>
      <c r="J18">
        <v>43190</v>
      </c>
      <c r="K18">
        <v>44040</v>
      </c>
      <c r="L18">
        <v>43630</v>
      </c>
      <c r="O18">
        <v>1</v>
      </c>
      <c r="P18">
        <v>2</v>
      </c>
      <c r="Q18">
        <v>4</v>
      </c>
      <c r="R18">
        <v>6</v>
      </c>
      <c r="S18">
        <v>3</v>
      </c>
      <c r="T18">
        <v>8</v>
      </c>
      <c r="U18">
        <v>5</v>
      </c>
      <c r="V18" t="s">
        <v>45</v>
      </c>
      <c r="W18">
        <v>7</v>
      </c>
      <c r="X18" t="s">
        <v>47</v>
      </c>
      <c r="Y18">
        <v>9</v>
      </c>
      <c r="Z18" t="s">
        <v>46</v>
      </c>
    </row>
    <row r="19" spans="1:26">
      <c r="A19">
        <v>44620</v>
      </c>
      <c r="B19">
        <v>44410</v>
      </c>
      <c r="C19">
        <v>45360</v>
      </c>
      <c r="D19">
        <v>45010</v>
      </c>
      <c r="E19">
        <v>45770</v>
      </c>
      <c r="F19">
        <v>44850</v>
      </c>
      <c r="G19">
        <v>46200</v>
      </c>
      <c r="H19">
        <v>45180</v>
      </c>
      <c r="I19">
        <v>46560</v>
      </c>
      <c r="J19">
        <v>45560</v>
      </c>
      <c r="K19">
        <v>46360</v>
      </c>
      <c r="L19">
        <v>46000</v>
      </c>
      <c r="O19">
        <v>2</v>
      </c>
      <c r="P19">
        <v>1</v>
      </c>
      <c r="Q19">
        <v>6</v>
      </c>
      <c r="R19">
        <v>4</v>
      </c>
      <c r="S19">
        <v>8</v>
      </c>
      <c r="T19">
        <v>3</v>
      </c>
      <c r="U19" t="s">
        <v>45</v>
      </c>
      <c r="V19">
        <v>5</v>
      </c>
      <c r="W19" t="s">
        <v>47</v>
      </c>
      <c r="X19">
        <v>7</v>
      </c>
      <c r="Y19" t="s">
        <v>46</v>
      </c>
      <c r="Z19">
        <v>9</v>
      </c>
    </row>
    <row r="20" spans="1:26">
      <c r="A20">
        <v>47150</v>
      </c>
      <c r="B20">
        <v>46720</v>
      </c>
      <c r="C20">
        <v>47540</v>
      </c>
      <c r="D20">
        <v>47270</v>
      </c>
      <c r="E20">
        <v>47900</v>
      </c>
      <c r="F20">
        <v>46980</v>
      </c>
      <c r="G20">
        <v>48350</v>
      </c>
      <c r="H20">
        <v>47720</v>
      </c>
      <c r="I20">
        <v>48730</v>
      </c>
      <c r="J20">
        <v>48040</v>
      </c>
      <c r="K20">
        <v>48920</v>
      </c>
      <c r="L20">
        <v>48510</v>
      </c>
      <c r="O20">
        <v>2</v>
      </c>
      <c r="P20">
        <v>6</v>
      </c>
      <c r="Q20">
        <v>1</v>
      </c>
      <c r="R20">
        <v>4</v>
      </c>
      <c r="S20">
        <v>3</v>
      </c>
      <c r="T20">
        <v>8</v>
      </c>
      <c r="U20">
        <v>5</v>
      </c>
      <c r="V20" t="s">
        <v>45</v>
      </c>
      <c r="W20">
        <v>7</v>
      </c>
      <c r="X20" t="s">
        <v>47</v>
      </c>
      <c r="Y20">
        <v>9</v>
      </c>
      <c r="Z20" t="s">
        <v>46</v>
      </c>
    </row>
    <row r="21" spans="1:26">
      <c r="A21">
        <v>49860</v>
      </c>
      <c r="B21">
        <v>49520</v>
      </c>
      <c r="C21">
        <v>50280</v>
      </c>
      <c r="D21">
        <v>49710</v>
      </c>
      <c r="E21">
        <v>50680</v>
      </c>
      <c r="F21">
        <v>49340</v>
      </c>
      <c r="G21">
        <v>51080</v>
      </c>
      <c r="H21">
        <v>50070</v>
      </c>
      <c r="I21">
        <v>51440</v>
      </c>
      <c r="J21">
        <v>50480</v>
      </c>
      <c r="K21">
        <v>51240</v>
      </c>
      <c r="L21">
        <v>50840</v>
      </c>
      <c r="O21">
        <v>6</v>
      </c>
      <c r="P21">
        <v>2</v>
      </c>
      <c r="Q21">
        <v>4</v>
      </c>
      <c r="R21">
        <v>1</v>
      </c>
      <c r="S21">
        <v>8</v>
      </c>
      <c r="T21">
        <v>3</v>
      </c>
      <c r="U21" t="s">
        <v>45</v>
      </c>
      <c r="V21">
        <v>5</v>
      </c>
      <c r="W21" t="s">
        <v>47</v>
      </c>
      <c r="X21">
        <v>7</v>
      </c>
      <c r="Y21" t="s">
        <v>46</v>
      </c>
      <c r="Z21">
        <v>9</v>
      </c>
    </row>
    <row r="22" spans="1:26">
      <c r="A22">
        <v>52070</v>
      </c>
      <c r="B22">
        <v>51860</v>
      </c>
      <c r="C22">
        <v>52800</v>
      </c>
      <c r="D22">
        <v>52220</v>
      </c>
      <c r="E22">
        <v>53170</v>
      </c>
      <c r="F22">
        <v>51680</v>
      </c>
      <c r="G22">
        <v>53590</v>
      </c>
      <c r="H22">
        <v>52410</v>
      </c>
      <c r="I22">
        <v>53780</v>
      </c>
      <c r="J22">
        <v>52620</v>
      </c>
      <c r="K22">
        <v>53370</v>
      </c>
      <c r="L22">
        <v>52960</v>
      </c>
      <c r="O22">
        <v>6</v>
      </c>
      <c r="P22">
        <v>2</v>
      </c>
      <c r="Q22">
        <v>1</v>
      </c>
      <c r="R22">
        <v>4</v>
      </c>
      <c r="S22">
        <v>8</v>
      </c>
      <c r="T22" t="s">
        <v>45</v>
      </c>
      <c r="U22">
        <v>3</v>
      </c>
      <c r="V22" t="s">
        <v>47</v>
      </c>
      <c r="W22">
        <v>5</v>
      </c>
      <c r="X22" t="s">
        <v>46</v>
      </c>
      <c r="Y22">
        <v>7</v>
      </c>
      <c r="Z22">
        <v>9</v>
      </c>
    </row>
    <row r="23" spans="1:26">
      <c r="A23">
        <v>54790</v>
      </c>
      <c r="B23">
        <v>54190</v>
      </c>
      <c r="C23">
        <v>55510</v>
      </c>
      <c r="D23">
        <v>54560</v>
      </c>
      <c r="E23">
        <v>55890</v>
      </c>
      <c r="F23">
        <v>54420</v>
      </c>
      <c r="G23">
        <v>56340</v>
      </c>
      <c r="H23">
        <v>55160</v>
      </c>
      <c r="I23">
        <v>56090</v>
      </c>
      <c r="J23">
        <v>54970</v>
      </c>
      <c r="K23">
        <v>55640</v>
      </c>
      <c r="L23">
        <v>55330</v>
      </c>
      <c r="O23">
        <v>2</v>
      </c>
      <c r="P23">
        <v>6</v>
      </c>
      <c r="Q23">
        <v>4</v>
      </c>
      <c r="R23">
        <v>1</v>
      </c>
      <c r="S23" t="s">
        <v>45</v>
      </c>
      <c r="T23">
        <v>8</v>
      </c>
      <c r="U23" t="s">
        <v>47</v>
      </c>
      <c r="V23">
        <v>3</v>
      </c>
      <c r="W23" t="s">
        <v>46</v>
      </c>
      <c r="X23">
        <v>5</v>
      </c>
      <c r="Y23">
        <v>9</v>
      </c>
      <c r="Z23">
        <v>7</v>
      </c>
    </row>
    <row r="24" spans="1:26">
      <c r="A24">
        <v>57300</v>
      </c>
      <c r="B24">
        <v>56740</v>
      </c>
      <c r="C24">
        <v>57700</v>
      </c>
      <c r="D24">
        <v>56900</v>
      </c>
      <c r="E24">
        <v>58050</v>
      </c>
      <c r="F24">
        <v>56540</v>
      </c>
      <c r="G24">
        <v>58520</v>
      </c>
      <c r="H24">
        <v>57490</v>
      </c>
      <c r="I24">
        <v>58670</v>
      </c>
      <c r="J24">
        <v>57100</v>
      </c>
      <c r="K24">
        <v>58220</v>
      </c>
      <c r="L24">
        <v>57830</v>
      </c>
      <c r="O24">
        <v>6</v>
      </c>
      <c r="P24">
        <v>2</v>
      </c>
      <c r="Q24">
        <v>4</v>
      </c>
      <c r="R24" t="s">
        <v>45</v>
      </c>
      <c r="S24">
        <v>1</v>
      </c>
      <c r="T24">
        <v>8</v>
      </c>
      <c r="U24">
        <v>3</v>
      </c>
      <c r="V24" t="s">
        <v>47</v>
      </c>
      <c r="W24">
        <v>5</v>
      </c>
      <c r="X24" t="s">
        <v>46</v>
      </c>
      <c r="Y24">
        <v>7</v>
      </c>
      <c r="Z24">
        <v>9</v>
      </c>
    </row>
    <row r="25" spans="1:26">
      <c r="A25">
        <v>60020</v>
      </c>
      <c r="B25">
        <v>59060</v>
      </c>
      <c r="C25">
        <v>60410</v>
      </c>
      <c r="D25">
        <v>59650</v>
      </c>
      <c r="E25">
        <v>60810</v>
      </c>
      <c r="F25">
        <v>59290</v>
      </c>
      <c r="G25">
        <v>61120</v>
      </c>
      <c r="H25">
        <v>59810</v>
      </c>
      <c r="I25">
        <v>60970</v>
      </c>
      <c r="J25">
        <v>59480</v>
      </c>
      <c r="K25">
        <v>60550</v>
      </c>
      <c r="L25">
        <v>60210</v>
      </c>
      <c r="O25">
        <v>2</v>
      </c>
      <c r="P25">
        <v>6</v>
      </c>
      <c r="Q25" t="s">
        <v>45</v>
      </c>
      <c r="R25">
        <v>4</v>
      </c>
      <c r="S25">
        <v>8</v>
      </c>
      <c r="T25">
        <v>1</v>
      </c>
      <c r="U25" t="s">
        <v>47</v>
      </c>
      <c r="V25">
        <v>3</v>
      </c>
      <c r="W25" t="s">
        <v>46</v>
      </c>
      <c r="X25">
        <v>5</v>
      </c>
      <c r="Y25">
        <v>9</v>
      </c>
      <c r="Z25">
        <v>7</v>
      </c>
    </row>
    <row r="26" spans="1:26">
      <c r="A26">
        <v>62200</v>
      </c>
      <c r="B26">
        <v>61400</v>
      </c>
      <c r="C26">
        <v>62920</v>
      </c>
      <c r="D26">
        <v>61970</v>
      </c>
      <c r="E26">
        <v>63340</v>
      </c>
      <c r="F26">
        <v>61810</v>
      </c>
      <c r="G26">
        <v>63580</v>
      </c>
      <c r="H26">
        <v>62340</v>
      </c>
      <c r="I26">
        <v>63100</v>
      </c>
      <c r="J26">
        <v>61580</v>
      </c>
      <c r="K26">
        <v>62700</v>
      </c>
      <c r="L26">
        <v>62480</v>
      </c>
      <c r="O26">
        <v>2</v>
      </c>
      <c r="P26" t="s">
        <v>45</v>
      </c>
      <c r="Q26">
        <v>6</v>
      </c>
      <c r="R26">
        <v>4</v>
      </c>
      <c r="S26">
        <v>1</v>
      </c>
      <c r="T26">
        <v>8</v>
      </c>
      <c r="U26" t="s">
        <v>47</v>
      </c>
      <c r="V26" t="s">
        <v>46</v>
      </c>
      <c r="W26">
        <v>3</v>
      </c>
      <c r="X26">
        <v>9</v>
      </c>
      <c r="Y26">
        <v>5</v>
      </c>
      <c r="Z26">
        <v>7</v>
      </c>
    </row>
    <row r="27" spans="1:26">
      <c r="A27">
        <v>64950</v>
      </c>
      <c r="B27">
        <v>64090</v>
      </c>
      <c r="C27">
        <v>65620</v>
      </c>
      <c r="D27">
        <v>64320</v>
      </c>
      <c r="E27">
        <v>66020</v>
      </c>
      <c r="F27">
        <v>64520</v>
      </c>
      <c r="G27">
        <v>65860</v>
      </c>
      <c r="H27">
        <v>64750</v>
      </c>
      <c r="I27">
        <v>65440</v>
      </c>
      <c r="J27">
        <v>63940</v>
      </c>
      <c r="K27">
        <v>65010</v>
      </c>
      <c r="L27">
        <v>65250</v>
      </c>
      <c r="O27" t="s">
        <v>45</v>
      </c>
      <c r="P27">
        <v>2</v>
      </c>
      <c r="Q27">
        <v>4</v>
      </c>
      <c r="R27">
        <v>6</v>
      </c>
      <c r="S27">
        <v>8</v>
      </c>
      <c r="T27">
        <v>1</v>
      </c>
      <c r="U27" t="s">
        <v>46</v>
      </c>
      <c r="V27" t="s">
        <v>47</v>
      </c>
      <c r="W27">
        <v>9</v>
      </c>
      <c r="X27">
        <v>3</v>
      </c>
      <c r="Y27">
        <v>7</v>
      </c>
      <c r="Z27">
        <v>5</v>
      </c>
    </row>
    <row r="28" spans="1:26">
      <c r="A28">
        <v>67440</v>
      </c>
      <c r="B28">
        <v>66270</v>
      </c>
      <c r="C28">
        <v>67800</v>
      </c>
      <c r="D28">
        <v>66820</v>
      </c>
      <c r="E28">
        <v>68170</v>
      </c>
      <c r="F28">
        <v>66640</v>
      </c>
      <c r="G28">
        <v>68430</v>
      </c>
      <c r="H28">
        <v>67040</v>
      </c>
      <c r="I28">
        <v>68010</v>
      </c>
      <c r="J28">
        <v>66420</v>
      </c>
      <c r="K28">
        <v>67200</v>
      </c>
      <c r="L28">
        <v>67610</v>
      </c>
      <c r="O28">
        <v>2</v>
      </c>
      <c r="P28" t="s">
        <v>45</v>
      </c>
      <c r="Q28">
        <v>6</v>
      </c>
      <c r="R28">
        <v>4</v>
      </c>
      <c r="S28">
        <v>8</v>
      </c>
      <c r="T28" t="s">
        <v>46</v>
      </c>
      <c r="U28">
        <v>1</v>
      </c>
      <c r="V28" t="s">
        <v>47</v>
      </c>
      <c r="W28">
        <v>3</v>
      </c>
      <c r="X28">
        <v>9</v>
      </c>
      <c r="Y28">
        <v>5</v>
      </c>
      <c r="Z28">
        <v>7</v>
      </c>
    </row>
    <row r="29" spans="1:26">
      <c r="A29">
        <v>70180</v>
      </c>
      <c r="B29">
        <v>69010</v>
      </c>
      <c r="C29">
        <v>70550</v>
      </c>
      <c r="D29">
        <v>69200</v>
      </c>
      <c r="E29">
        <v>70930</v>
      </c>
      <c r="F29">
        <v>69410</v>
      </c>
      <c r="G29">
        <v>70780</v>
      </c>
      <c r="H29">
        <v>69760</v>
      </c>
      <c r="I29">
        <v>70370</v>
      </c>
      <c r="J29">
        <v>68800</v>
      </c>
      <c r="K29">
        <v>69570</v>
      </c>
      <c r="L29">
        <v>69980</v>
      </c>
      <c r="O29" t="s">
        <v>45</v>
      </c>
      <c r="P29">
        <v>2</v>
      </c>
      <c r="Q29">
        <v>4</v>
      </c>
      <c r="R29">
        <v>6</v>
      </c>
      <c r="S29" t="s">
        <v>46</v>
      </c>
      <c r="T29">
        <v>8</v>
      </c>
      <c r="U29" t="s">
        <v>47</v>
      </c>
      <c r="V29">
        <v>1</v>
      </c>
      <c r="W29">
        <v>9</v>
      </c>
      <c r="X29">
        <v>3</v>
      </c>
      <c r="Y29">
        <v>7</v>
      </c>
      <c r="Z29">
        <v>5</v>
      </c>
    </row>
    <row r="30" spans="1:26">
      <c r="A30">
        <v>72320</v>
      </c>
      <c r="B30">
        <v>71530</v>
      </c>
      <c r="C30">
        <v>73070</v>
      </c>
      <c r="D30">
        <v>71310</v>
      </c>
      <c r="E30">
        <v>73250</v>
      </c>
      <c r="F30">
        <v>71910</v>
      </c>
      <c r="G30">
        <v>72940</v>
      </c>
      <c r="H30">
        <v>72160</v>
      </c>
      <c r="I30">
        <v>72660</v>
      </c>
      <c r="J30">
        <v>71090</v>
      </c>
      <c r="K30">
        <v>71710</v>
      </c>
      <c r="L30">
        <v>72480</v>
      </c>
      <c r="O30" t="s">
        <v>45</v>
      </c>
      <c r="P30">
        <v>4</v>
      </c>
      <c r="Q30">
        <v>2</v>
      </c>
      <c r="R30" t="s">
        <v>46</v>
      </c>
      <c r="S30">
        <v>6</v>
      </c>
      <c r="T30">
        <v>8</v>
      </c>
      <c r="U30">
        <v>1</v>
      </c>
      <c r="V30" t="s">
        <v>47</v>
      </c>
      <c r="W30">
        <v>9</v>
      </c>
      <c r="X30">
        <v>7</v>
      </c>
      <c r="Y30">
        <v>3</v>
      </c>
      <c r="Z30">
        <v>5</v>
      </c>
    </row>
    <row r="31" spans="1:26">
      <c r="A31">
        <v>75060</v>
      </c>
      <c r="B31">
        <v>74240</v>
      </c>
      <c r="C31">
        <v>75780</v>
      </c>
      <c r="D31">
        <v>73670</v>
      </c>
      <c r="E31">
        <v>75580</v>
      </c>
      <c r="F31">
        <v>74680</v>
      </c>
      <c r="G31">
        <v>75270</v>
      </c>
      <c r="H31">
        <v>74490</v>
      </c>
      <c r="I31">
        <v>75420</v>
      </c>
      <c r="J31">
        <v>73830</v>
      </c>
      <c r="K31">
        <v>74040</v>
      </c>
      <c r="L31">
        <v>74870</v>
      </c>
      <c r="O31">
        <v>4</v>
      </c>
      <c r="P31" t="s">
        <v>45</v>
      </c>
      <c r="Q31" t="s">
        <v>46</v>
      </c>
      <c r="R31">
        <v>2</v>
      </c>
      <c r="S31">
        <v>8</v>
      </c>
      <c r="T31">
        <v>6</v>
      </c>
      <c r="U31" t="s">
        <v>47</v>
      </c>
      <c r="V31">
        <v>1</v>
      </c>
      <c r="W31">
        <v>7</v>
      </c>
      <c r="X31">
        <v>9</v>
      </c>
      <c r="Y31">
        <v>5</v>
      </c>
      <c r="Z31">
        <v>3</v>
      </c>
    </row>
    <row r="32" spans="1:26">
      <c r="A32">
        <v>77580</v>
      </c>
      <c r="B32">
        <v>76380</v>
      </c>
      <c r="C32">
        <v>77970</v>
      </c>
      <c r="D32">
        <v>76150</v>
      </c>
      <c r="E32">
        <v>78160</v>
      </c>
      <c r="F32">
        <v>76780</v>
      </c>
      <c r="G32">
        <v>77410</v>
      </c>
      <c r="H32">
        <v>76990</v>
      </c>
      <c r="I32">
        <v>77760</v>
      </c>
      <c r="J32">
        <v>75970</v>
      </c>
      <c r="K32">
        <v>76570</v>
      </c>
      <c r="L32">
        <v>77160</v>
      </c>
      <c r="O32" t="s">
        <v>45</v>
      </c>
      <c r="P32">
        <v>4</v>
      </c>
      <c r="Q32">
        <v>2</v>
      </c>
      <c r="R32" t="s">
        <v>46</v>
      </c>
      <c r="S32">
        <v>6</v>
      </c>
      <c r="T32">
        <v>8</v>
      </c>
      <c r="U32" t="s">
        <v>47</v>
      </c>
      <c r="V32">
        <v>7</v>
      </c>
      <c r="W32">
        <v>1</v>
      </c>
      <c r="X32">
        <v>9</v>
      </c>
      <c r="Y32">
        <v>3</v>
      </c>
      <c r="Z32">
        <v>5</v>
      </c>
    </row>
    <row r="33" spans="1:26">
      <c r="A33">
        <v>80320</v>
      </c>
      <c r="B33">
        <v>79150</v>
      </c>
      <c r="C33">
        <v>80680</v>
      </c>
      <c r="D33">
        <v>78580</v>
      </c>
      <c r="E33">
        <v>80470</v>
      </c>
      <c r="F33">
        <v>79510</v>
      </c>
      <c r="G33">
        <v>79720</v>
      </c>
      <c r="H33">
        <v>79320</v>
      </c>
      <c r="I33">
        <v>80120</v>
      </c>
      <c r="J33">
        <v>78780</v>
      </c>
      <c r="K33">
        <v>78940</v>
      </c>
      <c r="L33">
        <v>79950</v>
      </c>
      <c r="O33">
        <v>4</v>
      </c>
      <c r="P33" t="s">
        <v>45</v>
      </c>
      <c r="Q33" t="s">
        <v>46</v>
      </c>
      <c r="R33">
        <v>2</v>
      </c>
      <c r="S33">
        <v>8</v>
      </c>
      <c r="T33">
        <v>6</v>
      </c>
      <c r="U33">
        <v>7</v>
      </c>
      <c r="V33" t="s">
        <v>47</v>
      </c>
      <c r="W33">
        <v>9</v>
      </c>
      <c r="X33">
        <v>1</v>
      </c>
      <c r="Y33">
        <v>5</v>
      </c>
      <c r="Z33">
        <v>3</v>
      </c>
    </row>
    <row r="34" spans="1:26">
      <c r="A34">
        <v>82450</v>
      </c>
      <c r="B34">
        <v>81700</v>
      </c>
      <c r="C34">
        <v>82880</v>
      </c>
      <c r="D34">
        <v>80920</v>
      </c>
      <c r="E34">
        <v>83060</v>
      </c>
      <c r="F34">
        <v>82110</v>
      </c>
      <c r="G34">
        <v>81910</v>
      </c>
      <c r="H34">
        <v>81450</v>
      </c>
      <c r="I34">
        <v>82630</v>
      </c>
      <c r="J34">
        <v>81250</v>
      </c>
      <c r="K34">
        <v>81080</v>
      </c>
      <c r="L34">
        <v>82270</v>
      </c>
      <c r="O34">
        <v>4</v>
      </c>
      <c r="P34" t="s">
        <v>46</v>
      </c>
      <c r="Q34" t="s">
        <v>45</v>
      </c>
      <c r="R34">
        <v>8</v>
      </c>
      <c r="S34">
        <v>2</v>
      </c>
      <c r="T34">
        <v>7</v>
      </c>
      <c r="U34">
        <v>6</v>
      </c>
      <c r="V34" t="s">
        <v>47</v>
      </c>
      <c r="W34">
        <v>1</v>
      </c>
      <c r="X34">
        <v>9</v>
      </c>
      <c r="Y34">
        <v>3</v>
      </c>
      <c r="Z34">
        <v>5</v>
      </c>
    </row>
    <row r="35" spans="1:26">
      <c r="A35">
        <v>85210</v>
      </c>
      <c r="B35">
        <v>84420</v>
      </c>
      <c r="C35">
        <v>85600</v>
      </c>
      <c r="D35">
        <v>83610</v>
      </c>
      <c r="E35">
        <v>85380</v>
      </c>
      <c r="F35">
        <v>84820</v>
      </c>
      <c r="G35">
        <v>84190</v>
      </c>
      <c r="H35">
        <v>83820</v>
      </c>
      <c r="I35">
        <v>85010</v>
      </c>
      <c r="J35">
        <v>84020</v>
      </c>
      <c r="K35">
        <v>83420</v>
      </c>
      <c r="L35">
        <v>84610</v>
      </c>
      <c r="O35" t="s">
        <v>46</v>
      </c>
      <c r="P35">
        <v>4</v>
      </c>
      <c r="Q35">
        <v>8</v>
      </c>
      <c r="R35" t="s">
        <v>45</v>
      </c>
      <c r="S35">
        <v>7</v>
      </c>
      <c r="T35">
        <v>2</v>
      </c>
      <c r="U35" t="s">
        <v>47</v>
      </c>
      <c r="V35">
        <v>6</v>
      </c>
      <c r="W35">
        <v>9</v>
      </c>
      <c r="X35">
        <v>1</v>
      </c>
      <c r="Y35">
        <v>5</v>
      </c>
      <c r="Z35">
        <v>3</v>
      </c>
    </row>
    <row r="36" spans="1:26">
      <c r="A36">
        <v>87740</v>
      </c>
      <c r="B36">
        <v>86580</v>
      </c>
      <c r="C36">
        <v>87980</v>
      </c>
      <c r="D36">
        <v>85790</v>
      </c>
      <c r="E36">
        <v>87550</v>
      </c>
      <c r="F36">
        <v>86970</v>
      </c>
      <c r="G36">
        <v>86750</v>
      </c>
      <c r="H36">
        <v>86350</v>
      </c>
      <c r="I36">
        <v>87350</v>
      </c>
      <c r="J36">
        <v>86130</v>
      </c>
      <c r="K36">
        <v>85950</v>
      </c>
      <c r="L36">
        <v>87100</v>
      </c>
      <c r="O36">
        <v>4</v>
      </c>
      <c r="P36" t="s">
        <v>46</v>
      </c>
      <c r="Q36" t="s">
        <v>45</v>
      </c>
      <c r="R36">
        <v>8</v>
      </c>
      <c r="S36">
        <v>2</v>
      </c>
      <c r="T36">
        <v>7</v>
      </c>
      <c r="U36">
        <v>6</v>
      </c>
      <c r="V36" t="s">
        <v>47</v>
      </c>
      <c r="W36">
        <v>9</v>
      </c>
      <c r="X36">
        <v>5</v>
      </c>
      <c r="Y36">
        <v>1</v>
      </c>
      <c r="Z36">
        <v>3</v>
      </c>
    </row>
    <row r="37" spans="1:26">
      <c r="A37">
        <v>90500</v>
      </c>
      <c r="B37">
        <v>89300</v>
      </c>
      <c r="C37">
        <v>90260</v>
      </c>
      <c r="D37">
        <v>88510</v>
      </c>
      <c r="E37">
        <v>89840</v>
      </c>
      <c r="F37">
        <v>89690</v>
      </c>
      <c r="G37">
        <v>89120</v>
      </c>
      <c r="H37">
        <v>88710</v>
      </c>
      <c r="I37">
        <v>90030</v>
      </c>
      <c r="J37">
        <v>88900</v>
      </c>
      <c r="K37">
        <v>88320</v>
      </c>
      <c r="L37">
        <v>89460</v>
      </c>
      <c r="O37" t="s">
        <v>46</v>
      </c>
      <c r="P37">
        <v>4</v>
      </c>
      <c r="Q37">
        <v>8</v>
      </c>
      <c r="R37" t="s">
        <v>45</v>
      </c>
      <c r="S37">
        <v>7</v>
      </c>
      <c r="T37">
        <v>2</v>
      </c>
      <c r="U37" t="s">
        <v>47</v>
      </c>
      <c r="V37">
        <v>6</v>
      </c>
      <c r="W37">
        <v>5</v>
      </c>
      <c r="X37">
        <v>9</v>
      </c>
      <c r="Y37">
        <v>3</v>
      </c>
      <c r="Z37">
        <v>1</v>
      </c>
    </row>
    <row r="38" spans="1:26">
      <c r="A38">
        <v>92610</v>
      </c>
      <c r="B38">
        <v>91840</v>
      </c>
      <c r="C38">
        <v>92830</v>
      </c>
      <c r="D38">
        <v>90980</v>
      </c>
      <c r="E38">
        <v>92010</v>
      </c>
      <c r="F38">
        <v>92210</v>
      </c>
      <c r="G38">
        <v>91260</v>
      </c>
      <c r="H38">
        <v>90840</v>
      </c>
      <c r="I38">
        <v>92390</v>
      </c>
      <c r="J38">
        <v>91420</v>
      </c>
      <c r="K38">
        <v>90680</v>
      </c>
      <c r="L38">
        <v>91610</v>
      </c>
      <c r="O38" t="s">
        <v>46</v>
      </c>
      <c r="P38">
        <v>8</v>
      </c>
      <c r="Q38">
        <v>4</v>
      </c>
      <c r="R38">
        <v>7</v>
      </c>
      <c r="S38" t="s">
        <v>45</v>
      </c>
      <c r="T38" t="s">
        <v>47</v>
      </c>
      <c r="U38">
        <v>2</v>
      </c>
      <c r="V38">
        <v>5</v>
      </c>
      <c r="W38">
        <v>6</v>
      </c>
      <c r="X38">
        <v>9</v>
      </c>
      <c r="Y38">
        <v>1</v>
      </c>
      <c r="Z38">
        <v>3</v>
      </c>
    </row>
    <row r="39" spans="1:26">
      <c r="A39">
        <v>95380</v>
      </c>
      <c r="B39">
        <v>94530</v>
      </c>
      <c r="C39">
        <v>95150</v>
      </c>
      <c r="D39">
        <v>93780</v>
      </c>
      <c r="E39">
        <v>94340</v>
      </c>
      <c r="F39">
        <v>94970</v>
      </c>
      <c r="G39">
        <v>93630</v>
      </c>
      <c r="H39">
        <v>93190</v>
      </c>
      <c r="I39">
        <v>94720</v>
      </c>
      <c r="J39">
        <v>94170</v>
      </c>
      <c r="K39">
        <v>93390</v>
      </c>
      <c r="L39">
        <v>93960</v>
      </c>
      <c r="O39">
        <v>8</v>
      </c>
      <c r="P39" t="s">
        <v>46</v>
      </c>
      <c r="Q39">
        <v>7</v>
      </c>
      <c r="R39">
        <v>4</v>
      </c>
      <c r="S39" t="s">
        <v>47</v>
      </c>
      <c r="T39" t="s">
        <v>45</v>
      </c>
      <c r="U39">
        <v>5</v>
      </c>
      <c r="V39">
        <v>2</v>
      </c>
      <c r="W39">
        <v>9</v>
      </c>
      <c r="X39">
        <v>6</v>
      </c>
      <c r="Y39">
        <v>3</v>
      </c>
      <c r="Z39">
        <v>1</v>
      </c>
    </row>
    <row r="40" spans="1:26">
      <c r="A40">
        <v>97690</v>
      </c>
      <c r="B40">
        <v>96720</v>
      </c>
      <c r="C40">
        <v>97460</v>
      </c>
      <c r="D40">
        <v>95900</v>
      </c>
      <c r="E40">
        <v>96910</v>
      </c>
      <c r="F40">
        <v>97080</v>
      </c>
      <c r="G40">
        <v>96160</v>
      </c>
      <c r="H40">
        <v>95740</v>
      </c>
      <c r="I40">
        <v>97290</v>
      </c>
      <c r="J40">
        <v>96320</v>
      </c>
      <c r="K40">
        <v>95520</v>
      </c>
      <c r="L40">
        <v>96490</v>
      </c>
      <c r="O40" t="s">
        <v>46</v>
      </c>
      <c r="P40">
        <v>8</v>
      </c>
      <c r="Q40">
        <v>4</v>
      </c>
      <c r="R40">
        <v>7</v>
      </c>
      <c r="S40" t="s">
        <v>45</v>
      </c>
      <c r="T40" t="s">
        <v>47</v>
      </c>
      <c r="U40">
        <v>2</v>
      </c>
      <c r="V40">
        <v>5</v>
      </c>
      <c r="W40">
        <v>6</v>
      </c>
      <c r="X40">
        <v>9</v>
      </c>
      <c r="Y40">
        <v>3</v>
      </c>
      <c r="Z40">
        <v>1</v>
      </c>
    </row>
    <row r="41" spans="1:26">
      <c r="A41">
        <v>100000</v>
      </c>
      <c r="B41">
        <v>99440</v>
      </c>
      <c r="C41">
        <v>100190</v>
      </c>
      <c r="D41">
        <v>98680</v>
      </c>
      <c r="E41">
        <v>99250</v>
      </c>
      <c r="F41">
        <v>99820</v>
      </c>
      <c r="G41">
        <v>98490</v>
      </c>
      <c r="H41">
        <v>98080</v>
      </c>
      <c r="I41">
        <v>99580</v>
      </c>
      <c r="J41">
        <v>99070</v>
      </c>
      <c r="K41">
        <v>98270</v>
      </c>
      <c r="L41">
        <v>98870</v>
      </c>
      <c r="O41">
        <v>8</v>
      </c>
      <c r="P41" t="s">
        <v>46</v>
      </c>
      <c r="Q41">
        <v>7</v>
      </c>
      <c r="R41">
        <v>4</v>
      </c>
      <c r="S41" t="s">
        <v>47</v>
      </c>
      <c r="T41" t="s">
        <v>45</v>
      </c>
      <c r="U41">
        <v>5</v>
      </c>
      <c r="V41">
        <v>2</v>
      </c>
      <c r="W41">
        <v>9</v>
      </c>
      <c r="X41">
        <v>6</v>
      </c>
      <c r="Y41">
        <v>1</v>
      </c>
      <c r="Z41">
        <v>3</v>
      </c>
    </row>
    <row r="42" spans="1:26">
      <c r="A42">
        <v>102590</v>
      </c>
      <c r="B42">
        <v>101950</v>
      </c>
      <c r="C42">
        <v>102370</v>
      </c>
      <c r="D42">
        <v>101170</v>
      </c>
      <c r="E42">
        <v>101380</v>
      </c>
      <c r="F42">
        <v>102180</v>
      </c>
      <c r="G42">
        <v>100640</v>
      </c>
      <c r="H42">
        <v>100430</v>
      </c>
      <c r="I42">
        <v>101770</v>
      </c>
      <c r="J42">
        <v>101550</v>
      </c>
      <c r="K42">
        <v>100800</v>
      </c>
      <c r="L42">
        <v>101030</v>
      </c>
      <c r="O42">
        <v>8</v>
      </c>
      <c r="P42">
        <v>7</v>
      </c>
      <c r="Q42" t="s">
        <v>46</v>
      </c>
      <c r="R42" t="s">
        <v>47</v>
      </c>
      <c r="S42">
        <v>4</v>
      </c>
      <c r="T42">
        <v>5</v>
      </c>
      <c r="U42" t="s">
        <v>45</v>
      </c>
      <c r="V42">
        <v>9</v>
      </c>
      <c r="W42">
        <v>2</v>
      </c>
      <c r="X42">
        <v>6</v>
      </c>
      <c r="Y42">
        <v>3</v>
      </c>
      <c r="Z42">
        <v>1</v>
      </c>
    </row>
    <row r="43" spans="1:26">
      <c r="A43">
        <v>104880</v>
      </c>
      <c r="B43">
        <v>104680</v>
      </c>
      <c r="C43">
        <v>105070</v>
      </c>
      <c r="D43">
        <v>103930</v>
      </c>
      <c r="E43">
        <v>103740</v>
      </c>
      <c r="F43">
        <v>104520</v>
      </c>
      <c r="G43">
        <v>102950</v>
      </c>
      <c r="H43">
        <v>103110</v>
      </c>
      <c r="I43">
        <v>104130</v>
      </c>
      <c r="J43">
        <v>104350</v>
      </c>
      <c r="K43">
        <v>103520</v>
      </c>
      <c r="L43">
        <v>103330</v>
      </c>
      <c r="O43">
        <v>7</v>
      </c>
      <c r="P43">
        <v>8</v>
      </c>
      <c r="Q43" t="s">
        <v>47</v>
      </c>
      <c r="R43" t="s">
        <v>46</v>
      </c>
      <c r="S43">
        <v>5</v>
      </c>
      <c r="T43">
        <v>4</v>
      </c>
      <c r="U43">
        <v>9</v>
      </c>
      <c r="V43" t="s">
        <v>45</v>
      </c>
      <c r="W43">
        <v>6</v>
      </c>
      <c r="X43">
        <v>2</v>
      </c>
      <c r="Y43">
        <v>1</v>
      </c>
      <c r="Z43">
        <v>3</v>
      </c>
    </row>
    <row r="44" spans="1:26">
      <c r="A44">
        <v>107030</v>
      </c>
      <c r="B44">
        <v>107210</v>
      </c>
      <c r="C44">
        <v>107420</v>
      </c>
      <c r="D44">
        <v>106030</v>
      </c>
      <c r="E44">
        <v>106250</v>
      </c>
      <c r="F44">
        <v>106870</v>
      </c>
      <c r="G44">
        <v>105470</v>
      </c>
      <c r="H44">
        <v>105230</v>
      </c>
      <c r="I44">
        <v>106650</v>
      </c>
      <c r="J44">
        <v>106450</v>
      </c>
      <c r="K44">
        <v>105610</v>
      </c>
      <c r="L44">
        <v>105830</v>
      </c>
      <c r="O44">
        <v>8</v>
      </c>
      <c r="P44">
        <v>7</v>
      </c>
      <c r="Q44" t="s">
        <v>46</v>
      </c>
      <c r="R44" t="s">
        <v>47</v>
      </c>
      <c r="S44">
        <v>4</v>
      </c>
      <c r="T44">
        <v>5</v>
      </c>
      <c r="U44" t="s">
        <v>45</v>
      </c>
      <c r="V44">
        <v>9</v>
      </c>
      <c r="W44">
        <v>6</v>
      </c>
      <c r="X44">
        <v>1</v>
      </c>
      <c r="Y44">
        <v>2</v>
      </c>
      <c r="Z44">
        <v>3</v>
      </c>
    </row>
    <row r="45" spans="1:26">
      <c r="A45">
        <v>109380</v>
      </c>
      <c r="B45">
        <v>109920</v>
      </c>
      <c r="C45">
        <v>109750</v>
      </c>
      <c r="D45">
        <v>108740</v>
      </c>
      <c r="E45">
        <v>108540</v>
      </c>
      <c r="F45">
        <v>109560</v>
      </c>
      <c r="G45">
        <v>107820</v>
      </c>
      <c r="H45">
        <v>107960</v>
      </c>
      <c r="I45">
        <v>108920</v>
      </c>
      <c r="J45">
        <v>109180</v>
      </c>
      <c r="K45">
        <v>108370</v>
      </c>
      <c r="L45">
        <v>108170</v>
      </c>
      <c r="O45">
        <v>7</v>
      </c>
      <c r="P45">
        <v>8</v>
      </c>
      <c r="Q45" t="s">
        <v>47</v>
      </c>
      <c r="R45" t="s">
        <v>46</v>
      </c>
      <c r="S45">
        <v>5</v>
      </c>
      <c r="T45">
        <v>4</v>
      </c>
      <c r="U45">
        <v>9</v>
      </c>
      <c r="V45" t="s">
        <v>45</v>
      </c>
      <c r="W45">
        <v>1</v>
      </c>
      <c r="X45">
        <v>6</v>
      </c>
      <c r="Y45">
        <v>3</v>
      </c>
      <c r="Z45">
        <v>2</v>
      </c>
    </row>
    <row r="46" spans="1:26">
      <c r="A46">
        <v>111910</v>
      </c>
      <c r="B46">
        <v>112100</v>
      </c>
      <c r="C46">
        <v>112280</v>
      </c>
      <c r="D46">
        <v>111230</v>
      </c>
      <c r="E46">
        <v>110700</v>
      </c>
      <c r="F46">
        <v>111680</v>
      </c>
      <c r="G46">
        <v>110110</v>
      </c>
      <c r="H46">
        <v>110500</v>
      </c>
      <c r="I46">
        <v>111060</v>
      </c>
      <c r="J46">
        <v>111460</v>
      </c>
      <c r="K46">
        <v>110890</v>
      </c>
      <c r="L46">
        <v>110290</v>
      </c>
      <c r="O46">
        <v>7</v>
      </c>
      <c r="P46" t="s">
        <v>47</v>
      </c>
      <c r="Q46">
        <v>8</v>
      </c>
      <c r="R46">
        <v>5</v>
      </c>
      <c r="S46" t="s">
        <v>46</v>
      </c>
      <c r="T46">
        <v>9</v>
      </c>
      <c r="U46">
        <v>4</v>
      </c>
      <c r="V46" t="s">
        <v>45</v>
      </c>
      <c r="W46">
        <v>6</v>
      </c>
      <c r="X46">
        <v>1</v>
      </c>
      <c r="Y46">
        <v>2</v>
      </c>
      <c r="Z46">
        <v>3</v>
      </c>
    </row>
    <row r="47" spans="1:26">
      <c r="A47">
        <v>114230</v>
      </c>
      <c r="B47">
        <v>114790</v>
      </c>
      <c r="C47">
        <v>114590</v>
      </c>
      <c r="D47">
        <v>113950</v>
      </c>
      <c r="E47">
        <v>113080</v>
      </c>
      <c r="F47">
        <v>114390</v>
      </c>
      <c r="G47">
        <v>112910</v>
      </c>
      <c r="H47">
        <v>113230</v>
      </c>
      <c r="I47">
        <v>113400</v>
      </c>
      <c r="J47">
        <v>113770</v>
      </c>
      <c r="K47">
        <v>113630</v>
      </c>
      <c r="L47">
        <v>112670</v>
      </c>
      <c r="O47" t="s">
        <v>47</v>
      </c>
      <c r="P47">
        <v>7</v>
      </c>
      <c r="Q47">
        <v>5</v>
      </c>
      <c r="R47">
        <v>8</v>
      </c>
      <c r="S47">
        <v>9</v>
      </c>
      <c r="T47" t="s">
        <v>46</v>
      </c>
      <c r="U47" t="s">
        <v>45</v>
      </c>
      <c r="V47">
        <v>4</v>
      </c>
      <c r="W47">
        <v>1</v>
      </c>
      <c r="X47">
        <v>6</v>
      </c>
      <c r="Y47">
        <v>3</v>
      </c>
      <c r="Z47">
        <v>2</v>
      </c>
    </row>
    <row r="48" spans="1:26">
      <c r="A48">
        <v>116340</v>
      </c>
      <c r="B48">
        <v>116900</v>
      </c>
      <c r="C48">
        <v>117100</v>
      </c>
      <c r="D48">
        <v>116440</v>
      </c>
      <c r="E48">
        <v>115550</v>
      </c>
      <c r="F48">
        <v>116690</v>
      </c>
      <c r="G48">
        <v>114990</v>
      </c>
      <c r="H48">
        <v>115370</v>
      </c>
      <c r="I48">
        <v>115920</v>
      </c>
      <c r="J48">
        <v>116140</v>
      </c>
      <c r="K48">
        <v>115690</v>
      </c>
      <c r="L48">
        <v>115170</v>
      </c>
      <c r="O48">
        <v>7</v>
      </c>
      <c r="P48" t="s">
        <v>47</v>
      </c>
      <c r="Q48">
        <v>8</v>
      </c>
      <c r="R48">
        <v>5</v>
      </c>
      <c r="S48" t="s">
        <v>46</v>
      </c>
      <c r="T48">
        <v>9</v>
      </c>
      <c r="U48" t="s">
        <v>45</v>
      </c>
      <c r="V48">
        <v>1</v>
      </c>
      <c r="W48">
        <v>4</v>
      </c>
      <c r="X48">
        <v>6</v>
      </c>
      <c r="Y48">
        <v>2</v>
      </c>
      <c r="Z48">
        <v>3</v>
      </c>
    </row>
    <row r="49" spans="1:26">
      <c r="A49">
        <v>118690</v>
      </c>
      <c r="B49">
        <v>119630</v>
      </c>
      <c r="C49">
        <v>119410</v>
      </c>
      <c r="D49">
        <v>119200</v>
      </c>
      <c r="E49">
        <v>117950</v>
      </c>
      <c r="F49">
        <v>119020</v>
      </c>
      <c r="G49">
        <v>117710</v>
      </c>
      <c r="H49">
        <v>118080</v>
      </c>
      <c r="I49">
        <v>118260</v>
      </c>
      <c r="J49">
        <v>118870</v>
      </c>
      <c r="K49">
        <v>118470</v>
      </c>
      <c r="L49">
        <v>117540</v>
      </c>
      <c r="O49" t="s">
        <v>47</v>
      </c>
      <c r="P49">
        <v>7</v>
      </c>
      <c r="Q49">
        <v>5</v>
      </c>
      <c r="R49">
        <v>8</v>
      </c>
      <c r="S49">
        <v>9</v>
      </c>
      <c r="T49" t="s">
        <v>46</v>
      </c>
      <c r="U49">
        <v>1</v>
      </c>
      <c r="V49" t="s">
        <v>45</v>
      </c>
      <c r="W49">
        <v>6</v>
      </c>
      <c r="X49">
        <v>4</v>
      </c>
      <c r="Y49">
        <v>3</v>
      </c>
      <c r="Z49">
        <v>2</v>
      </c>
    </row>
    <row r="50" spans="1:26">
      <c r="A50">
        <v>121180</v>
      </c>
      <c r="B50">
        <v>121970</v>
      </c>
      <c r="C50">
        <v>121570</v>
      </c>
      <c r="D50">
        <v>121760</v>
      </c>
      <c r="E50">
        <v>120060</v>
      </c>
      <c r="F50">
        <v>121410</v>
      </c>
      <c r="G50">
        <v>120240</v>
      </c>
      <c r="H50">
        <v>120620</v>
      </c>
      <c r="I50">
        <v>120380</v>
      </c>
      <c r="J50">
        <v>120960</v>
      </c>
      <c r="K50">
        <v>120780</v>
      </c>
      <c r="L50">
        <v>119810</v>
      </c>
      <c r="O50" t="s">
        <v>47</v>
      </c>
      <c r="P50">
        <v>5</v>
      </c>
      <c r="Q50">
        <v>7</v>
      </c>
      <c r="R50">
        <v>9</v>
      </c>
      <c r="S50">
        <v>8</v>
      </c>
      <c r="T50" t="s">
        <v>46</v>
      </c>
      <c r="U50" t="s">
        <v>45</v>
      </c>
      <c r="V50">
        <v>1</v>
      </c>
      <c r="W50">
        <v>6</v>
      </c>
      <c r="X50">
        <v>3</v>
      </c>
      <c r="Y50">
        <v>4</v>
      </c>
      <c r="Z50">
        <v>2</v>
      </c>
    </row>
    <row r="51" spans="1:26">
      <c r="A51">
        <v>123530</v>
      </c>
      <c r="B51">
        <v>124270</v>
      </c>
      <c r="C51">
        <v>123890</v>
      </c>
      <c r="D51">
        <v>124470</v>
      </c>
      <c r="E51">
        <v>122360</v>
      </c>
      <c r="F51">
        <v>124140</v>
      </c>
      <c r="G51">
        <v>122960</v>
      </c>
      <c r="H51">
        <v>123380</v>
      </c>
      <c r="I51">
        <v>122700</v>
      </c>
      <c r="J51">
        <v>123750</v>
      </c>
      <c r="K51">
        <v>123160</v>
      </c>
      <c r="L51">
        <v>122530</v>
      </c>
      <c r="O51">
        <v>5</v>
      </c>
      <c r="P51" t="s">
        <v>47</v>
      </c>
      <c r="Q51">
        <v>9</v>
      </c>
      <c r="R51">
        <v>7</v>
      </c>
      <c r="S51" t="s">
        <v>46</v>
      </c>
      <c r="T51">
        <v>8</v>
      </c>
      <c r="U51">
        <v>1</v>
      </c>
      <c r="V51" t="s">
        <v>45</v>
      </c>
      <c r="W51">
        <v>3</v>
      </c>
      <c r="X51">
        <v>6</v>
      </c>
      <c r="Y51">
        <v>2</v>
      </c>
      <c r="Z51">
        <v>4</v>
      </c>
    </row>
    <row r="52" spans="1:26">
      <c r="A52">
        <v>125700</v>
      </c>
      <c r="B52">
        <v>126840</v>
      </c>
      <c r="C52">
        <v>126460</v>
      </c>
      <c r="D52">
        <v>126640</v>
      </c>
      <c r="E52">
        <v>124890</v>
      </c>
      <c r="F52">
        <v>126250</v>
      </c>
      <c r="G52">
        <v>125030</v>
      </c>
      <c r="H52">
        <v>125860</v>
      </c>
      <c r="I52">
        <v>125230</v>
      </c>
      <c r="J52">
        <v>126030</v>
      </c>
      <c r="K52">
        <v>125450</v>
      </c>
      <c r="L52">
        <v>124670</v>
      </c>
      <c r="O52" t="s">
        <v>47</v>
      </c>
      <c r="P52">
        <v>5</v>
      </c>
      <c r="Q52">
        <v>7</v>
      </c>
      <c r="R52">
        <v>9</v>
      </c>
      <c r="S52" t="s">
        <v>46</v>
      </c>
      <c r="T52">
        <v>1</v>
      </c>
      <c r="U52">
        <v>8</v>
      </c>
      <c r="V52" t="s">
        <v>45</v>
      </c>
      <c r="W52">
        <v>6</v>
      </c>
      <c r="X52">
        <v>3</v>
      </c>
      <c r="Y52">
        <v>4</v>
      </c>
      <c r="Z52">
        <v>2</v>
      </c>
    </row>
    <row r="53" spans="1:26">
      <c r="A53">
        <v>128020</v>
      </c>
      <c r="B53">
        <v>129190</v>
      </c>
      <c r="C53">
        <v>128780</v>
      </c>
      <c r="D53">
        <v>129380</v>
      </c>
      <c r="E53">
        <v>127200</v>
      </c>
      <c r="F53">
        <v>129000</v>
      </c>
      <c r="G53">
        <v>127850</v>
      </c>
      <c r="H53">
        <v>128570</v>
      </c>
      <c r="I53">
        <v>127570</v>
      </c>
      <c r="J53">
        <v>128400</v>
      </c>
      <c r="K53">
        <v>128210</v>
      </c>
      <c r="L53">
        <v>127410</v>
      </c>
      <c r="O53">
        <v>5</v>
      </c>
      <c r="P53" t="s">
        <v>47</v>
      </c>
      <c r="Q53">
        <v>9</v>
      </c>
      <c r="R53">
        <v>7</v>
      </c>
      <c r="S53">
        <v>1</v>
      </c>
      <c r="T53" t="s">
        <v>46</v>
      </c>
      <c r="U53" t="s">
        <v>45</v>
      </c>
      <c r="V53">
        <v>8</v>
      </c>
      <c r="W53">
        <v>3</v>
      </c>
      <c r="X53">
        <v>6</v>
      </c>
      <c r="Y53">
        <v>2</v>
      </c>
      <c r="Z53">
        <v>4</v>
      </c>
    </row>
    <row r="54" spans="1:26">
      <c r="A54">
        <v>130550</v>
      </c>
      <c r="B54">
        <v>131320</v>
      </c>
      <c r="C54">
        <v>130980</v>
      </c>
      <c r="D54">
        <v>131760</v>
      </c>
      <c r="E54">
        <v>129580</v>
      </c>
      <c r="F54">
        <v>131520</v>
      </c>
      <c r="G54">
        <v>130130</v>
      </c>
      <c r="H54">
        <v>131090</v>
      </c>
      <c r="I54">
        <v>129700</v>
      </c>
      <c r="J54">
        <v>130740</v>
      </c>
      <c r="K54">
        <v>130330</v>
      </c>
      <c r="L54">
        <v>129940</v>
      </c>
      <c r="O54">
        <v>5</v>
      </c>
      <c r="P54">
        <v>9</v>
      </c>
      <c r="Q54" t="s">
        <v>47</v>
      </c>
      <c r="R54">
        <v>7</v>
      </c>
      <c r="S54" t="s">
        <v>46</v>
      </c>
      <c r="T54">
        <v>1</v>
      </c>
      <c r="U54" t="s">
        <v>45</v>
      </c>
      <c r="V54">
        <v>3</v>
      </c>
      <c r="W54">
        <v>8</v>
      </c>
      <c r="X54">
        <v>2</v>
      </c>
      <c r="Y54">
        <v>6</v>
      </c>
      <c r="Z54">
        <v>4</v>
      </c>
    </row>
    <row r="55" spans="1:26">
      <c r="A55">
        <v>132920</v>
      </c>
      <c r="B55">
        <v>133700</v>
      </c>
      <c r="C55">
        <v>133270</v>
      </c>
      <c r="D55">
        <v>134070</v>
      </c>
      <c r="E55">
        <v>132340</v>
      </c>
      <c r="F55">
        <v>134270</v>
      </c>
      <c r="G55">
        <v>132500</v>
      </c>
      <c r="H55">
        <v>133860</v>
      </c>
      <c r="I55">
        <v>132120</v>
      </c>
      <c r="J55">
        <v>133510</v>
      </c>
      <c r="K55">
        <v>133080</v>
      </c>
      <c r="L55">
        <v>132710</v>
      </c>
      <c r="O55">
        <v>9</v>
      </c>
      <c r="P55">
        <v>5</v>
      </c>
      <c r="Q55">
        <v>7</v>
      </c>
      <c r="R55" t="s">
        <v>47</v>
      </c>
      <c r="S55">
        <v>1</v>
      </c>
      <c r="T55" t="s">
        <v>46</v>
      </c>
      <c r="U55">
        <v>3</v>
      </c>
      <c r="V55" t="s">
        <v>45</v>
      </c>
      <c r="W55">
        <v>2</v>
      </c>
      <c r="X55">
        <v>8</v>
      </c>
      <c r="Y55">
        <v>4</v>
      </c>
      <c r="Z55">
        <v>6</v>
      </c>
    </row>
    <row r="56" spans="1:26">
      <c r="A56">
        <v>135070</v>
      </c>
      <c r="B56">
        <v>136210</v>
      </c>
      <c r="C56">
        <v>135840</v>
      </c>
      <c r="D56">
        <v>136580</v>
      </c>
      <c r="E56">
        <v>134440</v>
      </c>
      <c r="F56">
        <v>136410</v>
      </c>
      <c r="G56">
        <v>134820</v>
      </c>
      <c r="H56">
        <v>135980</v>
      </c>
      <c r="I56">
        <v>134630</v>
      </c>
      <c r="J56">
        <v>135610</v>
      </c>
      <c r="K56">
        <v>135420</v>
      </c>
      <c r="L56">
        <v>135250</v>
      </c>
      <c r="O56">
        <v>5</v>
      </c>
      <c r="P56">
        <v>9</v>
      </c>
      <c r="Q56">
        <v>7</v>
      </c>
      <c r="R56">
        <v>1</v>
      </c>
      <c r="S56" t="s">
        <v>47</v>
      </c>
      <c r="T56" t="s">
        <v>46</v>
      </c>
      <c r="U56" t="s">
        <v>45</v>
      </c>
      <c r="V56">
        <v>3</v>
      </c>
      <c r="W56">
        <v>8</v>
      </c>
      <c r="X56">
        <v>2</v>
      </c>
      <c r="Y56">
        <v>6</v>
      </c>
      <c r="Z56">
        <v>4</v>
      </c>
    </row>
    <row r="57" spans="1:26">
      <c r="A57">
        <v>137390</v>
      </c>
      <c r="B57">
        <v>138560</v>
      </c>
      <c r="C57">
        <v>138180</v>
      </c>
      <c r="D57">
        <v>138930</v>
      </c>
      <c r="E57">
        <v>137200</v>
      </c>
      <c r="F57">
        <v>139150</v>
      </c>
      <c r="G57">
        <v>137640</v>
      </c>
      <c r="H57">
        <v>138710</v>
      </c>
      <c r="I57">
        <v>136990</v>
      </c>
      <c r="J57">
        <v>138410</v>
      </c>
      <c r="K57">
        <v>137780</v>
      </c>
      <c r="L57">
        <v>138010</v>
      </c>
      <c r="O57">
        <v>9</v>
      </c>
      <c r="P57">
        <v>5</v>
      </c>
      <c r="Q57">
        <v>1</v>
      </c>
      <c r="R57">
        <v>7</v>
      </c>
      <c r="S57" t="s">
        <v>46</v>
      </c>
      <c r="T57" t="s">
        <v>47</v>
      </c>
      <c r="U57">
        <v>3</v>
      </c>
      <c r="V57" t="s">
        <v>45</v>
      </c>
      <c r="W57">
        <v>2</v>
      </c>
      <c r="X57">
        <v>8</v>
      </c>
      <c r="Y57">
        <v>4</v>
      </c>
      <c r="Z57">
        <v>6</v>
      </c>
    </row>
    <row r="58" spans="1:26">
      <c r="A58">
        <v>139940</v>
      </c>
      <c r="B58">
        <v>140720</v>
      </c>
      <c r="C58">
        <v>140320</v>
      </c>
      <c r="D58">
        <v>141100</v>
      </c>
      <c r="E58">
        <v>139480</v>
      </c>
      <c r="F58">
        <v>141500</v>
      </c>
      <c r="G58">
        <v>139760</v>
      </c>
      <c r="H58">
        <v>141270</v>
      </c>
      <c r="I58">
        <v>139310</v>
      </c>
      <c r="J58">
        <v>140920</v>
      </c>
      <c r="K58">
        <v>140120</v>
      </c>
      <c r="L58">
        <v>140530</v>
      </c>
      <c r="O58">
        <v>9</v>
      </c>
      <c r="P58">
        <v>5</v>
      </c>
      <c r="Q58">
        <v>7</v>
      </c>
      <c r="R58">
        <v>1</v>
      </c>
      <c r="S58" t="s">
        <v>46</v>
      </c>
      <c r="T58">
        <v>3</v>
      </c>
      <c r="U58" t="s">
        <v>47</v>
      </c>
      <c r="V58">
        <v>2</v>
      </c>
      <c r="W58" t="s">
        <v>45</v>
      </c>
      <c r="X58">
        <v>4</v>
      </c>
      <c r="Y58">
        <v>8</v>
      </c>
      <c r="Z58">
        <v>6</v>
      </c>
    </row>
    <row r="59" spans="1:26">
      <c r="A59">
        <v>142280</v>
      </c>
      <c r="B59">
        <v>143070</v>
      </c>
      <c r="C59">
        <v>142690</v>
      </c>
      <c r="D59">
        <v>143490</v>
      </c>
      <c r="E59">
        <v>141880</v>
      </c>
      <c r="F59">
        <v>143820</v>
      </c>
      <c r="G59">
        <v>142520</v>
      </c>
      <c r="H59">
        <v>144000</v>
      </c>
      <c r="I59">
        <v>142080</v>
      </c>
      <c r="J59">
        <v>143670</v>
      </c>
      <c r="K59">
        <v>142880</v>
      </c>
      <c r="L59">
        <v>143250</v>
      </c>
      <c r="O59">
        <v>5</v>
      </c>
      <c r="P59">
        <v>9</v>
      </c>
      <c r="Q59">
        <v>1</v>
      </c>
      <c r="R59">
        <v>7</v>
      </c>
      <c r="S59">
        <v>3</v>
      </c>
      <c r="T59" t="s">
        <v>46</v>
      </c>
      <c r="U59">
        <v>2</v>
      </c>
      <c r="V59" t="s">
        <v>47</v>
      </c>
      <c r="W59">
        <v>4</v>
      </c>
      <c r="X59" t="s">
        <v>45</v>
      </c>
      <c r="Y59">
        <v>6</v>
      </c>
      <c r="Z59">
        <v>8</v>
      </c>
    </row>
    <row r="60" spans="1:26">
      <c r="A60">
        <v>144430</v>
      </c>
      <c r="B60">
        <v>145620</v>
      </c>
      <c r="C60">
        <v>145220</v>
      </c>
      <c r="D60">
        <v>146000</v>
      </c>
      <c r="E60">
        <v>144200</v>
      </c>
      <c r="F60">
        <v>146410</v>
      </c>
      <c r="G60">
        <v>144790</v>
      </c>
      <c r="H60">
        <v>146180</v>
      </c>
      <c r="I60">
        <v>144590</v>
      </c>
      <c r="J60">
        <v>145810</v>
      </c>
      <c r="K60">
        <v>145020</v>
      </c>
      <c r="L60">
        <v>145390</v>
      </c>
      <c r="O60">
        <v>5</v>
      </c>
      <c r="P60">
        <v>1</v>
      </c>
      <c r="Q60">
        <v>9</v>
      </c>
      <c r="R60">
        <v>7</v>
      </c>
      <c r="S60" t="s">
        <v>46</v>
      </c>
      <c r="T60">
        <v>3</v>
      </c>
      <c r="U60" t="s">
        <v>47</v>
      </c>
      <c r="V60">
        <v>2</v>
      </c>
      <c r="W60" t="s">
        <v>45</v>
      </c>
      <c r="X60">
        <v>4</v>
      </c>
      <c r="Y60">
        <v>8</v>
      </c>
      <c r="Z60">
        <v>6</v>
      </c>
    </row>
    <row r="61" spans="1:26">
      <c r="A61">
        <v>146790</v>
      </c>
      <c r="B61">
        <v>147940</v>
      </c>
      <c r="C61">
        <v>147550</v>
      </c>
      <c r="D61">
        <v>148350</v>
      </c>
      <c r="E61">
        <v>146980</v>
      </c>
      <c r="F61">
        <v>148740</v>
      </c>
      <c r="G61">
        <v>147190</v>
      </c>
      <c r="H61">
        <v>148920</v>
      </c>
      <c r="I61">
        <v>147360</v>
      </c>
      <c r="J61">
        <v>148550</v>
      </c>
      <c r="K61">
        <v>147720</v>
      </c>
      <c r="L61">
        <v>148120</v>
      </c>
      <c r="O61">
        <v>1</v>
      </c>
      <c r="P61">
        <v>5</v>
      </c>
      <c r="Q61">
        <v>7</v>
      </c>
      <c r="R61">
        <v>9</v>
      </c>
      <c r="S61">
        <v>3</v>
      </c>
      <c r="T61" t="s">
        <v>46</v>
      </c>
      <c r="U61">
        <v>2</v>
      </c>
      <c r="V61" t="s">
        <v>47</v>
      </c>
      <c r="W61">
        <v>4</v>
      </c>
      <c r="X61" t="s">
        <v>45</v>
      </c>
      <c r="Y61">
        <v>6</v>
      </c>
      <c r="Z61">
        <v>8</v>
      </c>
    </row>
    <row r="62" spans="1:26">
      <c r="A62">
        <v>149310</v>
      </c>
      <c r="B62">
        <v>150110</v>
      </c>
      <c r="C62">
        <v>149720</v>
      </c>
      <c r="D62">
        <v>150410</v>
      </c>
      <c r="E62">
        <v>149130</v>
      </c>
      <c r="F62">
        <v>150890</v>
      </c>
      <c r="G62">
        <v>149530</v>
      </c>
      <c r="H62">
        <v>151280</v>
      </c>
      <c r="I62">
        <v>149910</v>
      </c>
      <c r="J62">
        <v>151070</v>
      </c>
      <c r="K62">
        <v>150230</v>
      </c>
      <c r="L62">
        <v>150640</v>
      </c>
      <c r="O62">
        <v>5</v>
      </c>
      <c r="P62">
        <v>1</v>
      </c>
      <c r="Q62">
        <v>7</v>
      </c>
      <c r="R62">
        <v>3</v>
      </c>
      <c r="S62">
        <v>9</v>
      </c>
      <c r="T62">
        <v>2</v>
      </c>
      <c r="U62" t="s">
        <v>46</v>
      </c>
      <c r="V62">
        <v>4</v>
      </c>
      <c r="W62" t="s">
        <v>47</v>
      </c>
      <c r="X62">
        <v>6</v>
      </c>
      <c r="Y62" t="s">
        <v>45</v>
      </c>
      <c r="Z62">
        <v>8</v>
      </c>
    </row>
    <row r="63" spans="1:26">
      <c r="A63">
        <v>151660</v>
      </c>
      <c r="B63">
        <v>152470</v>
      </c>
      <c r="C63">
        <v>152050</v>
      </c>
      <c r="D63">
        <v>152810</v>
      </c>
      <c r="E63">
        <v>151840</v>
      </c>
      <c r="F63">
        <v>153200</v>
      </c>
      <c r="G63">
        <v>152290</v>
      </c>
      <c r="H63">
        <v>153590</v>
      </c>
      <c r="I63">
        <v>152660</v>
      </c>
      <c r="J63">
        <v>153810</v>
      </c>
      <c r="K63">
        <v>152990</v>
      </c>
      <c r="L63">
        <v>153400</v>
      </c>
      <c r="O63">
        <v>1</v>
      </c>
      <c r="P63">
        <v>5</v>
      </c>
      <c r="Q63">
        <v>3</v>
      </c>
      <c r="R63">
        <v>7</v>
      </c>
      <c r="S63">
        <v>2</v>
      </c>
      <c r="T63">
        <v>9</v>
      </c>
      <c r="U63">
        <v>4</v>
      </c>
      <c r="V63" t="s">
        <v>46</v>
      </c>
      <c r="W63">
        <v>6</v>
      </c>
      <c r="X63" t="s">
        <v>47</v>
      </c>
      <c r="Y63">
        <v>8</v>
      </c>
      <c r="Z63" t="s">
        <v>45</v>
      </c>
    </row>
    <row r="64" spans="1:26">
      <c r="A64">
        <v>154010</v>
      </c>
      <c r="B64">
        <v>155010</v>
      </c>
      <c r="C64">
        <v>154600</v>
      </c>
      <c r="D64">
        <v>155310</v>
      </c>
      <c r="E64">
        <v>154180</v>
      </c>
      <c r="F64">
        <v>155720</v>
      </c>
      <c r="G64">
        <v>154440</v>
      </c>
      <c r="H64">
        <v>156120</v>
      </c>
      <c r="I64">
        <v>154830</v>
      </c>
      <c r="J64">
        <v>155920</v>
      </c>
      <c r="K64">
        <v>155160</v>
      </c>
      <c r="L64">
        <v>155540</v>
      </c>
      <c r="O64">
        <v>1</v>
      </c>
      <c r="P64">
        <v>5</v>
      </c>
      <c r="Q64">
        <v>7</v>
      </c>
      <c r="R64">
        <v>3</v>
      </c>
      <c r="S64">
        <v>9</v>
      </c>
      <c r="T64">
        <v>2</v>
      </c>
      <c r="U64" t="s">
        <v>46</v>
      </c>
      <c r="V64">
        <v>4</v>
      </c>
      <c r="W64" t="s">
        <v>47</v>
      </c>
      <c r="X64">
        <v>6</v>
      </c>
      <c r="Y64" t="s">
        <v>45</v>
      </c>
      <c r="Z64">
        <v>8</v>
      </c>
    </row>
    <row r="65" spans="1:26">
      <c r="A65">
        <v>156740</v>
      </c>
      <c r="B65">
        <v>157340</v>
      </c>
      <c r="C65">
        <v>156970</v>
      </c>
      <c r="D65">
        <v>157710</v>
      </c>
      <c r="E65">
        <v>156540</v>
      </c>
      <c r="F65">
        <v>158070</v>
      </c>
      <c r="G65">
        <v>157200</v>
      </c>
      <c r="H65">
        <v>158420</v>
      </c>
      <c r="I65">
        <v>157540</v>
      </c>
      <c r="J65">
        <v>158660</v>
      </c>
      <c r="K65">
        <v>157880</v>
      </c>
      <c r="L65">
        <v>158310</v>
      </c>
      <c r="O65">
        <v>5</v>
      </c>
      <c r="P65">
        <v>1</v>
      </c>
      <c r="Q65">
        <v>3</v>
      </c>
      <c r="R65">
        <v>7</v>
      </c>
      <c r="S65">
        <v>2</v>
      </c>
      <c r="T65">
        <v>9</v>
      </c>
      <c r="U65">
        <v>4</v>
      </c>
      <c r="V65" t="s">
        <v>46</v>
      </c>
      <c r="W65">
        <v>6</v>
      </c>
      <c r="X65" t="s">
        <v>47</v>
      </c>
      <c r="Y65">
        <v>8</v>
      </c>
      <c r="Z65" t="s">
        <v>45</v>
      </c>
    </row>
    <row r="66" spans="1:26">
      <c r="A66">
        <v>158880</v>
      </c>
      <c r="B66">
        <v>159460</v>
      </c>
      <c r="C66">
        <v>159270</v>
      </c>
      <c r="D66">
        <v>159800</v>
      </c>
      <c r="E66">
        <v>159040</v>
      </c>
      <c r="F66">
        <v>160210</v>
      </c>
      <c r="G66">
        <v>159680</v>
      </c>
      <c r="H66">
        <v>160570</v>
      </c>
      <c r="I66">
        <v>160010</v>
      </c>
      <c r="J66">
        <v>161020</v>
      </c>
      <c r="K66">
        <v>160370</v>
      </c>
      <c r="L66">
        <v>160790</v>
      </c>
      <c r="O66">
        <v>1</v>
      </c>
      <c r="P66">
        <v>5</v>
      </c>
      <c r="Q66">
        <v>3</v>
      </c>
      <c r="R66">
        <v>2</v>
      </c>
      <c r="S66">
        <v>7</v>
      </c>
      <c r="T66">
        <v>4</v>
      </c>
      <c r="U66">
        <v>9</v>
      </c>
      <c r="V66">
        <v>6</v>
      </c>
      <c r="W66" t="s">
        <v>46</v>
      </c>
      <c r="X66">
        <v>8</v>
      </c>
      <c r="Y66" t="s">
        <v>47</v>
      </c>
      <c r="Z66" t="s">
        <v>45</v>
      </c>
    </row>
    <row r="67" spans="1:26">
      <c r="A67">
        <v>161640</v>
      </c>
      <c r="B67">
        <v>161780</v>
      </c>
      <c r="C67">
        <v>161990</v>
      </c>
      <c r="D67">
        <v>162200</v>
      </c>
      <c r="E67">
        <v>161390</v>
      </c>
      <c r="F67">
        <v>162610</v>
      </c>
      <c r="G67">
        <v>162390</v>
      </c>
      <c r="H67">
        <v>162930</v>
      </c>
      <c r="I67">
        <v>162780</v>
      </c>
      <c r="J67">
        <v>163300</v>
      </c>
      <c r="K67">
        <v>163100</v>
      </c>
      <c r="L67">
        <v>163520</v>
      </c>
      <c r="O67">
        <v>5</v>
      </c>
      <c r="P67">
        <v>1</v>
      </c>
      <c r="Q67">
        <v>2</v>
      </c>
      <c r="R67">
        <v>3</v>
      </c>
      <c r="S67">
        <v>4</v>
      </c>
      <c r="T67">
        <v>7</v>
      </c>
      <c r="U67">
        <v>6</v>
      </c>
      <c r="V67">
        <v>9</v>
      </c>
      <c r="W67">
        <v>8</v>
      </c>
      <c r="X67" t="s">
        <v>46</v>
      </c>
      <c r="Y67" t="s">
        <v>45</v>
      </c>
      <c r="Z67" t="s">
        <v>47</v>
      </c>
    </row>
    <row r="68" spans="1:26">
      <c r="A68">
        <v>164150</v>
      </c>
      <c r="B68">
        <v>163930</v>
      </c>
      <c r="C68">
        <v>164340</v>
      </c>
      <c r="D68">
        <v>164680</v>
      </c>
      <c r="E68">
        <v>163710</v>
      </c>
      <c r="F68">
        <v>165130</v>
      </c>
      <c r="G68">
        <v>164510</v>
      </c>
      <c r="H68">
        <v>165470</v>
      </c>
      <c r="I68">
        <v>164910</v>
      </c>
      <c r="J68">
        <v>165880</v>
      </c>
      <c r="K68">
        <v>165250</v>
      </c>
      <c r="L68">
        <v>165670</v>
      </c>
      <c r="O68">
        <v>5</v>
      </c>
      <c r="P68">
        <v>2</v>
      </c>
      <c r="Q68">
        <v>1</v>
      </c>
      <c r="R68">
        <v>3</v>
      </c>
      <c r="S68">
        <v>7</v>
      </c>
      <c r="T68">
        <v>4</v>
      </c>
      <c r="U68">
        <v>9</v>
      </c>
      <c r="V68">
        <v>6</v>
      </c>
      <c r="W68" t="s">
        <v>46</v>
      </c>
      <c r="X68">
        <v>8</v>
      </c>
      <c r="Y68" t="s">
        <v>47</v>
      </c>
      <c r="Z68" t="s">
        <v>45</v>
      </c>
    </row>
    <row r="69" spans="1:26">
      <c r="A69">
        <v>166900</v>
      </c>
      <c r="B69">
        <v>166280</v>
      </c>
      <c r="C69">
        <v>166660</v>
      </c>
      <c r="D69">
        <v>167040</v>
      </c>
      <c r="E69">
        <v>166480</v>
      </c>
      <c r="F69">
        <v>167450</v>
      </c>
      <c r="G69">
        <v>167240</v>
      </c>
      <c r="H69">
        <v>167820</v>
      </c>
      <c r="I69">
        <v>167630</v>
      </c>
      <c r="J69">
        <v>168190</v>
      </c>
      <c r="K69">
        <v>168000</v>
      </c>
      <c r="L69">
        <v>168420</v>
      </c>
      <c r="O69">
        <v>2</v>
      </c>
      <c r="P69">
        <v>5</v>
      </c>
      <c r="Q69">
        <v>3</v>
      </c>
      <c r="R69">
        <v>1</v>
      </c>
      <c r="S69">
        <v>4</v>
      </c>
      <c r="T69">
        <v>7</v>
      </c>
      <c r="U69">
        <v>6</v>
      </c>
      <c r="V69">
        <v>9</v>
      </c>
      <c r="W69">
        <v>8</v>
      </c>
      <c r="X69" t="s">
        <v>46</v>
      </c>
      <c r="Y69" t="s">
        <v>45</v>
      </c>
      <c r="Z69" t="s">
        <v>47</v>
      </c>
    </row>
    <row r="70" spans="1:26">
      <c r="A70">
        <v>169030</v>
      </c>
      <c r="B70">
        <v>168630</v>
      </c>
      <c r="C70">
        <v>169200</v>
      </c>
      <c r="D70">
        <v>169360</v>
      </c>
      <c r="E70">
        <v>168830</v>
      </c>
      <c r="F70">
        <v>169570</v>
      </c>
      <c r="G70">
        <v>169750</v>
      </c>
      <c r="H70">
        <v>169950</v>
      </c>
      <c r="I70">
        <v>170140</v>
      </c>
      <c r="J70">
        <v>170320</v>
      </c>
      <c r="K70">
        <v>170540</v>
      </c>
      <c r="L70">
        <v>170760</v>
      </c>
      <c r="O70">
        <v>2</v>
      </c>
      <c r="P70">
        <v>5</v>
      </c>
      <c r="Q70">
        <v>1</v>
      </c>
      <c r="R70">
        <v>3</v>
      </c>
      <c r="S70">
        <v>4</v>
      </c>
      <c r="T70">
        <v>6</v>
      </c>
      <c r="U70">
        <v>7</v>
      </c>
      <c r="V70">
        <v>8</v>
      </c>
      <c r="W70">
        <v>9</v>
      </c>
      <c r="X70" t="s">
        <v>45</v>
      </c>
      <c r="Y70" t="s">
        <v>46</v>
      </c>
      <c r="Z70" t="s">
        <v>47</v>
      </c>
    </row>
    <row r="71" spans="1:26">
      <c r="A71">
        <v>171750</v>
      </c>
      <c r="B71">
        <v>171350</v>
      </c>
      <c r="C71">
        <v>171530</v>
      </c>
      <c r="D71">
        <v>172110</v>
      </c>
      <c r="E71">
        <v>171180</v>
      </c>
      <c r="F71">
        <v>171940</v>
      </c>
      <c r="G71">
        <v>172560</v>
      </c>
      <c r="H71">
        <v>172290</v>
      </c>
      <c r="I71">
        <v>172880</v>
      </c>
      <c r="J71">
        <v>172720</v>
      </c>
      <c r="K71">
        <v>173290</v>
      </c>
      <c r="L71">
        <v>173080</v>
      </c>
      <c r="O71">
        <v>5</v>
      </c>
      <c r="P71">
        <v>2</v>
      </c>
      <c r="Q71">
        <v>3</v>
      </c>
      <c r="R71">
        <v>1</v>
      </c>
      <c r="S71">
        <v>6</v>
      </c>
      <c r="T71">
        <v>4</v>
      </c>
      <c r="U71">
        <v>8</v>
      </c>
      <c r="V71">
        <v>7</v>
      </c>
      <c r="W71" t="s">
        <v>45</v>
      </c>
      <c r="X71">
        <v>9</v>
      </c>
      <c r="Y71" t="s">
        <v>47</v>
      </c>
      <c r="Z71" t="s">
        <v>46</v>
      </c>
    </row>
    <row r="72" spans="1:26">
      <c r="A72">
        <v>174270</v>
      </c>
      <c r="B72">
        <v>173520</v>
      </c>
      <c r="C72">
        <v>173870</v>
      </c>
      <c r="D72">
        <v>174410</v>
      </c>
      <c r="E72">
        <v>173700</v>
      </c>
      <c r="F72">
        <v>174090</v>
      </c>
      <c r="G72">
        <v>174630</v>
      </c>
      <c r="H72">
        <v>174820</v>
      </c>
      <c r="I72">
        <v>175020</v>
      </c>
      <c r="J72">
        <v>175210</v>
      </c>
      <c r="K72">
        <v>175400</v>
      </c>
      <c r="L72">
        <v>175630</v>
      </c>
      <c r="O72">
        <v>2</v>
      </c>
      <c r="P72">
        <v>5</v>
      </c>
      <c r="Q72">
        <v>3</v>
      </c>
      <c r="R72">
        <v>6</v>
      </c>
      <c r="S72">
        <v>1</v>
      </c>
      <c r="T72">
        <v>4</v>
      </c>
      <c r="U72">
        <v>7</v>
      </c>
      <c r="V72">
        <v>8</v>
      </c>
      <c r="W72">
        <v>9</v>
      </c>
      <c r="X72" t="s">
        <v>45</v>
      </c>
      <c r="Y72" t="s">
        <v>46</v>
      </c>
      <c r="Z72" t="s">
        <v>47</v>
      </c>
    </row>
    <row r="73" spans="1:26">
      <c r="A73">
        <v>177000</v>
      </c>
      <c r="B73">
        <v>176230</v>
      </c>
      <c r="C73">
        <v>176620</v>
      </c>
      <c r="D73">
        <v>176820</v>
      </c>
      <c r="E73">
        <v>176040</v>
      </c>
      <c r="F73">
        <v>176440</v>
      </c>
      <c r="G73">
        <v>177420</v>
      </c>
      <c r="H73">
        <v>177140</v>
      </c>
      <c r="I73">
        <v>177750</v>
      </c>
      <c r="J73">
        <v>177570</v>
      </c>
      <c r="K73">
        <v>178170</v>
      </c>
      <c r="L73">
        <v>177950</v>
      </c>
      <c r="O73">
        <v>5</v>
      </c>
      <c r="P73">
        <v>2</v>
      </c>
      <c r="Q73">
        <v>6</v>
      </c>
      <c r="R73">
        <v>3</v>
      </c>
      <c r="S73">
        <v>4</v>
      </c>
      <c r="T73">
        <v>1</v>
      </c>
      <c r="U73">
        <v>8</v>
      </c>
      <c r="V73">
        <v>7</v>
      </c>
      <c r="W73" t="s">
        <v>45</v>
      </c>
      <c r="X73">
        <v>9</v>
      </c>
      <c r="Y73" t="s">
        <v>47</v>
      </c>
      <c r="Z73" t="s">
        <v>46</v>
      </c>
    </row>
    <row r="74" spans="1:26">
      <c r="A74">
        <v>179180</v>
      </c>
      <c r="B74">
        <v>178770</v>
      </c>
      <c r="C74">
        <v>178980</v>
      </c>
      <c r="D74">
        <v>179310</v>
      </c>
      <c r="E74">
        <v>178360</v>
      </c>
      <c r="F74">
        <v>178570</v>
      </c>
      <c r="G74">
        <v>179940</v>
      </c>
      <c r="H74">
        <v>179490</v>
      </c>
      <c r="I74">
        <v>180300</v>
      </c>
      <c r="J74">
        <v>179680</v>
      </c>
      <c r="K74">
        <v>180490</v>
      </c>
      <c r="L74">
        <v>180140</v>
      </c>
      <c r="O74">
        <v>5</v>
      </c>
      <c r="P74">
        <v>6</v>
      </c>
      <c r="Q74">
        <v>2</v>
      </c>
      <c r="R74">
        <v>3</v>
      </c>
      <c r="S74">
        <v>1</v>
      </c>
      <c r="T74">
        <v>4</v>
      </c>
      <c r="U74">
        <v>8</v>
      </c>
      <c r="V74" t="s">
        <v>45</v>
      </c>
      <c r="W74">
        <v>7</v>
      </c>
      <c r="X74" t="s">
        <v>47</v>
      </c>
      <c r="Y74">
        <v>9</v>
      </c>
      <c r="Z74" t="s">
        <v>46</v>
      </c>
    </row>
    <row r="75" spans="1:26">
      <c r="A75">
        <v>181900</v>
      </c>
      <c r="B75">
        <v>181500</v>
      </c>
      <c r="C75">
        <v>181300</v>
      </c>
      <c r="D75">
        <v>181670</v>
      </c>
      <c r="E75">
        <v>181100</v>
      </c>
      <c r="F75">
        <v>180930</v>
      </c>
      <c r="G75">
        <v>182680</v>
      </c>
      <c r="H75">
        <v>182250</v>
      </c>
      <c r="I75">
        <v>183000</v>
      </c>
      <c r="J75">
        <v>182110</v>
      </c>
      <c r="K75">
        <v>182790</v>
      </c>
      <c r="L75">
        <v>182490</v>
      </c>
      <c r="O75">
        <v>6</v>
      </c>
      <c r="P75">
        <v>5</v>
      </c>
      <c r="Q75">
        <v>3</v>
      </c>
      <c r="R75">
        <v>2</v>
      </c>
      <c r="S75">
        <v>4</v>
      </c>
      <c r="T75">
        <v>1</v>
      </c>
      <c r="U75" t="s">
        <v>45</v>
      </c>
      <c r="V75">
        <v>8</v>
      </c>
      <c r="W75" t="s">
        <v>47</v>
      </c>
      <c r="X75">
        <v>7</v>
      </c>
      <c r="Y75" t="s">
        <v>46</v>
      </c>
      <c r="Z75">
        <v>9</v>
      </c>
    </row>
    <row r="76" spans="1:26">
      <c r="A76">
        <v>184420</v>
      </c>
      <c r="B76">
        <v>183620</v>
      </c>
      <c r="C76">
        <v>183860</v>
      </c>
      <c r="D76">
        <v>183980</v>
      </c>
      <c r="E76">
        <v>183230</v>
      </c>
      <c r="F76">
        <v>183400</v>
      </c>
      <c r="G76">
        <v>184830</v>
      </c>
      <c r="H76">
        <v>184590</v>
      </c>
      <c r="I76">
        <v>185220</v>
      </c>
      <c r="J76">
        <v>184200</v>
      </c>
      <c r="K76">
        <v>185400</v>
      </c>
      <c r="L76">
        <v>185020</v>
      </c>
      <c r="O76">
        <v>5</v>
      </c>
      <c r="P76">
        <v>6</v>
      </c>
      <c r="Q76">
        <v>2</v>
      </c>
      <c r="R76">
        <v>3</v>
      </c>
      <c r="S76">
        <v>4</v>
      </c>
      <c r="T76" t="s">
        <v>45</v>
      </c>
      <c r="U76">
        <v>1</v>
      </c>
      <c r="V76">
        <v>8</v>
      </c>
      <c r="W76">
        <v>7</v>
      </c>
      <c r="X76" t="s">
        <v>47</v>
      </c>
      <c r="Y76">
        <v>9</v>
      </c>
      <c r="Z76" t="s">
        <v>46</v>
      </c>
    </row>
    <row r="77" spans="1:26">
      <c r="A77">
        <v>187130</v>
      </c>
      <c r="B77">
        <v>186380</v>
      </c>
      <c r="C77">
        <v>186180</v>
      </c>
      <c r="D77">
        <v>186730</v>
      </c>
      <c r="E77">
        <v>185950</v>
      </c>
      <c r="F77">
        <v>185770</v>
      </c>
      <c r="G77">
        <v>187570</v>
      </c>
      <c r="H77">
        <v>186950</v>
      </c>
      <c r="I77">
        <v>187920</v>
      </c>
      <c r="J77">
        <v>186570</v>
      </c>
      <c r="K77">
        <v>187720</v>
      </c>
      <c r="L77">
        <v>187360</v>
      </c>
      <c r="O77">
        <v>6</v>
      </c>
      <c r="P77">
        <v>5</v>
      </c>
      <c r="Q77">
        <v>3</v>
      </c>
      <c r="R77">
        <v>2</v>
      </c>
      <c r="S77" t="s">
        <v>45</v>
      </c>
      <c r="T77">
        <v>4</v>
      </c>
      <c r="U77">
        <v>8</v>
      </c>
      <c r="V77">
        <v>1</v>
      </c>
      <c r="W77" t="s">
        <v>47</v>
      </c>
      <c r="X77">
        <v>7</v>
      </c>
      <c r="Y77" t="s">
        <v>46</v>
      </c>
      <c r="Z77">
        <v>9</v>
      </c>
    </row>
    <row r="78" spans="1:26">
      <c r="A78">
        <v>189290</v>
      </c>
      <c r="B78">
        <v>188860</v>
      </c>
      <c r="C78">
        <v>188320</v>
      </c>
      <c r="D78">
        <v>189050</v>
      </c>
      <c r="E78">
        <v>188490</v>
      </c>
      <c r="F78">
        <v>188150</v>
      </c>
      <c r="G78">
        <v>190080</v>
      </c>
      <c r="H78">
        <v>189420</v>
      </c>
      <c r="I78">
        <v>190260</v>
      </c>
      <c r="J78">
        <v>188670</v>
      </c>
      <c r="K78">
        <v>189860</v>
      </c>
      <c r="L78">
        <v>189640</v>
      </c>
      <c r="O78">
        <v>6</v>
      </c>
      <c r="P78">
        <v>3</v>
      </c>
      <c r="Q78">
        <v>5</v>
      </c>
      <c r="R78" t="s">
        <v>45</v>
      </c>
      <c r="S78">
        <v>2</v>
      </c>
      <c r="T78">
        <v>4</v>
      </c>
      <c r="U78">
        <v>1</v>
      </c>
      <c r="V78">
        <v>8</v>
      </c>
      <c r="W78" t="s">
        <v>47</v>
      </c>
      <c r="X78" t="s">
        <v>46</v>
      </c>
      <c r="Y78">
        <v>7</v>
      </c>
      <c r="Z78">
        <v>9</v>
      </c>
    </row>
    <row r="79" spans="1:26">
      <c r="A79">
        <v>192000</v>
      </c>
      <c r="B79">
        <v>191610</v>
      </c>
      <c r="C79">
        <v>190650</v>
      </c>
      <c r="D79">
        <v>191450</v>
      </c>
      <c r="E79">
        <v>191240</v>
      </c>
      <c r="F79">
        <v>190850</v>
      </c>
      <c r="G79">
        <v>192780</v>
      </c>
      <c r="H79">
        <v>191790</v>
      </c>
      <c r="I79">
        <v>192540</v>
      </c>
      <c r="J79">
        <v>191060</v>
      </c>
      <c r="K79">
        <v>192120</v>
      </c>
      <c r="L79">
        <v>192370</v>
      </c>
      <c r="O79">
        <v>3</v>
      </c>
      <c r="P79">
        <v>6</v>
      </c>
      <c r="Q79" t="s">
        <v>45</v>
      </c>
      <c r="R79">
        <v>5</v>
      </c>
      <c r="S79">
        <v>4</v>
      </c>
      <c r="T79">
        <v>2</v>
      </c>
      <c r="U79">
        <v>8</v>
      </c>
      <c r="V79">
        <v>1</v>
      </c>
      <c r="W79" t="s">
        <v>46</v>
      </c>
      <c r="X79" t="s">
        <v>47</v>
      </c>
      <c r="Y79">
        <v>9</v>
      </c>
      <c r="Z79">
        <v>7</v>
      </c>
    </row>
    <row r="80" spans="1:26">
      <c r="A80">
        <v>194520</v>
      </c>
      <c r="B80">
        <v>193780</v>
      </c>
      <c r="C80">
        <v>193180</v>
      </c>
      <c r="D80">
        <v>193980</v>
      </c>
      <c r="E80">
        <v>193360</v>
      </c>
      <c r="F80">
        <v>192960</v>
      </c>
      <c r="G80">
        <v>194930</v>
      </c>
      <c r="H80">
        <v>194140</v>
      </c>
      <c r="I80">
        <v>195130</v>
      </c>
      <c r="J80">
        <v>193550</v>
      </c>
      <c r="K80">
        <v>194310</v>
      </c>
      <c r="L80">
        <v>194730</v>
      </c>
      <c r="O80">
        <v>6</v>
      </c>
      <c r="P80">
        <v>3</v>
      </c>
      <c r="Q80">
        <v>5</v>
      </c>
      <c r="R80" t="s">
        <v>45</v>
      </c>
      <c r="S80">
        <v>2</v>
      </c>
      <c r="T80">
        <v>4</v>
      </c>
      <c r="U80">
        <v>8</v>
      </c>
      <c r="V80" t="s">
        <v>46</v>
      </c>
      <c r="W80">
        <v>1</v>
      </c>
      <c r="X80" t="s">
        <v>47</v>
      </c>
      <c r="Y80">
        <v>7</v>
      </c>
      <c r="Z80">
        <v>9</v>
      </c>
    </row>
    <row r="81" spans="1:26">
      <c r="A81">
        <v>197270</v>
      </c>
      <c r="B81">
        <v>196500</v>
      </c>
      <c r="C81">
        <v>195520</v>
      </c>
      <c r="D81">
        <v>196310</v>
      </c>
      <c r="E81">
        <v>196090</v>
      </c>
      <c r="F81">
        <v>195720</v>
      </c>
      <c r="G81">
        <v>197630</v>
      </c>
      <c r="H81">
        <v>196860</v>
      </c>
      <c r="I81">
        <v>197450</v>
      </c>
      <c r="J81">
        <v>195910</v>
      </c>
      <c r="K81">
        <v>196670</v>
      </c>
      <c r="L81">
        <v>197080</v>
      </c>
      <c r="O81">
        <v>3</v>
      </c>
      <c r="P81">
        <v>6</v>
      </c>
      <c r="Q81" t="s">
        <v>45</v>
      </c>
      <c r="R81">
        <v>5</v>
      </c>
      <c r="S81">
        <v>4</v>
      </c>
      <c r="T81">
        <v>2</v>
      </c>
      <c r="U81" t="s">
        <v>46</v>
      </c>
      <c r="V81">
        <v>8</v>
      </c>
      <c r="W81" t="s">
        <v>47</v>
      </c>
      <c r="X81">
        <v>1</v>
      </c>
      <c r="Y81">
        <v>9</v>
      </c>
      <c r="Z81">
        <v>7</v>
      </c>
    </row>
    <row r="82" spans="1:26">
      <c r="A82">
        <v>199410</v>
      </c>
      <c r="B82">
        <v>199020</v>
      </c>
      <c r="C82">
        <v>197860</v>
      </c>
      <c r="D82">
        <v>198460</v>
      </c>
      <c r="E82">
        <v>198650</v>
      </c>
      <c r="F82">
        <v>198250</v>
      </c>
      <c r="G82">
        <v>199800</v>
      </c>
      <c r="H82">
        <v>199180</v>
      </c>
      <c r="I82">
        <v>200020</v>
      </c>
      <c r="J82">
        <v>198040</v>
      </c>
      <c r="K82">
        <v>198810</v>
      </c>
      <c r="L82">
        <v>199610</v>
      </c>
      <c r="O82">
        <v>3</v>
      </c>
      <c r="P82" t="s">
        <v>45</v>
      </c>
      <c r="Q82">
        <v>6</v>
      </c>
      <c r="R82">
        <v>4</v>
      </c>
      <c r="S82">
        <v>5</v>
      </c>
      <c r="T82" t="s">
        <v>46</v>
      </c>
      <c r="U82">
        <v>2</v>
      </c>
      <c r="V82">
        <v>8</v>
      </c>
      <c r="W82">
        <v>1</v>
      </c>
      <c r="X82" t="s">
        <v>47</v>
      </c>
      <c r="Y82">
        <v>7</v>
      </c>
      <c r="Z82">
        <v>9</v>
      </c>
    </row>
    <row r="83" spans="1:26">
      <c r="A83">
        <v>202170</v>
      </c>
      <c r="B83">
        <v>201750</v>
      </c>
      <c r="C83">
        <v>200590</v>
      </c>
      <c r="D83">
        <v>200820</v>
      </c>
      <c r="E83">
        <v>201370</v>
      </c>
      <c r="F83">
        <v>201000</v>
      </c>
      <c r="G83">
        <v>202550</v>
      </c>
      <c r="H83">
        <v>201520</v>
      </c>
      <c r="I83">
        <v>202300</v>
      </c>
      <c r="J83">
        <v>200400</v>
      </c>
      <c r="K83">
        <v>201160</v>
      </c>
      <c r="L83">
        <v>201970</v>
      </c>
      <c r="O83" t="s">
        <v>45</v>
      </c>
      <c r="P83">
        <v>3</v>
      </c>
      <c r="Q83">
        <v>4</v>
      </c>
      <c r="R83">
        <v>6</v>
      </c>
      <c r="S83" t="s">
        <v>46</v>
      </c>
      <c r="T83">
        <v>5</v>
      </c>
      <c r="U83">
        <v>8</v>
      </c>
      <c r="V83">
        <v>2</v>
      </c>
      <c r="W83" t="s">
        <v>47</v>
      </c>
      <c r="X83">
        <v>1</v>
      </c>
      <c r="Y83">
        <v>9</v>
      </c>
      <c r="Z83">
        <v>7</v>
      </c>
    </row>
    <row r="84" spans="1:26">
      <c r="A84">
        <v>204690</v>
      </c>
      <c r="B84">
        <v>203900</v>
      </c>
      <c r="C84">
        <v>202730</v>
      </c>
      <c r="D84">
        <v>203340</v>
      </c>
      <c r="E84">
        <v>203530</v>
      </c>
      <c r="F84">
        <v>203140</v>
      </c>
      <c r="G84">
        <v>204930</v>
      </c>
      <c r="H84">
        <v>204080</v>
      </c>
      <c r="I84">
        <v>204500</v>
      </c>
      <c r="J84">
        <v>202900</v>
      </c>
      <c r="K84">
        <v>203690</v>
      </c>
      <c r="L84">
        <v>204310</v>
      </c>
      <c r="O84">
        <v>3</v>
      </c>
      <c r="P84" t="s">
        <v>45</v>
      </c>
      <c r="Q84">
        <v>6</v>
      </c>
      <c r="R84">
        <v>4</v>
      </c>
      <c r="S84">
        <v>5</v>
      </c>
      <c r="T84" t="s">
        <v>46</v>
      </c>
      <c r="U84">
        <v>2</v>
      </c>
      <c r="V84">
        <v>8</v>
      </c>
      <c r="W84" t="s">
        <v>47</v>
      </c>
      <c r="X84">
        <v>9</v>
      </c>
      <c r="Y84">
        <v>1</v>
      </c>
      <c r="Z84">
        <v>7</v>
      </c>
    </row>
    <row r="85" spans="1:26">
      <c r="A85">
        <v>207430</v>
      </c>
      <c r="B85">
        <v>206640</v>
      </c>
      <c r="C85">
        <v>205450</v>
      </c>
      <c r="D85">
        <v>205690</v>
      </c>
      <c r="E85">
        <v>206240</v>
      </c>
      <c r="F85">
        <v>205860</v>
      </c>
      <c r="G85">
        <v>207260</v>
      </c>
      <c r="H85">
        <v>206400</v>
      </c>
      <c r="I85">
        <v>206800</v>
      </c>
      <c r="J85">
        <v>205260</v>
      </c>
      <c r="K85">
        <v>206040</v>
      </c>
      <c r="L85">
        <v>207010</v>
      </c>
      <c r="O85" t="s">
        <v>45</v>
      </c>
      <c r="P85">
        <v>3</v>
      </c>
      <c r="Q85">
        <v>4</v>
      </c>
      <c r="R85">
        <v>6</v>
      </c>
      <c r="S85" t="s">
        <v>46</v>
      </c>
      <c r="T85">
        <v>5</v>
      </c>
      <c r="U85">
        <v>8</v>
      </c>
      <c r="V85">
        <v>2</v>
      </c>
      <c r="W85">
        <v>9</v>
      </c>
      <c r="X85" t="s">
        <v>47</v>
      </c>
      <c r="Y85">
        <v>7</v>
      </c>
      <c r="Z85">
        <v>1</v>
      </c>
    </row>
    <row r="86" spans="1:26">
      <c r="A86">
        <v>209550</v>
      </c>
      <c r="B86">
        <v>209160</v>
      </c>
      <c r="C86">
        <v>208000</v>
      </c>
      <c r="D86">
        <v>207780</v>
      </c>
      <c r="E86">
        <v>208770</v>
      </c>
      <c r="F86">
        <v>208390</v>
      </c>
      <c r="G86">
        <v>209770</v>
      </c>
      <c r="H86">
        <v>208580</v>
      </c>
      <c r="I86">
        <v>208940</v>
      </c>
      <c r="J86">
        <v>207550</v>
      </c>
      <c r="K86">
        <v>208190</v>
      </c>
      <c r="L86">
        <v>209350</v>
      </c>
      <c r="O86" t="s">
        <v>45</v>
      </c>
      <c r="P86">
        <v>4</v>
      </c>
      <c r="Q86">
        <v>3</v>
      </c>
      <c r="R86" t="s">
        <v>46</v>
      </c>
      <c r="S86">
        <v>6</v>
      </c>
      <c r="T86">
        <v>8</v>
      </c>
      <c r="U86">
        <v>5</v>
      </c>
      <c r="V86">
        <v>9</v>
      </c>
      <c r="W86">
        <v>2</v>
      </c>
      <c r="X86" t="s">
        <v>47</v>
      </c>
      <c r="Y86">
        <v>1</v>
      </c>
      <c r="Z86">
        <v>7</v>
      </c>
    </row>
    <row r="87" spans="1:26">
      <c r="A87">
        <v>212280</v>
      </c>
      <c r="B87">
        <v>211910</v>
      </c>
      <c r="C87">
        <v>210750</v>
      </c>
      <c r="D87">
        <v>210170</v>
      </c>
      <c r="E87">
        <v>211560</v>
      </c>
      <c r="F87">
        <v>211110</v>
      </c>
      <c r="G87">
        <v>212110</v>
      </c>
      <c r="H87">
        <v>210890</v>
      </c>
      <c r="I87">
        <v>211300</v>
      </c>
      <c r="J87">
        <v>210340</v>
      </c>
      <c r="K87">
        <v>210520</v>
      </c>
      <c r="L87">
        <v>211730</v>
      </c>
      <c r="O87">
        <v>4</v>
      </c>
      <c r="P87" t="s">
        <v>45</v>
      </c>
      <c r="Q87" t="s">
        <v>46</v>
      </c>
      <c r="R87">
        <v>3</v>
      </c>
      <c r="S87">
        <v>8</v>
      </c>
      <c r="T87">
        <v>6</v>
      </c>
      <c r="U87">
        <v>9</v>
      </c>
      <c r="V87">
        <v>5</v>
      </c>
      <c r="W87" t="s">
        <v>47</v>
      </c>
      <c r="X87">
        <v>2</v>
      </c>
      <c r="Y87">
        <v>7</v>
      </c>
      <c r="Z87">
        <v>1</v>
      </c>
    </row>
    <row r="88" spans="1:26">
      <c r="A88">
        <v>214630</v>
      </c>
      <c r="B88">
        <v>214060</v>
      </c>
      <c r="C88">
        <v>212870</v>
      </c>
      <c r="D88">
        <v>212640</v>
      </c>
      <c r="E88">
        <v>213630</v>
      </c>
      <c r="F88">
        <v>213230</v>
      </c>
      <c r="G88">
        <v>214440</v>
      </c>
      <c r="H88">
        <v>213440</v>
      </c>
      <c r="I88">
        <v>213850</v>
      </c>
      <c r="J88">
        <v>212480</v>
      </c>
      <c r="K88">
        <v>213060</v>
      </c>
      <c r="L88">
        <v>214240</v>
      </c>
      <c r="O88" t="s">
        <v>45</v>
      </c>
      <c r="P88">
        <v>4</v>
      </c>
      <c r="Q88">
        <v>3</v>
      </c>
      <c r="R88" t="s">
        <v>46</v>
      </c>
      <c r="S88">
        <v>6</v>
      </c>
      <c r="T88">
        <v>8</v>
      </c>
      <c r="U88">
        <v>5</v>
      </c>
      <c r="V88">
        <v>9</v>
      </c>
      <c r="W88">
        <v>2</v>
      </c>
      <c r="X88" t="s">
        <v>47</v>
      </c>
      <c r="Y88">
        <v>7</v>
      </c>
      <c r="Z88">
        <v>1</v>
      </c>
    </row>
    <row r="89" spans="1:26">
      <c r="A89">
        <v>216990</v>
      </c>
      <c r="B89">
        <v>216830</v>
      </c>
      <c r="C89">
        <v>215640</v>
      </c>
      <c r="D89">
        <v>215060</v>
      </c>
      <c r="E89">
        <v>216400</v>
      </c>
      <c r="F89">
        <v>215980</v>
      </c>
      <c r="G89">
        <v>217210</v>
      </c>
      <c r="H89">
        <v>215770</v>
      </c>
      <c r="I89">
        <v>216190</v>
      </c>
      <c r="J89">
        <v>215280</v>
      </c>
      <c r="K89">
        <v>215450</v>
      </c>
      <c r="L89">
        <v>216610</v>
      </c>
      <c r="O89">
        <v>4</v>
      </c>
      <c r="P89" t="s">
        <v>45</v>
      </c>
      <c r="Q89" t="s">
        <v>46</v>
      </c>
      <c r="R89">
        <v>3</v>
      </c>
      <c r="S89">
        <v>8</v>
      </c>
      <c r="T89">
        <v>6</v>
      </c>
      <c r="U89">
        <v>9</v>
      </c>
      <c r="V89">
        <v>5</v>
      </c>
      <c r="W89" t="s">
        <v>47</v>
      </c>
      <c r="X89">
        <v>2</v>
      </c>
      <c r="Y89">
        <v>1</v>
      </c>
      <c r="Z89">
        <v>7</v>
      </c>
    </row>
    <row r="90" spans="1:26">
      <c r="A90">
        <v>219580</v>
      </c>
      <c r="B90">
        <v>219140</v>
      </c>
      <c r="C90">
        <v>218160</v>
      </c>
      <c r="D90">
        <v>217340</v>
      </c>
      <c r="E90">
        <v>218930</v>
      </c>
      <c r="F90">
        <v>218570</v>
      </c>
      <c r="G90">
        <v>219410</v>
      </c>
      <c r="H90">
        <v>217940</v>
      </c>
      <c r="I90">
        <v>218330</v>
      </c>
      <c r="J90">
        <v>217760</v>
      </c>
      <c r="K90">
        <v>217560</v>
      </c>
      <c r="L90">
        <v>218760</v>
      </c>
      <c r="O90">
        <v>4</v>
      </c>
      <c r="P90" t="s">
        <v>46</v>
      </c>
      <c r="Q90" t="s">
        <v>45</v>
      </c>
      <c r="R90">
        <v>8</v>
      </c>
      <c r="S90">
        <v>3</v>
      </c>
      <c r="T90">
        <v>9</v>
      </c>
      <c r="U90">
        <v>6</v>
      </c>
      <c r="V90" t="s">
        <v>47</v>
      </c>
      <c r="W90">
        <v>5</v>
      </c>
      <c r="X90">
        <v>2</v>
      </c>
      <c r="Y90">
        <v>7</v>
      </c>
      <c r="Z90">
        <v>1</v>
      </c>
    </row>
    <row r="91" spans="1:26">
      <c r="A91">
        <v>221900</v>
      </c>
      <c r="B91">
        <v>221500</v>
      </c>
      <c r="C91">
        <v>220870</v>
      </c>
      <c r="D91">
        <v>220130</v>
      </c>
      <c r="E91">
        <v>221670</v>
      </c>
      <c r="F91">
        <v>221320</v>
      </c>
      <c r="G91">
        <v>222130</v>
      </c>
      <c r="H91">
        <v>220290</v>
      </c>
      <c r="I91">
        <v>220690</v>
      </c>
      <c r="J91">
        <v>220520</v>
      </c>
      <c r="K91">
        <v>219940</v>
      </c>
      <c r="L91">
        <v>221130</v>
      </c>
      <c r="O91" t="s">
        <v>46</v>
      </c>
      <c r="P91">
        <v>4</v>
      </c>
      <c r="Q91">
        <v>8</v>
      </c>
      <c r="R91" t="s">
        <v>45</v>
      </c>
      <c r="S91">
        <v>9</v>
      </c>
      <c r="T91">
        <v>3</v>
      </c>
      <c r="U91" t="s">
        <v>47</v>
      </c>
      <c r="V91">
        <v>6</v>
      </c>
      <c r="W91">
        <v>2</v>
      </c>
      <c r="X91">
        <v>5</v>
      </c>
      <c r="Y91">
        <v>1</v>
      </c>
      <c r="Z91">
        <v>7</v>
      </c>
    </row>
    <row r="92" spans="1:26">
      <c r="A92">
        <v>224080</v>
      </c>
      <c r="B92">
        <v>223870</v>
      </c>
      <c r="C92">
        <v>223040</v>
      </c>
      <c r="D92">
        <v>222250</v>
      </c>
      <c r="E92">
        <v>224240</v>
      </c>
      <c r="F92">
        <v>223460</v>
      </c>
      <c r="G92">
        <v>224480</v>
      </c>
      <c r="H92">
        <v>222830</v>
      </c>
      <c r="I92">
        <v>223220</v>
      </c>
      <c r="J92">
        <v>222630</v>
      </c>
      <c r="K92">
        <v>222460</v>
      </c>
      <c r="L92">
        <v>223650</v>
      </c>
      <c r="O92">
        <v>4</v>
      </c>
      <c r="P92" t="s">
        <v>46</v>
      </c>
      <c r="Q92" t="s">
        <v>45</v>
      </c>
      <c r="R92">
        <v>8</v>
      </c>
      <c r="S92">
        <v>3</v>
      </c>
      <c r="T92">
        <v>9</v>
      </c>
      <c r="U92">
        <v>6</v>
      </c>
      <c r="V92" t="s">
        <v>47</v>
      </c>
      <c r="W92">
        <v>2</v>
      </c>
      <c r="X92">
        <v>1</v>
      </c>
      <c r="Y92">
        <v>5</v>
      </c>
      <c r="Z92">
        <v>7</v>
      </c>
    </row>
    <row r="93" spans="1:26">
      <c r="A93">
        <v>226380</v>
      </c>
      <c r="B93">
        <v>226580</v>
      </c>
      <c r="C93">
        <v>225770</v>
      </c>
      <c r="D93">
        <v>225010</v>
      </c>
      <c r="E93">
        <v>226960</v>
      </c>
      <c r="F93">
        <v>226190</v>
      </c>
      <c r="G93">
        <v>226780</v>
      </c>
      <c r="H93">
        <v>225190</v>
      </c>
      <c r="I93">
        <v>225560</v>
      </c>
      <c r="J93">
        <v>225400</v>
      </c>
      <c r="K93">
        <v>224830</v>
      </c>
      <c r="L93">
        <v>226030</v>
      </c>
      <c r="O93" t="s">
        <v>46</v>
      </c>
      <c r="P93">
        <v>4</v>
      </c>
      <c r="Q93">
        <v>8</v>
      </c>
      <c r="R93" t="s">
        <v>45</v>
      </c>
      <c r="S93">
        <v>9</v>
      </c>
      <c r="T93">
        <v>3</v>
      </c>
      <c r="U93" t="s">
        <v>47</v>
      </c>
      <c r="V93">
        <v>6</v>
      </c>
      <c r="W93">
        <v>1</v>
      </c>
      <c r="X93">
        <v>2</v>
      </c>
      <c r="Y93">
        <v>7</v>
      </c>
      <c r="Z93">
        <v>5</v>
      </c>
    </row>
    <row r="94" spans="1:26">
      <c r="A94">
        <v>228950</v>
      </c>
      <c r="B94">
        <v>228720</v>
      </c>
      <c r="C94">
        <v>228320</v>
      </c>
      <c r="D94">
        <v>227490</v>
      </c>
      <c r="E94">
        <v>229100</v>
      </c>
      <c r="F94">
        <v>228540</v>
      </c>
      <c r="G94">
        <v>229310</v>
      </c>
      <c r="H94">
        <v>227350</v>
      </c>
      <c r="I94">
        <v>227710</v>
      </c>
      <c r="J94">
        <v>227870</v>
      </c>
      <c r="K94">
        <v>227130</v>
      </c>
      <c r="L94">
        <v>228150</v>
      </c>
      <c r="O94" t="s">
        <v>46</v>
      </c>
      <c r="P94">
        <v>8</v>
      </c>
      <c r="Q94">
        <v>4</v>
      </c>
      <c r="R94">
        <v>9</v>
      </c>
      <c r="S94" t="s">
        <v>45</v>
      </c>
      <c r="T94" t="s">
        <v>47</v>
      </c>
      <c r="U94">
        <v>3</v>
      </c>
      <c r="V94">
        <v>6</v>
      </c>
      <c r="W94">
        <v>2</v>
      </c>
      <c r="X94">
        <v>1</v>
      </c>
      <c r="Y94">
        <v>5</v>
      </c>
      <c r="Z94">
        <v>7</v>
      </c>
    </row>
    <row r="95" spans="1:26">
      <c r="A95">
        <v>231290</v>
      </c>
      <c r="B95">
        <v>231490</v>
      </c>
      <c r="C95">
        <v>231060</v>
      </c>
      <c r="D95">
        <v>230270</v>
      </c>
      <c r="E95">
        <v>231820</v>
      </c>
      <c r="F95">
        <v>230880</v>
      </c>
      <c r="G95">
        <v>231640</v>
      </c>
      <c r="H95">
        <v>229700</v>
      </c>
      <c r="I95">
        <v>230080</v>
      </c>
      <c r="J95">
        <v>230680</v>
      </c>
      <c r="K95">
        <v>229890</v>
      </c>
      <c r="L95">
        <v>230480</v>
      </c>
      <c r="O95">
        <v>8</v>
      </c>
      <c r="P95" t="s">
        <v>46</v>
      </c>
      <c r="Q95">
        <v>9</v>
      </c>
      <c r="R95">
        <v>4</v>
      </c>
      <c r="S95" t="s">
        <v>47</v>
      </c>
      <c r="T95" t="s">
        <v>45</v>
      </c>
      <c r="U95">
        <v>6</v>
      </c>
      <c r="V95">
        <v>3</v>
      </c>
      <c r="W95">
        <v>1</v>
      </c>
      <c r="X95">
        <v>2</v>
      </c>
      <c r="Y95">
        <v>7</v>
      </c>
      <c r="Z95">
        <v>5</v>
      </c>
    </row>
    <row r="96" spans="1:26">
      <c r="A96">
        <v>233430</v>
      </c>
      <c r="B96">
        <v>233780</v>
      </c>
      <c r="C96">
        <v>233570</v>
      </c>
      <c r="D96">
        <v>232390</v>
      </c>
      <c r="E96">
        <v>233990</v>
      </c>
      <c r="F96">
        <v>233210</v>
      </c>
      <c r="G96">
        <v>234230</v>
      </c>
      <c r="H96">
        <v>232240</v>
      </c>
      <c r="I96">
        <v>232610</v>
      </c>
      <c r="J96">
        <v>232800</v>
      </c>
      <c r="K96">
        <v>231990</v>
      </c>
      <c r="L96">
        <v>233000</v>
      </c>
      <c r="O96" t="s">
        <v>46</v>
      </c>
      <c r="P96">
        <v>8</v>
      </c>
      <c r="Q96">
        <v>4</v>
      </c>
      <c r="R96">
        <v>9</v>
      </c>
      <c r="S96" t="s">
        <v>45</v>
      </c>
      <c r="T96" t="s">
        <v>47</v>
      </c>
      <c r="U96">
        <v>6</v>
      </c>
      <c r="V96">
        <v>1</v>
      </c>
      <c r="W96">
        <v>3</v>
      </c>
      <c r="X96">
        <v>2</v>
      </c>
      <c r="Y96">
        <v>5</v>
      </c>
      <c r="Z96">
        <v>7</v>
      </c>
    </row>
    <row r="97" spans="1:26">
      <c r="A97">
        <v>235740</v>
      </c>
      <c r="B97">
        <v>236120</v>
      </c>
      <c r="C97">
        <v>236310</v>
      </c>
      <c r="D97">
        <v>235160</v>
      </c>
      <c r="E97">
        <v>236760</v>
      </c>
      <c r="F97">
        <v>235930</v>
      </c>
      <c r="G97">
        <v>236550</v>
      </c>
      <c r="H97">
        <v>234590</v>
      </c>
      <c r="I97">
        <v>234970</v>
      </c>
      <c r="J97">
        <v>235600</v>
      </c>
      <c r="K97">
        <v>234770</v>
      </c>
      <c r="L97">
        <v>235340</v>
      </c>
      <c r="O97">
        <v>8</v>
      </c>
      <c r="P97" t="s">
        <v>46</v>
      </c>
      <c r="Q97">
        <v>9</v>
      </c>
      <c r="R97">
        <v>4</v>
      </c>
      <c r="S97" t="s">
        <v>47</v>
      </c>
      <c r="T97" t="s">
        <v>45</v>
      </c>
      <c r="U97">
        <v>1</v>
      </c>
      <c r="V97">
        <v>6</v>
      </c>
      <c r="W97">
        <v>2</v>
      </c>
      <c r="X97">
        <v>3</v>
      </c>
      <c r="Y97">
        <v>7</v>
      </c>
      <c r="Z97">
        <v>5</v>
      </c>
    </row>
    <row r="98" spans="1:26">
      <c r="A98">
        <v>238280</v>
      </c>
      <c r="B98">
        <v>238480</v>
      </c>
      <c r="C98">
        <v>238890</v>
      </c>
      <c r="D98">
        <v>237650</v>
      </c>
      <c r="E98">
        <v>239060</v>
      </c>
      <c r="F98">
        <v>238110</v>
      </c>
      <c r="G98">
        <v>238710</v>
      </c>
      <c r="H98">
        <v>236940</v>
      </c>
      <c r="I98">
        <v>237090</v>
      </c>
      <c r="J98">
        <v>237890</v>
      </c>
      <c r="K98">
        <v>237310</v>
      </c>
      <c r="L98">
        <v>237500</v>
      </c>
      <c r="O98">
        <v>8</v>
      </c>
      <c r="P98">
        <v>9</v>
      </c>
      <c r="Q98" t="s">
        <v>46</v>
      </c>
      <c r="R98" t="s">
        <v>47</v>
      </c>
      <c r="S98">
        <v>4</v>
      </c>
      <c r="T98" t="s">
        <v>45</v>
      </c>
      <c r="U98">
        <v>6</v>
      </c>
      <c r="V98">
        <v>1</v>
      </c>
      <c r="W98">
        <v>2</v>
      </c>
      <c r="X98">
        <v>7</v>
      </c>
      <c r="Y98">
        <v>3</v>
      </c>
      <c r="Z98">
        <v>5</v>
      </c>
    </row>
    <row r="99" spans="1:26">
      <c r="A99">
        <v>240680</v>
      </c>
      <c r="B99">
        <v>241250</v>
      </c>
      <c r="C99">
        <v>241610</v>
      </c>
      <c r="D99">
        <v>240460</v>
      </c>
      <c r="E99">
        <v>241420</v>
      </c>
      <c r="F99">
        <v>240880</v>
      </c>
      <c r="G99">
        <v>241060</v>
      </c>
      <c r="H99">
        <v>239620</v>
      </c>
      <c r="I99">
        <v>239440</v>
      </c>
      <c r="J99">
        <v>240230</v>
      </c>
      <c r="K99">
        <v>240040</v>
      </c>
      <c r="L99">
        <v>239840</v>
      </c>
      <c r="O99">
        <v>9</v>
      </c>
      <c r="P99">
        <v>8</v>
      </c>
      <c r="Q99" t="s">
        <v>47</v>
      </c>
      <c r="R99" t="s">
        <v>46</v>
      </c>
      <c r="S99" t="s">
        <v>45</v>
      </c>
      <c r="T99">
        <v>4</v>
      </c>
      <c r="U99">
        <v>1</v>
      </c>
      <c r="V99">
        <v>6</v>
      </c>
      <c r="W99">
        <v>7</v>
      </c>
      <c r="X99">
        <v>2</v>
      </c>
      <c r="Y99">
        <v>5</v>
      </c>
      <c r="Z99">
        <v>3</v>
      </c>
    </row>
    <row r="100" spans="1:26">
      <c r="A100">
        <v>242800</v>
      </c>
      <c r="B100">
        <v>243380</v>
      </c>
      <c r="C100">
        <v>243760</v>
      </c>
      <c r="D100">
        <v>242940</v>
      </c>
      <c r="E100">
        <v>243950</v>
      </c>
      <c r="F100">
        <v>243190</v>
      </c>
      <c r="G100">
        <v>243570</v>
      </c>
      <c r="H100">
        <v>241760</v>
      </c>
      <c r="I100">
        <v>241960</v>
      </c>
      <c r="J100">
        <v>242570</v>
      </c>
      <c r="K100">
        <v>242160</v>
      </c>
      <c r="L100">
        <v>242380</v>
      </c>
      <c r="O100">
        <v>8</v>
      </c>
      <c r="P100">
        <v>9</v>
      </c>
      <c r="Q100" t="s">
        <v>46</v>
      </c>
      <c r="R100" t="s">
        <v>47</v>
      </c>
      <c r="S100" t="s">
        <v>45</v>
      </c>
      <c r="T100">
        <v>1</v>
      </c>
      <c r="U100">
        <v>4</v>
      </c>
      <c r="V100">
        <v>6</v>
      </c>
      <c r="W100">
        <v>2</v>
      </c>
      <c r="X100">
        <v>7</v>
      </c>
      <c r="Y100">
        <v>3</v>
      </c>
      <c r="Z100">
        <v>5</v>
      </c>
    </row>
    <row r="101" spans="1:26">
      <c r="A101">
        <v>245150</v>
      </c>
      <c r="B101">
        <v>246110</v>
      </c>
      <c r="C101">
        <v>246440</v>
      </c>
      <c r="D101">
        <v>245680</v>
      </c>
      <c r="E101">
        <v>246280</v>
      </c>
      <c r="F101">
        <v>245510</v>
      </c>
      <c r="G101">
        <v>245880</v>
      </c>
      <c r="H101">
        <v>244500</v>
      </c>
      <c r="I101">
        <v>244320</v>
      </c>
      <c r="J101">
        <v>245360</v>
      </c>
      <c r="K101">
        <v>244900</v>
      </c>
      <c r="L101">
        <v>244680</v>
      </c>
      <c r="O101">
        <v>9</v>
      </c>
      <c r="P101">
        <v>8</v>
      </c>
      <c r="Q101" t="s">
        <v>47</v>
      </c>
      <c r="R101" t="s">
        <v>46</v>
      </c>
      <c r="S101">
        <v>1</v>
      </c>
      <c r="T101" t="s">
        <v>45</v>
      </c>
      <c r="U101">
        <v>6</v>
      </c>
      <c r="V101">
        <v>4</v>
      </c>
      <c r="W101">
        <v>7</v>
      </c>
      <c r="X101">
        <v>2</v>
      </c>
      <c r="Y101">
        <v>5</v>
      </c>
      <c r="Z101">
        <v>3</v>
      </c>
    </row>
    <row r="102" spans="1:26">
      <c r="A102">
        <v>247670</v>
      </c>
      <c r="B102">
        <v>248610</v>
      </c>
      <c r="C102">
        <v>248840</v>
      </c>
      <c r="D102">
        <v>248170</v>
      </c>
      <c r="E102">
        <v>248400</v>
      </c>
      <c r="F102">
        <v>247870</v>
      </c>
      <c r="G102">
        <v>248080</v>
      </c>
      <c r="H102">
        <v>247030</v>
      </c>
      <c r="I102">
        <v>246640</v>
      </c>
      <c r="J102">
        <v>247420</v>
      </c>
      <c r="K102">
        <v>247210</v>
      </c>
      <c r="L102">
        <v>246860</v>
      </c>
      <c r="O102">
        <v>9</v>
      </c>
      <c r="P102" t="s">
        <v>47</v>
      </c>
      <c r="Q102">
        <v>8</v>
      </c>
      <c r="R102" t="s">
        <v>46</v>
      </c>
      <c r="S102" t="s">
        <v>45</v>
      </c>
      <c r="T102">
        <v>1</v>
      </c>
      <c r="U102">
        <v>6</v>
      </c>
      <c r="V102">
        <v>7</v>
      </c>
      <c r="W102">
        <v>4</v>
      </c>
      <c r="X102">
        <v>5</v>
      </c>
      <c r="Y102">
        <v>2</v>
      </c>
      <c r="Z102">
        <v>3</v>
      </c>
    </row>
    <row r="103" spans="1:26">
      <c r="A103">
        <v>249990</v>
      </c>
      <c r="B103">
        <v>251330</v>
      </c>
      <c r="C103">
        <v>251130</v>
      </c>
      <c r="D103">
        <v>250910</v>
      </c>
      <c r="E103">
        <v>250740</v>
      </c>
      <c r="F103">
        <v>250580</v>
      </c>
      <c r="G103">
        <v>250390</v>
      </c>
      <c r="H103">
        <v>249760</v>
      </c>
      <c r="I103">
        <v>249380</v>
      </c>
      <c r="J103">
        <v>250190</v>
      </c>
      <c r="K103">
        <v>249570</v>
      </c>
      <c r="L103">
        <v>249200</v>
      </c>
      <c r="O103" t="s">
        <v>47</v>
      </c>
      <c r="P103">
        <v>9</v>
      </c>
      <c r="Q103" t="s">
        <v>46</v>
      </c>
      <c r="R103">
        <v>8</v>
      </c>
      <c r="S103">
        <v>1</v>
      </c>
      <c r="T103" t="s">
        <v>45</v>
      </c>
      <c r="U103">
        <v>7</v>
      </c>
      <c r="V103">
        <v>6</v>
      </c>
      <c r="W103">
        <v>5</v>
      </c>
      <c r="X103">
        <v>4</v>
      </c>
      <c r="Y103">
        <v>3</v>
      </c>
      <c r="Z103">
        <v>2</v>
      </c>
    </row>
    <row r="104" spans="1:26">
      <c r="A104">
        <v>252130</v>
      </c>
      <c r="B104">
        <v>253460</v>
      </c>
      <c r="C104">
        <v>253670</v>
      </c>
      <c r="D104">
        <v>253050</v>
      </c>
      <c r="E104">
        <v>253250</v>
      </c>
      <c r="F104">
        <v>252700</v>
      </c>
      <c r="G104">
        <v>252910</v>
      </c>
      <c r="H104">
        <v>252300</v>
      </c>
      <c r="I104">
        <v>251500</v>
      </c>
      <c r="J104">
        <v>252470</v>
      </c>
      <c r="K104">
        <v>251910</v>
      </c>
      <c r="L104">
        <v>251700</v>
      </c>
      <c r="O104">
        <v>9</v>
      </c>
      <c r="P104" t="s">
        <v>47</v>
      </c>
      <c r="Q104" t="s">
        <v>46</v>
      </c>
      <c r="R104">
        <v>1</v>
      </c>
      <c r="S104">
        <v>8</v>
      </c>
      <c r="T104" t="s">
        <v>45</v>
      </c>
      <c r="U104">
        <v>6</v>
      </c>
      <c r="V104">
        <v>7</v>
      </c>
      <c r="W104">
        <v>4</v>
      </c>
      <c r="X104">
        <v>5</v>
      </c>
      <c r="Y104">
        <v>2</v>
      </c>
      <c r="Z104">
        <v>3</v>
      </c>
    </row>
    <row r="105" spans="1:26">
      <c r="A105">
        <v>254460</v>
      </c>
      <c r="B105">
        <v>256160</v>
      </c>
      <c r="C105">
        <v>255970</v>
      </c>
      <c r="D105">
        <v>255770</v>
      </c>
      <c r="E105">
        <v>255590</v>
      </c>
      <c r="F105">
        <v>255400</v>
      </c>
      <c r="G105">
        <v>255240</v>
      </c>
      <c r="H105">
        <v>254990</v>
      </c>
      <c r="I105">
        <v>254180</v>
      </c>
      <c r="J105">
        <v>254830</v>
      </c>
      <c r="K105">
        <v>254590</v>
      </c>
      <c r="L105">
        <v>254070</v>
      </c>
      <c r="O105" t="s">
        <v>47</v>
      </c>
      <c r="P105">
        <v>9</v>
      </c>
      <c r="Q105">
        <v>1</v>
      </c>
      <c r="R105" t="s">
        <v>46</v>
      </c>
      <c r="S105" t="s">
        <v>45</v>
      </c>
      <c r="T105">
        <v>8</v>
      </c>
      <c r="U105">
        <v>7</v>
      </c>
      <c r="V105">
        <v>6</v>
      </c>
      <c r="W105">
        <v>5</v>
      </c>
      <c r="X105">
        <v>4</v>
      </c>
      <c r="Y105">
        <v>3</v>
      </c>
      <c r="Z105">
        <v>2</v>
      </c>
    </row>
    <row r="106" spans="1:26">
      <c r="A106">
        <v>256970</v>
      </c>
      <c r="B106">
        <v>258550</v>
      </c>
      <c r="C106">
        <v>258130</v>
      </c>
      <c r="D106">
        <v>258310</v>
      </c>
      <c r="E106">
        <v>257700</v>
      </c>
      <c r="F106">
        <v>257920</v>
      </c>
      <c r="G106">
        <v>257390</v>
      </c>
      <c r="H106">
        <v>257570</v>
      </c>
      <c r="I106">
        <v>256570</v>
      </c>
      <c r="J106">
        <v>257130</v>
      </c>
      <c r="K106">
        <v>256740</v>
      </c>
      <c r="L106">
        <v>256340</v>
      </c>
      <c r="O106" t="s">
        <v>47</v>
      </c>
      <c r="P106">
        <v>9</v>
      </c>
      <c r="Q106" t="s">
        <v>46</v>
      </c>
      <c r="R106">
        <v>1</v>
      </c>
      <c r="S106" t="s">
        <v>45</v>
      </c>
      <c r="T106">
        <v>7</v>
      </c>
      <c r="U106">
        <v>8</v>
      </c>
      <c r="V106">
        <v>5</v>
      </c>
      <c r="W106">
        <v>6</v>
      </c>
      <c r="X106">
        <v>3</v>
      </c>
      <c r="Y106">
        <v>4</v>
      </c>
      <c r="Z106">
        <v>2</v>
      </c>
    </row>
    <row r="107" spans="1:26">
      <c r="A107">
        <v>259330</v>
      </c>
      <c r="B107">
        <v>260850</v>
      </c>
      <c r="C107">
        <v>260430</v>
      </c>
      <c r="D107">
        <v>261060</v>
      </c>
      <c r="E107">
        <v>260080</v>
      </c>
      <c r="F107">
        <v>260650</v>
      </c>
      <c r="G107">
        <v>259740</v>
      </c>
      <c r="H107">
        <v>260250</v>
      </c>
      <c r="I107">
        <v>258860</v>
      </c>
      <c r="J107">
        <v>259920</v>
      </c>
      <c r="K107">
        <v>259470</v>
      </c>
      <c r="L107">
        <v>259080</v>
      </c>
      <c r="O107">
        <v>9</v>
      </c>
      <c r="P107" t="s">
        <v>47</v>
      </c>
      <c r="Q107">
        <v>1</v>
      </c>
      <c r="R107" t="s">
        <v>46</v>
      </c>
      <c r="S107">
        <v>7</v>
      </c>
      <c r="T107" t="s">
        <v>45</v>
      </c>
      <c r="U107">
        <v>5</v>
      </c>
      <c r="V107">
        <v>8</v>
      </c>
      <c r="W107">
        <v>3</v>
      </c>
      <c r="X107">
        <v>6</v>
      </c>
      <c r="Y107">
        <v>2</v>
      </c>
      <c r="Z107">
        <v>4</v>
      </c>
    </row>
    <row r="108" spans="1:26">
      <c r="A108">
        <v>261430</v>
      </c>
      <c r="B108">
        <v>263410</v>
      </c>
      <c r="C108">
        <v>262950</v>
      </c>
      <c r="D108">
        <v>263180</v>
      </c>
      <c r="E108">
        <v>262550</v>
      </c>
      <c r="F108">
        <v>262770</v>
      </c>
      <c r="G108">
        <v>262210</v>
      </c>
      <c r="H108">
        <v>262430</v>
      </c>
      <c r="I108">
        <v>261220</v>
      </c>
      <c r="J108">
        <v>262000</v>
      </c>
      <c r="K108">
        <v>261820</v>
      </c>
      <c r="L108">
        <v>261620</v>
      </c>
      <c r="O108">
        <v>9</v>
      </c>
      <c r="P108">
        <v>1</v>
      </c>
      <c r="Q108" t="s">
        <v>47</v>
      </c>
      <c r="R108" t="s">
        <v>46</v>
      </c>
      <c r="S108" t="s">
        <v>45</v>
      </c>
      <c r="T108">
        <v>7</v>
      </c>
      <c r="U108">
        <v>8</v>
      </c>
      <c r="V108">
        <v>5</v>
      </c>
      <c r="W108">
        <v>6</v>
      </c>
      <c r="X108">
        <v>3</v>
      </c>
      <c r="Y108">
        <v>4</v>
      </c>
      <c r="Z108">
        <v>2</v>
      </c>
    </row>
    <row r="109" spans="1:26">
      <c r="A109">
        <v>263770</v>
      </c>
      <c r="B109">
        <v>265710</v>
      </c>
      <c r="C109">
        <v>265310</v>
      </c>
      <c r="D109">
        <v>265900</v>
      </c>
      <c r="E109">
        <v>264920</v>
      </c>
      <c r="F109">
        <v>265510</v>
      </c>
      <c r="G109">
        <v>264560</v>
      </c>
      <c r="H109">
        <v>265080</v>
      </c>
      <c r="I109">
        <v>263900</v>
      </c>
      <c r="J109">
        <v>264760</v>
      </c>
      <c r="K109">
        <v>264120</v>
      </c>
      <c r="L109">
        <v>264370</v>
      </c>
      <c r="O109">
        <v>1</v>
      </c>
      <c r="P109">
        <v>9</v>
      </c>
      <c r="Q109" t="s">
        <v>46</v>
      </c>
      <c r="R109" t="s">
        <v>47</v>
      </c>
      <c r="S109">
        <v>7</v>
      </c>
      <c r="T109" t="s">
        <v>45</v>
      </c>
      <c r="U109">
        <v>5</v>
      </c>
      <c r="V109">
        <v>8</v>
      </c>
      <c r="W109">
        <v>3</v>
      </c>
      <c r="X109">
        <v>6</v>
      </c>
      <c r="Y109">
        <v>2</v>
      </c>
      <c r="Z109">
        <v>4</v>
      </c>
    </row>
    <row r="110" spans="1:26">
      <c r="A110">
        <v>266310</v>
      </c>
      <c r="B110">
        <v>267850</v>
      </c>
      <c r="C110">
        <v>267470</v>
      </c>
      <c r="D110">
        <v>268240</v>
      </c>
      <c r="E110">
        <v>267070</v>
      </c>
      <c r="F110">
        <v>268050</v>
      </c>
      <c r="G110">
        <v>266690</v>
      </c>
      <c r="H110">
        <v>267610</v>
      </c>
      <c r="I110">
        <v>266070</v>
      </c>
      <c r="J110">
        <v>267270</v>
      </c>
      <c r="K110">
        <v>266480</v>
      </c>
      <c r="L110">
        <v>266860</v>
      </c>
      <c r="O110">
        <v>9</v>
      </c>
      <c r="P110">
        <v>1</v>
      </c>
      <c r="Q110" t="s">
        <v>46</v>
      </c>
      <c r="R110">
        <v>7</v>
      </c>
      <c r="S110" t="s">
        <v>47</v>
      </c>
      <c r="T110">
        <v>5</v>
      </c>
      <c r="U110" t="s">
        <v>45</v>
      </c>
      <c r="V110">
        <v>3</v>
      </c>
      <c r="W110">
        <v>8</v>
      </c>
      <c r="X110">
        <v>2</v>
      </c>
      <c r="Y110">
        <v>6</v>
      </c>
      <c r="Z110">
        <v>4</v>
      </c>
    </row>
    <row r="111" spans="1:26">
      <c r="A111">
        <v>268640</v>
      </c>
      <c r="B111">
        <v>270210</v>
      </c>
      <c r="C111">
        <v>269820</v>
      </c>
      <c r="D111">
        <v>270580</v>
      </c>
      <c r="E111">
        <v>269410</v>
      </c>
      <c r="F111">
        <v>270780</v>
      </c>
      <c r="G111">
        <v>269040</v>
      </c>
      <c r="H111">
        <v>270390</v>
      </c>
      <c r="I111">
        <v>268820</v>
      </c>
      <c r="J111">
        <v>270050</v>
      </c>
      <c r="K111">
        <v>269180</v>
      </c>
      <c r="L111">
        <v>269620</v>
      </c>
      <c r="O111">
        <v>1</v>
      </c>
      <c r="P111">
        <v>9</v>
      </c>
      <c r="Q111">
        <v>7</v>
      </c>
      <c r="R111" t="s">
        <v>46</v>
      </c>
      <c r="S111">
        <v>5</v>
      </c>
      <c r="T111" t="s">
        <v>47</v>
      </c>
      <c r="U111">
        <v>3</v>
      </c>
      <c r="V111" t="s">
        <v>45</v>
      </c>
      <c r="W111">
        <v>2</v>
      </c>
      <c r="X111">
        <v>8</v>
      </c>
      <c r="Y111">
        <v>4</v>
      </c>
      <c r="Z111">
        <v>6</v>
      </c>
    </row>
    <row r="112" spans="1:26">
      <c r="A112">
        <v>270950</v>
      </c>
      <c r="B112">
        <v>272760</v>
      </c>
      <c r="C112">
        <v>272360</v>
      </c>
      <c r="D112">
        <v>273110</v>
      </c>
      <c r="E112">
        <v>271940</v>
      </c>
      <c r="F112">
        <v>272920</v>
      </c>
      <c r="G112">
        <v>271500</v>
      </c>
      <c r="H112">
        <v>272530</v>
      </c>
      <c r="I112">
        <v>271130</v>
      </c>
      <c r="J112">
        <v>272140</v>
      </c>
      <c r="K112">
        <v>271320</v>
      </c>
      <c r="L112">
        <v>271760</v>
      </c>
      <c r="O112">
        <v>1</v>
      </c>
      <c r="P112">
        <v>9</v>
      </c>
      <c r="Q112" t="s">
        <v>46</v>
      </c>
      <c r="R112">
        <v>7</v>
      </c>
      <c r="S112" t="s">
        <v>47</v>
      </c>
      <c r="T112">
        <v>5</v>
      </c>
      <c r="U112" t="s">
        <v>45</v>
      </c>
      <c r="V112">
        <v>3</v>
      </c>
      <c r="W112">
        <v>8</v>
      </c>
      <c r="X112">
        <v>2</v>
      </c>
      <c r="Y112">
        <v>6</v>
      </c>
      <c r="Z112">
        <v>4</v>
      </c>
    </row>
    <row r="113" spans="1:26">
      <c r="A113">
        <v>273700</v>
      </c>
      <c r="B113">
        <v>275070</v>
      </c>
      <c r="C113">
        <v>274690</v>
      </c>
      <c r="D113">
        <v>275460</v>
      </c>
      <c r="E113">
        <v>274300</v>
      </c>
      <c r="F113">
        <v>275660</v>
      </c>
      <c r="G113">
        <v>273870</v>
      </c>
      <c r="H113">
        <v>275250</v>
      </c>
      <c r="I113">
        <v>273470</v>
      </c>
      <c r="J113">
        <v>274900</v>
      </c>
      <c r="K113">
        <v>274060</v>
      </c>
      <c r="L113">
        <v>274520</v>
      </c>
      <c r="O113">
        <v>9</v>
      </c>
      <c r="P113">
        <v>1</v>
      </c>
      <c r="Q113">
        <v>7</v>
      </c>
      <c r="R113" t="s">
        <v>46</v>
      </c>
      <c r="S113">
        <v>5</v>
      </c>
      <c r="T113" t="s">
        <v>47</v>
      </c>
      <c r="U113">
        <v>3</v>
      </c>
      <c r="V113" t="s">
        <v>45</v>
      </c>
      <c r="W113">
        <v>2</v>
      </c>
      <c r="X113">
        <v>8</v>
      </c>
      <c r="Y113">
        <v>4</v>
      </c>
      <c r="Z113">
        <v>6</v>
      </c>
    </row>
    <row r="114" spans="1:26">
      <c r="A114">
        <v>275830</v>
      </c>
      <c r="B114">
        <v>277240</v>
      </c>
      <c r="C114">
        <v>276820</v>
      </c>
      <c r="D114">
        <v>277610</v>
      </c>
      <c r="E114">
        <v>276390</v>
      </c>
      <c r="F114">
        <v>278010</v>
      </c>
      <c r="G114">
        <v>276170</v>
      </c>
      <c r="H114">
        <v>277790</v>
      </c>
      <c r="I114">
        <v>276010</v>
      </c>
      <c r="J114">
        <v>277380</v>
      </c>
      <c r="K114">
        <v>276610</v>
      </c>
      <c r="L114">
        <v>277030</v>
      </c>
      <c r="O114">
        <v>1</v>
      </c>
      <c r="P114">
        <v>9</v>
      </c>
      <c r="Q114">
        <v>7</v>
      </c>
      <c r="R114">
        <v>5</v>
      </c>
      <c r="S114" t="s">
        <v>46</v>
      </c>
      <c r="T114">
        <v>3</v>
      </c>
      <c r="U114" t="s">
        <v>47</v>
      </c>
      <c r="V114">
        <v>2</v>
      </c>
      <c r="W114" t="s">
        <v>45</v>
      </c>
      <c r="X114">
        <v>4</v>
      </c>
      <c r="Y114">
        <v>8</v>
      </c>
      <c r="Z114">
        <v>6</v>
      </c>
    </row>
    <row r="115" spans="1:26">
      <c r="A115">
        <v>278620</v>
      </c>
      <c r="B115">
        <v>279530</v>
      </c>
      <c r="C115">
        <v>279150</v>
      </c>
      <c r="D115">
        <v>279990</v>
      </c>
      <c r="E115">
        <v>278810</v>
      </c>
      <c r="F115">
        <v>280330</v>
      </c>
      <c r="G115">
        <v>278980</v>
      </c>
      <c r="H115">
        <v>280490</v>
      </c>
      <c r="I115">
        <v>278390</v>
      </c>
      <c r="J115">
        <v>280160</v>
      </c>
      <c r="K115">
        <v>279340</v>
      </c>
      <c r="L115">
        <v>279800</v>
      </c>
      <c r="O115">
        <v>9</v>
      </c>
      <c r="P115">
        <v>1</v>
      </c>
      <c r="Q115">
        <v>5</v>
      </c>
      <c r="R115">
        <v>7</v>
      </c>
      <c r="S115">
        <v>3</v>
      </c>
      <c r="T115" t="s">
        <v>46</v>
      </c>
      <c r="U115">
        <v>2</v>
      </c>
      <c r="V115" t="s">
        <v>47</v>
      </c>
      <c r="W115">
        <v>4</v>
      </c>
      <c r="X115" t="s">
        <v>45</v>
      </c>
      <c r="Y115">
        <v>6</v>
      </c>
      <c r="Z115">
        <v>8</v>
      </c>
    </row>
    <row r="116" spans="1:26">
      <c r="A116">
        <v>281110</v>
      </c>
      <c r="B116">
        <v>282120</v>
      </c>
      <c r="C116">
        <v>281710</v>
      </c>
      <c r="D116">
        <v>282530</v>
      </c>
      <c r="E116">
        <v>280910</v>
      </c>
      <c r="F116">
        <v>282920</v>
      </c>
      <c r="G116">
        <v>281350</v>
      </c>
      <c r="H116">
        <v>282700</v>
      </c>
      <c r="I116">
        <v>280730</v>
      </c>
      <c r="J116">
        <v>282310</v>
      </c>
      <c r="K116">
        <v>281530</v>
      </c>
      <c r="L116">
        <v>281910</v>
      </c>
      <c r="O116">
        <v>9</v>
      </c>
      <c r="P116">
        <v>5</v>
      </c>
      <c r="Q116">
        <v>1</v>
      </c>
      <c r="R116">
        <v>7</v>
      </c>
      <c r="S116" t="s">
        <v>46</v>
      </c>
      <c r="T116">
        <v>3</v>
      </c>
      <c r="U116" t="s">
        <v>47</v>
      </c>
      <c r="V116">
        <v>2</v>
      </c>
      <c r="W116" t="s">
        <v>45</v>
      </c>
      <c r="X116">
        <v>4</v>
      </c>
      <c r="Y116">
        <v>8</v>
      </c>
      <c r="Z116">
        <v>6</v>
      </c>
    </row>
    <row r="117" spans="1:26">
      <c r="A117">
        <v>283910</v>
      </c>
      <c r="B117">
        <v>284480</v>
      </c>
      <c r="C117">
        <v>284080</v>
      </c>
      <c r="D117">
        <v>284880</v>
      </c>
      <c r="E117">
        <v>283310</v>
      </c>
      <c r="F117">
        <v>285240</v>
      </c>
      <c r="G117">
        <v>283720</v>
      </c>
      <c r="H117">
        <v>285430</v>
      </c>
      <c r="I117">
        <v>283490</v>
      </c>
      <c r="J117">
        <v>285050</v>
      </c>
      <c r="K117">
        <v>284260</v>
      </c>
      <c r="L117">
        <v>284720</v>
      </c>
      <c r="O117">
        <v>5</v>
      </c>
      <c r="P117">
        <v>9</v>
      </c>
      <c r="Q117">
        <v>7</v>
      </c>
      <c r="R117">
        <v>1</v>
      </c>
      <c r="S117">
        <v>3</v>
      </c>
      <c r="T117" t="s">
        <v>46</v>
      </c>
      <c r="U117">
        <v>2</v>
      </c>
      <c r="V117" t="s">
        <v>47</v>
      </c>
      <c r="W117">
        <v>4</v>
      </c>
      <c r="X117" t="s">
        <v>45</v>
      </c>
      <c r="Y117">
        <v>6</v>
      </c>
      <c r="Z117">
        <v>8</v>
      </c>
    </row>
    <row r="118" spans="1:26">
      <c r="A118">
        <v>286030</v>
      </c>
      <c r="B118">
        <v>286620</v>
      </c>
      <c r="C118">
        <v>286430</v>
      </c>
      <c r="D118">
        <v>286960</v>
      </c>
      <c r="E118">
        <v>285610</v>
      </c>
      <c r="F118">
        <v>287400</v>
      </c>
      <c r="G118">
        <v>286270</v>
      </c>
      <c r="H118">
        <v>287810</v>
      </c>
      <c r="I118">
        <v>285830</v>
      </c>
      <c r="J118">
        <v>287570</v>
      </c>
      <c r="K118">
        <v>286810</v>
      </c>
      <c r="L118">
        <v>287220</v>
      </c>
      <c r="O118">
        <v>5</v>
      </c>
      <c r="P118">
        <v>9</v>
      </c>
      <c r="Q118">
        <v>1</v>
      </c>
      <c r="R118">
        <v>7</v>
      </c>
      <c r="S118">
        <v>3</v>
      </c>
      <c r="T118">
        <v>2</v>
      </c>
      <c r="U118" t="s">
        <v>46</v>
      </c>
      <c r="V118">
        <v>4</v>
      </c>
      <c r="W118" t="s">
        <v>47</v>
      </c>
      <c r="X118">
        <v>6</v>
      </c>
      <c r="Y118" t="s">
        <v>45</v>
      </c>
      <c r="Z118">
        <v>8</v>
      </c>
    </row>
    <row r="119" spans="1:26">
      <c r="A119">
        <v>288790</v>
      </c>
      <c r="B119">
        <v>288960</v>
      </c>
      <c r="C119">
        <v>289120</v>
      </c>
      <c r="D119">
        <v>289350</v>
      </c>
      <c r="E119">
        <v>288430</v>
      </c>
      <c r="F119">
        <v>289740</v>
      </c>
      <c r="G119">
        <v>288600</v>
      </c>
      <c r="H119">
        <v>290110</v>
      </c>
      <c r="I119">
        <v>288200</v>
      </c>
      <c r="J119">
        <v>290350</v>
      </c>
      <c r="K119">
        <v>289530</v>
      </c>
      <c r="L119">
        <v>289970</v>
      </c>
      <c r="O119">
        <v>9</v>
      </c>
      <c r="P119">
        <v>5</v>
      </c>
      <c r="Q119">
        <v>7</v>
      </c>
      <c r="R119">
        <v>1</v>
      </c>
      <c r="S119">
        <v>2</v>
      </c>
      <c r="T119">
        <v>3</v>
      </c>
      <c r="U119">
        <v>4</v>
      </c>
      <c r="V119" t="s">
        <v>46</v>
      </c>
      <c r="W119">
        <v>6</v>
      </c>
      <c r="X119" t="s">
        <v>47</v>
      </c>
      <c r="Y119">
        <v>8</v>
      </c>
      <c r="Z119" t="s">
        <v>45</v>
      </c>
    </row>
    <row r="120" spans="1:26">
      <c r="A120">
        <v>291360</v>
      </c>
      <c r="B120">
        <v>291150</v>
      </c>
      <c r="C120">
        <v>291520</v>
      </c>
      <c r="D120">
        <v>291850</v>
      </c>
      <c r="E120">
        <v>290530</v>
      </c>
      <c r="F120">
        <v>292280</v>
      </c>
      <c r="G120">
        <v>290930</v>
      </c>
      <c r="H120">
        <v>292670</v>
      </c>
      <c r="I120">
        <v>290700</v>
      </c>
      <c r="J120">
        <v>292490</v>
      </c>
      <c r="K120">
        <v>291690</v>
      </c>
      <c r="L120">
        <v>292080</v>
      </c>
      <c r="O120">
        <v>5</v>
      </c>
      <c r="P120">
        <v>9</v>
      </c>
      <c r="Q120">
        <v>7</v>
      </c>
      <c r="R120">
        <v>2</v>
      </c>
      <c r="S120">
        <v>1</v>
      </c>
      <c r="T120">
        <v>3</v>
      </c>
      <c r="U120" t="s">
        <v>46</v>
      </c>
      <c r="V120">
        <v>4</v>
      </c>
      <c r="W120" t="s">
        <v>47</v>
      </c>
      <c r="X120">
        <v>6</v>
      </c>
      <c r="Y120" t="s">
        <v>45</v>
      </c>
      <c r="Z120">
        <v>8</v>
      </c>
    </row>
    <row r="121" spans="1:26">
      <c r="A121">
        <v>294090</v>
      </c>
      <c r="B121">
        <v>293450</v>
      </c>
      <c r="C121">
        <v>293860</v>
      </c>
      <c r="D121">
        <v>294260</v>
      </c>
      <c r="E121">
        <v>293270</v>
      </c>
      <c r="F121">
        <v>294590</v>
      </c>
      <c r="G121">
        <v>293660</v>
      </c>
      <c r="H121">
        <v>294970</v>
      </c>
      <c r="I121">
        <v>293080</v>
      </c>
      <c r="J121">
        <v>295220</v>
      </c>
      <c r="K121">
        <v>294430</v>
      </c>
      <c r="L121">
        <v>294840</v>
      </c>
      <c r="O121">
        <v>9</v>
      </c>
      <c r="P121">
        <v>5</v>
      </c>
      <c r="Q121">
        <v>2</v>
      </c>
      <c r="R121">
        <v>7</v>
      </c>
      <c r="S121">
        <v>3</v>
      </c>
      <c r="T121">
        <v>1</v>
      </c>
      <c r="U121">
        <v>4</v>
      </c>
      <c r="V121" t="s">
        <v>46</v>
      </c>
      <c r="W121">
        <v>6</v>
      </c>
      <c r="X121" t="s">
        <v>47</v>
      </c>
      <c r="Y121">
        <v>8</v>
      </c>
      <c r="Z121" t="s">
        <v>45</v>
      </c>
    </row>
    <row r="122" spans="1:26">
      <c r="A122">
        <v>296200</v>
      </c>
      <c r="B122">
        <v>295610</v>
      </c>
      <c r="C122">
        <v>296410</v>
      </c>
      <c r="D122">
        <v>296560</v>
      </c>
      <c r="E122">
        <v>295800</v>
      </c>
      <c r="F122">
        <v>296760</v>
      </c>
      <c r="G122">
        <v>296010</v>
      </c>
      <c r="H122">
        <v>297080</v>
      </c>
      <c r="I122">
        <v>295380</v>
      </c>
      <c r="J122">
        <v>297580</v>
      </c>
      <c r="K122">
        <v>296940</v>
      </c>
      <c r="L122">
        <v>297340</v>
      </c>
      <c r="O122">
        <v>9</v>
      </c>
      <c r="P122">
        <v>2</v>
      </c>
      <c r="Q122">
        <v>5</v>
      </c>
      <c r="R122">
        <v>7</v>
      </c>
      <c r="S122">
        <v>1</v>
      </c>
      <c r="T122">
        <v>3</v>
      </c>
      <c r="U122">
        <v>4</v>
      </c>
      <c r="V122">
        <v>6</v>
      </c>
      <c r="W122" t="s">
        <v>46</v>
      </c>
      <c r="X122">
        <v>8</v>
      </c>
      <c r="Y122" t="s">
        <v>47</v>
      </c>
      <c r="Z122" t="s">
        <v>45</v>
      </c>
    </row>
    <row r="123" spans="1:26">
      <c r="A123">
        <v>298990</v>
      </c>
      <c r="B123">
        <v>297980</v>
      </c>
      <c r="C123">
        <v>298770</v>
      </c>
      <c r="D123">
        <v>299320</v>
      </c>
      <c r="E123">
        <v>298550</v>
      </c>
      <c r="F123">
        <v>299120</v>
      </c>
      <c r="G123">
        <v>298370</v>
      </c>
      <c r="H123">
        <v>299470</v>
      </c>
      <c r="I123">
        <v>298130</v>
      </c>
      <c r="J123">
        <v>299890</v>
      </c>
      <c r="K123">
        <v>299670</v>
      </c>
      <c r="L123">
        <v>300070</v>
      </c>
      <c r="O123">
        <v>2</v>
      </c>
      <c r="P123">
        <v>9</v>
      </c>
      <c r="Q123">
        <v>7</v>
      </c>
      <c r="R123">
        <v>5</v>
      </c>
      <c r="S123">
        <v>3</v>
      </c>
      <c r="T123">
        <v>1</v>
      </c>
      <c r="U123">
        <v>6</v>
      </c>
      <c r="V123">
        <v>4</v>
      </c>
      <c r="W123">
        <v>8</v>
      </c>
      <c r="X123" t="s">
        <v>46</v>
      </c>
      <c r="Y123" t="s">
        <v>45</v>
      </c>
      <c r="Z123" t="s">
        <v>47</v>
      </c>
    </row>
    <row r="124" spans="1:26">
      <c r="A124">
        <v>301450</v>
      </c>
      <c r="B124">
        <v>300530</v>
      </c>
      <c r="C124">
        <v>301050</v>
      </c>
      <c r="D124">
        <v>301640</v>
      </c>
      <c r="E124">
        <v>300690</v>
      </c>
      <c r="F124">
        <v>301270</v>
      </c>
      <c r="G124">
        <v>300910</v>
      </c>
      <c r="H124">
        <v>302030</v>
      </c>
      <c r="I124">
        <v>300280</v>
      </c>
      <c r="J124">
        <v>302440</v>
      </c>
      <c r="K124">
        <v>301820</v>
      </c>
      <c r="L124">
        <v>302210</v>
      </c>
      <c r="O124">
        <v>9</v>
      </c>
      <c r="P124">
        <v>2</v>
      </c>
      <c r="Q124">
        <v>5</v>
      </c>
      <c r="R124">
        <v>7</v>
      </c>
      <c r="S124">
        <v>3</v>
      </c>
      <c r="T124">
        <v>6</v>
      </c>
      <c r="U124">
        <v>1</v>
      </c>
      <c r="V124">
        <v>4</v>
      </c>
      <c r="W124" t="s">
        <v>46</v>
      </c>
      <c r="X124">
        <v>8</v>
      </c>
      <c r="Y124" t="s">
        <v>47</v>
      </c>
      <c r="Z124" t="s">
        <v>45</v>
      </c>
    </row>
    <row r="125" spans="1:26">
      <c r="A125">
        <v>304210</v>
      </c>
      <c r="B125">
        <v>302850</v>
      </c>
      <c r="C125">
        <v>303790</v>
      </c>
      <c r="D125">
        <v>304020</v>
      </c>
      <c r="E125">
        <v>303470</v>
      </c>
      <c r="F125">
        <v>303630</v>
      </c>
      <c r="G125">
        <v>303270</v>
      </c>
      <c r="H125">
        <v>304380</v>
      </c>
      <c r="I125">
        <v>303050</v>
      </c>
      <c r="J125">
        <v>304750</v>
      </c>
      <c r="K125">
        <v>304540</v>
      </c>
      <c r="L125">
        <v>304960</v>
      </c>
      <c r="O125">
        <v>2</v>
      </c>
      <c r="P125">
        <v>9</v>
      </c>
      <c r="Q125">
        <v>7</v>
      </c>
      <c r="R125">
        <v>5</v>
      </c>
      <c r="S125">
        <v>6</v>
      </c>
      <c r="T125">
        <v>3</v>
      </c>
      <c r="U125">
        <v>4</v>
      </c>
      <c r="V125">
        <v>1</v>
      </c>
      <c r="W125">
        <v>8</v>
      </c>
      <c r="X125" t="s">
        <v>46</v>
      </c>
      <c r="Y125" t="s">
        <v>45</v>
      </c>
      <c r="Z125" t="s">
        <v>47</v>
      </c>
    </row>
    <row r="126" spans="1:26">
      <c r="A126">
        <v>306340</v>
      </c>
      <c r="B126">
        <v>305170</v>
      </c>
      <c r="C126">
        <v>306120</v>
      </c>
      <c r="D126">
        <v>306500</v>
      </c>
      <c r="E126">
        <v>305930</v>
      </c>
      <c r="F126">
        <v>305750</v>
      </c>
      <c r="G126">
        <v>305400</v>
      </c>
      <c r="H126">
        <v>306710</v>
      </c>
      <c r="I126">
        <v>305570</v>
      </c>
      <c r="J126">
        <v>306920</v>
      </c>
      <c r="K126">
        <v>307090</v>
      </c>
      <c r="L126">
        <v>307320</v>
      </c>
      <c r="O126">
        <v>2</v>
      </c>
      <c r="P126">
        <v>7</v>
      </c>
      <c r="Q126">
        <v>9</v>
      </c>
      <c r="R126">
        <v>6</v>
      </c>
      <c r="S126">
        <v>5</v>
      </c>
      <c r="T126">
        <v>3</v>
      </c>
      <c r="U126">
        <v>1</v>
      </c>
      <c r="V126">
        <v>4</v>
      </c>
      <c r="W126">
        <v>8</v>
      </c>
      <c r="X126" t="s">
        <v>45</v>
      </c>
      <c r="Y126" t="s">
        <v>46</v>
      </c>
      <c r="Z126" t="s">
        <v>47</v>
      </c>
    </row>
    <row r="127" spans="1:26">
      <c r="A127">
        <v>309080</v>
      </c>
      <c r="B127">
        <v>307910</v>
      </c>
      <c r="C127">
        <v>308450</v>
      </c>
      <c r="D127">
        <v>308860</v>
      </c>
      <c r="E127">
        <v>308660</v>
      </c>
      <c r="F127">
        <v>308110</v>
      </c>
      <c r="G127">
        <v>307690</v>
      </c>
      <c r="H127">
        <v>309440</v>
      </c>
      <c r="I127">
        <v>308300</v>
      </c>
      <c r="J127">
        <v>309270</v>
      </c>
      <c r="K127">
        <v>309830</v>
      </c>
      <c r="L127">
        <v>309620</v>
      </c>
      <c r="O127">
        <v>7</v>
      </c>
      <c r="P127">
        <v>2</v>
      </c>
      <c r="Q127">
        <v>6</v>
      </c>
      <c r="R127">
        <v>9</v>
      </c>
      <c r="S127">
        <v>3</v>
      </c>
      <c r="T127">
        <v>5</v>
      </c>
      <c r="U127">
        <v>4</v>
      </c>
      <c r="V127">
        <v>1</v>
      </c>
      <c r="W127" t="s">
        <v>45</v>
      </c>
      <c r="X127">
        <v>8</v>
      </c>
      <c r="Y127" t="s">
        <v>47</v>
      </c>
      <c r="Z127" t="s">
        <v>46</v>
      </c>
    </row>
    <row r="128" spans="1:26">
      <c r="A128">
        <v>311590</v>
      </c>
      <c r="B128">
        <v>310040</v>
      </c>
      <c r="C128">
        <v>311020</v>
      </c>
      <c r="D128">
        <v>311170</v>
      </c>
      <c r="E128">
        <v>310790</v>
      </c>
      <c r="F128">
        <v>310640</v>
      </c>
      <c r="G128">
        <v>310220</v>
      </c>
      <c r="H128">
        <v>311730</v>
      </c>
      <c r="I128">
        <v>310430</v>
      </c>
      <c r="J128">
        <v>311390</v>
      </c>
      <c r="K128">
        <v>311960</v>
      </c>
      <c r="L128">
        <v>312170</v>
      </c>
      <c r="O128">
        <v>2</v>
      </c>
      <c r="P128">
        <v>7</v>
      </c>
      <c r="Q128">
        <v>9</v>
      </c>
      <c r="R128">
        <v>6</v>
      </c>
      <c r="S128">
        <v>5</v>
      </c>
      <c r="T128">
        <v>3</v>
      </c>
      <c r="U128">
        <v>4</v>
      </c>
      <c r="V128" t="s">
        <v>45</v>
      </c>
      <c r="W128">
        <v>1</v>
      </c>
      <c r="X128">
        <v>8</v>
      </c>
      <c r="Y128" t="s">
        <v>46</v>
      </c>
      <c r="Z128" t="s">
        <v>47</v>
      </c>
    </row>
    <row r="129" spans="1:26">
      <c r="A129">
        <v>314300</v>
      </c>
      <c r="B129">
        <v>312800</v>
      </c>
      <c r="C129">
        <v>313340</v>
      </c>
      <c r="D129">
        <v>313930</v>
      </c>
      <c r="E129">
        <v>313560</v>
      </c>
      <c r="F129">
        <v>312980</v>
      </c>
      <c r="G129">
        <v>312580</v>
      </c>
      <c r="H129">
        <v>314090</v>
      </c>
      <c r="I129">
        <v>313120</v>
      </c>
      <c r="J129">
        <v>313710</v>
      </c>
      <c r="K129">
        <v>314720</v>
      </c>
      <c r="L129">
        <v>314470</v>
      </c>
      <c r="O129">
        <v>7</v>
      </c>
      <c r="P129">
        <v>2</v>
      </c>
      <c r="Q129">
        <v>6</v>
      </c>
      <c r="R129">
        <v>9</v>
      </c>
      <c r="S129">
        <v>3</v>
      </c>
      <c r="T129">
        <v>5</v>
      </c>
      <c r="U129" t="s">
        <v>45</v>
      </c>
      <c r="V129">
        <v>4</v>
      </c>
      <c r="W129">
        <v>8</v>
      </c>
      <c r="X129">
        <v>1</v>
      </c>
      <c r="Y129" t="s">
        <v>47</v>
      </c>
      <c r="Z129" t="s">
        <v>46</v>
      </c>
    </row>
    <row r="130" spans="1:26">
      <c r="A130">
        <v>316470</v>
      </c>
      <c r="B130">
        <v>315300</v>
      </c>
      <c r="C130">
        <v>315490</v>
      </c>
      <c r="D130">
        <v>316240</v>
      </c>
      <c r="E130">
        <v>316050</v>
      </c>
      <c r="F130">
        <v>315100</v>
      </c>
      <c r="G130">
        <v>314860</v>
      </c>
      <c r="H130">
        <v>316630</v>
      </c>
      <c r="I130">
        <v>315670</v>
      </c>
      <c r="J130">
        <v>315840</v>
      </c>
      <c r="K130">
        <v>316830</v>
      </c>
      <c r="L130">
        <v>317050</v>
      </c>
      <c r="O130">
        <v>7</v>
      </c>
      <c r="P130">
        <v>6</v>
      </c>
      <c r="Q130">
        <v>2</v>
      </c>
      <c r="R130">
        <v>3</v>
      </c>
      <c r="S130">
        <v>9</v>
      </c>
      <c r="T130" t="s">
        <v>45</v>
      </c>
      <c r="U130">
        <v>5</v>
      </c>
      <c r="V130">
        <v>4</v>
      </c>
      <c r="W130">
        <v>1</v>
      </c>
      <c r="X130">
        <v>8</v>
      </c>
      <c r="Y130" t="s">
        <v>46</v>
      </c>
      <c r="Z130" t="s">
        <v>47</v>
      </c>
    </row>
    <row r="131" spans="1:26">
      <c r="A131">
        <v>319170</v>
      </c>
      <c r="B131">
        <v>318030</v>
      </c>
      <c r="C131">
        <v>317820</v>
      </c>
      <c r="D131">
        <v>318590</v>
      </c>
      <c r="E131">
        <v>318800</v>
      </c>
      <c r="F131">
        <v>317430</v>
      </c>
      <c r="G131">
        <v>317660</v>
      </c>
      <c r="H131">
        <v>318990</v>
      </c>
      <c r="I131">
        <v>318420</v>
      </c>
      <c r="J131">
        <v>318250</v>
      </c>
      <c r="K131">
        <v>319560</v>
      </c>
      <c r="L131">
        <v>319350</v>
      </c>
      <c r="O131">
        <v>6</v>
      </c>
      <c r="P131">
        <v>7</v>
      </c>
      <c r="Q131">
        <v>3</v>
      </c>
      <c r="R131">
        <v>2</v>
      </c>
      <c r="S131" t="s">
        <v>45</v>
      </c>
      <c r="T131">
        <v>9</v>
      </c>
      <c r="U131">
        <v>4</v>
      </c>
      <c r="V131">
        <v>5</v>
      </c>
      <c r="W131">
        <v>8</v>
      </c>
      <c r="X131">
        <v>1</v>
      </c>
      <c r="Y131" t="s">
        <v>47</v>
      </c>
      <c r="Z131" t="s">
        <v>46</v>
      </c>
    </row>
    <row r="132" spans="1:26">
      <c r="A132">
        <v>321700</v>
      </c>
      <c r="B132">
        <v>320190</v>
      </c>
      <c r="C132">
        <v>320370</v>
      </c>
      <c r="D132">
        <v>321100</v>
      </c>
      <c r="E132">
        <v>320910</v>
      </c>
      <c r="F132">
        <v>319970</v>
      </c>
      <c r="G132">
        <v>319770</v>
      </c>
      <c r="H132">
        <v>321280</v>
      </c>
      <c r="I132">
        <v>320550</v>
      </c>
      <c r="J132">
        <v>320730</v>
      </c>
      <c r="K132">
        <v>321900</v>
      </c>
      <c r="L132">
        <v>321520</v>
      </c>
      <c r="O132">
        <v>7</v>
      </c>
      <c r="P132">
        <v>6</v>
      </c>
      <c r="Q132">
        <v>2</v>
      </c>
      <c r="R132">
        <v>3</v>
      </c>
      <c r="S132">
        <v>9</v>
      </c>
      <c r="T132" t="s">
        <v>45</v>
      </c>
      <c r="U132">
        <v>5</v>
      </c>
      <c r="V132">
        <v>4</v>
      </c>
      <c r="W132">
        <v>8</v>
      </c>
      <c r="X132" t="s">
        <v>47</v>
      </c>
      <c r="Y132">
        <v>1</v>
      </c>
      <c r="Z132" t="s">
        <v>46</v>
      </c>
    </row>
    <row r="133" spans="1:26">
      <c r="A133">
        <v>324460</v>
      </c>
      <c r="B133">
        <v>322910</v>
      </c>
      <c r="C133">
        <v>322700</v>
      </c>
      <c r="D133">
        <v>323500</v>
      </c>
      <c r="E133">
        <v>323650</v>
      </c>
      <c r="F133">
        <v>322330</v>
      </c>
      <c r="G133">
        <v>322530</v>
      </c>
      <c r="H133">
        <v>324030</v>
      </c>
      <c r="I133">
        <v>323300</v>
      </c>
      <c r="J133">
        <v>323130</v>
      </c>
      <c r="K133">
        <v>324230</v>
      </c>
      <c r="L133">
        <v>323880</v>
      </c>
      <c r="O133">
        <v>6</v>
      </c>
      <c r="P133">
        <v>7</v>
      </c>
      <c r="Q133">
        <v>3</v>
      </c>
      <c r="R133">
        <v>2</v>
      </c>
      <c r="S133" t="s">
        <v>45</v>
      </c>
      <c r="T133">
        <v>9</v>
      </c>
      <c r="U133">
        <v>4</v>
      </c>
      <c r="V133">
        <v>5</v>
      </c>
      <c r="W133" t="s">
        <v>47</v>
      </c>
      <c r="X133">
        <v>8</v>
      </c>
      <c r="Y133" t="s">
        <v>46</v>
      </c>
      <c r="Z133">
        <v>1</v>
      </c>
    </row>
    <row r="134" spans="1:26">
      <c r="A134">
        <v>326590</v>
      </c>
      <c r="B134">
        <v>325450</v>
      </c>
      <c r="C134">
        <v>324850</v>
      </c>
      <c r="D134">
        <v>325630</v>
      </c>
      <c r="E134">
        <v>326240</v>
      </c>
      <c r="F134">
        <v>324650</v>
      </c>
      <c r="G134">
        <v>325040</v>
      </c>
      <c r="H134">
        <v>326340</v>
      </c>
      <c r="I134">
        <v>325820</v>
      </c>
      <c r="J134">
        <v>325240</v>
      </c>
      <c r="K134">
        <v>326800</v>
      </c>
      <c r="L134">
        <v>326050</v>
      </c>
      <c r="O134">
        <v>6</v>
      </c>
      <c r="P134">
        <v>3</v>
      </c>
      <c r="Q134">
        <v>7</v>
      </c>
      <c r="R134" t="s">
        <v>45</v>
      </c>
      <c r="S134">
        <v>2</v>
      </c>
      <c r="T134">
        <v>4</v>
      </c>
      <c r="U134">
        <v>9</v>
      </c>
      <c r="V134" t="s">
        <v>47</v>
      </c>
      <c r="W134">
        <v>5</v>
      </c>
      <c r="X134">
        <v>8</v>
      </c>
      <c r="Y134">
        <v>1</v>
      </c>
      <c r="Z134" t="s">
        <v>46</v>
      </c>
    </row>
    <row r="135" spans="1:26">
      <c r="A135">
        <v>329390</v>
      </c>
      <c r="B135">
        <v>328170</v>
      </c>
      <c r="C135">
        <v>327210</v>
      </c>
      <c r="D135">
        <v>328020</v>
      </c>
      <c r="E135">
        <v>328960</v>
      </c>
      <c r="F135">
        <v>327420</v>
      </c>
      <c r="G135">
        <v>327870</v>
      </c>
      <c r="H135">
        <v>328770</v>
      </c>
      <c r="I135">
        <v>328590</v>
      </c>
      <c r="J135">
        <v>327670</v>
      </c>
      <c r="K135">
        <v>329130</v>
      </c>
      <c r="L135">
        <v>328390</v>
      </c>
      <c r="O135">
        <v>3</v>
      </c>
      <c r="P135">
        <v>6</v>
      </c>
      <c r="Q135" t="s">
        <v>45</v>
      </c>
      <c r="R135">
        <v>7</v>
      </c>
      <c r="S135">
        <v>4</v>
      </c>
      <c r="T135">
        <v>2</v>
      </c>
      <c r="U135" t="s">
        <v>47</v>
      </c>
      <c r="V135">
        <v>9</v>
      </c>
      <c r="W135">
        <v>8</v>
      </c>
      <c r="X135">
        <v>5</v>
      </c>
      <c r="Y135" t="s">
        <v>46</v>
      </c>
      <c r="Z135">
        <v>1</v>
      </c>
    </row>
    <row r="136" spans="1:26">
      <c r="A136">
        <v>331710</v>
      </c>
      <c r="B136">
        <v>330340</v>
      </c>
      <c r="C136">
        <v>329750</v>
      </c>
      <c r="D136">
        <v>330570</v>
      </c>
      <c r="E136">
        <v>331080</v>
      </c>
      <c r="F136">
        <v>329540</v>
      </c>
      <c r="G136">
        <v>329970</v>
      </c>
      <c r="H136">
        <v>331270</v>
      </c>
      <c r="I136">
        <v>330730</v>
      </c>
      <c r="J136">
        <v>330140</v>
      </c>
      <c r="K136">
        <v>331490</v>
      </c>
      <c r="L136">
        <v>330920</v>
      </c>
      <c r="O136">
        <v>6</v>
      </c>
      <c r="P136">
        <v>3</v>
      </c>
      <c r="Q136">
        <v>7</v>
      </c>
      <c r="R136" t="s">
        <v>45</v>
      </c>
      <c r="S136">
        <v>2</v>
      </c>
      <c r="T136">
        <v>4</v>
      </c>
      <c r="U136">
        <v>9</v>
      </c>
      <c r="V136" t="s">
        <v>47</v>
      </c>
      <c r="W136">
        <v>5</v>
      </c>
      <c r="X136">
        <v>8</v>
      </c>
      <c r="Y136" t="s">
        <v>46</v>
      </c>
      <c r="Z136">
        <v>1</v>
      </c>
    </row>
    <row r="137" spans="1:26">
      <c r="A137">
        <v>334070</v>
      </c>
      <c r="B137">
        <v>333120</v>
      </c>
      <c r="C137">
        <v>332130</v>
      </c>
      <c r="D137">
        <v>332950</v>
      </c>
      <c r="E137">
        <v>333840</v>
      </c>
      <c r="F137">
        <v>332310</v>
      </c>
      <c r="G137">
        <v>332740</v>
      </c>
      <c r="H137">
        <v>333650</v>
      </c>
      <c r="I137">
        <v>333480</v>
      </c>
      <c r="J137">
        <v>332490</v>
      </c>
      <c r="K137">
        <v>334230</v>
      </c>
      <c r="L137">
        <v>333270</v>
      </c>
      <c r="O137">
        <v>3</v>
      </c>
      <c r="P137">
        <v>6</v>
      </c>
      <c r="Q137" t="s">
        <v>45</v>
      </c>
      <c r="R137">
        <v>7</v>
      </c>
      <c r="S137">
        <v>4</v>
      </c>
      <c r="T137">
        <v>2</v>
      </c>
      <c r="U137" t="s">
        <v>47</v>
      </c>
      <c r="V137">
        <v>9</v>
      </c>
      <c r="W137">
        <v>8</v>
      </c>
      <c r="X137">
        <v>5</v>
      </c>
      <c r="Y137">
        <v>1</v>
      </c>
      <c r="Z137" t="s">
        <v>46</v>
      </c>
    </row>
    <row r="138" spans="1:26">
      <c r="A138">
        <v>336610</v>
      </c>
      <c r="B138">
        <v>335640</v>
      </c>
      <c r="C138">
        <v>334440</v>
      </c>
      <c r="D138">
        <v>335020</v>
      </c>
      <c r="E138">
        <v>336150</v>
      </c>
      <c r="F138">
        <v>334840</v>
      </c>
      <c r="G138">
        <v>335240</v>
      </c>
      <c r="H138">
        <v>335790</v>
      </c>
      <c r="I138">
        <v>335960</v>
      </c>
      <c r="J138">
        <v>334630</v>
      </c>
      <c r="K138">
        <v>336360</v>
      </c>
      <c r="L138">
        <v>335430</v>
      </c>
      <c r="O138">
        <v>3</v>
      </c>
      <c r="P138" t="s">
        <v>45</v>
      </c>
      <c r="Q138">
        <v>6</v>
      </c>
      <c r="R138">
        <v>4</v>
      </c>
      <c r="S138">
        <v>7</v>
      </c>
      <c r="T138" t="s">
        <v>47</v>
      </c>
      <c r="U138">
        <v>2</v>
      </c>
      <c r="V138">
        <v>8</v>
      </c>
      <c r="W138">
        <v>9</v>
      </c>
      <c r="X138">
        <v>5</v>
      </c>
      <c r="Y138" t="s">
        <v>46</v>
      </c>
      <c r="Z138">
        <v>1</v>
      </c>
    </row>
    <row r="139" spans="1:26">
      <c r="A139">
        <v>338940</v>
      </c>
      <c r="B139">
        <v>338370</v>
      </c>
      <c r="C139">
        <v>337160</v>
      </c>
      <c r="D139">
        <v>337380</v>
      </c>
      <c r="E139">
        <v>338520</v>
      </c>
      <c r="F139">
        <v>337570</v>
      </c>
      <c r="G139">
        <v>338010</v>
      </c>
      <c r="H139">
        <v>338140</v>
      </c>
      <c r="I139">
        <v>338660</v>
      </c>
      <c r="J139">
        <v>336970</v>
      </c>
      <c r="K139">
        <v>339130</v>
      </c>
      <c r="L139">
        <v>337800</v>
      </c>
      <c r="O139" t="s">
        <v>45</v>
      </c>
      <c r="P139">
        <v>3</v>
      </c>
      <c r="Q139">
        <v>4</v>
      </c>
      <c r="R139">
        <v>6</v>
      </c>
      <c r="S139" t="s">
        <v>47</v>
      </c>
      <c r="T139">
        <v>7</v>
      </c>
      <c r="U139">
        <v>8</v>
      </c>
      <c r="V139">
        <v>2</v>
      </c>
      <c r="W139">
        <v>5</v>
      </c>
      <c r="X139">
        <v>9</v>
      </c>
      <c r="Y139">
        <v>1</v>
      </c>
      <c r="Z139" t="s">
        <v>46</v>
      </c>
    </row>
    <row r="140" spans="1:26">
      <c r="A140">
        <v>341070</v>
      </c>
      <c r="B140">
        <v>340510</v>
      </c>
      <c r="C140">
        <v>339300</v>
      </c>
      <c r="D140">
        <v>339850</v>
      </c>
      <c r="E140">
        <v>340840</v>
      </c>
      <c r="F140">
        <v>339690</v>
      </c>
      <c r="G140">
        <v>340100</v>
      </c>
      <c r="H140">
        <v>340660</v>
      </c>
      <c r="I140">
        <v>341230</v>
      </c>
      <c r="J140">
        <v>339470</v>
      </c>
      <c r="K140">
        <v>341440</v>
      </c>
      <c r="L140">
        <v>340300</v>
      </c>
      <c r="O140">
        <v>3</v>
      </c>
      <c r="P140" t="s">
        <v>45</v>
      </c>
      <c r="Q140">
        <v>6</v>
      </c>
      <c r="R140">
        <v>4</v>
      </c>
      <c r="S140">
        <v>7</v>
      </c>
      <c r="T140" t="s">
        <v>47</v>
      </c>
      <c r="U140">
        <v>2</v>
      </c>
      <c r="V140">
        <v>8</v>
      </c>
      <c r="W140">
        <v>5</v>
      </c>
      <c r="X140">
        <v>1</v>
      </c>
      <c r="Y140">
        <v>9</v>
      </c>
      <c r="Z140" t="s">
        <v>46</v>
      </c>
    </row>
    <row r="141" spans="1:26">
      <c r="A141">
        <v>343420</v>
      </c>
      <c r="B141">
        <v>343250</v>
      </c>
      <c r="C141">
        <v>342030</v>
      </c>
      <c r="D141">
        <v>342280</v>
      </c>
      <c r="E141">
        <v>343600</v>
      </c>
      <c r="F141">
        <v>342440</v>
      </c>
      <c r="G141">
        <v>342840</v>
      </c>
      <c r="H141">
        <v>343040</v>
      </c>
      <c r="I141">
        <v>343950</v>
      </c>
      <c r="J141">
        <v>341840</v>
      </c>
      <c r="K141">
        <v>343730</v>
      </c>
      <c r="L141">
        <v>342640</v>
      </c>
      <c r="O141" t="s">
        <v>45</v>
      </c>
      <c r="P141">
        <v>3</v>
      </c>
      <c r="Q141">
        <v>4</v>
      </c>
      <c r="R141">
        <v>6</v>
      </c>
      <c r="S141" t="s">
        <v>47</v>
      </c>
      <c r="T141">
        <v>7</v>
      </c>
      <c r="U141">
        <v>8</v>
      </c>
      <c r="V141">
        <v>2</v>
      </c>
      <c r="W141">
        <v>1</v>
      </c>
      <c r="X141">
        <v>5</v>
      </c>
      <c r="Y141" t="s">
        <v>46</v>
      </c>
      <c r="Z141">
        <v>9</v>
      </c>
    </row>
    <row r="142" spans="1:26">
      <c r="A142">
        <v>345960</v>
      </c>
      <c r="B142">
        <v>345540</v>
      </c>
      <c r="C142">
        <v>344550</v>
      </c>
      <c r="D142">
        <v>344310</v>
      </c>
      <c r="E142">
        <v>345730</v>
      </c>
      <c r="F142">
        <v>344960</v>
      </c>
      <c r="G142">
        <v>345300</v>
      </c>
      <c r="H142">
        <v>345150</v>
      </c>
      <c r="I142">
        <v>346120</v>
      </c>
      <c r="J142">
        <v>344140</v>
      </c>
      <c r="K142">
        <v>346330</v>
      </c>
      <c r="L142">
        <v>344780</v>
      </c>
      <c r="O142" t="s">
        <v>45</v>
      </c>
      <c r="P142">
        <v>4</v>
      </c>
      <c r="Q142">
        <v>3</v>
      </c>
      <c r="R142" t="s">
        <v>47</v>
      </c>
      <c r="S142">
        <v>6</v>
      </c>
      <c r="T142">
        <v>8</v>
      </c>
      <c r="U142">
        <v>7</v>
      </c>
      <c r="V142">
        <v>2</v>
      </c>
      <c r="W142">
        <v>5</v>
      </c>
      <c r="X142">
        <v>1</v>
      </c>
      <c r="Y142">
        <v>9</v>
      </c>
      <c r="Z142" t="s">
        <v>46</v>
      </c>
    </row>
    <row r="143" spans="1:26">
      <c r="A143">
        <v>348250</v>
      </c>
      <c r="B143">
        <v>347870</v>
      </c>
      <c r="C143">
        <v>347300</v>
      </c>
      <c r="D143">
        <v>346700</v>
      </c>
      <c r="E143">
        <v>348420</v>
      </c>
      <c r="F143">
        <v>347670</v>
      </c>
      <c r="G143">
        <v>348100</v>
      </c>
      <c r="H143">
        <v>347480</v>
      </c>
      <c r="I143">
        <v>348840</v>
      </c>
      <c r="J143">
        <v>346910</v>
      </c>
      <c r="K143">
        <v>348660</v>
      </c>
      <c r="L143">
        <v>347120</v>
      </c>
      <c r="O143">
        <v>4</v>
      </c>
      <c r="P143" t="s">
        <v>45</v>
      </c>
      <c r="Q143" t="s">
        <v>47</v>
      </c>
      <c r="R143">
        <v>3</v>
      </c>
      <c r="S143">
        <v>8</v>
      </c>
      <c r="T143">
        <v>6</v>
      </c>
      <c r="U143">
        <v>2</v>
      </c>
      <c r="V143">
        <v>7</v>
      </c>
      <c r="W143">
        <v>1</v>
      </c>
      <c r="X143">
        <v>5</v>
      </c>
      <c r="Y143" t="s">
        <v>46</v>
      </c>
      <c r="Z143">
        <v>9</v>
      </c>
    </row>
    <row r="144" spans="1:26">
      <c r="A144">
        <v>350440</v>
      </c>
      <c r="B144">
        <v>350220</v>
      </c>
      <c r="C144">
        <v>349450</v>
      </c>
      <c r="D144">
        <v>349200</v>
      </c>
      <c r="E144">
        <v>350770</v>
      </c>
      <c r="F144">
        <v>349810</v>
      </c>
      <c r="G144">
        <v>350620</v>
      </c>
      <c r="H144">
        <v>349960</v>
      </c>
      <c r="I144">
        <v>350960</v>
      </c>
      <c r="J144">
        <v>349030</v>
      </c>
      <c r="K144">
        <v>351200</v>
      </c>
      <c r="L144">
        <v>349650</v>
      </c>
      <c r="O144" t="s">
        <v>45</v>
      </c>
      <c r="P144">
        <v>4</v>
      </c>
      <c r="Q144">
        <v>3</v>
      </c>
      <c r="R144" t="s">
        <v>47</v>
      </c>
      <c r="S144">
        <v>6</v>
      </c>
      <c r="T144">
        <v>8</v>
      </c>
      <c r="U144">
        <v>2</v>
      </c>
      <c r="V144">
        <v>1</v>
      </c>
      <c r="W144">
        <v>7</v>
      </c>
      <c r="X144">
        <v>5</v>
      </c>
      <c r="Y144">
        <v>9</v>
      </c>
      <c r="Z144" t="s">
        <v>46</v>
      </c>
    </row>
    <row r="145" spans="1:26">
      <c r="A145">
        <v>352710</v>
      </c>
      <c r="B145">
        <v>352920</v>
      </c>
      <c r="C145">
        <v>352160</v>
      </c>
      <c r="D145">
        <v>351560</v>
      </c>
      <c r="E145">
        <v>353080</v>
      </c>
      <c r="F145">
        <v>352550</v>
      </c>
      <c r="G145">
        <v>353300</v>
      </c>
      <c r="H145">
        <v>352320</v>
      </c>
      <c r="I145">
        <v>353700</v>
      </c>
      <c r="J145">
        <v>351770</v>
      </c>
      <c r="K145">
        <v>353500</v>
      </c>
      <c r="L145">
        <v>351990</v>
      </c>
      <c r="O145">
        <v>4</v>
      </c>
      <c r="P145" t="s">
        <v>45</v>
      </c>
      <c r="Q145" t="s">
        <v>47</v>
      </c>
      <c r="R145">
        <v>3</v>
      </c>
      <c r="S145">
        <v>8</v>
      </c>
      <c r="T145">
        <v>6</v>
      </c>
      <c r="U145">
        <v>1</v>
      </c>
      <c r="V145">
        <v>2</v>
      </c>
      <c r="W145">
        <v>5</v>
      </c>
      <c r="X145">
        <v>7</v>
      </c>
      <c r="Y145" t="s">
        <v>46</v>
      </c>
      <c r="Z145">
        <v>9</v>
      </c>
    </row>
    <row r="146" spans="1:26">
      <c r="A146">
        <v>355320</v>
      </c>
      <c r="B146">
        <v>355070</v>
      </c>
      <c r="C146">
        <v>354660</v>
      </c>
      <c r="D146">
        <v>353860</v>
      </c>
      <c r="E146">
        <v>355460</v>
      </c>
      <c r="F146">
        <v>354870</v>
      </c>
      <c r="G146">
        <v>355790</v>
      </c>
      <c r="H146">
        <v>354510</v>
      </c>
      <c r="I146">
        <v>356010</v>
      </c>
      <c r="J146">
        <v>354270</v>
      </c>
      <c r="K146">
        <v>355650</v>
      </c>
      <c r="L146">
        <v>354090</v>
      </c>
      <c r="O146">
        <v>4</v>
      </c>
      <c r="P146" t="s">
        <v>47</v>
      </c>
      <c r="Q146" t="s">
        <v>45</v>
      </c>
      <c r="R146">
        <v>8</v>
      </c>
      <c r="S146">
        <v>3</v>
      </c>
      <c r="T146">
        <v>6</v>
      </c>
      <c r="U146">
        <v>2</v>
      </c>
      <c r="V146">
        <v>1</v>
      </c>
      <c r="W146">
        <v>5</v>
      </c>
      <c r="X146" t="s">
        <v>46</v>
      </c>
      <c r="Y146">
        <v>7</v>
      </c>
      <c r="Z146">
        <v>9</v>
      </c>
    </row>
    <row r="147" spans="1:26">
      <c r="A147">
        <v>357620</v>
      </c>
      <c r="B147">
        <v>357790</v>
      </c>
      <c r="C147">
        <v>357390</v>
      </c>
      <c r="D147">
        <v>356680</v>
      </c>
      <c r="E147">
        <v>358200</v>
      </c>
      <c r="F147">
        <v>357240</v>
      </c>
      <c r="G147">
        <v>358630</v>
      </c>
      <c r="H147">
        <v>356800</v>
      </c>
      <c r="I147">
        <v>358380</v>
      </c>
      <c r="J147">
        <v>357020</v>
      </c>
      <c r="K147">
        <v>357980</v>
      </c>
      <c r="L147">
        <v>356450</v>
      </c>
      <c r="O147" t="s">
        <v>47</v>
      </c>
      <c r="P147">
        <v>4</v>
      </c>
      <c r="Q147">
        <v>8</v>
      </c>
      <c r="R147" t="s">
        <v>45</v>
      </c>
      <c r="S147">
        <v>6</v>
      </c>
      <c r="T147">
        <v>3</v>
      </c>
      <c r="U147">
        <v>1</v>
      </c>
      <c r="V147">
        <v>2</v>
      </c>
      <c r="W147" t="s">
        <v>46</v>
      </c>
      <c r="X147">
        <v>5</v>
      </c>
      <c r="Y147">
        <v>9</v>
      </c>
      <c r="Z147">
        <v>7</v>
      </c>
    </row>
    <row r="148" spans="1:26">
      <c r="A148">
        <v>359770</v>
      </c>
      <c r="B148">
        <v>360120</v>
      </c>
      <c r="C148">
        <v>359970</v>
      </c>
      <c r="D148">
        <v>358790</v>
      </c>
      <c r="E148">
        <v>360340</v>
      </c>
      <c r="F148">
        <v>359540</v>
      </c>
      <c r="G148">
        <v>360700</v>
      </c>
      <c r="H148">
        <v>359310</v>
      </c>
      <c r="I148">
        <v>360930</v>
      </c>
      <c r="J148">
        <v>359160</v>
      </c>
      <c r="K148">
        <v>360520</v>
      </c>
      <c r="L148">
        <v>358980</v>
      </c>
      <c r="O148">
        <v>4</v>
      </c>
      <c r="P148" t="s">
        <v>47</v>
      </c>
      <c r="Q148" t="s">
        <v>45</v>
      </c>
      <c r="R148">
        <v>8</v>
      </c>
      <c r="S148">
        <v>6</v>
      </c>
      <c r="T148">
        <v>1</v>
      </c>
      <c r="U148">
        <v>3</v>
      </c>
      <c r="V148">
        <v>2</v>
      </c>
      <c r="W148">
        <v>5</v>
      </c>
      <c r="X148" t="s">
        <v>46</v>
      </c>
      <c r="Y148">
        <v>7</v>
      </c>
      <c r="Z148">
        <v>9</v>
      </c>
    </row>
    <row r="149" spans="1:26">
      <c r="A149">
        <v>362120</v>
      </c>
      <c r="B149">
        <v>362460</v>
      </c>
      <c r="C149">
        <v>362670</v>
      </c>
      <c r="D149">
        <v>361560</v>
      </c>
      <c r="E149">
        <v>363020</v>
      </c>
      <c r="F149">
        <v>362300</v>
      </c>
      <c r="G149">
        <v>363470</v>
      </c>
      <c r="H149">
        <v>361670</v>
      </c>
      <c r="I149">
        <v>363210</v>
      </c>
      <c r="J149">
        <v>361900</v>
      </c>
      <c r="K149">
        <v>362870</v>
      </c>
      <c r="L149">
        <v>361310</v>
      </c>
      <c r="O149" t="s">
        <v>47</v>
      </c>
      <c r="P149">
        <v>4</v>
      </c>
      <c r="Q149">
        <v>8</v>
      </c>
      <c r="R149" t="s">
        <v>45</v>
      </c>
      <c r="S149">
        <v>1</v>
      </c>
      <c r="T149">
        <v>6</v>
      </c>
      <c r="U149">
        <v>2</v>
      </c>
      <c r="V149">
        <v>3</v>
      </c>
      <c r="W149" t="s">
        <v>46</v>
      </c>
      <c r="X149">
        <v>5</v>
      </c>
      <c r="Y149">
        <v>9</v>
      </c>
      <c r="Z149">
        <v>7</v>
      </c>
    </row>
    <row r="150" spans="1:26">
      <c r="A150">
        <v>364680</v>
      </c>
      <c r="B150">
        <v>364860</v>
      </c>
      <c r="C150">
        <v>365180</v>
      </c>
      <c r="D150">
        <v>364000</v>
      </c>
      <c r="E150">
        <v>365550</v>
      </c>
      <c r="F150">
        <v>364430</v>
      </c>
      <c r="G150">
        <v>365800</v>
      </c>
      <c r="H150">
        <v>363790</v>
      </c>
      <c r="I150">
        <v>365360</v>
      </c>
      <c r="J150">
        <v>364220</v>
      </c>
      <c r="K150">
        <v>365040</v>
      </c>
      <c r="L150">
        <v>363600</v>
      </c>
      <c r="O150" t="s">
        <v>47</v>
      </c>
      <c r="P150">
        <v>8</v>
      </c>
      <c r="Q150">
        <v>4</v>
      </c>
      <c r="R150" t="s">
        <v>45</v>
      </c>
      <c r="S150">
        <v>6</v>
      </c>
      <c r="T150">
        <v>1</v>
      </c>
      <c r="U150">
        <v>2</v>
      </c>
      <c r="V150" t="s">
        <v>46</v>
      </c>
      <c r="W150">
        <v>3</v>
      </c>
      <c r="X150">
        <v>9</v>
      </c>
      <c r="Y150">
        <v>5</v>
      </c>
      <c r="Z150">
        <v>7</v>
      </c>
    </row>
    <row r="151" spans="1:26">
      <c r="A151">
        <v>366990</v>
      </c>
      <c r="B151">
        <v>367570</v>
      </c>
      <c r="C151">
        <v>367900</v>
      </c>
      <c r="D151">
        <v>366720</v>
      </c>
      <c r="E151">
        <v>368310</v>
      </c>
      <c r="F151">
        <v>367180</v>
      </c>
      <c r="G151">
        <v>368120</v>
      </c>
      <c r="H151">
        <v>366150</v>
      </c>
      <c r="I151">
        <v>367710</v>
      </c>
      <c r="J151">
        <v>366550</v>
      </c>
      <c r="K151">
        <v>367350</v>
      </c>
      <c r="L151">
        <v>366340</v>
      </c>
      <c r="O151">
        <v>8</v>
      </c>
      <c r="P151" t="s">
        <v>47</v>
      </c>
      <c r="Q151" t="s">
        <v>45</v>
      </c>
      <c r="R151">
        <v>4</v>
      </c>
      <c r="S151">
        <v>1</v>
      </c>
      <c r="T151">
        <v>6</v>
      </c>
      <c r="U151" t="s">
        <v>46</v>
      </c>
      <c r="V151">
        <v>2</v>
      </c>
      <c r="W151">
        <v>9</v>
      </c>
      <c r="X151">
        <v>3</v>
      </c>
      <c r="Y151">
        <v>7</v>
      </c>
      <c r="Z151">
        <v>5</v>
      </c>
    </row>
    <row r="152" spans="1:26">
      <c r="A152">
        <v>369080</v>
      </c>
      <c r="B152">
        <v>369690</v>
      </c>
      <c r="C152">
        <v>370070</v>
      </c>
      <c r="D152">
        <v>369240</v>
      </c>
      <c r="E152">
        <v>370430</v>
      </c>
      <c r="F152">
        <v>369440</v>
      </c>
      <c r="G152">
        <v>370680</v>
      </c>
      <c r="H152">
        <v>368650</v>
      </c>
      <c r="I152">
        <v>370260</v>
      </c>
      <c r="J152">
        <v>368840</v>
      </c>
      <c r="K152">
        <v>369860</v>
      </c>
      <c r="L152">
        <v>368480</v>
      </c>
      <c r="O152" t="s">
        <v>47</v>
      </c>
      <c r="P152">
        <v>8</v>
      </c>
      <c r="Q152" t="s">
        <v>45</v>
      </c>
      <c r="R152">
        <v>1</v>
      </c>
      <c r="S152">
        <v>4</v>
      </c>
      <c r="T152">
        <v>6</v>
      </c>
      <c r="U152">
        <v>2</v>
      </c>
      <c r="V152" t="s">
        <v>46</v>
      </c>
      <c r="W152">
        <v>3</v>
      </c>
      <c r="X152">
        <v>9</v>
      </c>
      <c r="Y152">
        <v>5</v>
      </c>
      <c r="Z152">
        <v>7</v>
      </c>
    </row>
    <row r="153" spans="1:26">
      <c r="A153">
        <v>371430</v>
      </c>
      <c r="B153">
        <v>372400</v>
      </c>
      <c r="C153">
        <v>372790</v>
      </c>
      <c r="D153">
        <v>372010</v>
      </c>
      <c r="E153">
        <v>373170</v>
      </c>
      <c r="F153">
        <v>371820</v>
      </c>
      <c r="G153">
        <v>372980</v>
      </c>
      <c r="H153">
        <v>371060</v>
      </c>
      <c r="I153">
        <v>372560</v>
      </c>
      <c r="J153">
        <v>371630</v>
      </c>
      <c r="K153">
        <v>372170</v>
      </c>
      <c r="L153">
        <v>371220</v>
      </c>
      <c r="O153">
        <v>8</v>
      </c>
      <c r="P153" t="s">
        <v>47</v>
      </c>
      <c r="Q153">
        <v>1</v>
      </c>
      <c r="R153" t="s">
        <v>45</v>
      </c>
      <c r="S153">
        <v>6</v>
      </c>
      <c r="T153">
        <v>4</v>
      </c>
      <c r="U153" t="s">
        <v>46</v>
      </c>
      <c r="V153">
        <v>2</v>
      </c>
      <c r="W153">
        <v>9</v>
      </c>
      <c r="X153">
        <v>3</v>
      </c>
      <c r="Y153">
        <v>7</v>
      </c>
      <c r="Z153">
        <v>5</v>
      </c>
    </row>
    <row r="154" spans="1:26">
      <c r="A154">
        <v>373960</v>
      </c>
      <c r="B154">
        <v>374920</v>
      </c>
      <c r="C154">
        <v>375290</v>
      </c>
      <c r="D154">
        <v>374520</v>
      </c>
      <c r="E154">
        <v>375480</v>
      </c>
      <c r="F154">
        <v>374150</v>
      </c>
      <c r="G154">
        <v>375140</v>
      </c>
      <c r="H154">
        <v>373370</v>
      </c>
      <c r="I154">
        <v>374700</v>
      </c>
      <c r="J154">
        <v>373740</v>
      </c>
      <c r="K154">
        <v>374360</v>
      </c>
      <c r="L154">
        <v>373550</v>
      </c>
      <c r="O154">
        <v>8</v>
      </c>
      <c r="P154" t="s">
        <v>47</v>
      </c>
      <c r="Q154" t="s">
        <v>45</v>
      </c>
      <c r="R154">
        <v>1</v>
      </c>
      <c r="S154">
        <v>6</v>
      </c>
      <c r="T154" t="s">
        <v>46</v>
      </c>
      <c r="U154">
        <v>4</v>
      </c>
      <c r="V154">
        <v>9</v>
      </c>
      <c r="W154">
        <v>2</v>
      </c>
      <c r="X154">
        <v>7</v>
      </c>
      <c r="Y154">
        <v>3</v>
      </c>
      <c r="Z154">
        <v>5</v>
      </c>
    </row>
    <row r="155" spans="1:26">
      <c r="A155">
        <v>376320</v>
      </c>
      <c r="B155">
        <v>377610</v>
      </c>
      <c r="C155">
        <v>378010</v>
      </c>
      <c r="D155">
        <v>377230</v>
      </c>
      <c r="E155">
        <v>377820</v>
      </c>
      <c r="F155">
        <v>376880</v>
      </c>
      <c r="G155">
        <v>377440</v>
      </c>
      <c r="H155">
        <v>376070</v>
      </c>
      <c r="I155">
        <v>377050</v>
      </c>
      <c r="J155">
        <v>376520</v>
      </c>
      <c r="K155">
        <v>376730</v>
      </c>
      <c r="L155">
        <v>375880</v>
      </c>
      <c r="O155" t="s">
        <v>47</v>
      </c>
      <c r="P155">
        <v>8</v>
      </c>
      <c r="Q155">
        <v>1</v>
      </c>
      <c r="R155" t="s">
        <v>45</v>
      </c>
      <c r="S155" t="s">
        <v>46</v>
      </c>
      <c r="T155">
        <v>6</v>
      </c>
      <c r="U155">
        <v>9</v>
      </c>
      <c r="V155">
        <v>4</v>
      </c>
      <c r="W155">
        <v>7</v>
      </c>
      <c r="X155">
        <v>2</v>
      </c>
      <c r="Y155">
        <v>5</v>
      </c>
      <c r="Z155">
        <v>3</v>
      </c>
    </row>
    <row r="156" spans="1:26">
      <c r="A156">
        <v>378440</v>
      </c>
      <c r="B156">
        <v>379760</v>
      </c>
      <c r="C156">
        <v>380160</v>
      </c>
      <c r="D156">
        <v>379350</v>
      </c>
      <c r="E156">
        <v>380370</v>
      </c>
      <c r="F156">
        <v>379020</v>
      </c>
      <c r="G156">
        <v>379960</v>
      </c>
      <c r="H156">
        <v>378600</v>
      </c>
      <c r="I156">
        <v>379560</v>
      </c>
      <c r="J156">
        <v>378800</v>
      </c>
      <c r="K156">
        <v>379200</v>
      </c>
      <c r="L156">
        <v>378190</v>
      </c>
      <c r="O156" t="s">
        <v>47</v>
      </c>
      <c r="P156">
        <v>1</v>
      </c>
      <c r="Q156">
        <v>8</v>
      </c>
      <c r="R156" t="s">
        <v>45</v>
      </c>
      <c r="S156">
        <v>6</v>
      </c>
      <c r="T156" t="s">
        <v>46</v>
      </c>
      <c r="U156">
        <v>4</v>
      </c>
      <c r="V156">
        <v>9</v>
      </c>
      <c r="W156">
        <v>2</v>
      </c>
      <c r="X156">
        <v>7</v>
      </c>
      <c r="Y156">
        <v>3</v>
      </c>
      <c r="Z156">
        <v>5</v>
      </c>
    </row>
    <row r="157" spans="1:26">
      <c r="A157">
        <v>380730</v>
      </c>
      <c r="B157">
        <v>382510</v>
      </c>
      <c r="C157">
        <v>382870</v>
      </c>
      <c r="D157">
        <v>382086</v>
      </c>
      <c r="E157">
        <v>382700</v>
      </c>
      <c r="F157">
        <v>381760</v>
      </c>
      <c r="G157">
        <v>382280</v>
      </c>
      <c r="H157">
        <v>381310</v>
      </c>
      <c r="I157">
        <v>381890</v>
      </c>
      <c r="J157">
        <v>381140</v>
      </c>
      <c r="K157">
        <v>381520</v>
      </c>
      <c r="L157">
        <v>380940</v>
      </c>
      <c r="O157">
        <v>1</v>
      </c>
      <c r="P157" t="s">
        <v>47</v>
      </c>
      <c r="Q157" t="s">
        <v>45</v>
      </c>
      <c r="R157">
        <v>8</v>
      </c>
      <c r="S157" t="s">
        <v>46</v>
      </c>
      <c r="T157">
        <v>6</v>
      </c>
      <c r="U157">
        <v>9</v>
      </c>
      <c r="V157">
        <v>4</v>
      </c>
      <c r="W157">
        <v>7</v>
      </c>
      <c r="X157">
        <v>2</v>
      </c>
      <c r="Y157">
        <v>5</v>
      </c>
      <c r="Z157">
        <v>3</v>
      </c>
    </row>
    <row r="158" spans="1:26">
      <c r="A158">
        <v>383270</v>
      </c>
      <c r="B158">
        <v>385020</v>
      </c>
      <c r="C158">
        <v>385220</v>
      </c>
      <c r="D158">
        <v>384580</v>
      </c>
      <c r="E158">
        <v>384770</v>
      </c>
      <c r="F158">
        <v>384240</v>
      </c>
      <c r="G158">
        <v>384450</v>
      </c>
      <c r="H158">
        <v>383830</v>
      </c>
      <c r="I158">
        <v>384030</v>
      </c>
      <c r="J158">
        <v>383440</v>
      </c>
      <c r="K158">
        <v>383680</v>
      </c>
      <c r="L158">
        <v>383070</v>
      </c>
      <c r="O158" t="s">
        <v>47</v>
      </c>
      <c r="P158">
        <v>1</v>
      </c>
      <c r="Q158" t="s">
        <v>45</v>
      </c>
      <c r="R158" t="s">
        <v>46</v>
      </c>
      <c r="S158">
        <v>8</v>
      </c>
      <c r="T158">
        <v>9</v>
      </c>
      <c r="U158">
        <v>6</v>
      </c>
      <c r="V158">
        <v>7</v>
      </c>
      <c r="W158">
        <v>4</v>
      </c>
      <c r="X158">
        <v>5</v>
      </c>
      <c r="Y158">
        <v>2</v>
      </c>
      <c r="Z158">
        <v>3</v>
      </c>
    </row>
    <row r="159" spans="1:26">
      <c r="A159">
        <v>385580</v>
      </c>
      <c r="B159">
        <v>387710</v>
      </c>
      <c r="C159">
        <v>387530</v>
      </c>
      <c r="D159">
        <v>387300</v>
      </c>
      <c r="E159">
        <v>387140</v>
      </c>
      <c r="F159">
        <v>386960</v>
      </c>
      <c r="G159">
        <v>386760</v>
      </c>
      <c r="H159">
        <v>386520</v>
      </c>
      <c r="I159">
        <v>386330</v>
      </c>
      <c r="J159">
        <v>386170</v>
      </c>
      <c r="K159">
        <v>386000</v>
      </c>
      <c r="L159">
        <v>385800</v>
      </c>
      <c r="O159">
        <v>1</v>
      </c>
      <c r="P159" t="s">
        <v>47</v>
      </c>
      <c r="Q159" t="s">
        <v>46</v>
      </c>
      <c r="R159" t="s">
        <v>45</v>
      </c>
      <c r="S159">
        <v>9</v>
      </c>
      <c r="T159">
        <v>8</v>
      </c>
      <c r="U159">
        <v>7</v>
      </c>
      <c r="V159">
        <v>6</v>
      </c>
      <c r="W159">
        <v>5</v>
      </c>
      <c r="X159">
        <v>4</v>
      </c>
      <c r="Y159">
        <v>3</v>
      </c>
      <c r="Z159">
        <v>2</v>
      </c>
    </row>
    <row r="160" spans="1:26">
      <c r="A160">
        <v>387920</v>
      </c>
      <c r="B160">
        <v>389850</v>
      </c>
      <c r="C160">
        <v>390050</v>
      </c>
      <c r="D160">
        <v>389420</v>
      </c>
      <c r="E160">
        <v>389620</v>
      </c>
      <c r="F160">
        <v>389100</v>
      </c>
      <c r="G160">
        <v>389280</v>
      </c>
      <c r="H160">
        <v>388690</v>
      </c>
      <c r="I160">
        <v>388890</v>
      </c>
      <c r="J160">
        <v>388270</v>
      </c>
      <c r="K160">
        <v>388480</v>
      </c>
      <c r="L160">
        <v>388110</v>
      </c>
      <c r="O160">
        <v>1</v>
      </c>
      <c r="P160" t="s">
        <v>47</v>
      </c>
      <c r="Q160" t="s">
        <v>45</v>
      </c>
      <c r="R160" t="s">
        <v>46</v>
      </c>
      <c r="S160">
        <v>8</v>
      </c>
      <c r="T160">
        <v>9</v>
      </c>
      <c r="U160">
        <v>6</v>
      </c>
      <c r="V160">
        <v>7</v>
      </c>
      <c r="W160">
        <v>4</v>
      </c>
      <c r="X160">
        <v>5</v>
      </c>
      <c r="Y160">
        <v>2</v>
      </c>
      <c r="Z160">
        <v>3</v>
      </c>
    </row>
    <row r="161" spans="1:26">
      <c r="A161">
        <v>390660</v>
      </c>
      <c r="B161">
        <v>392520</v>
      </c>
      <c r="C161">
        <v>392340</v>
      </c>
      <c r="D161">
        <v>392150</v>
      </c>
      <c r="E161">
        <v>391960</v>
      </c>
      <c r="F161">
        <v>391810</v>
      </c>
      <c r="G161">
        <v>391640</v>
      </c>
      <c r="H161">
        <v>391380</v>
      </c>
      <c r="I161">
        <v>391190</v>
      </c>
      <c r="J161">
        <v>390980</v>
      </c>
      <c r="K161">
        <v>390780</v>
      </c>
      <c r="L161">
        <v>390450</v>
      </c>
      <c r="O161" t="s">
        <v>47</v>
      </c>
      <c r="P161">
        <v>1</v>
      </c>
      <c r="Q161" t="s">
        <v>46</v>
      </c>
      <c r="R161" t="s">
        <v>45</v>
      </c>
      <c r="S161">
        <v>9</v>
      </c>
      <c r="T161">
        <v>8</v>
      </c>
      <c r="U161">
        <v>7</v>
      </c>
      <c r="V161">
        <v>6</v>
      </c>
      <c r="W161">
        <v>5</v>
      </c>
      <c r="X161">
        <v>4</v>
      </c>
      <c r="Y161">
        <v>3</v>
      </c>
      <c r="Z161">
        <v>2</v>
      </c>
    </row>
    <row r="162" spans="1:26">
      <c r="A162">
        <v>392760</v>
      </c>
      <c r="B162">
        <v>394900</v>
      </c>
      <c r="C162">
        <v>394490</v>
      </c>
      <c r="D162">
        <v>394680</v>
      </c>
      <c r="E162">
        <v>394060</v>
      </c>
      <c r="F162">
        <v>394290</v>
      </c>
      <c r="G162">
        <v>393750</v>
      </c>
      <c r="H162">
        <v>393910</v>
      </c>
      <c r="I162">
        <v>393290</v>
      </c>
      <c r="J162">
        <v>393490</v>
      </c>
      <c r="K162">
        <v>393120</v>
      </c>
      <c r="L162">
        <v>392900</v>
      </c>
      <c r="O162">
        <v>1</v>
      </c>
      <c r="P162" t="s">
        <v>47</v>
      </c>
      <c r="Q162" t="s">
        <v>46</v>
      </c>
      <c r="R162">
        <v>9</v>
      </c>
      <c r="S162" t="s">
        <v>45</v>
      </c>
      <c r="T162">
        <v>7</v>
      </c>
      <c r="U162">
        <v>8</v>
      </c>
      <c r="V162">
        <v>5</v>
      </c>
      <c r="W162">
        <v>6</v>
      </c>
      <c r="X162">
        <v>3</v>
      </c>
      <c r="Y162">
        <v>4</v>
      </c>
      <c r="Z162">
        <v>2</v>
      </c>
    </row>
    <row r="163" spans="1:26">
      <c r="A163">
        <v>395500</v>
      </c>
      <c r="B163">
        <v>397180</v>
      </c>
      <c r="C163">
        <v>396790</v>
      </c>
      <c r="D163">
        <v>397390</v>
      </c>
      <c r="E163">
        <v>396420</v>
      </c>
      <c r="F163">
        <v>396970</v>
      </c>
      <c r="G163">
        <v>396070</v>
      </c>
      <c r="H163">
        <v>396590</v>
      </c>
      <c r="I163">
        <v>395670</v>
      </c>
      <c r="J163">
        <v>396280</v>
      </c>
      <c r="K163">
        <v>395870</v>
      </c>
      <c r="L163">
        <v>395250</v>
      </c>
      <c r="O163" t="s">
        <v>47</v>
      </c>
      <c r="P163">
        <v>1</v>
      </c>
      <c r="Q163">
        <v>9</v>
      </c>
      <c r="R163" t="s">
        <v>46</v>
      </c>
      <c r="S163">
        <v>7</v>
      </c>
      <c r="T163" t="s">
        <v>45</v>
      </c>
      <c r="U163">
        <v>5</v>
      </c>
      <c r="V163">
        <v>8</v>
      </c>
      <c r="W163">
        <v>3</v>
      </c>
      <c r="X163">
        <v>6</v>
      </c>
      <c r="Y163">
        <v>2</v>
      </c>
      <c r="Z163">
        <v>4</v>
      </c>
    </row>
    <row r="164" spans="1:26">
      <c r="A164">
        <v>397980</v>
      </c>
      <c r="B164">
        <v>399710</v>
      </c>
      <c r="C164">
        <v>399330</v>
      </c>
      <c r="D164">
        <v>399520</v>
      </c>
      <c r="E164">
        <v>398920</v>
      </c>
      <c r="F164">
        <v>399130</v>
      </c>
      <c r="G164">
        <v>398590</v>
      </c>
      <c r="H164">
        <v>398790</v>
      </c>
      <c r="I164">
        <v>397770</v>
      </c>
      <c r="J164">
        <v>398400</v>
      </c>
      <c r="K164">
        <v>398170</v>
      </c>
      <c r="L164">
        <v>397550</v>
      </c>
      <c r="O164" t="s">
        <v>47</v>
      </c>
      <c r="P164">
        <v>9</v>
      </c>
      <c r="Q164">
        <v>1</v>
      </c>
      <c r="R164" t="s">
        <v>46</v>
      </c>
      <c r="S164" t="s">
        <v>45</v>
      </c>
      <c r="T164">
        <v>7</v>
      </c>
      <c r="U164">
        <v>8</v>
      </c>
      <c r="V164">
        <v>5</v>
      </c>
      <c r="W164">
        <v>6</v>
      </c>
      <c r="X164">
        <v>3</v>
      </c>
      <c r="Y164">
        <v>4</v>
      </c>
      <c r="Z164">
        <v>2</v>
      </c>
    </row>
    <row r="165" spans="1:26">
      <c r="A165">
        <v>400690</v>
      </c>
      <c r="B165">
        <v>402040</v>
      </c>
      <c r="C165">
        <v>401660</v>
      </c>
      <c r="D165">
        <v>402280</v>
      </c>
      <c r="E165">
        <v>401290</v>
      </c>
      <c r="F165">
        <v>401860</v>
      </c>
      <c r="G165">
        <v>400940</v>
      </c>
      <c r="H165">
        <v>401430</v>
      </c>
      <c r="I165">
        <v>400040</v>
      </c>
      <c r="J165">
        <v>401130</v>
      </c>
      <c r="K165">
        <v>400490</v>
      </c>
      <c r="L165">
        <v>400280</v>
      </c>
      <c r="O165">
        <v>9</v>
      </c>
      <c r="P165" t="s">
        <v>47</v>
      </c>
      <c r="Q165" t="s">
        <v>46</v>
      </c>
      <c r="R165">
        <v>1</v>
      </c>
      <c r="S165">
        <v>7</v>
      </c>
      <c r="T165" t="s">
        <v>45</v>
      </c>
      <c r="U165">
        <v>5</v>
      </c>
      <c r="V165">
        <v>8</v>
      </c>
      <c r="W165">
        <v>3</v>
      </c>
      <c r="X165">
        <v>6</v>
      </c>
      <c r="Y165">
        <v>2</v>
      </c>
      <c r="Z165">
        <v>4</v>
      </c>
    </row>
    <row r="166" spans="1:26">
      <c r="A166">
        <v>402810</v>
      </c>
      <c r="B166">
        <v>404200</v>
      </c>
      <c r="C166">
        <v>403800</v>
      </c>
      <c r="D166">
        <v>404570</v>
      </c>
      <c r="E166">
        <v>403410</v>
      </c>
      <c r="F166">
        <v>404390</v>
      </c>
      <c r="G166">
        <v>403210</v>
      </c>
      <c r="H166">
        <v>403990</v>
      </c>
      <c r="I166">
        <v>402410</v>
      </c>
      <c r="J166">
        <v>403570</v>
      </c>
      <c r="K166">
        <v>402980</v>
      </c>
      <c r="L166">
        <v>402610</v>
      </c>
      <c r="O166">
        <v>9</v>
      </c>
      <c r="P166" t="s">
        <v>47</v>
      </c>
      <c r="Q166">
        <v>1</v>
      </c>
      <c r="R166" t="s">
        <v>46</v>
      </c>
      <c r="S166">
        <v>7</v>
      </c>
      <c r="T166">
        <v>5</v>
      </c>
      <c r="U166" t="s">
        <v>45</v>
      </c>
      <c r="V166">
        <v>3</v>
      </c>
      <c r="W166">
        <v>8</v>
      </c>
      <c r="X166">
        <v>2</v>
      </c>
      <c r="Y166">
        <v>6</v>
      </c>
      <c r="Z166">
        <v>4</v>
      </c>
    </row>
    <row r="167" spans="1:26">
      <c r="A167">
        <v>405560</v>
      </c>
      <c r="B167">
        <v>406530</v>
      </c>
      <c r="C167">
        <v>406140</v>
      </c>
      <c r="D167">
        <v>406900</v>
      </c>
      <c r="E167">
        <v>405760</v>
      </c>
      <c r="F167">
        <v>407110</v>
      </c>
      <c r="G167">
        <v>405950</v>
      </c>
      <c r="H167">
        <v>406690</v>
      </c>
      <c r="I167">
        <v>405120</v>
      </c>
      <c r="J167">
        <v>406320</v>
      </c>
      <c r="K167">
        <v>405330</v>
      </c>
      <c r="L167">
        <v>404940</v>
      </c>
      <c r="O167" t="s">
        <v>47</v>
      </c>
      <c r="P167">
        <v>9</v>
      </c>
      <c r="Q167" t="s">
        <v>46</v>
      </c>
      <c r="R167">
        <v>1</v>
      </c>
      <c r="S167">
        <v>5</v>
      </c>
      <c r="T167">
        <v>7</v>
      </c>
      <c r="U167">
        <v>3</v>
      </c>
      <c r="V167" t="s">
        <v>45</v>
      </c>
      <c r="W167">
        <v>2</v>
      </c>
      <c r="X167">
        <v>8</v>
      </c>
      <c r="Y167">
        <v>4</v>
      </c>
      <c r="Z167">
        <v>6</v>
      </c>
    </row>
    <row r="168" spans="1:26">
      <c r="A168">
        <v>408090</v>
      </c>
      <c r="B168">
        <v>409090</v>
      </c>
      <c r="C168">
        <v>408670</v>
      </c>
      <c r="D168">
        <v>409430</v>
      </c>
      <c r="E168">
        <v>407850</v>
      </c>
      <c r="F168">
        <v>409240</v>
      </c>
      <c r="G168">
        <v>408290</v>
      </c>
      <c r="H168">
        <v>408850</v>
      </c>
      <c r="I168">
        <v>407280</v>
      </c>
      <c r="J168">
        <v>408470</v>
      </c>
      <c r="K168">
        <v>407670</v>
      </c>
      <c r="L168">
        <v>407480</v>
      </c>
      <c r="O168">
        <v>9</v>
      </c>
      <c r="P168" t="s">
        <v>47</v>
      </c>
      <c r="Q168" t="s">
        <v>46</v>
      </c>
      <c r="R168">
        <v>5</v>
      </c>
      <c r="S168">
        <v>1</v>
      </c>
      <c r="T168">
        <v>7</v>
      </c>
      <c r="U168" t="s">
        <v>45</v>
      </c>
      <c r="V168">
        <v>3</v>
      </c>
      <c r="W168">
        <v>8</v>
      </c>
      <c r="X168">
        <v>2</v>
      </c>
      <c r="Y168">
        <v>6</v>
      </c>
      <c r="Z168">
        <v>4</v>
      </c>
    </row>
    <row r="169" spans="1:26">
      <c r="A169">
        <v>410860</v>
      </c>
      <c r="B169">
        <v>411420</v>
      </c>
      <c r="C169">
        <v>410990</v>
      </c>
      <c r="D169">
        <v>411810</v>
      </c>
      <c r="E169">
        <v>410250</v>
      </c>
      <c r="F169">
        <v>411980</v>
      </c>
      <c r="G169">
        <v>410650</v>
      </c>
      <c r="H169">
        <v>411590</v>
      </c>
      <c r="I169">
        <v>410030</v>
      </c>
      <c r="J169">
        <v>411210</v>
      </c>
      <c r="K169">
        <v>410370</v>
      </c>
      <c r="L169">
        <v>409830</v>
      </c>
      <c r="O169" t="s">
        <v>47</v>
      </c>
      <c r="P169">
        <v>9</v>
      </c>
      <c r="Q169">
        <v>5</v>
      </c>
      <c r="R169" t="s">
        <v>46</v>
      </c>
      <c r="S169">
        <v>7</v>
      </c>
      <c r="T169">
        <v>1</v>
      </c>
      <c r="U169">
        <v>3</v>
      </c>
      <c r="V169" t="s">
        <v>45</v>
      </c>
      <c r="W169">
        <v>2</v>
      </c>
      <c r="X169">
        <v>8</v>
      </c>
      <c r="Y169">
        <v>4</v>
      </c>
      <c r="Z169">
        <v>6</v>
      </c>
    </row>
    <row r="170" spans="1:26">
      <c r="A170">
        <v>412970</v>
      </c>
      <c r="B170">
        <v>413560</v>
      </c>
      <c r="C170">
        <v>413380</v>
      </c>
      <c r="D170">
        <v>413940</v>
      </c>
      <c r="E170">
        <v>412370</v>
      </c>
      <c r="F170">
        <v>414340</v>
      </c>
      <c r="G170">
        <v>413190</v>
      </c>
      <c r="H170">
        <v>414100</v>
      </c>
      <c r="I170">
        <v>412550</v>
      </c>
      <c r="J170">
        <v>413740</v>
      </c>
      <c r="K170">
        <v>412750</v>
      </c>
      <c r="L170">
        <v>412170</v>
      </c>
      <c r="O170" t="s">
        <v>47</v>
      </c>
      <c r="P170">
        <v>5</v>
      </c>
      <c r="Q170">
        <v>9</v>
      </c>
      <c r="R170" t="s">
        <v>46</v>
      </c>
      <c r="S170">
        <v>1</v>
      </c>
      <c r="T170">
        <v>7</v>
      </c>
      <c r="U170">
        <v>3</v>
      </c>
      <c r="V170">
        <v>2</v>
      </c>
      <c r="W170" t="s">
        <v>45</v>
      </c>
      <c r="X170">
        <v>4</v>
      </c>
      <c r="Y170">
        <v>8</v>
      </c>
      <c r="Z170">
        <v>6</v>
      </c>
    </row>
    <row r="171" spans="1:26">
      <c r="A171">
        <v>415710</v>
      </c>
      <c r="B171">
        <v>415900</v>
      </c>
      <c r="C171">
        <v>416110</v>
      </c>
      <c r="D171">
        <v>416300</v>
      </c>
      <c r="E171">
        <v>414700</v>
      </c>
      <c r="F171">
        <v>416660</v>
      </c>
      <c r="G171">
        <v>415540</v>
      </c>
      <c r="H171">
        <v>416820</v>
      </c>
      <c r="I171">
        <v>415290</v>
      </c>
      <c r="J171">
        <v>416520</v>
      </c>
      <c r="K171">
        <v>415090</v>
      </c>
      <c r="L171">
        <v>414930</v>
      </c>
      <c r="O171">
        <v>5</v>
      </c>
      <c r="P171" t="s">
        <v>47</v>
      </c>
      <c r="Q171" t="s">
        <v>46</v>
      </c>
      <c r="R171">
        <v>9</v>
      </c>
      <c r="S171">
        <v>7</v>
      </c>
      <c r="T171">
        <v>1</v>
      </c>
      <c r="U171">
        <v>2</v>
      </c>
      <c r="V171">
        <v>3</v>
      </c>
      <c r="W171">
        <v>4</v>
      </c>
      <c r="X171" t="s">
        <v>45</v>
      </c>
      <c r="Y171">
        <v>6</v>
      </c>
      <c r="Z171">
        <v>8</v>
      </c>
    </row>
    <row r="172" spans="1:26">
      <c r="A172">
        <v>418240</v>
      </c>
      <c r="B172">
        <v>418050</v>
      </c>
      <c r="C172">
        <v>418440</v>
      </c>
      <c r="D172">
        <v>418830</v>
      </c>
      <c r="E172">
        <v>417250</v>
      </c>
      <c r="F172">
        <v>419220</v>
      </c>
      <c r="G172">
        <v>417800</v>
      </c>
      <c r="H172">
        <v>418990</v>
      </c>
      <c r="I172">
        <v>417420</v>
      </c>
      <c r="J172">
        <v>418630</v>
      </c>
      <c r="K172">
        <v>417620</v>
      </c>
      <c r="L172">
        <v>417090</v>
      </c>
      <c r="O172" t="s">
        <v>47</v>
      </c>
      <c r="P172">
        <v>5</v>
      </c>
      <c r="Q172">
        <v>9</v>
      </c>
      <c r="R172" t="s">
        <v>46</v>
      </c>
      <c r="S172">
        <v>7</v>
      </c>
      <c r="T172">
        <v>2</v>
      </c>
      <c r="U172">
        <v>1</v>
      </c>
      <c r="V172">
        <v>3</v>
      </c>
      <c r="W172" t="s">
        <v>45</v>
      </c>
      <c r="X172">
        <v>4</v>
      </c>
      <c r="Y172">
        <v>8</v>
      </c>
      <c r="Z172">
        <v>6</v>
      </c>
    </row>
    <row r="173" spans="1:26">
      <c r="A173">
        <v>421000</v>
      </c>
      <c r="B173">
        <v>420360</v>
      </c>
      <c r="C173">
        <v>420780</v>
      </c>
      <c r="D173">
        <v>421150</v>
      </c>
      <c r="E173">
        <v>419610</v>
      </c>
      <c r="F173">
        <v>421490</v>
      </c>
      <c r="G173">
        <v>420560</v>
      </c>
      <c r="H173">
        <v>421690</v>
      </c>
      <c r="I173">
        <v>420150</v>
      </c>
      <c r="J173">
        <v>421340</v>
      </c>
      <c r="K173">
        <v>419950</v>
      </c>
      <c r="L173">
        <v>419770</v>
      </c>
      <c r="O173">
        <v>5</v>
      </c>
      <c r="P173" t="s">
        <v>47</v>
      </c>
      <c r="Q173" t="s">
        <v>46</v>
      </c>
      <c r="R173">
        <v>9</v>
      </c>
      <c r="S173">
        <v>2</v>
      </c>
      <c r="T173">
        <v>7</v>
      </c>
      <c r="U173">
        <v>3</v>
      </c>
      <c r="V173">
        <v>1</v>
      </c>
      <c r="W173">
        <v>4</v>
      </c>
      <c r="X173" t="s">
        <v>45</v>
      </c>
      <c r="Y173">
        <v>6</v>
      </c>
      <c r="Z173">
        <v>8</v>
      </c>
    </row>
    <row r="174" spans="1:26">
      <c r="A174">
        <v>423110</v>
      </c>
      <c r="B174">
        <v>422510</v>
      </c>
      <c r="C174">
        <v>423300</v>
      </c>
      <c r="D174">
        <v>423480</v>
      </c>
      <c r="E174">
        <v>421920</v>
      </c>
      <c r="F174">
        <v>423650</v>
      </c>
      <c r="G174">
        <v>422890</v>
      </c>
      <c r="H174">
        <v>424050</v>
      </c>
      <c r="I174">
        <v>422700</v>
      </c>
      <c r="J174">
        <v>423840</v>
      </c>
      <c r="K174">
        <v>422080</v>
      </c>
      <c r="L174">
        <v>422280</v>
      </c>
      <c r="O174">
        <v>5</v>
      </c>
      <c r="P174" t="s">
        <v>46</v>
      </c>
      <c r="Q174" t="s">
        <v>47</v>
      </c>
      <c r="R174">
        <v>2</v>
      </c>
      <c r="S174">
        <v>9</v>
      </c>
      <c r="T174">
        <v>7</v>
      </c>
      <c r="U174">
        <v>1</v>
      </c>
      <c r="V174">
        <v>3</v>
      </c>
      <c r="W174">
        <v>4</v>
      </c>
      <c r="X174">
        <v>6</v>
      </c>
      <c r="Y174" t="s">
        <v>45</v>
      </c>
      <c r="Z174">
        <v>8</v>
      </c>
    </row>
    <row r="175" spans="1:26">
      <c r="A175">
        <v>425850</v>
      </c>
      <c r="B175">
        <v>424820</v>
      </c>
      <c r="C175">
        <v>425630</v>
      </c>
      <c r="D175">
        <v>426200</v>
      </c>
      <c r="E175">
        <v>424600</v>
      </c>
      <c r="F175">
        <v>425990</v>
      </c>
      <c r="G175">
        <v>425260</v>
      </c>
      <c r="H175">
        <v>426370</v>
      </c>
      <c r="I175">
        <v>425410</v>
      </c>
      <c r="J175">
        <v>426600</v>
      </c>
      <c r="K175">
        <v>424410</v>
      </c>
      <c r="L175">
        <v>425050</v>
      </c>
      <c r="O175" t="s">
        <v>46</v>
      </c>
      <c r="P175">
        <v>5</v>
      </c>
      <c r="Q175">
        <v>2</v>
      </c>
      <c r="R175" t="s">
        <v>47</v>
      </c>
      <c r="S175">
        <v>7</v>
      </c>
      <c r="T175">
        <v>9</v>
      </c>
      <c r="U175">
        <v>3</v>
      </c>
      <c r="V175">
        <v>1</v>
      </c>
      <c r="W175">
        <v>6</v>
      </c>
      <c r="X175">
        <v>4</v>
      </c>
      <c r="Y175">
        <v>8</v>
      </c>
      <c r="Z175" t="s">
        <v>45</v>
      </c>
    </row>
    <row r="176" spans="1:26">
      <c r="A176">
        <v>428330</v>
      </c>
      <c r="B176">
        <v>427390</v>
      </c>
      <c r="C176">
        <v>427900</v>
      </c>
      <c r="D176">
        <v>428500</v>
      </c>
      <c r="E176">
        <v>426740</v>
      </c>
      <c r="F176">
        <v>428120</v>
      </c>
      <c r="G176">
        <v>427740</v>
      </c>
      <c r="H176">
        <v>428880</v>
      </c>
      <c r="I176">
        <v>427540</v>
      </c>
      <c r="J176">
        <v>428690</v>
      </c>
      <c r="K176">
        <v>426950</v>
      </c>
      <c r="L176">
        <v>427170</v>
      </c>
      <c r="O176">
        <v>5</v>
      </c>
      <c r="P176" t="s">
        <v>46</v>
      </c>
      <c r="Q176" t="s">
        <v>47</v>
      </c>
      <c r="R176">
        <v>2</v>
      </c>
      <c r="S176">
        <v>9</v>
      </c>
      <c r="T176">
        <v>7</v>
      </c>
      <c r="U176">
        <v>3</v>
      </c>
      <c r="V176">
        <v>6</v>
      </c>
      <c r="W176">
        <v>1</v>
      </c>
      <c r="X176">
        <v>4</v>
      </c>
      <c r="Y176" t="s">
        <v>45</v>
      </c>
      <c r="Z176">
        <v>8</v>
      </c>
    </row>
    <row r="177" spans="1:26">
      <c r="A177">
        <v>431070</v>
      </c>
      <c r="B177">
        <v>429660</v>
      </c>
      <c r="C177">
        <v>430650</v>
      </c>
      <c r="D177">
        <v>430860</v>
      </c>
      <c r="E177">
        <v>429480</v>
      </c>
      <c r="F177">
        <v>430470</v>
      </c>
      <c r="G177">
        <v>430080</v>
      </c>
      <c r="H177">
        <v>431220</v>
      </c>
      <c r="I177">
        <v>430290</v>
      </c>
      <c r="J177">
        <v>431410</v>
      </c>
      <c r="K177">
        <v>429250</v>
      </c>
      <c r="L177">
        <v>429910</v>
      </c>
      <c r="O177" t="s">
        <v>46</v>
      </c>
      <c r="P177">
        <v>5</v>
      </c>
      <c r="Q177">
        <v>2</v>
      </c>
      <c r="R177" t="s">
        <v>47</v>
      </c>
      <c r="S177">
        <v>7</v>
      </c>
      <c r="T177">
        <v>9</v>
      </c>
      <c r="U177">
        <v>6</v>
      </c>
      <c r="V177">
        <v>3</v>
      </c>
      <c r="W177">
        <v>4</v>
      </c>
      <c r="X177">
        <v>1</v>
      </c>
      <c r="Y177">
        <v>8</v>
      </c>
      <c r="Z177" t="s">
        <v>45</v>
      </c>
    </row>
    <row r="178" spans="1:26">
      <c r="A178">
        <v>433220</v>
      </c>
      <c r="B178">
        <v>431830</v>
      </c>
      <c r="C178">
        <v>433000</v>
      </c>
      <c r="D178">
        <v>433390</v>
      </c>
      <c r="E178">
        <v>431980</v>
      </c>
      <c r="F178">
        <v>432620</v>
      </c>
      <c r="G178">
        <v>432210</v>
      </c>
      <c r="H178">
        <v>433760</v>
      </c>
      <c r="I178">
        <v>432810</v>
      </c>
      <c r="J178">
        <v>433540</v>
      </c>
      <c r="K178">
        <v>431640</v>
      </c>
      <c r="L178">
        <v>432380</v>
      </c>
      <c r="O178" t="s">
        <v>46</v>
      </c>
      <c r="P178">
        <v>2</v>
      </c>
      <c r="Q178">
        <v>5</v>
      </c>
      <c r="R178">
        <v>7</v>
      </c>
      <c r="S178" t="s">
        <v>47</v>
      </c>
      <c r="T178">
        <v>6</v>
      </c>
      <c r="U178">
        <v>9</v>
      </c>
      <c r="V178">
        <v>3</v>
      </c>
      <c r="W178">
        <v>1</v>
      </c>
      <c r="X178">
        <v>4</v>
      </c>
      <c r="Y178" t="s">
        <v>45</v>
      </c>
      <c r="Z178">
        <v>8</v>
      </c>
    </row>
    <row r="179" spans="1:26">
      <c r="A179">
        <v>435940</v>
      </c>
      <c r="B179">
        <v>434150</v>
      </c>
      <c r="C179">
        <v>435340</v>
      </c>
      <c r="D179">
        <v>435740</v>
      </c>
      <c r="E179">
        <v>434790</v>
      </c>
      <c r="F179">
        <v>434960</v>
      </c>
      <c r="G179">
        <v>434560</v>
      </c>
      <c r="H179">
        <v>436080</v>
      </c>
      <c r="I179">
        <v>435510</v>
      </c>
      <c r="J179">
        <v>436300</v>
      </c>
      <c r="K179">
        <v>434360</v>
      </c>
      <c r="L179">
        <v>435110</v>
      </c>
      <c r="O179">
        <v>2</v>
      </c>
      <c r="P179" t="s">
        <v>46</v>
      </c>
      <c r="Q179">
        <v>7</v>
      </c>
      <c r="R179">
        <v>5</v>
      </c>
      <c r="S179">
        <v>6</v>
      </c>
      <c r="T179" t="s">
        <v>47</v>
      </c>
      <c r="U179">
        <v>3</v>
      </c>
      <c r="V179">
        <v>9</v>
      </c>
      <c r="W179">
        <v>4</v>
      </c>
      <c r="X179">
        <v>1</v>
      </c>
      <c r="Y179">
        <v>8</v>
      </c>
      <c r="Z179" t="s">
        <v>45</v>
      </c>
    </row>
    <row r="180" spans="1:26">
      <c r="A180">
        <v>438460</v>
      </c>
      <c r="B180">
        <v>436740</v>
      </c>
      <c r="C180">
        <v>437850</v>
      </c>
      <c r="D180">
        <v>438030</v>
      </c>
      <c r="E180">
        <v>436900</v>
      </c>
      <c r="F180">
        <v>437480</v>
      </c>
      <c r="G180">
        <v>437090</v>
      </c>
      <c r="H180">
        <v>438260</v>
      </c>
      <c r="I180">
        <v>437630</v>
      </c>
      <c r="J180">
        <v>438650</v>
      </c>
      <c r="K180">
        <v>436520</v>
      </c>
      <c r="L180">
        <v>437280</v>
      </c>
      <c r="O180" t="s">
        <v>46</v>
      </c>
      <c r="P180">
        <v>2</v>
      </c>
      <c r="Q180">
        <v>5</v>
      </c>
      <c r="R180">
        <v>7</v>
      </c>
      <c r="S180" t="s">
        <v>47</v>
      </c>
      <c r="T180">
        <v>6</v>
      </c>
      <c r="U180">
        <v>9</v>
      </c>
      <c r="V180">
        <v>3</v>
      </c>
      <c r="W180">
        <v>4</v>
      </c>
      <c r="X180">
        <v>8</v>
      </c>
      <c r="Y180">
        <v>1</v>
      </c>
      <c r="Z180" t="s">
        <v>45</v>
      </c>
    </row>
    <row r="181" spans="1:26">
      <c r="A181">
        <v>441190</v>
      </c>
      <c r="B181">
        <v>439030</v>
      </c>
      <c r="C181">
        <v>440200</v>
      </c>
      <c r="D181">
        <v>440820</v>
      </c>
      <c r="E181">
        <v>439640</v>
      </c>
      <c r="F181">
        <v>439800</v>
      </c>
      <c r="G181">
        <v>439450</v>
      </c>
      <c r="H181">
        <v>440620</v>
      </c>
      <c r="I181">
        <v>440380</v>
      </c>
      <c r="J181">
        <v>441000</v>
      </c>
      <c r="K181">
        <v>439220</v>
      </c>
      <c r="L181">
        <v>440030</v>
      </c>
      <c r="O181">
        <v>2</v>
      </c>
      <c r="P181" t="s">
        <v>46</v>
      </c>
      <c r="Q181">
        <v>7</v>
      </c>
      <c r="R181">
        <v>5</v>
      </c>
      <c r="S181">
        <v>6</v>
      </c>
      <c r="T181" t="s">
        <v>47</v>
      </c>
      <c r="U181">
        <v>3</v>
      </c>
      <c r="V181">
        <v>9</v>
      </c>
      <c r="W181">
        <v>8</v>
      </c>
      <c r="X181">
        <v>4</v>
      </c>
      <c r="Y181" t="s">
        <v>45</v>
      </c>
      <c r="Z181">
        <v>1</v>
      </c>
    </row>
    <row r="182" spans="1:26">
      <c r="A182">
        <v>443340</v>
      </c>
      <c r="B182">
        <v>441380</v>
      </c>
      <c r="C182">
        <v>442350</v>
      </c>
      <c r="D182">
        <v>443120</v>
      </c>
      <c r="E182">
        <v>442130</v>
      </c>
      <c r="F182">
        <v>441940</v>
      </c>
      <c r="G182">
        <v>441580</v>
      </c>
      <c r="H182">
        <v>442710</v>
      </c>
      <c r="I182">
        <v>442910</v>
      </c>
      <c r="J182">
        <v>443560</v>
      </c>
      <c r="K182">
        <v>441770</v>
      </c>
      <c r="L182">
        <v>442560</v>
      </c>
      <c r="O182">
        <v>2</v>
      </c>
      <c r="P182">
        <v>7</v>
      </c>
      <c r="Q182" t="s">
        <v>46</v>
      </c>
      <c r="R182">
        <v>6</v>
      </c>
      <c r="S182">
        <v>5</v>
      </c>
      <c r="T182">
        <v>3</v>
      </c>
      <c r="U182" t="s">
        <v>47</v>
      </c>
      <c r="V182">
        <v>8</v>
      </c>
      <c r="W182">
        <v>9</v>
      </c>
      <c r="X182">
        <v>4</v>
      </c>
      <c r="Y182">
        <v>1</v>
      </c>
      <c r="Z182" t="s">
        <v>45</v>
      </c>
    </row>
    <row r="183" spans="1:26">
      <c r="A183">
        <v>446030</v>
      </c>
      <c r="B183">
        <v>444080</v>
      </c>
      <c r="C183">
        <v>444680</v>
      </c>
      <c r="D183">
        <v>445460</v>
      </c>
      <c r="E183">
        <v>444890</v>
      </c>
      <c r="F183">
        <v>444270</v>
      </c>
      <c r="G183">
        <v>443920</v>
      </c>
      <c r="H183">
        <v>445080</v>
      </c>
      <c r="I183">
        <v>445630</v>
      </c>
      <c r="J183">
        <v>445860</v>
      </c>
      <c r="K183">
        <v>444490</v>
      </c>
      <c r="L183">
        <v>445290</v>
      </c>
      <c r="O183">
        <v>7</v>
      </c>
      <c r="P183">
        <v>2</v>
      </c>
      <c r="Q183">
        <v>6</v>
      </c>
      <c r="R183" t="s">
        <v>46</v>
      </c>
      <c r="S183">
        <v>3</v>
      </c>
      <c r="T183">
        <v>5</v>
      </c>
      <c r="U183">
        <v>8</v>
      </c>
      <c r="V183" t="s">
        <v>47</v>
      </c>
      <c r="W183">
        <v>4</v>
      </c>
      <c r="X183">
        <v>9</v>
      </c>
      <c r="Y183" t="s">
        <v>45</v>
      </c>
      <c r="Z183">
        <v>1</v>
      </c>
    </row>
    <row r="184" spans="1:26">
      <c r="A184">
        <v>448390</v>
      </c>
      <c r="B184">
        <v>446260</v>
      </c>
      <c r="C184">
        <v>447200</v>
      </c>
      <c r="D184">
        <v>447970</v>
      </c>
      <c r="E184">
        <v>446970</v>
      </c>
      <c r="F184">
        <v>446810</v>
      </c>
      <c r="G184">
        <v>446430</v>
      </c>
      <c r="H184">
        <v>447620</v>
      </c>
      <c r="I184">
        <v>447790</v>
      </c>
      <c r="J184">
        <v>448160</v>
      </c>
      <c r="K184">
        <v>446650</v>
      </c>
      <c r="L184">
        <v>447420</v>
      </c>
      <c r="O184">
        <v>2</v>
      </c>
      <c r="P184">
        <v>7</v>
      </c>
      <c r="Q184" t="s">
        <v>46</v>
      </c>
      <c r="R184">
        <v>6</v>
      </c>
      <c r="S184">
        <v>5</v>
      </c>
      <c r="T184">
        <v>3</v>
      </c>
      <c r="U184" t="s">
        <v>47</v>
      </c>
      <c r="V184">
        <v>8</v>
      </c>
      <c r="W184">
        <v>9</v>
      </c>
      <c r="X184">
        <v>4</v>
      </c>
      <c r="Y184" t="s">
        <v>45</v>
      </c>
      <c r="Z184">
        <v>1</v>
      </c>
    </row>
    <row r="185" spans="1:26">
      <c r="A185">
        <v>450700</v>
      </c>
      <c r="B185">
        <v>449010</v>
      </c>
      <c r="C185">
        <v>449520</v>
      </c>
      <c r="D185">
        <v>450340</v>
      </c>
      <c r="E185">
        <v>449770</v>
      </c>
      <c r="F185">
        <v>449180</v>
      </c>
      <c r="G185">
        <v>448800</v>
      </c>
      <c r="H185">
        <v>449940</v>
      </c>
      <c r="I185">
        <v>450520</v>
      </c>
      <c r="J185">
        <v>450910</v>
      </c>
      <c r="K185">
        <v>449340</v>
      </c>
      <c r="L185">
        <v>450160</v>
      </c>
      <c r="O185">
        <v>7</v>
      </c>
      <c r="P185">
        <v>2</v>
      </c>
      <c r="Q185">
        <v>6</v>
      </c>
      <c r="R185" t="s">
        <v>46</v>
      </c>
      <c r="S185">
        <v>3</v>
      </c>
      <c r="T185">
        <v>5</v>
      </c>
      <c r="U185">
        <v>8</v>
      </c>
      <c r="V185" t="s">
        <v>47</v>
      </c>
      <c r="W185">
        <v>4</v>
      </c>
      <c r="X185">
        <v>9</v>
      </c>
      <c r="Y185">
        <v>1</v>
      </c>
      <c r="Z185" t="s">
        <v>45</v>
      </c>
    </row>
    <row r="186" spans="1:26">
      <c r="A186">
        <v>453270</v>
      </c>
      <c r="B186">
        <v>451510</v>
      </c>
      <c r="C186">
        <v>451710</v>
      </c>
      <c r="D186">
        <v>452450</v>
      </c>
      <c r="E186">
        <v>452270</v>
      </c>
      <c r="F186">
        <v>451320</v>
      </c>
      <c r="G186">
        <v>451100</v>
      </c>
      <c r="H186">
        <v>452070</v>
      </c>
      <c r="I186">
        <v>452860</v>
      </c>
      <c r="J186">
        <v>453040</v>
      </c>
      <c r="K186">
        <v>451870</v>
      </c>
      <c r="L186">
        <v>452660</v>
      </c>
      <c r="O186">
        <v>7</v>
      </c>
      <c r="P186">
        <v>6</v>
      </c>
      <c r="Q186">
        <v>2</v>
      </c>
      <c r="R186">
        <v>3</v>
      </c>
      <c r="S186" t="s">
        <v>46</v>
      </c>
      <c r="T186">
        <v>8</v>
      </c>
      <c r="U186">
        <v>5</v>
      </c>
      <c r="V186">
        <v>4</v>
      </c>
      <c r="W186" t="s">
        <v>47</v>
      </c>
      <c r="X186">
        <v>9</v>
      </c>
      <c r="Y186" t="s">
        <v>45</v>
      </c>
      <c r="Z186">
        <v>1</v>
      </c>
    </row>
    <row r="187" spans="1:26">
      <c r="A187">
        <v>455600</v>
      </c>
      <c r="B187">
        <v>454240</v>
      </c>
      <c r="C187">
        <v>454080</v>
      </c>
      <c r="D187">
        <v>454790</v>
      </c>
      <c r="E187">
        <v>454980</v>
      </c>
      <c r="F187">
        <v>453670</v>
      </c>
      <c r="G187">
        <v>453870</v>
      </c>
      <c r="H187">
        <v>454440</v>
      </c>
      <c r="I187">
        <v>455160</v>
      </c>
      <c r="J187">
        <v>455800</v>
      </c>
      <c r="K187">
        <v>454620</v>
      </c>
      <c r="L187">
        <v>455380</v>
      </c>
      <c r="O187">
        <v>6</v>
      </c>
      <c r="P187">
        <v>7</v>
      </c>
      <c r="Q187">
        <v>3</v>
      </c>
      <c r="R187">
        <v>2</v>
      </c>
      <c r="S187">
        <v>8</v>
      </c>
      <c r="T187" t="s">
        <v>46</v>
      </c>
      <c r="U187">
        <v>4</v>
      </c>
      <c r="V187">
        <v>5</v>
      </c>
      <c r="W187">
        <v>9</v>
      </c>
      <c r="X187" t="s">
        <v>47</v>
      </c>
      <c r="Y187">
        <v>1</v>
      </c>
      <c r="Z187" t="s">
        <v>45</v>
      </c>
    </row>
    <row r="188" spans="1:26">
      <c r="A188">
        <v>457760</v>
      </c>
      <c r="B188">
        <v>456390</v>
      </c>
      <c r="C188">
        <v>456550</v>
      </c>
      <c r="D188">
        <v>457320</v>
      </c>
      <c r="E188">
        <v>457130</v>
      </c>
      <c r="F188">
        <v>456180</v>
      </c>
      <c r="G188">
        <v>455980</v>
      </c>
      <c r="H188">
        <v>456960</v>
      </c>
      <c r="I188">
        <v>457510</v>
      </c>
      <c r="J188">
        <v>458130</v>
      </c>
      <c r="K188">
        <v>456740</v>
      </c>
      <c r="L188">
        <v>457900</v>
      </c>
      <c r="O188">
        <v>7</v>
      </c>
      <c r="P188">
        <v>6</v>
      </c>
      <c r="Q188">
        <v>2</v>
      </c>
      <c r="R188">
        <v>3</v>
      </c>
      <c r="S188" t="s">
        <v>46</v>
      </c>
      <c r="T188">
        <v>8</v>
      </c>
      <c r="U188">
        <v>5</v>
      </c>
      <c r="V188">
        <v>4</v>
      </c>
      <c r="W188">
        <v>9</v>
      </c>
      <c r="X188">
        <v>1</v>
      </c>
      <c r="Y188" t="s">
        <v>47</v>
      </c>
      <c r="Z188" t="s">
        <v>45</v>
      </c>
    </row>
    <row r="189" spans="1:26">
      <c r="A189">
        <v>460090</v>
      </c>
      <c r="B189">
        <v>459130</v>
      </c>
      <c r="C189">
        <v>458920</v>
      </c>
      <c r="D189">
        <v>459680</v>
      </c>
      <c r="E189">
        <v>459900</v>
      </c>
      <c r="F189">
        <v>458520</v>
      </c>
      <c r="G189">
        <v>458720</v>
      </c>
      <c r="H189">
        <v>459330</v>
      </c>
      <c r="I189">
        <v>460250</v>
      </c>
      <c r="J189">
        <v>460450</v>
      </c>
      <c r="K189">
        <v>459470</v>
      </c>
      <c r="L189">
        <v>460660</v>
      </c>
      <c r="O189">
        <v>6</v>
      </c>
      <c r="P189">
        <v>7</v>
      </c>
      <c r="Q189">
        <v>3</v>
      </c>
      <c r="R189">
        <v>2</v>
      </c>
      <c r="S189">
        <v>8</v>
      </c>
      <c r="T189" t="s">
        <v>46</v>
      </c>
      <c r="U189">
        <v>4</v>
      </c>
      <c r="V189">
        <v>5</v>
      </c>
      <c r="W189">
        <v>1</v>
      </c>
      <c r="X189">
        <v>9</v>
      </c>
      <c r="Y189" t="s">
        <v>45</v>
      </c>
      <c r="Z189" t="s">
        <v>47</v>
      </c>
    </row>
    <row r="190" spans="1:26">
      <c r="A190">
        <v>462640</v>
      </c>
      <c r="B190">
        <v>461670</v>
      </c>
      <c r="C190">
        <v>461070</v>
      </c>
      <c r="D190">
        <v>461840</v>
      </c>
      <c r="E190">
        <v>462190</v>
      </c>
      <c r="F190">
        <v>460840</v>
      </c>
      <c r="G190">
        <v>461250</v>
      </c>
      <c r="H190">
        <v>461460</v>
      </c>
      <c r="I190">
        <v>462360</v>
      </c>
      <c r="J190">
        <v>462990</v>
      </c>
      <c r="K190">
        <v>461990</v>
      </c>
      <c r="L190">
        <v>462780</v>
      </c>
      <c r="O190">
        <v>6</v>
      </c>
      <c r="P190">
        <v>3</v>
      </c>
      <c r="Q190">
        <v>7</v>
      </c>
      <c r="R190">
        <v>8</v>
      </c>
      <c r="S190">
        <v>2</v>
      </c>
      <c r="T190">
        <v>4</v>
      </c>
      <c r="U190" t="s">
        <v>46</v>
      </c>
      <c r="V190">
        <v>5</v>
      </c>
      <c r="W190">
        <v>9</v>
      </c>
      <c r="X190">
        <v>1</v>
      </c>
      <c r="Y190" t="s">
        <v>47</v>
      </c>
      <c r="Z190" t="s">
        <v>45</v>
      </c>
    </row>
    <row r="191" spans="1:26">
      <c r="A191">
        <v>464940</v>
      </c>
      <c r="B191">
        <v>464410</v>
      </c>
      <c r="C191">
        <v>463400</v>
      </c>
      <c r="D191">
        <v>464240</v>
      </c>
      <c r="E191">
        <v>464550</v>
      </c>
      <c r="F191">
        <v>463600</v>
      </c>
      <c r="G191">
        <v>464050</v>
      </c>
      <c r="H191">
        <v>463810</v>
      </c>
      <c r="I191">
        <v>465150</v>
      </c>
      <c r="J191">
        <v>465300</v>
      </c>
      <c r="K191">
        <v>464780</v>
      </c>
      <c r="L191">
        <v>465550</v>
      </c>
      <c r="O191">
        <v>3</v>
      </c>
      <c r="P191">
        <v>6</v>
      </c>
      <c r="Q191">
        <v>8</v>
      </c>
      <c r="R191">
        <v>7</v>
      </c>
      <c r="S191">
        <v>4</v>
      </c>
      <c r="T191">
        <v>2</v>
      </c>
      <c r="U191">
        <v>5</v>
      </c>
      <c r="V191" t="s">
        <v>46</v>
      </c>
      <c r="W191">
        <v>1</v>
      </c>
      <c r="X191">
        <v>9</v>
      </c>
      <c r="Y191" t="s">
        <v>45</v>
      </c>
      <c r="Z191" t="s">
        <v>47</v>
      </c>
    </row>
    <row r="192" spans="1:26">
      <c r="A192">
        <v>467110</v>
      </c>
      <c r="B192">
        <v>466550</v>
      </c>
      <c r="C192">
        <v>465940</v>
      </c>
      <c r="D192">
        <v>466740</v>
      </c>
      <c r="E192">
        <v>466920</v>
      </c>
      <c r="F192">
        <v>465780</v>
      </c>
      <c r="G192">
        <v>466160</v>
      </c>
      <c r="H192">
        <v>466350</v>
      </c>
      <c r="I192">
        <v>467450</v>
      </c>
      <c r="J192">
        <v>467890</v>
      </c>
      <c r="K192">
        <v>467330</v>
      </c>
      <c r="L192">
        <v>467670</v>
      </c>
      <c r="O192">
        <v>6</v>
      </c>
      <c r="P192">
        <v>3</v>
      </c>
      <c r="Q192">
        <v>7</v>
      </c>
      <c r="R192">
        <v>8</v>
      </c>
      <c r="S192">
        <v>2</v>
      </c>
      <c r="T192">
        <v>4</v>
      </c>
      <c r="U192">
        <v>5</v>
      </c>
      <c r="V192">
        <v>1</v>
      </c>
      <c r="W192" t="s">
        <v>46</v>
      </c>
      <c r="X192">
        <v>9</v>
      </c>
      <c r="Y192" t="s">
        <v>47</v>
      </c>
      <c r="Z192" t="s">
        <v>45</v>
      </c>
    </row>
    <row r="193" spans="1:26">
      <c r="A193">
        <v>469460</v>
      </c>
      <c r="B193">
        <v>469280</v>
      </c>
      <c r="C193">
        <v>468270</v>
      </c>
      <c r="D193">
        <v>469120</v>
      </c>
      <c r="E193">
        <v>469690</v>
      </c>
      <c r="F193">
        <v>468490</v>
      </c>
      <c r="G193">
        <v>468940</v>
      </c>
      <c r="H193">
        <v>468680</v>
      </c>
      <c r="I193">
        <v>469820</v>
      </c>
      <c r="J193">
        <v>470240</v>
      </c>
      <c r="K193">
        <v>470020</v>
      </c>
      <c r="L193">
        <v>470450</v>
      </c>
      <c r="O193">
        <v>3</v>
      </c>
      <c r="P193">
        <v>6</v>
      </c>
      <c r="Q193">
        <v>8</v>
      </c>
      <c r="R193">
        <v>7</v>
      </c>
      <c r="S193">
        <v>4</v>
      </c>
      <c r="T193">
        <v>2</v>
      </c>
      <c r="U193">
        <v>1</v>
      </c>
      <c r="V193">
        <v>5</v>
      </c>
      <c r="W193">
        <v>9</v>
      </c>
      <c r="X193" t="s">
        <v>46</v>
      </c>
      <c r="Y193" t="s">
        <v>45</v>
      </c>
      <c r="Z193" t="s">
        <v>47</v>
      </c>
    </row>
    <row r="194" spans="1:26">
      <c r="A194">
        <v>472020</v>
      </c>
      <c r="B194">
        <v>471640</v>
      </c>
      <c r="C194">
        <v>470610</v>
      </c>
      <c r="D194">
        <v>471240</v>
      </c>
      <c r="E194">
        <v>471810</v>
      </c>
      <c r="F194">
        <v>471000</v>
      </c>
      <c r="G194">
        <v>471420</v>
      </c>
      <c r="H194">
        <v>470820</v>
      </c>
      <c r="I194">
        <v>472220</v>
      </c>
      <c r="J194">
        <v>472390</v>
      </c>
      <c r="K194">
        <v>472570</v>
      </c>
      <c r="L194">
        <v>472790</v>
      </c>
      <c r="O194">
        <v>3</v>
      </c>
      <c r="P194">
        <v>8</v>
      </c>
      <c r="Q194">
        <v>6</v>
      </c>
      <c r="R194">
        <v>4</v>
      </c>
      <c r="S194">
        <v>7</v>
      </c>
      <c r="T194">
        <v>2</v>
      </c>
      <c r="U194">
        <v>5</v>
      </c>
      <c r="V194">
        <v>1</v>
      </c>
      <c r="W194">
        <v>9</v>
      </c>
      <c r="X194" t="s">
        <v>45</v>
      </c>
      <c r="Y194" t="s">
        <v>46</v>
      </c>
      <c r="Z194" t="s">
        <v>47</v>
      </c>
    </row>
    <row r="195" spans="1:26">
      <c r="A195">
        <v>474350</v>
      </c>
      <c r="B195">
        <v>473970</v>
      </c>
      <c r="C195">
        <v>473370</v>
      </c>
      <c r="D195">
        <v>473590</v>
      </c>
      <c r="E195">
        <v>474550</v>
      </c>
      <c r="F195">
        <v>473790</v>
      </c>
      <c r="G195">
        <v>474180</v>
      </c>
      <c r="H195">
        <v>473160</v>
      </c>
      <c r="I195">
        <v>474890</v>
      </c>
      <c r="J195">
        <v>474750</v>
      </c>
      <c r="K195">
        <v>475290</v>
      </c>
      <c r="L195">
        <v>475080</v>
      </c>
      <c r="O195">
        <v>8</v>
      </c>
      <c r="P195">
        <v>3</v>
      </c>
      <c r="Q195">
        <v>4</v>
      </c>
      <c r="R195">
        <v>6</v>
      </c>
      <c r="S195">
        <v>2</v>
      </c>
      <c r="T195">
        <v>7</v>
      </c>
      <c r="U195">
        <v>1</v>
      </c>
      <c r="V195">
        <v>5</v>
      </c>
      <c r="W195" t="s">
        <v>45</v>
      </c>
      <c r="X195">
        <v>9</v>
      </c>
      <c r="Y195" t="s">
        <v>47</v>
      </c>
      <c r="Z195" t="s">
        <v>46</v>
      </c>
    </row>
    <row r="196" spans="1:26">
      <c r="A196">
        <v>476510</v>
      </c>
      <c r="B196">
        <v>476310</v>
      </c>
      <c r="C196">
        <v>475500</v>
      </c>
      <c r="D196">
        <v>476080</v>
      </c>
      <c r="E196">
        <v>476850</v>
      </c>
      <c r="F196">
        <v>475920</v>
      </c>
      <c r="G196">
        <v>476660</v>
      </c>
      <c r="H196">
        <v>475690</v>
      </c>
      <c r="I196">
        <v>477030</v>
      </c>
      <c r="J196">
        <v>477240</v>
      </c>
      <c r="K196">
        <v>477450</v>
      </c>
      <c r="L196">
        <v>477660</v>
      </c>
      <c r="O196">
        <v>3</v>
      </c>
      <c r="P196">
        <v>8</v>
      </c>
      <c r="Q196">
        <v>6</v>
      </c>
      <c r="R196">
        <v>4</v>
      </c>
      <c r="S196">
        <v>2</v>
      </c>
      <c r="T196">
        <v>1</v>
      </c>
      <c r="U196">
        <v>7</v>
      </c>
      <c r="V196">
        <v>5</v>
      </c>
      <c r="W196">
        <v>9</v>
      </c>
      <c r="X196" t="s">
        <v>45</v>
      </c>
      <c r="Y196" t="s">
        <v>46</v>
      </c>
      <c r="Z196" t="s">
        <v>47</v>
      </c>
    </row>
    <row r="197" spans="1:26">
      <c r="A197">
        <v>478870</v>
      </c>
      <c r="B197">
        <v>479040</v>
      </c>
      <c r="C197">
        <v>478250</v>
      </c>
      <c r="D197">
        <v>478430</v>
      </c>
      <c r="E197">
        <v>479200</v>
      </c>
      <c r="F197">
        <v>478630</v>
      </c>
      <c r="G197">
        <v>479450</v>
      </c>
      <c r="H197">
        <v>478040</v>
      </c>
      <c r="I197">
        <v>479760</v>
      </c>
      <c r="J197">
        <v>479620</v>
      </c>
      <c r="K197">
        <v>480190</v>
      </c>
      <c r="L197">
        <v>479940</v>
      </c>
      <c r="O197">
        <v>8</v>
      </c>
      <c r="P197">
        <v>3</v>
      </c>
      <c r="Q197">
        <v>4</v>
      </c>
      <c r="R197">
        <v>6</v>
      </c>
      <c r="S197">
        <v>1</v>
      </c>
      <c r="T197">
        <v>2</v>
      </c>
      <c r="U197">
        <v>5</v>
      </c>
      <c r="V197">
        <v>7</v>
      </c>
      <c r="W197" t="s">
        <v>45</v>
      </c>
      <c r="X197">
        <v>9</v>
      </c>
      <c r="Y197" t="s">
        <v>47</v>
      </c>
      <c r="Z197" t="s">
        <v>46</v>
      </c>
    </row>
    <row r="198" spans="1:26">
      <c r="A198">
        <v>481390</v>
      </c>
      <c r="B198">
        <v>481160</v>
      </c>
      <c r="C198">
        <v>480780</v>
      </c>
      <c r="D198">
        <v>480560</v>
      </c>
      <c r="E198">
        <v>481520</v>
      </c>
      <c r="F198">
        <v>481000</v>
      </c>
      <c r="G198">
        <v>481970</v>
      </c>
      <c r="H198">
        <v>480410</v>
      </c>
      <c r="I198">
        <v>482310</v>
      </c>
      <c r="J198">
        <v>481730</v>
      </c>
      <c r="K198">
        <v>482540</v>
      </c>
      <c r="L198">
        <v>482170</v>
      </c>
      <c r="O198">
        <v>8</v>
      </c>
      <c r="P198">
        <v>4</v>
      </c>
      <c r="Q198">
        <v>3</v>
      </c>
      <c r="R198">
        <v>6</v>
      </c>
      <c r="S198">
        <v>2</v>
      </c>
      <c r="T198">
        <v>1</v>
      </c>
      <c r="U198">
        <v>5</v>
      </c>
      <c r="V198" t="s">
        <v>45</v>
      </c>
      <c r="W198">
        <v>7</v>
      </c>
      <c r="X198" t="s">
        <v>47</v>
      </c>
      <c r="Y198">
        <v>9</v>
      </c>
      <c r="Z198" t="s">
        <v>46</v>
      </c>
    </row>
    <row r="199" spans="1:26">
      <c r="A199">
        <v>483720</v>
      </c>
      <c r="B199">
        <v>483880</v>
      </c>
      <c r="C199">
        <v>483510</v>
      </c>
      <c r="D199">
        <v>482920</v>
      </c>
      <c r="E199">
        <v>484290</v>
      </c>
      <c r="F199">
        <v>483350</v>
      </c>
      <c r="G199">
        <v>484690</v>
      </c>
      <c r="H199">
        <v>483090</v>
      </c>
      <c r="I199">
        <v>485060</v>
      </c>
      <c r="J199">
        <v>484090</v>
      </c>
      <c r="K199">
        <v>484840</v>
      </c>
      <c r="L199">
        <v>484490</v>
      </c>
      <c r="O199">
        <v>4</v>
      </c>
      <c r="P199">
        <v>8</v>
      </c>
      <c r="Q199">
        <v>6</v>
      </c>
      <c r="R199">
        <v>3</v>
      </c>
      <c r="S199">
        <v>1</v>
      </c>
      <c r="T199">
        <v>2</v>
      </c>
      <c r="U199" t="s">
        <v>45</v>
      </c>
      <c r="V199">
        <v>5</v>
      </c>
      <c r="W199" t="s">
        <v>47</v>
      </c>
      <c r="X199">
        <v>7</v>
      </c>
      <c r="Y199" t="s">
        <v>46</v>
      </c>
      <c r="Z199">
        <v>9</v>
      </c>
    </row>
    <row r="200" spans="1:26">
      <c r="A200">
        <v>485850</v>
      </c>
      <c r="B200">
        <v>486240</v>
      </c>
      <c r="C200">
        <v>486070</v>
      </c>
      <c r="D200">
        <v>485420</v>
      </c>
      <c r="E200">
        <v>486450</v>
      </c>
      <c r="F200">
        <v>485620</v>
      </c>
      <c r="G200">
        <v>486840</v>
      </c>
      <c r="H200">
        <v>485230</v>
      </c>
      <c r="I200">
        <v>487180</v>
      </c>
      <c r="J200">
        <v>486590</v>
      </c>
      <c r="K200">
        <v>487410</v>
      </c>
      <c r="L200">
        <v>487020</v>
      </c>
      <c r="O200">
        <v>8</v>
      </c>
      <c r="P200">
        <v>4</v>
      </c>
      <c r="Q200">
        <v>6</v>
      </c>
      <c r="R200">
        <v>1</v>
      </c>
      <c r="S200">
        <v>3</v>
      </c>
      <c r="T200">
        <v>2</v>
      </c>
      <c r="U200">
        <v>5</v>
      </c>
      <c r="V200" t="s">
        <v>45</v>
      </c>
      <c r="W200">
        <v>7</v>
      </c>
      <c r="X200" t="s">
        <v>47</v>
      </c>
      <c r="Y200">
        <v>9</v>
      </c>
      <c r="Z200" t="s">
        <v>46</v>
      </c>
    </row>
    <row r="201" spans="1:26">
      <c r="A201">
        <v>488200</v>
      </c>
      <c r="B201">
        <v>488550</v>
      </c>
      <c r="C201">
        <v>488780</v>
      </c>
      <c r="D201">
        <v>487790</v>
      </c>
      <c r="E201">
        <v>489180</v>
      </c>
      <c r="F201">
        <v>488350</v>
      </c>
      <c r="G201">
        <v>489540</v>
      </c>
      <c r="H201">
        <v>487970</v>
      </c>
      <c r="I201">
        <v>489930</v>
      </c>
      <c r="J201">
        <v>488980</v>
      </c>
      <c r="K201">
        <v>489740</v>
      </c>
      <c r="L201">
        <v>489370</v>
      </c>
      <c r="O201">
        <v>4</v>
      </c>
      <c r="P201">
        <v>8</v>
      </c>
      <c r="Q201">
        <v>1</v>
      </c>
      <c r="R201">
        <v>6</v>
      </c>
      <c r="S201">
        <v>2</v>
      </c>
      <c r="T201">
        <v>3</v>
      </c>
      <c r="U201" t="s">
        <v>45</v>
      </c>
      <c r="V201">
        <v>5</v>
      </c>
      <c r="W201" t="s">
        <v>47</v>
      </c>
      <c r="X201">
        <v>7</v>
      </c>
      <c r="Y201" t="s">
        <v>46</v>
      </c>
      <c r="Z201">
        <v>9</v>
      </c>
    </row>
    <row r="202" spans="1:26">
      <c r="A202">
        <v>490730</v>
      </c>
      <c r="B202">
        <v>490920</v>
      </c>
      <c r="C202">
        <v>491290</v>
      </c>
      <c r="D202">
        <v>490100</v>
      </c>
      <c r="E202">
        <v>491690</v>
      </c>
      <c r="F202">
        <v>490500</v>
      </c>
      <c r="G202">
        <v>492050</v>
      </c>
      <c r="H202">
        <v>490300</v>
      </c>
      <c r="I202">
        <v>492260</v>
      </c>
      <c r="J202">
        <v>491100</v>
      </c>
      <c r="K202">
        <v>491890</v>
      </c>
      <c r="L202">
        <v>491500</v>
      </c>
      <c r="O202">
        <v>4</v>
      </c>
      <c r="P202">
        <v>8</v>
      </c>
      <c r="Q202">
        <v>6</v>
      </c>
      <c r="R202">
        <v>1</v>
      </c>
      <c r="S202">
        <v>2</v>
      </c>
      <c r="T202" t="s">
        <v>45</v>
      </c>
      <c r="U202">
        <v>3</v>
      </c>
      <c r="V202" t="s">
        <v>47</v>
      </c>
      <c r="W202">
        <v>5</v>
      </c>
      <c r="X202" t="s">
        <v>46</v>
      </c>
      <c r="Y202">
        <v>7</v>
      </c>
      <c r="Z202">
        <v>9</v>
      </c>
    </row>
    <row r="203" spans="1:26">
      <c r="A203">
        <v>493120</v>
      </c>
      <c r="B203">
        <v>493650</v>
      </c>
      <c r="C203">
        <v>494010</v>
      </c>
      <c r="D203">
        <v>492880</v>
      </c>
      <c r="E203">
        <v>494400</v>
      </c>
      <c r="F203">
        <v>493230</v>
      </c>
      <c r="G203">
        <v>494840</v>
      </c>
      <c r="H203">
        <v>492680</v>
      </c>
      <c r="I203">
        <v>494580</v>
      </c>
      <c r="J203">
        <v>493430</v>
      </c>
      <c r="K203">
        <v>494200</v>
      </c>
      <c r="L203">
        <v>493840</v>
      </c>
      <c r="O203">
        <v>8</v>
      </c>
      <c r="P203">
        <v>4</v>
      </c>
      <c r="Q203">
        <v>1</v>
      </c>
      <c r="R203">
        <v>6</v>
      </c>
      <c r="S203" t="s">
        <v>45</v>
      </c>
      <c r="T203">
        <v>2</v>
      </c>
      <c r="U203" t="s">
        <v>47</v>
      </c>
      <c r="V203">
        <v>3</v>
      </c>
      <c r="W203" t="s">
        <v>46</v>
      </c>
      <c r="X203">
        <v>5</v>
      </c>
      <c r="Y203">
        <v>9</v>
      </c>
      <c r="Z203">
        <v>7</v>
      </c>
    </row>
    <row r="204" spans="1:26">
      <c r="A204">
        <v>495220</v>
      </c>
      <c r="B204">
        <v>495780</v>
      </c>
      <c r="C204">
        <v>496190</v>
      </c>
      <c r="D204">
        <v>495340</v>
      </c>
      <c r="E204">
        <v>496520</v>
      </c>
      <c r="F204">
        <v>495550</v>
      </c>
      <c r="G204">
        <v>496970</v>
      </c>
      <c r="H204">
        <v>495020</v>
      </c>
      <c r="I204">
        <v>497150</v>
      </c>
      <c r="J204">
        <v>495990</v>
      </c>
      <c r="K204">
        <v>496720</v>
      </c>
      <c r="L204">
        <v>496350</v>
      </c>
      <c r="O204">
        <v>8</v>
      </c>
      <c r="P204">
        <v>1</v>
      </c>
      <c r="Q204">
        <v>4</v>
      </c>
      <c r="R204">
        <v>6</v>
      </c>
      <c r="S204">
        <v>2</v>
      </c>
      <c r="T204" t="s">
        <v>45</v>
      </c>
      <c r="U204">
        <v>3</v>
      </c>
      <c r="V204" t="s">
        <v>47</v>
      </c>
      <c r="W204">
        <v>5</v>
      </c>
      <c r="X204" t="s">
        <v>46</v>
      </c>
      <c r="Y204">
        <v>7</v>
      </c>
      <c r="Z204">
        <v>9</v>
      </c>
    </row>
    <row r="205" spans="1:26">
      <c r="A205">
        <v>497540</v>
      </c>
      <c r="B205">
        <v>498530</v>
      </c>
      <c r="C205">
        <v>498890</v>
      </c>
      <c r="D205">
        <v>498150</v>
      </c>
      <c r="E205">
        <v>499260</v>
      </c>
      <c r="F205">
        <v>497980</v>
      </c>
      <c r="G205">
        <v>499700</v>
      </c>
      <c r="H205">
        <v>497740</v>
      </c>
      <c r="I205">
        <v>499440</v>
      </c>
      <c r="J205">
        <v>498330</v>
      </c>
      <c r="K205">
        <v>499070</v>
      </c>
      <c r="L205">
        <v>498700</v>
      </c>
      <c r="O205">
        <v>1</v>
      </c>
      <c r="P205">
        <v>8</v>
      </c>
      <c r="Q205">
        <v>6</v>
      </c>
      <c r="R205">
        <v>4</v>
      </c>
      <c r="S205" t="s">
        <v>45</v>
      </c>
      <c r="T205">
        <v>2</v>
      </c>
      <c r="U205" t="s">
        <v>47</v>
      </c>
      <c r="V205">
        <v>3</v>
      </c>
      <c r="W205" t="s">
        <v>46</v>
      </c>
      <c r="X205">
        <v>5</v>
      </c>
      <c r="Y205">
        <v>9</v>
      </c>
      <c r="Z205">
        <v>7</v>
      </c>
    </row>
    <row r="206" spans="1:26">
      <c r="A206">
        <v>500110</v>
      </c>
      <c r="B206">
        <v>501090</v>
      </c>
      <c r="C206">
        <v>501410</v>
      </c>
      <c r="D206">
        <v>500650</v>
      </c>
      <c r="E206">
        <v>501760</v>
      </c>
      <c r="F206">
        <v>500300</v>
      </c>
      <c r="G206">
        <v>502030</v>
      </c>
      <c r="H206">
        <v>499890</v>
      </c>
      <c r="I206">
        <v>501600</v>
      </c>
      <c r="J206">
        <v>500500</v>
      </c>
      <c r="K206">
        <v>501240</v>
      </c>
      <c r="L206">
        <v>500870</v>
      </c>
      <c r="O206">
        <v>8</v>
      </c>
      <c r="P206">
        <v>1</v>
      </c>
      <c r="Q206">
        <v>6</v>
      </c>
      <c r="R206" t="s">
        <v>45</v>
      </c>
      <c r="S206">
        <v>4</v>
      </c>
      <c r="T206" t="s">
        <v>47</v>
      </c>
      <c r="U206">
        <v>2</v>
      </c>
      <c r="V206" t="s">
        <v>46</v>
      </c>
      <c r="W206">
        <v>3</v>
      </c>
      <c r="X206">
        <v>9</v>
      </c>
      <c r="Y206">
        <v>5</v>
      </c>
      <c r="Z206">
        <v>7</v>
      </c>
    </row>
    <row r="207" spans="1:26">
      <c r="A207">
        <v>502460</v>
      </c>
      <c r="B207">
        <v>503780</v>
      </c>
      <c r="C207">
        <v>504150</v>
      </c>
      <c r="D207">
        <v>503400</v>
      </c>
      <c r="E207">
        <v>504560</v>
      </c>
      <c r="F207">
        <v>503010</v>
      </c>
      <c r="G207">
        <v>504360</v>
      </c>
      <c r="H207">
        <v>502590</v>
      </c>
      <c r="I207">
        <v>503940</v>
      </c>
      <c r="J207">
        <v>502840</v>
      </c>
      <c r="K207">
        <v>503580</v>
      </c>
      <c r="L207">
        <v>503220</v>
      </c>
      <c r="O207">
        <v>1</v>
      </c>
      <c r="P207">
        <v>8</v>
      </c>
      <c r="Q207" t="s">
        <v>45</v>
      </c>
      <c r="R207">
        <v>6</v>
      </c>
      <c r="S207" t="s">
        <v>47</v>
      </c>
      <c r="T207">
        <v>4</v>
      </c>
      <c r="U207" t="s">
        <v>46</v>
      </c>
      <c r="V207">
        <v>2</v>
      </c>
      <c r="W207">
        <v>9</v>
      </c>
      <c r="X207">
        <v>3</v>
      </c>
      <c r="Y207">
        <v>7</v>
      </c>
      <c r="Z207">
        <v>5</v>
      </c>
    </row>
    <row r="208" spans="1:26">
      <c r="A208">
        <v>504780</v>
      </c>
      <c r="B208">
        <v>505950</v>
      </c>
      <c r="C208">
        <v>506330</v>
      </c>
      <c r="D208">
        <v>505530</v>
      </c>
      <c r="E208">
        <v>506690</v>
      </c>
      <c r="F208">
        <v>505150</v>
      </c>
      <c r="G208">
        <v>506920</v>
      </c>
      <c r="H208">
        <v>504940</v>
      </c>
      <c r="I208">
        <v>506510</v>
      </c>
      <c r="J208">
        <v>505350</v>
      </c>
      <c r="K208">
        <v>506140</v>
      </c>
      <c r="L208">
        <v>505720</v>
      </c>
      <c r="O208">
        <v>1</v>
      </c>
      <c r="P208">
        <v>8</v>
      </c>
      <c r="Q208">
        <v>6</v>
      </c>
      <c r="R208" t="s">
        <v>45</v>
      </c>
      <c r="S208">
        <v>4</v>
      </c>
      <c r="T208" t="s">
        <v>47</v>
      </c>
      <c r="U208">
        <v>2</v>
      </c>
      <c r="V208" t="s">
        <v>46</v>
      </c>
      <c r="W208">
        <v>3</v>
      </c>
      <c r="X208">
        <v>9</v>
      </c>
      <c r="Y208">
        <v>5</v>
      </c>
      <c r="Z208">
        <v>7</v>
      </c>
    </row>
    <row r="209" spans="1:26">
      <c r="A209">
        <v>507540</v>
      </c>
      <c r="B209">
        <v>508670</v>
      </c>
      <c r="C209">
        <v>509050</v>
      </c>
      <c r="D209">
        <v>508320</v>
      </c>
      <c r="E209">
        <v>509480</v>
      </c>
      <c r="F209">
        <v>507920</v>
      </c>
      <c r="G209">
        <v>509220</v>
      </c>
      <c r="H209">
        <v>507320</v>
      </c>
      <c r="I209">
        <v>508840</v>
      </c>
      <c r="J209">
        <v>507710</v>
      </c>
      <c r="K209">
        <v>508470</v>
      </c>
      <c r="L209">
        <v>508100</v>
      </c>
      <c r="O209">
        <v>8</v>
      </c>
      <c r="P209">
        <v>1</v>
      </c>
      <c r="Q209" t="s">
        <v>45</v>
      </c>
      <c r="R209">
        <v>6</v>
      </c>
      <c r="S209" t="s">
        <v>47</v>
      </c>
      <c r="T209">
        <v>4</v>
      </c>
      <c r="U209" t="s">
        <v>46</v>
      </c>
      <c r="V209">
        <v>2</v>
      </c>
      <c r="W209">
        <v>9</v>
      </c>
      <c r="X209">
        <v>3</v>
      </c>
      <c r="Y209">
        <v>7</v>
      </c>
      <c r="Z209">
        <v>5</v>
      </c>
    </row>
    <row r="210" spans="1:26">
      <c r="A210">
        <v>509670</v>
      </c>
      <c r="B210">
        <v>511210</v>
      </c>
      <c r="C210">
        <v>511620</v>
      </c>
      <c r="D210">
        <v>510810</v>
      </c>
      <c r="E210">
        <v>511800</v>
      </c>
      <c r="F210">
        <v>510440</v>
      </c>
      <c r="G210">
        <v>511440</v>
      </c>
      <c r="H210">
        <v>509850</v>
      </c>
      <c r="I210">
        <v>511030</v>
      </c>
      <c r="J210">
        <v>509990</v>
      </c>
      <c r="K210">
        <v>510640</v>
      </c>
      <c r="L210">
        <v>510220</v>
      </c>
      <c r="O210">
        <v>1</v>
      </c>
      <c r="P210">
        <v>8</v>
      </c>
      <c r="Q210" t="s">
        <v>45</v>
      </c>
      <c r="R210" t="s">
        <v>47</v>
      </c>
      <c r="S210">
        <v>6</v>
      </c>
      <c r="T210" t="s">
        <v>46</v>
      </c>
      <c r="U210">
        <v>4</v>
      </c>
      <c r="V210">
        <v>9</v>
      </c>
      <c r="W210">
        <v>2</v>
      </c>
      <c r="X210">
        <v>7</v>
      </c>
      <c r="Y210">
        <v>3</v>
      </c>
      <c r="Z210">
        <v>5</v>
      </c>
    </row>
    <row r="211" spans="1:26">
      <c r="A211">
        <v>512480</v>
      </c>
      <c r="B211">
        <v>513940</v>
      </c>
      <c r="C211">
        <v>514330</v>
      </c>
      <c r="D211">
        <v>513570</v>
      </c>
      <c r="E211">
        <v>514130</v>
      </c>
      <c r="F211">
        <v>513170</v>
      </c>
      <c r="G211">
        <v>513750</v>
      </c>
      <c r="H211">
        <v>512210</v>
      </c>
      <c r="I211">
        <v>513360</v>
      </c>
      <c r="J211">
        <v>512800</v>
      </c>
      <c r="K211">
        <v>512990</v>
      </c>
      <c r="L211">
        <v>512560</v>
      </c>
      <c r="O211">
        <v>8</v>
      </c>
      <c r="P211">
        <v>1</v>
      </c>
      <c r="Q211" t="s">
        <v>47</v>
      </c>
      <c r="R211" t="s">
        <v>45</v>
      </c>
      <c r="S211" t="s">
        <v>46</v>
      </c>
      <c r="T211">
        <v>6</v>
      </c>
      <c r="U211">
        <v>9</v>
      </c>
      <c r="V211">
        <v>4</v>
      </c>
      <c r="W211">
        <v>7</v>
      </c>
      <c r="X211">
        <v>2</v>
      </c>
      <c r="Y211">
        <v>5</v>
      </c>
      <c r="Z211">
        <v>3</v>
      </c>
    </row>
    <row r="212" spans="1:26">
      <c r="A212">
        <v>514960</v>
      </c>
      <c r="B212">
        <v>516120</v>
      </c>
      <c r="C212">
        <v>516520</v>
      </c>
      <c r="D212">
        <v>515690</v>
      </c>
      <c r="E212">
        <v>516720</v>
      </c>
      <c r="F212">
        <v>515360</v>
      </c>
      <c r="G212">
        <v>516340</v>
      </c>
      <c r="H212">
        <v>514550</v>
      </c>
      <c r="I212">
        <v>515890</v>
      </c>
      <c r="J212">
        <v>515110</v>
      </c>
      <c r="K212">
        <v>515500</v>
      </c>
      <c r="L212">
        <v>514740</v>
      </c>
      <c r="O212">
        <v>8</v>
      </c>
      <c r="P212" t="s">
        <v>47</v>
      </c>
      <c r="Q212">
        <v>1</v>
      </c>
      <c r="R212" t="s">
        <v>45</v>
      </c>
      <c r="S212">
        <v>6</v>
      </c>
      <c r="T212" t="s">
        <v>46</v>
      </c>
      <c r="U212">
        <v>4</v>
      </c>
      <c r="V212">
        <v>9</v>
      </c>
      <c r="W212">
        <v>2</v>
      </c>
      <c r="X212">
        <v>7</v>
      </c>
      <c r="Y212">
        <v>3</v>
      </c>
      <c r="Z212">
        <v>5</v>
      </c>
    </row>
    <row r="213" spans="1:26">
      <c r="A213">
        <v>517660</v>
      </c>
      <c r="B213">
        <v>518850</v>
      </c>
      <c r="C213">
        <v>519230</v>
      </c>
      <c r="D213">
        <v>518410</v>
      </c>
      <c r="E213">
        <v>519030</v>
      </c>
      <c r="F213">
        <v>518070</v>
      </c>
      <c r="G213">
        <v>518620</v>
      </c>
      <c r="H213">
        <v>517270</v>
      </c>
      <c r="I213">
        <v>518260</v>
      </c>
      <c r="J213">
        <v>517410</v>
      </c>
      <c r="K213">
        <v>517860</v>
      </c>
      <c r="L213">
        <v>517070</v>
      </c>
      <c r="O213" t="s">
        <v>47</v>
      </c>
      <c r="P213">
        <v>8</v>
      </c>
      <c r="Q213" t="s">
        <v>45</v>
      </c>
      <c r="R213">
        <v>1</v>
      </c>
      <c r="S213" t="s">
        <v>46</v>
      </c>
      <c r="T213">
        <v>6</v>
      </c>
      <c r="U213">
        <v>9</v>
      </c>
      <c r="V213">
        <v>4</v>
      </c>
      <c r="W213">
        <v>7</v>
      </c>
      <c r="X213">
        <v>2</v>
      </c>
      <c r="Y213">
        <v>5</v>
      </c>
      <c r="Z213">
        <v>3</v>
      </c>
    </row>
    <row r="214" spans="1:26">
      <c r="A214">
        <v>519780</v>
      </c>
      <c r="B214">
        <v>521370</v>
      </c>
      <c r="C214">
        <v>521530</v>
      </c>
      <c r="D214">
        <v>520940</v>
      </c>
      <c r="E214">
        <v>521140</v>
      </c>
      <c r="F214">
        <v>520570</v>
      </c>
      <c r="G214">
        <v>520800</v>
      </c>
      <c r="H214">
        <v>519560</v>
      </c>
      <c r="I214">
        <v>520400</v>
      </c>
      <c r="J214">
        <v>519940</v>
      </c>
      <c r="K214">
        <v>520200</v>
      </c>
      <c r="L214">
        <v>519400</v>
      </c>
      <c r="O214" t="s">
        <v>47</v>
      </c>
      <c r="P214">
        <v>8</v>
      </c>
      <c r="Q214">
        <v>1</v>
      </c>
      <c r="R214" t="s">
        <v>45</v>
      </c>
      <c r="S214" t="s">
        <v>46</v>
      </c>
      <c r="T214">
        <v>9</v>
      </c>
      <c r="U214">
        <v>6</v>
      </c>
      <c r="V214">
        <v>7</v>
      </c>
      <c r="W214">
        <v>4</v>
      </c>
      <c r="X214">
        <v>5</v>
      </c>
      <c r="Y214">
        <v>2</v>
      </c>
      <c r="Z214">
        <v>3</v>
      </c>
    </row>
    <row r="215" spans="1:26">
      <c r="A215">
        <v>522540</v>
      </c>
      <c r="B215">
        <v>524040</v>
      </c>
      <c r="C215">
        <v>523840</v>
      </c>
      <c r="D215">
        <v>523670</v>
      </c>
      <c r="E215">
        <v>523480</v>
      </c>
      <c r="F215">
        <v>523270</v>
      </c>
      <c r="G215">
        <v>523110</v>
      </c>
      <c r="H215">
        <v>521920</v>
      </c>
      <c r="I215">
        <v>522700</v>
      </c>
      <c r="J215">
        <v>522290</v>
      </c>
      <c r="K215">
        <v>522930</v>
      </c>
      <c r="L215">
        <v>522110</v>
      </c>
      <c r="O215">
        <v>8</v>
      </c>
      <c r="P215" t="s">
        <v>47</v>
      </c>
      <c r="Q215" t="s">
        <v>45</v>
      </c>
      <c r="R215">
        <v>1</v>
      </c>
      <c r="S215">
        <v>9</v>
      </c>
      <c r="T215" t="s">
        <v>46</v>
      </c>
      <c r="U215">
        <v>7</v>
      </c>
      <c r="V215">
        <v>6</v>
      </c>
      <c r="W215">
        <v>5</v>
      </c>
      <c r="X215">
        <v>4</v>
      </c>
      <c r="Y215">
        <v>3</v>
      </c>
      <c r="Z215">
        <v>2</v>
      </c>
    </row>
    <row r="216" spans="1:26">
      <c r="A216">
        <v>525040</v>
      </c>
      <c r="B216">
        <v>526210</v>
      </c>
      <c r="C216">
        <v>526390</v>
      </c>
      <c r="D216">
        <v>525790</v>
      </c>
      <c r="E216">
        <v>526020</v>
      </c>
      <c r="F216">
        <v>525400</v>
      </c>
      <c r="G216">
        <v>525640</v>
      </c>
      <c r="H216">
        <v>524480</v>
      </c>
      <c r="I216">
        <v>524850</v>
      </c>
      <c r="J216">
        <v>524640</v>
      </c>
      <c r="K216">
        <v>525220</v>
      </c>
      <c r="L216">
        <v>524230</v>
      </c>
      <c r="O216" t="s">
        <v>47</v>
      </c>
      <c r="P216">
        <v>8</v>
      </c>
      <c r="Q216" t="s">
        <v>45</v>
      </c>
      <c r="R216">
        <v>9</v>
      </c>
      <c r="S216">
        <v>1</v>
      </c>
      <c r="T216" t="s">
        <v>46</v>
      </c>
      <c r="U216">
        <v>6</v>
      </c>
      <c r="V216">
        <v>7</v>
      </c>
      <c r="W216">
        <v>4</v>
      </c>
      <c r="X216">
        <v>5</v>
      </c>
      <c r="Y216">
        <v>2</v>
      </c>
      <c r="Z216">
        <v>3</v>
      </c>
    </row>
    <row r="217" spans="1:26">
      <c r="A217">
        <v>527820</v>
      </c>
      <c r="B217">
        <v>528940</v>
      </c>
      <c r="C217">
        <v>528730</v>
      </c>
      <c r="D217">
        <v>528530</v>
      </c>
      <c r="E217">
        <v>528340</v>
      </c>
      <c r="F217">
        <v>528140</v>
      </c>
      <c r="G217">
        <v>527960</v>
      </c>
      <c r="H217">
        <v>526770</v>
      </c>
      <c r="I217">
        <v>527200</v>
      </c>
      <c r="J217">
        <v>527400</v>
      </c>
      <c r="K217">
        <v>527580</v>
      </c>
      <c r="L217">
        <v>526960</v>
      </c>
      <c r="O217">
        <v>8</v>
      </c>
      <c r="P217" t="s">
        <v>47</v>
      </c>
      <c r="Q217">
        <v>9</v>
      </c>
      <c r="R217" t="s">
        <v>45</v>
      </c>
      <c r="S217" t="s">
        <v>46</v>
      </c>
      <c r="T217">
        <v>1</v>
      </c>
      <c r="U217">
        <v>7</v>
      </c>
      <c r="V217">
        <v>6</v>
      </c>
      <c r="W217">
        <v>5</v>
      </c>
      <c r="X217">
        <v>4</v>
      </c>
      <c r="Y217">
        <v>3</v>
      </c>
      <c r="Z217">
        <v>2</v>
      </c>
    </row>
    <row r="218" spans="1:26">
      <c r="A218">
        <v>529910</v>
      </c>
      <c r="B218">
        <v>531300</v>
      </c>
      <c r="C218">
        <v>530870</v>
      </c>
      <c r="D218">
        <v>531080</v>
      </c>
      <c r="E218">
        <v>530470</v>
      </c>
      <c r="F218">
        <v>530690</v>
      </c>
      <c r="G218">
        <v>530300</v>
      </c>
      <c r="H218">
        <v>529080</v>
      </c>
      <c r="I218">
        <v>529270</v>
      </c>
      <c r="J218">
        <v>529740</v>
      </c>
      <c r="K218">
        <v>530090</v>
      </c>
      <c r="L218">
        <v>529510</v>
      </c>
      <c r="O218">
        <v>8</v>
      </c>
      <c r="P218">
        <v>9</v>
      </c>
      <c r="Q218" t="s">
        <v>47</v>
      </c>
      <c r="R218" t="s">
        <v>45</v>
      </c>
      <c r="S218">
        <v>1</v>
      </c>
      <c r="T218" t="s">
        <v>46</v>
      </c>
      <c r="U218">
        <v>7</v>
      </c>
      <c r="V218">
        <v>5</v>
      </c>
      <c r="W218">
        <v>6</v>
      </c>
      <c r="X218">
        <v>3</v>
      </c>
      <c r="Y218">
        <v>4</v>
      </c>
      <c r="Z218">
        <v>2</v>
      </c>
    </row>
    <row r="219" spans="1:26">
      <c r="A219">
        <v>532640</v>
      </c>
      <c r="B219">
        <v>533590</v>
      </c>
      <c r="C219">
        <v>533220</v>
      </c>
      <c r="D219">
        <v>533780</v>
      </c>
      <c r="E219">
        <v>532810</v>
      </c>
      <c r="F219">
        <v>533440</v>
      </c>
      <c r="G219">
        <v>533000</v>
      </c>
      <c r="H219">
        <v>531820</v>
      </c>
      <c r="I219">
        <v>531600</v>
      </c>
      <c r="J219">
        <v>532020</v>
      </c>
      <c r="K219">
        <v>532420</v>
      </c>
      <c r="L219">
        <v>532240</v>
      </c>
      <c r="O219">
        <v>9</v>
      </c>
      <c r="P219">
        <v>8</v>
      </c>
      <c r="Q219" t="s">
        <v>45</v>
      </c>
      <c r="R219" t="s">
        <v>47</v>
      </c>
      <c r="S219" t="s">
        <v>46</v>
      </c>
      <c r="T219">
        <v>1</v>
      </c>
      <c r="U219">
        <v>5</v>
      </c>
      <c r="V219">
        <v>7</v>
      </c>
      <c r="W219">
        <v>3</v>
      </c>
      <c r="X219">
        <v>6</v>
      </c>
      <c r="Y219">
        <v>2</v>
      </c>
      <c r="Z219">
        <v>4</v>
      </c>
    </row>
    <row r="220" spans="1:26">
      <c r="A220">
        <v>535130</v>
      </c>
      <c r="B220">
        <v>536110</v>
      </c>
      <c r="C220">
        <v>535760</v>
      </c>
      <c r="D220">
        <v>535930</v>
      </c>
      <c r="E220">
        <v>534910</v>
      </c>
      <c r="F220">
        <v>535550</v>
      </c>
      <c r="G220">
        <v>535360</v>
      </c>
      <c r="H220">
        <v>533980</v>
      </c>
      <c r="I220">
        <v>534150</v>
      </c>
      <c r="J220">
        <v>534550</v>
      </c>
      <c r="K220">
        <v>534750</v>
      </c>
      <c r="L220">
        <v>534350</v>
      </c>
      <c r="O220">
        <v>8</v>
      </c>
      <c r="P220">
        <v>9</v>
      </c>
      <c r="Q220" t="s">
        <v>47</v>
      </c>
      <c r="R220" t="s">
        <v>45</v>
      </c>
      <c r="S220" t="s">
        <v>46</v>
      </c>
      <c r="T220">
        <v>5</v>
      </c>
      <c r="U220">
        <v>1</v>
      </c>
      <c r="V220">
        <v>7</v>
      </c>
      <c r="W220">
        <v>6</v>
      </c>
      <c r="X220">
        <v>3</v>
      </c>
      <c r="Y220">
        <v>4</v>
      </c>
      <c r="Z220">
        <v>2</v>
      </c>
    </row>
    <row r="221" spans="1:26">
      <c r="A221">
        <v>537860</v>
      </c>
      <c r="B221">
        <v>538440</v>
      </c>
      <c r="C221">
        <v>538050</v>
      </c>
      <c r="D221">
        <v>538630</v>
      </c>
      <c r="E221">
        <v>537300</v>
      </c>
      <c r="F221">
        <v>538270</v>
      </c>
      <c r="G221">
        <v>537630</v>
      </c>
      <c r="H221">
        <v>536710</v>
      </c>
      <c r="I221">
        <v>536500</v>
      </c>
      <c r="J221">
        <v>536920</v>
      </c>
      <c r="K221">
        <v>537470</v>
      </c>
      <c r="L221">
        <v>537100</v>
      </c>
      <c r="O221">
        <v>9</v>
      </c>
      <c r="P221">
        <v>8</v>
      </c>
      <c r="Q221" t="s">
        <v>45</v>
      </c>
      <c r="R221" t="s">
        <v>47</v>
      </c>
      <c r="S221">
        <v>5</v>
      </c>
      <c r="T221" t="s">
        <v>46</v>
      </c>
      <c r="U221">
        <v>7</v>
      </c>
      <c r="V221">
        <v>1</v>
      </c>
      <c r="W221">
        <v>3</v>
      </c>
      <c r="X221">
        <v>6</v>
      </c>
      <c r="Y221">
        <v>2</v>
      </c>
      <c r="Z221">
        <v>4</v>
      </c>
    </row>
    <row r="222" spans="1:26">
      <c r="A222">
        <v>540010</v>
      </c>
      <c r="B222">
        <v>540600</v>
      </c>
      <c r="C222">
        <v>540380</v>
      </c>
      <c r="D222">
        <v>540970</v>
      </c>
      <c r="E222">
        <v>539450</v>
      </c>
      <c r="F222">
        <v>540810</v>
      </c>
      <c r="G222">
        <v>540260</v>
      </c>
      <c r="H222">
        <v>539220</v>
      </c>
      <c r="I222">
        <v>538840</v>
      </c>
      <c r="J222">
        <v>539050</v>
      </c>
      <c r="K222">
        <v>539780</v>
      </c>
      <c r="L222">
        <v>539570</v>
      </c>
      <c r="O222">
        <v>9</v>
      </c>
      <c r="P222" t="s">
        <v>45</v>
      </c>
      <c r="Q222">
        <v>8</v>
      </c>
      <c r="R222">
        <v>5</v>
      </c>
      <c r="S222" t="s">
        <v>47</v>
      </c>
      <c r="T222" t="s">
        <v>46</v>
      </c>
      <c r="U222">
        <v>1</v>
      </c>
      <c r="V222">
        <v>7</v>
      </c>
      <c r="W222">
        <v>3</v>
      </c>
      <c r="X222">
        <v>2</v>
      </c>
      <c r="Y222">
        <v>6</v>
      </c>
      <c r="Z222">
        <v>4</v>
      </c>
    </row>
    <row r="223" spans="1:26">
      <c r="A223">
        <v>542750</v>
      </c>
      <c r="B223">
        <v>542950</v>
      </c>
      <c r="C223">
        <v>543100</v>
      </c>
      <c r="D223">
        <v>543310</v>
      </c>
      <c r="E223">
        <v>541750</v>
      </c>
      <c r="F223">
        <v>543520</v>
      </c>
      <c r="G223">
        <v>542560</v>
      </c>
      <c r="H223">
        <v>541960</v>
      </c>
      <c r="I223">
        <v>541530</v>
      </c>
      <c r="J223">
        <v>541350</v>
      </c>
      <c r="K223">
        <v>542120</v>
      </c>
      <c r="L223">
        <v>542360</v>
      </c>
      <c r="O223" t="s">
        <v>45</v>
      </c>
      <c r="P223">
        <v>9</v>
      </c>
      <c r="Q223">
        <v>5</v>
      </c>
      <c r="R223">
        <v>8</v>
      </c>
      <c r="S223" t="s">
        <v>46</v>
      </c>
      <c r="T223" t="s">
        <v>47</v>
      </c>
      <c r="U223">
        <v>7</v>
      </c>
      <c r="V223">
        <v>1</v>
      </c>
      <c r="W223">
        <v>2</v>
      </c>
      <c r="X223">
        <v>3</v>
      </c>
      <c r="Y223">
        <v>4</v>
      </c>
      <c r="Z223">
        <v>6</v>
      </c>
    </row>
    <row r="224" spans="1:26">
      <c r="A224">
        <v>545320</v>
      </c>
      <c r="B224">
        <v>545110</v>
      </c>
      <c r="C224">
        <v>545480</v>
      </c>
      <c r="D224">
        <v>545870</v>
      </c>
      <c r="E224">
        <v>544290</v>
      </c>
      <c r="F224">
        <v>545660</v>
      </c>
      <c r="G224">
        <v>544880</v>
      </c>
      <c r="H224">
        <v>544080</v>
      </c>
      <c r="I224">
        <v>543680</v>
      </c>
      <c r="J224">
        <v>543880</v>
      </c>
      <c r="K224">
        <v>544700</v>
      </c>
      <c r="L224">
        <v>544480</v>
      </c>
      <c r="O224">
        <v>9</v>
      </c>
      <c r="P224" t="s">
        <v>45</v>
      </c>
      <c r="Q224">
        <v>8</v>
      </c>
      <c r="R224">
        <v>5</v>
      </c>
      <c r="S224" t="s">
        <v>47</v>
      </c>
      <c r="T224" t="s">
        <v>46</v>
      </c>
      <c r="U224">
        <v>7</v>
      </c>
      <c r="V224">
        <v>2</v>
      </c>
      <c r="W224">
        <v>1</v>
      </c>
      <c r="X224">
        <v>3</v>
      </c>
      <c r="Y224">
        <v>6</v>
      </c>
      <c r="Z224">
        <v>4</v>
      </c>
    </row>
    <row r="225" spans="1:26">
      <c r="A225">
        <v>548050</v>
      </c>
      <c r="B225">
        <v>547450</v>
      </c>
      <c r="C225">
        <v>547810</v>
      </c>
      <c r="D225">
        <v>548190</v>
      </c>
      <c r="E225">
        <v>546640</v>
      </c>
      <c r="F225">
        <v>548400</v>
      </c>
      <c r="G225">
        <v>547610</v>
      </c>
      <c r="H225">
        <v>546810</v>
      </c>
      <c r="I225">
        <v>546410</v>
      </c>
      <c r="J225">
        <v>546210</v>
      </c>
      <c r="K225">
        <v>546990</v>
      </c>
      <c r="L225">
        <v>547250</v>
      </c>
      <c r="O225" t="s">
        <v>45</v>
      </c>
      <c r="P225">
        <v>9</v>
      </c>
      <c r="Q225">
        <v>5</v>
      </c>
      <c r="R225">
        <v>8</v>
      </c>
      <c r="S225" t="s">
        <v>46</v>
      </c>
      <c r="T225" t="s">
        <v>47</v>
      </c>
      <c r="U225">
        <v>2</v>
      </c>
      <c r="V225">
        <v>7</v>
      </c>
      <c r="W225">
        <v>3</v>
      </c>
      <c r="X225">
        <v>1</v>
      </c>
      <c r="Y225">
        <v>4</v>
      </c>
      <c r="Z225">
        <v>6</v>
      </c>
    </row>
    <row r="226" spans="1:26">
      <c r="A226">
        <v>550170</v>
      </c>
      <c r="B226">
        <v>549550</v>
      </c>
      <c r="C226">
        <v>550360</v>
      </c>
      <c r="D226">
        <v>550710</v>
      </c>
      <c r="E226">
        <v>548800</v>
      </c>
      <c r="F226">
        <v>550530</v>
      </c>
      <c r="G226">
        <v>549950</v>
      </c>
      <c r="H226">
        <v>549360</v>
      </c>
      <c r="I226">
        <v>548970</v>
      </c>
      <c r="J226">
        <v>548590</v>
      </c>
      <c r="K226">
        <v>549150</v>
      </c>
      <c r="L226">
        <v>549760</v>
      </c>
      <c r="O226" t="s">
        <v>45</v>
      </c>
      <c r="P226">
        <v>5</v>
      </c>
      <c r="Q226">
        <v>9</v>
      </c>
      <c r="R226" t="s">
        <v>46</v>
      </c>
      <c r="S226">
        <v>8</v>
      </c>
      <c r="T226">
        <v>2</v>
      </c>
      <c r="U226" t="s">
        <v>47</v>
      </c>
      <c r="V226">
        <v>7</v>
      </c>
      <c r="W226">
        <v>1</v>
      </c>
      <c r="X226">
        <v>3</v>
      </c>
      <c r="Y226">
        <v>6</v>
      </c>
      <c r="Z226">
        <v>4</v>
      </c>
    </row>
    <row r="227" spans="1:26">
      <c r="A227">
        <v>552900</v>
      </c>
      <c r="B227">
        <v>551900</v>
      </c>
      <c r="C227">
        <v>552660</v>
      </c>
      <c r="D227">
        <v>553090</v>
      </c>
      <c r="E227">
        <v>551100</v>
      </c>
      <c r="F227">
        <v>553260</v>
      </c>
      <c r="G227">
        <v>552310</v>
      </c>
      <c r="H227">
        <v>552090</v>
      </c>
      <c r="I227">
        <v>551720</v>
      </c>
      <c r="J227">
        <v>551330</v>
      </c>
      <c r="K227">
        <v>551530</v>
      </c>
      <c r="L227">
        <v>552540</v>
      </c>
      <c r="O227">
        <v>5</v>
      </c>
      <c r="P227" t="s">
        <v>45</v>
      </c>
      <c r="Q227" t="s">
        <v>46</v>
      </c>
      <c r="R227">
        <v>9</v>
      </c>
      <c r="S227">
        <v>2</v>
      </c>
      <c r="T227">
        <v>8</v>
      </c>
      <c r="U227">
        <v>7</v>
      </c>
      <c r="V227" t="s">
        <v>47</v>
      </c>
      <c r="W227">
        <v>3</v>
      </c>
      <c r="X227">
        <v>1</v>
      </c>
      <c r="Y227">
        <v>4</v>
      </c>
      <c r="Z227">
        <v>6</v>
      </c>
    </row>
    <row r="228" spans="1:26">
      <c r="A228">
        <v>555430</v>
      </c>
      <c r="B228">
        <v>554460</v>
      </c>
      <c r="C228">
        <v>555040</v>
      </c>
      <c r="D228">
        <v>555220</v>
      </c>
      <c r="E228">
        <v>553680</v>
      </c>
      <c r="F228">
        <v>555640</v>
      </c>
      <c r="G228">
        <v>554860</v>
      </c>
      <c r="H228">
        <v>554240</v>
      </c>
      <c r="I228">
        <v>553830</v>
      </c>
      <c r="J228">
        <v>553450</v>
      </c>
      <c r="K228">
        <v>554030</v>
      </c>
      <c r="L228">
        <v>554650</v>
      </c>
      <c r="O228" t="s">
        <v>45</v>
      </c>
      <c r="P228">
        <v>5</v>
      </c>
      <c r="Q228">
        <v>9</v>
      </c>
      <c r="R228" t="s">
        <v>46</v>
      </c>
      <c r="S228">
        <v>8</v>
      </c>
      <c r="T228">
        <v>2</v>
      </c>
      <c r="U228" t="s">
        <v>47</v>
      </c>
      <c r="V228">
        <v>7</v>
      </c>
      <c r="W228">
        <v>3</v>
      </c>
      <c r="X228">
        <v>4</v>
      </c>
      <c r="Y228">
        <v>1</v>
      </c>
      <c r="Z228">
        <v>6</v>
      </c>
    </row>
    <row r="229" spans="1:26">
      <c r="A229">
        <v>558190</v>
      </c>
      <c r="B229">
        <v>556780</v>
      </c>
      <c r="C229">
        <v>557790</v>
      </c>
      <c r="D229">
        <v>557600</v>
      </c>
      <c r="E229">
        <v>555980</v>
      </c>
      <c r="F229">
        <v>557960</v>
      </c>
      <c r="G229">
        <v>557190</v>
      </c>
      <c r="H229">
        <v>556970</v>
      </c>
      <c r="I229">
        <v>556590</v>
      </c>
      <c r="J229">
        <v>556190</v>
      </c>
      <c r="K229">
        <v>556400</v>
      </c>
      <c r="L229">
        <v>557420</v>
      </c>
      <c r="O229">
        <v>5</v>
      </c>
      <c r="P229" t="s">
        <v>45</v>
      </c>
      <c r="Q229" t="s">
        <v>46</v>
      </c>
      <c r="R229">
        <v>9</v>
      </c>
      <c r="S229">
        <v>2</v>
      </c>
      <c r="T229">
        <v>8</v>
      </c>
      <c r="U229">
        <v>7</v>
      </c>
      <c r="V229" t="s">
        <v>47</v>
      </c>
      <c r="W229">
        <v>4</v>
      </c>
      <c r="X229">
        <v>3</v>
      </c>
      <c r="Y229">
        <v>6</v>
      </c>
      <c r="Z229">
        <v>1</v>
      </c>
    </row>
    <row r="230" spans="1:26">
      <c r="A230">
        <v>560360</v>
      </c>
      <c r="B230">
        <v>558970</v>
      </c>
      <c r="C230">
        <v>560150</v>
      </c>
      <c r="D230">
        <v>559730</v>
      </c>
      <c r="E230">
        <v>558360</v>
      </c>
      <c r="F230">
        <v>560570</v>
      </c>
      <c r="G230">
        <v>559340</v>
      </c>
      <c r="H230">
        <v>559530</v>
      </c>
      <c r="I230">
        <v>559140</v>
      </c>
      <c r="J230">
        <v>558720</v>
      </c>
      <c r="K230">
        <v>558530</v>
      </c>
      <c r="L230">
        <v>559940</v>
      </c>
      <c r="O230">
        <v>5</v>
      </c>
      <c r="P230" t="s">
        <v>46</v>
      </c>
      <c r="Q230" t="s">
        <v>45</v>
      </c>
      <c r="R230">
        <v>2</v>
      </c>
      <c r="S230">
        <v>9</v>
      </c>
      <c r="T230">
        <v>7</v>
      </c>
      <c r="U230">
        <v>8</v>
      </c>
      <c r="V230">
        <v>4</v>
      </c>
      <c r="W230" t="s">
        <v>47</v>
      </c>
      <c r="X230">
        <v>3</v>
      </c>
      <c r="Y230">
        <v>1</v>
      </c>
      <c r="Z230">
        <v>6</v>
      </c>
    </row>
    <row r="231" spans="1:26">
      <c r="A231">
        <v>563090</v>
      </c>
      <c r="B231">
        <v>561310</v>
      </c>
      <c r="C231">
        <v>562470</v>
      </c>
      <c r="D231">
        <v>562010</v>
      </c>
      <c r="E231">
        <v>561130</v>
      </c>
      <c r="F231">
        <v>562860</v>
      </c>
      <c r="G231">
        <v>561680</v>
      </c>
      <c r="H231">
        <v>562240</v>
      </c>
      <c r="I231">
        <v>561890</v>
      </c>
      <c r="J231">
        <v>561490</v>
      </c>
      <c r="K231">
        <v>560880</v>
      </c>
      <c r="L231">
        <v>562680</v>
      </c>
      <c r="O231" t="s">
        <v>46</v>
      </c>
      <c r="P231">
        <v>5</v>
      </c>
      <c r="Q231">
        <v>2</v>
      </c>
      <c r="R231" t="s">
        <v>45</v>
      </c>
      <c r="S231">
        <v>7</v>
      </c>
      <c r="T231">
        <v>9</v>
      </c>
      <c r="U231">
        <v>4</v>
      </c>
      <c r="V231">
        <v>8</v>
      </c>
      <c r="W231">
        <v>3</v>
      </c>
      <c r="X231" t="s">
        <v>47</v>
      </c>
      <c r="Y231">
        <v>6</v>
      </c>
      <c r="Z231">
        <v>1</v>
      </c>
    </row>
    <row r="232" spans="1:26">
      <c r="A232">
        <v>565450</v>
      </c>
      <c r="B232">
        <v>563870</v>
      </c>
      <c r="C232">
        <v>565040</v>
      </c>
      <c r="D232">
        <v>564620</v>
      </c>
      <c r="E232">
        <v>563290</v>
      </c>
      <c r="F232">
        <v>565240</v>
      </c>
      <c r="G232">
        <v>564250</v>
      </c>
      <c r="H232">
        <v>564430</v>
      </c>
      <c r="I232">
        <v>564040</v>
      </c>
      <c r="J232">
        <v>563650</v>
      </c>
      <c r="K232">
        <v>563460</v>
      </c>
      <c r="L232">
        <v>564820</v>
      </c>
      <c r="O232">
        <v>5</v>
      </c>
      <c r="P232" t="s">
        <v>46</v>
      </c>
      <c r="Q232" t="s">
        <v>45</v>
      </c>
      <c r="R232">
        <v>2</v>
      </c>
      <c r="S232">
        <v>9</v>
      </c>
      <c r="T232">
        <v>7</v>
      </c>
      <c r="U232">
        <v>8</v>
      </c>
      <c r="V232">
        <v>4</v>
      </c>
      <c r="W232" t="s">
        <v>47</v>
      </c>
      <c r="X232">
        <v>3</v>
      </c>
      <c r="Y232">
        <v>6</v>
      </c>
      <c r="Z232">
        <v>1</v>
      </c>
    </row>
    <row r="233" spans="1:26">
      <c r="A233">
        <v>567750</v>
      </c>
      <c r="B233">
        <v>566170</v>
      </c>
      <c r="C233">
        <v>567380</v>
      </c>
      <c r="D233">
        <v>566950</v>
      </c>
      <c r="E233">
        <v>565950</v>
      </c>
      <c r="F233">
        <v>567950</v>
      </c>
      <c r="G233">
        <v>566630</v>
      </c>
      <c r="H233">
        <v>567150</v>
      </c>
      <c r="I233">
        <v>566810</v>
      </c>
      <c r="J233">
        <v>566400</v>
      </c>
      <c r="K233">
        <v>565730</v>
      </c>
      <c r="L233">
        <v>567630</v>
      </c>
      <c r="O233" t="s">
        <v>46</v>
      </c>
      <c r="P233">
        <v>5</v>
      </c>
      <c r="Q233">
        <v>2</v>
      </c>
      <c r="R233" t="s">
        <v>45</v>
      </c>
      <c r="S233">
        <v>7</v>
      </c>
      <c r="T233">
        <v>9</v>
      </c>
      <c r="U233">
        <v>4</v>
      </c>
      <c r="V233">
        <v>8</v>
      </c>
      <c r="W233">
        <v>3</v>
      </c>
      <c r="X233" t="s">
        <v>47</v>
      </c>
      <c r="Y233">
        <v>1</v>
      </c>
      <c r="Z233">
        <v>6</v>
      </c>
    </row>
    <row r="234" spans="1:26">
      <c r="A234">
        <v>570340</v>
      </c>
      <c r="B234">
        <v>568340</v>
      </c>
      <c r="C234">
        <v>569510</v>
      </c>
      <c r="D234">
        <v>569110</v>
      </c>
      <c r="E234">
        <v>568500</v>
      </c>
      <c r="F234">
        <v>570150</v>
      </c>
      <c r="G234">
        <v>568760</v>
      </c>
      <c r="H234">
        <v>569720</v>
      </c>
      <c r="I234">
        <v>569340</v>
      </c>
      <c r="J234">
        <v>568930</v>
      </c>
      <c r="K234">
        <v>568130</v>
      </c>
      <c r="L234">
        <v>569950</v>
      </c>
      <c r="O234" t="s">
        <v>46</v>
      </c>
      <c r="P234">
        <v>2</v>
      </c>
      <c r="Q234">
        <v>5</v>
      </c>
      <c r="R234">
        <v>7</v>
      </c>
      <c r="S234" t="s">
        <v>45</v>
      </c>
      <c r="T234">
        <v>4</v>
      </c>
      <c r="U234">
        <v>9</v>
      </c>
      <c r="V234">
        <v>3</v>
      </c>
      <c r="W234">
        <v>8</v>
      </c>
      <c r="X234" t="s">
        <v>47</v>
      </c>
      <c r="Y234">
        <v>6</v>
      </c>
      <c r="Z234">
        <v>1</v>
      </c>
    </row>
    <row r="235" spans="1:26">
      <c r="A235">
        <v>572650</v>
      </c>
      <c r="B235">
        <v>570710</v>
      </c>
      <c r="C235">
        <v>571880</v>
      </c>
      <c r="D235">
        <v>571480</v>
      </c>
      <c r="E235">
        <v>571300</v>
      </c>
      <c r="F235">
        <v>572850</v>
      </c>
      <c r="G235">
        <v>571070</v>
      </c>
      <c r="H235">
        <v>572450</v>
      </c>
      <c r="I235">
        <v>572040</v>
      </c>
      <c r="J235">
        <v>571690</v>
      </c>
      <c r="K235">
        <v>570910</v>
      </c>
      <c r="L235">
        <v>572270</v>
      </c>
      <c r="O235">
        <v>2</v>
      </c>
      <c r="P235" t="s">
        <v>46</v>
      </c>
      <c r="Q235">
        <v>7</v>
      </c>
      <c r="R235">
        <v>5</v>
      </c>
      <c r="S235">
        <v>4</v>
      </c>
      <c r="T235" t="s">
        <v>45</v>
      </c>
      <c r="U235">
        <v>3</v>
      </c>
      <c r="V235">
        <v>9</v>
      </c>
      <c r="W235" t="s">
        <v>47</v>
      </c>
      <c r="X235">
        <v>8</v>
      </c>
      <c r="Y235">
        <v>1</v>
      </c>
      <c r="Z235">
        <v>6</v>
      </c>
    </row>
    <row r="236" spans="1:26">
      <c r="A236">
        <v>574810</v>
      </c>
      <c r="B236">
        <v>573280</v>
      </c>
      <c r="C236">
        <v>574440</v>
      </c>
      <c r="D236">
        <v>574020</v>
      </c>
      <c r="E236">
        <v>573440</v>
      </c>
      <c r="F236">
        <v>575230</v>
      </c>
      <c r="G236">
        <v>573650</v>
      </c>
      <c r="H236">
        <v>575020</v>
      </c>
      <c r="I236">
        <v>574210</v>
      </c>
      <c r="J236">
        <v>573840</v>
      </c>
      <c r="K236">
        <v>573060</v>
      </c>
      <c r="L236">
        <v>574600</v>
      </c>
      <c r="O236" t="s">
        <v>46</v>
      </c>
      <c r="P236">
        <v>2</v>
      </c>
      <c r="Q236">
        <v>5</v>
      </c>
      <c r="R236">
        <v>7</v>
      </c>
      <c r="S236" t="s">
        <v>45</v>
      </c>
      <c r="T236">
        <v>4</v>
      </c>
      <c r="U236">
        <v>9</v>
      </c>
      <c r="V236">
        <v>3</v>
      </c>
      <c r="W236" t="s">
        <v>47</v>
      </c>
      <c r="X236">
        <v>1</v>
      </c>
      <c r="Y236">
        <v>8</v>
      </c>
      <c r="Z236">
        <v>6</v>
      </c>
    </row>
    <row r="237" spans="1:26">
      <c r="A237">
        <v>577190</v>
      </c>
      <c r="B237">
        <v>575620</v>
      </c>
      <c r="C237">
        <v>576790</v>
      </c>
      <c r="D237">
        <v>576420</v>
      </c>
      <c r="E237">
        <v>576200</v>
      </c>
      <c r="F237">
        <v>577520</v>
      </c>
      <c r="G237">
        <v>575990</v>
      </c>
      <c r="H237">
        <v>577700</v>
      </c>
      <c r="I237">
        <v>577020</v>
      </c>
      <c r="J237">
        <v>576600</v>
      </c>
      <c r="K237">
        <v>575790</v>
      </c>
      <c r="L237">
        <v>577390</v>
      </c>
      <c r="O237">
        <v>2</v>
      </c>
      <c r="P237" t="s">
        <v>46</v>
      </c>
      <c r="Q237">
        <v>7</v>
      </c>
      <c r="R237">
        <v>5</v>
      </c>
      <c r="S237">
        <v>4</v>
      </c>
      <c r="T237" t="s">
        <v>45</v>
      </c>
      <c r="U237">
        <v>3</v>
      </c>
      <c r="V237">
        <v>9</v>
      </c>
      <c r="W237">
        <v>1</v>
      </c>
      <c r="X237" t="s">
        <v>47</v>
      </c>
      <c r="Y237">
        <v>6</v>
      </c>
      <c r="Z237">
        <v>8</v>
      </c>
    </row>
    <row r="238" spans="1:26">
      <c r="A238">
        <v>579780</v>
      </c>
      <c r="B238">
        <v>577960</v>
      </c>
      <c r="C238">
        <v>578900</v>
      </c>
      <c r="D238">
        <v>578530</v>
      </c>
      <c r="E238">
        <v>578760</v>
      </c>
      <c r="F238">
        <v>580130</v>
      </c>
      <c r="G238">
        <v>578210</v>
      </c>
      <c r="H238">
        <v>579950</v>
      </c>
      <c r="I238">
        <v>579330</v>
      </c>
      <c r="J238">
        <v>579090</v>
      </c>
      <c r="K238">
        <v>578350</v>
      </c>
      <c r="L238">
        <v>579560</v>
      </c>
      <c r="O238">
        <v>2</v>
      </c>
      <c r="P238">
        <v>7</v>
      </c>
      <c r="Q238" t="s">
        <v>46</v>
      </c>
      <c r="R238">
        <v>4</v>
      </c>
      <c r="S238">
        <v>5</v>
      </c>
      <c r="T238">
        <v>3</v>
      </c>
      <c r="U238" t="s">
        <v>45</v>
      </c>
      <c r="V238">
        <v>9</v>
      </c>
      <c r="W238" t="s">
        <v>47</v>
      </c>
      <c r="X238">
        <v>1</v>
      </c>
      <c r="Y238">
        <v>8</v>
      </c>
      <c r="Z238">
        <v>6</v>
      </c>
    </row>
    <row r="239" spans="1:26">
      <c r="A239">
        <v>582050</v>
      </c>
      <c r="B239">
        <v>580680</v>
      </c>
      <c r="C239">
        <v>581250</v>
      </c>
      <c r="D239">
        <v>580890</v>
      </c>
      <c r="E239">
        <v>581490</v>
      </c>
      <c r="F239">
        <v>582460</v>
      </c>
      <c r="G239">
        <v>580530</v>
      </c>
      <c r="H239">
        <v>582660</v>
      </c>
      <c r="I239">
        <v>581640</v>
      </c>
      <c r="J239">
        <v>581840</v>
      </c>
      <c r="K239">
        <v>581030</v>
      </c>
      <c r="L239">
        <v>582270</v>
      </c>
      <c r="O239">
        <v>7</v>
      </c>
      <c r="P239">
        <v>2</v>
      </c>
      <c r="Q239">
        <v>4</v>
      </c>
      <c r="R239" t="s">
        <v>46</v>
      </c>
      <c r="S239">
        <v>3</v>
      </c>
      <c r="T239">
        <v>5</v>
      </c>
      <c r="U239">
        <v>9</v>
      </c>
      <c r="V239" t="s">
        <v>45</v>
      </c>
      <c r="W239">
        <v>1</v>
      </c>
      <c r="X239" t="s">
        <v>47</v>
      </c>
      <c r="Y239">
        <v>6</v>
      </c>
      <c r="Z239">
        <v>8</v>
      </c>
    </row>
    <row r="240" spans="1:26">
      <c r="A240">
        <v>584190</v>
      </c>
      <c r="B240">
        <v>582860</v>
      </c>
      <c r="C240">
        <v>583790</v>
      </c>
      <c r="D240">
        <v>583390</v>
      </c>
      <c r="E240">
        <v>583600</v>
      </c>
      <c r="F240">
        <v>585030</v>
      </c>
      <c r="G240">
        <v>583070</v>
      </c>
      <c r="H240">
        <v>584800</v>
      </c>
      <c r="I240">
        <v>583990</v>
      </c>
      <c r="J240">
        <v>584370</v>
      </c>
      <c r="K240">
        <v>583230</v>
      </c>
      <c r="L240">
        <v>584570</v>
      </c>
      <c r="O240">
        <v>2</v>
      </c>
      <c r="P240">
        <v>7</v>
      </c>
      <c r="Q240" t="s">
        <v>46</v>
      </c>
      <c r="R240">
        <v>4</v>
      </c>
      <c r="S240">
        <v>5</v>
      </c>
      <c r="T240">
        <v>3</v>
      </c>
      <c r="U240">
        <v>9</v>
      </c>
      <c r="V240">
        <v>1</v>
      </c>
      <c r="W240" t="s">
        <v>45</v>
      </c>
      <c r="X240" t="s">
        <v>47</v>
      </c>
      <c r="Y240">
        <v>8</v>
      </c>
      <c r="Z240">
        <v>6</v>
      </c>
    </row>
    <row r="241" spans="1:26">
      <c r="A241">
        <v>586550</v>
      </c>
      <c r="B241">
        <v>585600</v>
      </c>
      <c r="C241">
        <v>586110</v>
      </c>
      <c r="D241">
        <v>585790</v>
      </c>
      <c r="E241">
        <v>586390</v>
      </c>
      <c r="F241">
        <v>587300</v>
      </c>
      <c r="G241">
        <v>585370</v>
      </c>
      <c r="H241">
        <v>587490</v>
      </c>
      <c r="I241">
        <v>586690</v>
      </c>
      <c r="J241">
        <v>587120</v>
      </c>
      <c r="K241">
        <v>585920</v>
      </c>
      <c r="L241">
        <v>586910</v>
      </c>
      <c r="O241">
        <v>7</v>
      </c>
      <c r="P241">
        <v>2</v>
      </c>
      <c r="Q241">
        <v>4</v>
      </c>
      <c r="R241" t="s">
        <v>46</v>
      </c>
      <c r="S241">
        <v>3</v>
      </c>
      <c r="T241">
        <v>5</v>
      </c>
      <c r="U241">
        <v>1</v>
      </c>
      <c r="V241">
        <v>9</v>
      </c>
      <c r="W241" t="s">
        <v>47</v>
      </c>
      <c r="X241" t="s">
        <v>45</v>
      </c>
      <c r="Y241">
        <v>6</v>
      </c>
      <c r="Z241">
        <v>8</v>
      </c>
    </row>
    <row r="242" spans="1:26">
      <c r="A242">
        <v>589090</v>
      </c>
      <c r="B242">
        <v>588120</v>
      </c>
      <c r="C242">
        <v>588330</v>
      </c>
      <c r="D242">
        <v>587900</v>
      </c>
      <c r="E242">
        <v>588660</v>
      </c>
      <c r="F242">
        <v>589470</v>
      </c>
      <c r="G242">
        <v>587680</v>
      </c>
      <c r="H242">
        <v>589860</v>
      </c>
      <c r="I242">
        <v>588880</v>
      </c>
      <c r="J242">
        <v>589670</v>
      </c>
      <c r="K242">
        <v>588490</v>
      </c>
      <c r="L242">
        <v>589260</v>
      </c>
      <c r="O242">
        <v>7</v>
      </c>
      <c r="P242">
        <v>4</v>
      </c>
      <c r="Q242">
        <v>2</v>
      </c>
      <c r="R242">
        <v>3</v>
      </c>
      <c r="S242" t="s">
        <v>46</v>
      </c>
      <c r="T242">
        <v>5</v>
      </c>
      <c r="U242">
        <v>9</v>
      </c>
      <c r="V242">
        <v>1</v>
      </c>
      <c r="W242" t="s">
        <v>47</v>
      </c>
      <c r="X242">
        <v>6</v>
      </c>
      <c r="Y242" t="s">
        <v>45</v>
      </c>
      <c r="Z242">
        <v>8</v>
      </c>
    </row>
    <row r="243" spans="1:26">
      <c r="A243">
        <v>591440</v>
      </c>
      <c r="B243">
        <v>590850</v>
      </c>
      <c r="C243">
        <v>590680</v>
      </c>
      <c r="D243">
        <v>590250</v>
      </c>
      <c r="E243">
        <v>591000</v>
      </c>
      <c r="F243">
        <v>591820</v>
      </c>
      <c r="G243">
        <v>590500</v>
      </c>
      <c r="H243">
        <v>592180</v>
      </c>
      <c r="I243">
        <v>591590</v>
      </c>
      <c r="J243">
        <v>592430</v>
      </c>
      <c r="K243">
        <v>591210</v>
      </c>
      <c r="L243">
        <v>591990</v>
      </c>
      <c r="O243">
        <v>4</v>
      </c>
      <c r="P243">
        <v>7</v>
      </c>
      <c r="Q243">
        <v>3</v>
      </c>
      <c r="R243">
        <v>2</v>
      </c>
      <c r="S243">
        <v>5</v>
      </c>
      <c r="T243" t="s">
        <v>46</v>
      </c>
      <c r="U243">
        <v>1</v>
      </c>
      <c r="V243">
        <v>9</v>
      </c>
      <c r="W243">
        <v>6</v>
      </c>
      <c r="X243" t="s">
        <v>47</v>
      </c>
      <c r="Y243">
        <v>8</v>
      </c>
      <c r="Z243" t="s">
        <v>45</v>
      </c>
    </row>
    <row r="244" spans="1:26">
      <c r="A244">
        <v>593580</v>
      </c>
      <c r="B244">
        <v>592990</v>
      </c>
      <c r="C244">
        <v>593200</v>
      </c>
      <c r="D244">
        <v>592720</v>
      </c>
      <c r="E244">
        <v>593370</v>
      </c>
      <c r="F244">
        <v>594380</v>
      </c>
      <c r="G244">
        <v>592610</v>
      </c>
      <c r="H244">
        <v>594810</v>
      </c>
      <c r="I244">
        <v>593940</v>
      </c>
      <c r="J244">
        <v>594560</v>
      </c>
      <c r="K244">
        <v>593740</v>
      </c>
      <c r="L244">
        <v>594180</v>
      </c>
      <c r="O244">
        <v>7</v>
      </c>
      <c r="P244">
        <v>4</v>
      </c>
      <c r="Q244">
        <v>2</v>
      </c>
      <c r="R244">
        <v>3</v>
      </c>
      <c r="S244">
        <v>5</v>
      </c>
      <c r="T244">
        <v>1</v>
      </c>
      <c r="U244" t="s">
        <v>46</v>
      </c>
      <c r="V244">
        <v>9</v>
      </c>
      <c r="W244" t="s">
        <v>47</v>
      </c>
      <c r="X244">
        <v>6</v>
      </c>
      <c r="Y244" t="s">
        <v>45</v>
      </c>
      <c r="Z244">
        <v>8</v>
      </c>
    </row>
    <row r="245" spans="1:26">
      <c r="A245">
        <v>595940</v>
      </c>
      <c r="B245">
        <v>595740</v>
      </c>
      <c r="C245">
        <v>595560</v>
      </c>
      <c r="D245">
        <v>595160</v>
      </c>
      <c r="E245">
        <v>596150</v>
      </c>
      <c r="F245">
        <v>596700</v>
      </c>
      <c r="G245">
        <v>595370</v>
      </c>
      <c r="H245">
        <v>597110</v>
      </c>
      <c r="I245">
        <v>596260</v>
      </c>
      <c r="J245">
        <v>597310</v>
      </c>
      <c r="K245">
        <v>596500</v>
      </c>
      <c r="L245">
        <v>596910</v>
      </c>
      <c r="O245">
        <v>4</v>
      </c>
      <c r="P245">
        <v>7</v>
      </c>
      <c r="Q245">
        <v>3</v>
      </c>
      <c r="R245">
        <v>2</v>
      </c>
      <c r="S245">
        <v>1</v>
      </c>
      <c r="T245">
        <v>5</v>
      </c>
      <c r="U245">
        <v>9</v>
      </c>
      <c r="V245" t="s">
        <v>46</v>
      </c>
      <c r="W245">
        <v>6</v>
      </c>
      <c r="X245" t="s">
        <v>47</v>
      </c>
      <c r="Y245">
        <v>8</v>
      </c>
      <c r="Z245" t="s">
        <v>45</v>
      </c>
    </row>
    <row r="246" spans="1:26">
      <c r="A246">
        <v>598490</v>
      </c>
      <c r="B246">
        <v>598090</v>
      </c>
      <c r="C246">
        <v>597680</v>
      </c>
      <c r="D246">
        <v>597490</v>
      </c>
      <c r="E246">
        <v>598280</v>
      </c>
      <c r="F246">
        <v>598850</v>
      </c>
      <c r="G246">
        <v>597890</v>
      </c>
      <c r="H246">
        <v>599250</v>
      </c>
      <c r="I246">
        <v>598660</v>
      </c>
      <c r="J246">
        <v>599630</v>
      </c>
      <c r="K246">
        <v>598990</v>
      </c>
      <c r="L246">
        <v>599430</v>
      </c>
      <c r="O246">
        <v>4</v>
      </c>
      <c r="P246">
        <v>3</v>
      </c>
      <c r="Q246">
        <v>7</v>
      </c>
      <c r="R246">
        <v>2</v>
      </c>
      <c r="S246">
        <v>5</v>
      </c>
      <c r="T246">
        <v>1</v>
      </c>
      <c r="U246">
        <v>9</v>
      </c>
      <c r="V246">
        <v>6</v>
      </c>
      <c r="W246" t="s">
        <v>46</v>
      </c>
      <c r="X246">
        <v>8</v>
      </c>
      <c r="Y246" t="s">
        <v>47</v>
      </c>
      <c r="Z246" t="s">
        <v>45</v>
      </c>
    </row>
    <row r="247" spans="1:26">
      <c r="A247">
        <v>600810</v>
      </c>
      <c r="B247">
        <v>600410</v>
      </c>
      <c r="C247">
        <v>600040</v>
      </c>
      <c r="D247">
        <v>600240</v>
      </c>
      <c r="E247">
        <v>601020</v>
      </c>
      <c r="F247">
        <v>601200</v>
      </c>
      <c r="G247">
        <v>600640</v>
      </c>
      <c r="H247">
        <v>601580</v>
      </c>
      <c r="I247">
        <v>601380</v>
      </c>
      <c r="J247">
        <v>601960</v>
      </c>
      <c r="K247">
        <v>601770</v>
      </c>
      <c r="L247">
        <v>602170</v>
      </c>
      <c r="O247">
        <v>3</v>
      </c>
      <c r="P247">
        <v>4</v>
      </c>
      <c r="Q247">
        <v>2</v>
      </c>
      <c r="R247">
        <v>7</v>
      </c>
      <c r="S247">
        <v>1</v>
      </c>
      <c r="T247">
        <v>5</v>
      </c>
      <c r="U247">
        <v>6</v>
      </c>
      <c r="V247">
        <v>9</v>
      </c>
      <c r="W247">
        <v>8</v>
      </c>
      <c r="X247" t="s">
        <v>46</v>
      </c>
      <c r="Y247" t="s">
        <v>45</v>
      </c>
      <c r="Z247" t="s">
        <v>47</v>
      </c>
    </row>
    <row r="248" spans="1:26">
      <c r="A248">
        <v>602970</v>
      </c>
      <c r="B248">
        <v>602750</v>
      </c>
      <c r="C248">
        <v>602580</v>
      </c>
      <c r="D248">
        <v>602360</v>
      </c>
      <c r="E248">
        <v>603310</v>
      </c>
      <c r="F248">
        <v>603730</v>
      </c>
      <c r="G248">
        <v>603150</v>
      </c>
      <c r="H248">
        <v>604120</v>
      </c>
      <c r="I248">
        <v>603510</v>
      </c>
      <c r="J248">
        <v>604530</v>
      </c>
      <c r="K248">
        <v>603890</v>
      </c>
      <c r="L248">
        <v>604290</v>
      </c>
      <c r="O248">
        <v>4</v>
      </c>
      <c r="P248">
        <v>3</v>
      </c>
      <c r="Q248">
        <v>2</v>
      </c>
      <c r="R248">
        <v>1</v>
      </c>
      <c r="S248">
        <v>7</v>
      </c>
      <c r="T248">
        <v>5</v>
      </c>
      <c r="U248">
        <v>9</v>
      </c>
      <c r="V248">
        <v>6</v>
      </c>
      <c r="W248" t="s">
        <v>46</v>
      </c>
      <c r="X248">
        <v>8</v>
      </c>
      <c r="Y248" t="s">
        <v>47</v>
      </c>
      <c r="Z248" t="s">
        <v>45</v>
      </c>
    </row>
    <row r="249" spans="1:26">
      <c r="A249">
        <v>605300</v>
      </c>
      <c r="B249">
        <v>605460</v>
      </c>
      <c r="C249">
        <v>604890</v>
      </c>
      <c r="D249">
        <v>605130</v>
      </c>
      <c r="E249">
        <v>605680</v>
      </c>
      <c r="F249">
        <v>606070</v>
      </c>
      <c r="G249">
        <v>605860</v>
      </c>
      <c r="H249">
        <v>606450</v>
      </c>
      <c r="I249">
        <v>606250</v>
      </c>
      <c r="J249">
        <v>606830</v>
      </c>
      <c r="K249">
        <v>606620</v>
      </c>
      <c r="L249">
        <v>607010</v>
      </c>
      <c r="O249">
        <v>3</v>
      </c>
      <c r="P249">
        <v>4</v>
      </c>
      <c r="Q249">
        <v>1</v>
      </c>
      <c r="R249">
        <v>2</v>
      </c>
      <c r="S249">
        <v>5</v>
      </c>
      <c r="T249">
        <v>7</v>
      </c>
      <c r="U249">
        <v>6</v>
      </c>
      <c r="V249">
        <v>9</v>
      </c>
      <c r="W249">
        <v>8</v>
      </c>
      <c r="X249" t="s">
        <v>46</v>
      </c>
      <c r="Y249" t="s">
        <v>45</v>
      </c>
      <c r="Z249" t="s">
        <v>47</v>
      </c>
    </row>
    <row r="250" spans="1:26">
      <c r="A250">
        <v>607840</v>
      </c>
      <c r="B250">
        <v>607630</v>
      </c>
      <c r="C250">
        <v>607250</v>
      </c>
      <c r="D250">
        <v>607420</v>
      </c>
      <c r="E250">
        <v>607990</v>
      </c>
      <c r="F250">
        <v>608190</v>
      </c>
      <c r="G250">
        <v>608380</v>
      </c>
      <c r="H250">
        <v>608560</v>
      </c>
      <c r="I250">
        <v>608740</v>
      </c>
      <c r="J250">
        <v>608960</v>
      </c>
      <c r="K250">
        <v>609170</v>
      </c>
      <c r="L250">
        <v>609390</v>
      </c>
      <c r="O250">
        <v>3</v>
      </c>
      <c r="P250">
        <v>4</v>
      </c>
      <c r="Q250">
        <v>2</v>
      </c>
      <c r="R250">
        <v>1</v>
      </c>
      <c r="S250">
        <v>5</v>
      </c>
      <c r="T250">
        <v>6</v>
      </c>
      <c r="U250">
        <v>7</v>
      </c>
      <c r="V250">
        <v>8</v>
      </c>
      <c r="W250">
        <v>9</v>
      </c>
      <c r="X250" t="s">
        <v>45</v>
      </c>
      <c r="Y250" t="s">
        <v>46</v>
      </c>
      <c r="Z250" t="s">
        <v>47</v>
      </c>
    </row>
    <row r="251" spans="1:26">
      <c r="A251">
        <v>610180</v>
      </c>
      <c r="B251">
        <v>610340</v>
      </c>
      <c r="C251">
        <v>609990</v>
      </c>
      <c r="D251">
        <v>609770</v>
      </c>
      <c r="E251">
        <v>610750</v>
      </c>
      <c r="F251">
        <v>610540</v>
      </c>
      <c r="G251">
        <v>611160</v>
      </c>
      <c r="H251">
        <v>610910</v>
      </c>
      <c r="I251">
        <v>611460</v>
      </c>
      <c r="J251">
        <v>611320</v>
      </c>
      <c r="K251">
        <v>611880</v>
      </c>
      <c r="L251">
        <v>611670</v>
      </c>
      <c r="O251">
        <v>4</v>
      </c>
      <c r="P251">
        <v>3</v>
      </c>
      <c r="Q251">
        <v>1</v>
      </c>
      <c r="R251">
        <v>2</v>
      </c>
      <c r="S251">
        <v>6</v>
      </c>
      <c r="T251">
        <v>5</v>
      </c>
      <c r="U251">
        <v>8</v>
      </c>
      <c r="V251">
        <v>7</v>
      </c>
      <c r="W251" t="s">
        <v>45</v>
      </c>
      <c r="X251">
        <v>9</v>
      </c>
      <c r="Y251" t="s">
        <v>47</v>
      </c>
      <c r="Z251" t="s">
        <v>46</v>
      </c>
    </row>
    <row r="252" spans="1:26">
      <c r="A252">
        <v>612310</v>
      </c>
      <c r="B252">
        <v>612670</v>
      </c>
      <c r="C252">
        <v>612500</v>
      </c>
      <c r="D252">
        <v>612090</v>
      </c>
      <c r="E252">
        <v>612870</v>
      </c>
      <c r="F252">
        <v>613060</v>
      </c>
      <c r="G252">
        <v>613260</v>
      </c>
      <c r="H252">
        <v>613450</v>
      </c>
      <c r="I252">
        <v>613600</v>
      </c>
      <c r="J252">
        <v>613830</v>
      </c>
      <c r="K252">
        <v>614020</v>
      </c>
      <c r="L252">
        <v>614260</v>
      </c>
      <c r="O252">
        <v>4</v>
      </c>
      <c r="P252">
        <v>1</v>
      </c>
      <c r="Q252">
        <v>3</v>
      </c>
      <c r="R252">
        <v>2</v>
      </c>
      <c r="S252">
        <v>5</v>
      </c>
      <c r="T252">
        <v>6</v>
      </c>
      <c r="U252">
        <v>7</v>
      </c>
      <c r="V252">
        <v>8</v>
      </c>
      <c r="W252">
        <v>9</v>
      </c>
      <c r="X252" t="s">
        <v>45</v>
      </c>
      <c r="Y252" t="s">
        <v>46</v>
      </c>
      <c r="Z252" t="s">
        <v>47</v>
      </c>
    </row>
    <row r="253" spans="1:26">
      <c r="A253">
        <v>614600</v>
      </c>
      <c r="B253">
        <v>615000</v>
      </c>
      <c r="C253">
        <v>615170</v>
      </c>
      <c r="D253">
        <v>614810</v>
      </c>
      <c r="E253">
        <v>615630</v>
      </c>
      <c r="F253">
        <v>615390</v>
      </c>
      <c r="G253">
        <v>616000</v>
      </c>
      <c r="H253">
        <v>615780</v>
      </c>
      <c r="I253">
        <v>616330</v>
      </c>
      <c r="J253">
        <v>616170</v>
      </c>
      <c r="K253">
        <v>616710</v>
      </c>
      <c r="L253">
        <v>616490</v>
      </c>
      <c r="O253">
        <v>1</v>
      </c>
      <c r="P253">
        <v>4</v>
      </c>
      <c r="Q253">
        <v>2</v>
      </c>
      <c r="R253">
        <v>3</v>
      </c>
      <c r="S253">
        <v>6</v>
      </c>
      <c r="T253">
        <v>5</v>
      </c>
      <c r="U253">
        <v>8</v>
      </c>
      <c r="V253">
        <v>7</v>
      </c>
      <c r="W253" t="s">
        <v>45</v>
      </c>
      <c r="X253">
        <v>9</v>
      </c>
      <c r="Y253" t="s">
        <v>47</v>
      </c>
      <c r="Z253" t="s">
        <v>46</v>
      </c>
    </row>
    <row r="254" spans="1:26">
      <c r="A254">
        <v>617170</v>
      </c>
      <c r="B254">
        <v>617350</v>
      </c>
      <c r="C254">
        <v>617760</v>
      </c>
      <c r="D254">
        <v>616950</v>
      </c>
      <c r="E254">
        <v>618090</v>
      </c>
      <c r="F254">
        <v>617550</v>
      </c>
      <c r="G254">
        <v>618540</v>
      </c>
      <c r="H254">
        <v>617930</v>
      </c>
      <c r="I254">
        <v>618910</v>
      </c>
      <c r="J254">
        <v>618260</v>
      </c>
      <c r="K254">
        <v>619110</v>
      </c>
      <c r="L254">
        <v>618730</v>
      </c>
      <c r="O254">
        <v>4</v>
      </c>
      <c r="P254">
        <v>1</v>
      </c>
      <c r="Q254">
        <v>2</v>
      </c>
      <c r="R254">
        <v>6</v>
      </c>
      <c r="S254">
        <v>3</v>
      </c>
      <c r="T254">
        <v>8</v>
      </c>
      <c r="U254">
        <v>5</v>
      </c>
      <c r="V254" t="s">
        <v>45</v>
      </c>
      <c r="W254">
        <v>7</v>
      </c>
      <c r="X254" t="s">
        <v>47</v>
      </c>
      <c r="Y254">
        <v>9</v>
      </c>
      <c r="Z254" t="s">
        <v>46</v>
      </c>
    </row>
    <row r="255" spans="1:26">
      <c r="A255">
        <v>619510</v>
      </c>
      <c r="B255">
        <v>620060</v>
      </c>
      <c r="C255">
        <v>620470</v>
      </c>
      <c r="D255">
        <v>619690</v>
      </c>
      <c r="E255">
        <v>620880</v>
      </c>
      <c r="F255">
        <v>619910</v>
      </c>
      <c r="G255">
        <v>621240</v>
      </c>
      <c r="H255">
        <v>620340</v>
      </c>
      <c r="I255">
        <v>621620</v>
      </c>
      <c r="J255">
        <v>620640</v>
      </c>
      <c r="K255">
        <v>621430</v>
      </c>
      <c r="L255">
        <v>621050</v>
      </c>
      <c r="O255">
        <v>1</v>
      </c>
      <c r="P255">
        <v>4</v>
      </c>
      <c r="Q255">
        <v>6</v>
      </c>
      <c r="R255">
        <v>2</v>
      </c>
      <c r="S255">
        <v>8</v>
      </c>
      <c r="T255">
        <v>3</v>
      </c>
      <c r="U255" t="s">
        <v>45</v>
      </c>
      <c r="V255">
        <v>5</v>
      </c>
      <c r="W255" t="s">
        <v>47</v>
      </c>
      <c r="X255">
        <v>7</v>
      </c>
      <c r="Y255" t="s">
        <v>46</v>
      </c>
      <c r="Z255">
        <v>9</v>
      </c>
    </row>
    <row r="256" spans="1:26">
      <c r="A256">
        <v>621840</v>
      </c>
      <c r="B256">
        <v>622220</v>
      </c>
      <c r="C256">
        <v>622620</v>
      </c>
      <c r="D256">
        <v>621960</v>
      </c>
      <c r="E256">
        <v>622990</v>
      </c>
      <c r="F256">
        <v>622410</v>
      </c>
      <c r="G256">
        <v>623390</v>
      </c>
      <c r="H256">
        <v>622820</v>
      </c>
      <c r="I256">
        <v>623780</v>
      </c>
      <c r="J256">
        <v>623140</v>
      </c>
      <c r="K256">
        <v>623990</v>
      </c>
      <c r="L256">
        <v>623570</v>
      </c>
      <c r="O256">
        <v>1</v>
      </c>
      <c r="P256">
        <v>4</v>
      </c>
      <c r="Q256">
        <v>2</v>
      </c>
      <c r="R256">
        <v>6</v>
      </c>
      <c r="S256">
        <v>3</v>
      </c>
      <c r="T256">
        <v>8</v>
      </c>
      <c r="U256">
        <v>5</v>
      </c>
      <c r="V256" t="s">
        <v>45</v>
      </c>
      <c r="W256">
        <v>7</v>
      </c>
      <c r="X256" t="s">
        <v>47</v>
      </c>
      <c r="Y256">
        <v>9</v>
      </c>
      <c r="Z256" t="s">
        <v>46</v>
      </c>
    </row>
    <row r="257" spans="1:26">
      <c r="A257">
        <v>624600</v>
      </c>
      <c r="B257">
        <v>624960</v>
      </c>
      <c r="C257">
        <v>625350</v>
      </c>
      <c r="D257">
        <v>624380</v>
      </c>
      <c r="E257">
        <v>625750</v>
      </c>
      <c r="F257">
        <v>624790</v>
      </c>
      <c r="G257">
        <v>626120</v>
      </c>
      <c r="H257">
        <v>625170</v>
      </c>
      <c r="I257">
        <v>626490</v>
      </c>
      <c r="J257">
        <v>625520</v>
      </c>
      <c r="K257">
        <v>626300</v>
      </c>
      <c r="L257">
        <v>625920</v>
      </c>
      <c r="O257">
        <v>4</v>
      </c>
      <c r="P257">
        <v>1</v>
      </c>
      <c r="Q257">
        <v>6</v>
      </c>
      <c r="R257">
        <v>2</v>
      </c>
      <c r="S257">
        <v>8</v>
      </c>
      <c r="T257">
        <v>3</v>
      </c>
      <c r="U257" t="s">
        <v>45</v>
      </c>
      <c r="V257">
        <v>5</v>
      </c>
      <c r="W257" t="s">
        <v>47</v>
      </c>
      <c r="X257">
        <v>7</v>
      </c>
      <c r="Y257" t="s">
        <v>46</v>
      </c>
      <c r="Z257">
        <v>9</v>
      </c>
    </row>
    <row r="258" spans="1:26">
      <c r="A258">
        <v>626750</v>
      </c>
      <c r="B258">
        <v>627500</v>
      </c>
      <c r="C258">
        <v>627870</v>
      </c>
      <c r="D258">
        <v>626870</v>
      </c>
      <c r="E258">
        <v>628290</v>
      </c>
      <c r="F258">
        <v>627080</v>
      </c>
      <c r="G258">
        <v>628620</v>
      </c>
      <c r="H258">
        <v>627280</v>
      </c>
      <c r="I258">
        <v>628840</v>
      </c>
      <c r="J258">
        <v>627660</v>
      </c>
      <c r="K258">
        <v>628460</v>
      </c>
      <c r="L258">
        <v>628100</v>
      </c>
      <c r="O258">
        <v>1</v>
      </c>
      <c r="P258">
        <v>4</v>
      </c>
      <c r="Q258">
        <v>6</v>
      </c>
      <c r="R258">
        <v>8</v>
      </c>
      <c r="S258">
        <v>2</v>
      </c>
      <c r="T258" t="s">
        <v>45</v>
      </c>
      <c r="U258">
        <v>3</v>
      </c>
      <c r="V258" t="s">
        <v>47</v>
      </c>
      <c r="W258">
        <v>5</v>
      </c>
      <c r="X258" t="s">
        <v>46</v>
      </c>
      <c r="Y258">
        <v>7</v>
      </c>
      <c r="Z258">
        <v>9</v>
      </c>
    </row>
    <row r="259" spans="1:26">
      <c r="A259">
        <v>629480</v>
      </c>
      <c r="B259">
        <v>630210</v>
      </c>
      <c r="C259">
        <v>630580</v>
      </c>
      <c r="D259">
        <v>629270</v>
      </c>
      <c r="E259">
        <v>630920</v>
      </c>
      <c r="F259">
        <v>629820</v>
      </c>
      <c r="G259">
        <v>631390</v>
      </c>
      <c r="H259">
        <v>629590</v>
      </c>
      <c r="I259">
        <v>631160</v>
      </c>
      <c r="J259">
        <v>629990</v>
      </c>
      <c r="K259">
        <v>630770</v>
      </c>
      <c r="L259">
        <v>630410</v>
      </c>
      <c r="O259">
        <v>4</v>
      </c>
      <c r="P259">
        <v>1</v>
      </c>
      <c r="Q259">
        <v>8</v>
      </c>
      <c r="R259">
        <v>6</v>
      </c>
      <c r="S259" t="s">
        <v>45</v>
      </c>
      <c r="T259">
        <v>2</v>
      </c>
      <c r="U259" t="s">
        <v>47</v>
      </c>
      <c r="V259">
        <v>3</v>
      </c>
      <c r="W259" t="s">
        <v>46</v>
      </c>
      <c r="X259">
        <v>5</v>
      </c>
      <c r="Y259">
        <v>9</v>
      </c>
      <c r="Z259">
        <v>7</v>
      </c>
    </row>
    <row r="260" spans="1:26">
      <c r="A260">
        <v>631950</v>
      </c>
      <c r="B260">
        <v>632350</v>
      </c>
      <c r="C260">
        <v>632680</v>
      </c>
      <c r="D260">
        <v>631570</v>
      </c>
      <c r="E260">
        <v>633100</v>
      </c>
      <c r="F260">
        <v>632130</v>
      </c>
      <c r="G260">
        <v>633530</v>
      </c>
      <c r="H260">
        <v>631770</v>
      </c>
      <c r="I260">
        <v>633740</v>
      </c>
      <c r="J260">
        <v>632500</v>
      </c>
      <c r="K260">
        <v>633310</v>
      </c>
      <c r="L260">
        <v>632930</v>
      </c>
      <c r="O260">
        <v>4</v>
      </c>
      <c r="P260">
        <v>8</v>
      </c>
      <c r="Q260">
        <v>1</v>
      </c>
      <c r="R260">
        <v>6</v>
      </c>
      <c r="S260">
        <v>2</v>
      </c>
      <c r="T260" t="s">
        <v>45</v>
      </c>
      <c r="U260">
        <v>3</v>
      </c>
      <c r="V260" t="s">
        <v>47</v>
      </c>
      <c r="W260">
        <v>5</v>
      </c>
      <c r="X260" t="s">
        <v>46</v>
      </c>
      <c r="Y260">
        <v>7</v>
      </c>
      <c r="Z260">
        <v>9</v>
      </c>
    </row>
    <row r="261" spans="1:26">
      <c r="A261">
        <v>634690</v>
      </c>
      <c r="B261">
        <v>635070</v>
      </c>
      <c r="C261">
        <v>635450</v>
      </c>
      <c r="D261">
        <v>634380</v>
      </c>
      <c r="E261">
        <v>635810</v>
      </c>
      <c r="F261">
        <v>634530</v>
      </c>
      <c r="G261">
        <v>636280</v>
      </c>
      <c r="H261">
        <v>634190</v>
      </c>
      <c r="I261">
        <v>636010</v>
      </c>
      <c r="J261">
        <v>634890</v>
      </c>
      <c r="K261">
        <v>635620</v>
      </c>
      <c r="L261">
        <v>635280</v>
      </c>
      <c r="O261">
        <v>8</v>
      </c>
      <c r="P261">
        <v>4</v>
      </c>
      <c r="Q261">
        <v>6</v>
      </c>
      <c r="R261">
        <v>1</v>
      </c>
      <c r="S261" t="s">
        <v>45</v>
      </c>
      <c r="T261">
        <v>2</v>
      </c>
      <c r="U261" t="s">
        <v>47</v>
      </c>
      <c r="V261">
        <v>3</v>
      </c>
      <c r="W261" t="s">
        <v>46</v>
      </c>
      <c r="X261">
        <v>5</v>
      </c>
      <c r="Y261">
        <v>9</v>
      </c>
      <c r="Z261">
        <v>7</v>
      </c>
    </row>
    <row r="262" spans="1:26">
      <c r="A262">
        <v>636850</v>
      </c>
      <c r="B262">
        <v>637640</v>
      </c>
      <c r="C262">
        <v>638010</v>
      </c>
      <c r="D262">
        <v>636660</v>
      </c>
      <c r="E262">
        <v>638360</v>
      </c>
      <c r="F262">
        <v>637040</v>
      </c>
      <c r="G262">
        <v>638600</v>
      </c>
      <c r="H262">
        <v>636510</v>
      </c>
      <c r="I262">
        <v>638180</v>
      </c>
      <c r="J262">
        <v>637230</v>
      </c>
      <c r="K262">
        <v>637770</v>
      </c>
      <c r="L262">
        <v>637440</v>
      </c>
      <c r="O262">
        <v>8</v>
      </c>
      <c r="P262">
        <v>4</v>
      </c>
      <c r="Q262">
        <v>1</v>
      </c>
      <c r="R262">
        <v>6</v>
      </c>
      <c r="S262" t="s">
        <v>45</v>
      </c>
      <c r="T262" t="s">
        <v>47</v>
      </c>
      <c r="U262">
        <v>2</v>
      </c>
      <c r="V262" t="s">
        <v>46</v>
      </c>
      <c r="W262">
        <v>3</v>
      </c>
      <c r="X262">
        <v>9</v>
      </c>
      <c r="Y262">
        <v>5</v>
      </c>
      <c r="Z262">
        <v>7</v>
      </c>
    </row>
    <row r="263" spans="1:26">
      <c r="A263">
        <v>639600</v>
      </c>
      <c r="B263">
        <v>640370</v>
      </c>
      <c r="C263">
        <v>640710</v>
      </c>
      <c r="D263">
        <v>639000</v>
      </c>
      <c r="E263">
        <v>641100</v>
      </c>
      <c r="F263">
        <v>639400</v>
      </c>
      <c r="G263">
        <v>640950</v>
      </c>
      <c r="H263">
        <v>639200</v>
      </c>
      <c r="I263">
        <v>640510</v>
      </c>
      <c r="J263">
        <v>639960</v>
      </c>
      <c r="K263">
        <v>640180</v>
      </c>
      <c r="L263">
        <v>639750</v>
      </c>
      <c r="O263">
        <v>4</v>
      </c>
      <c r="P263">
        <v>8</v>
      </c>
      <c r="Q263">
        <v>6</v>
      </c>
      <c r="R263">
        <v>1</v>
      </c>
      <c r="S263" t="s">
        <v>47</v>
      </c>
      <c r="T263" t="s">
        <v>45</v>
      </c>
      <c r="U263" t="s">
        <v>46</v>
      </c>
      <c r="V263">
        <v>2</v>
      </c>
      <c r="W263">
        <v>9</v>
      </c>
      <c r="X263">
        <v>3</v>
      </c>
      <c r="Y263">
        <v>7</v>
      </c>
      <c r="Z263">
        <v>5</v>
      </c>
    </row>
    <row r="264" spans="1:26">
      <c r="A264">
        <v>642110</v>
      </c>
      <c r="B264">
        <v>642520</v>
      </c>
      <c r="C264">
        <v>642840</v>
      </c>
      <c r="D264">
        <v>641460</v>
      </c>
      <c r="E264">
        <v>643270</v>
      </c>
      <c r="F264">
        <v>641720</v>
      </c>
      <c r="G264">
        <v>643510</v>
      </c>
      <c r="H264">
        <v>641300</v>
      </c>
      <c r="I264">
        <v>643060</v>
      </c>
      <c r="J264">
        <v>642310</v>
      </c>
      <c r="K264">
        <v>642690</v>
      </c>
      <c r="L264">
        <v>641920</v>
      </c>
      <c r="O264">
        <v>8</v>
      </c>
      <c r="P264">
        <v>4</v>
      </c>
      <c r="Q264">
        <v>6</v>
      </c>
      <c r="R264" t="s">
        <v>47</v>
      </c>
      <c r="S264">
        <v>1</v>
      </c>
      <c r="T264" t="s">
        <v>45</v>
      </c>
      <c r="U264">
        <v>2</v>
      </c>
      <c r="V264" t="s">
        <v>46</v>
      </c>
      <c r="W264">
        <v>3</v>
      </c>
      <c r="X264">
        <v>9</v>
      </c>
      <c r="Y264">
        <v>5</v>
      </c>
      <c r="Z264">
        <v>7</v>
      </c>
    </row>
    <row r="265" spans="1:26">
      <c r="A265">
        <v>644840</v>
      </c>
      <c r="B265">
        <v>645250</v>
      </c>
      <c r="C265">
        <v>645610</v>
      </c>
      <c r="D265">
        <v>643900</v>
      </c>
      <c r="E265">
        <v>646010</v>
      </c>
      <c r="F265">
        <v>644440</v>
      </c>
      <c r="G265">
        <v>645820</v>
      </c>
      <c r="H265">
        <v>644050</v>
      </c>
      <c r="I265">
        <v>645400</v>
      </c>
      <c r="J265">
        <v>644660</v>
      </c>
      <c r="K265">
        <v>645040</v>
      </c>
      <c r="L265">
        <v>644240</v>
      </c>
      <c r="O265">
        <v>4</v>
      </c>
      <c r="P265">
        <v>8</v>
      </c>
      <c r="Q265" t="s">
        <v>47</v>
      </c>
      <c r="R265">
        <v>6</v>
      </c>
      <c r="S265" t="s">
        <v>45</v>
      </c>
      <c r="T265">
        <v>1</v>
      </c>
      <c r="U265" t="s">
        <v>46</v>
      </c>
      <c r="V265">
        <v>2</v>
      </c>
      <c r="W265">
        <v>9</v>
      </c>
      <c r="X265">
        <v>3</v>
      </c>
      <c r="Y265">
        <v>7</v>
      </c>
      <c r="Z265">
        <v>5</v>
      </c>
    </row>
    <row r="266" spans="1:26">
      <c r="A266">
        <v>647000</v>
      </c>
      <c r="B266">
        <v>647790</v>
      </c>
      <c r="C266">
        <v>648140</v>
      </c>
      <c r="D266">
        <v>646230</v>
      </c>
      <c r="E266">
        <v>648360</v>
      </c>
      <c r="F266">
        <v>646750</v>
      </c>
      <c r="G266">
        <v>648020</v>
      </c>
      <c r="H266">
        <v>646610</v>
      </c>
      <c r="I266">
        <v>647590</v>
      </c>
      <c r="J266">
        <v>647180</v>
      </c>
      <c r="K266">
        <v>647420</v>
      </c>
      <c r="L266">
        <v>646390</v>
      </c>
      <c r="O266">
        <v>4</v>
      </c>
      <c r="P266" t="s">
        <v>47</v>
      </c>
      <c r="Q266">
        <v>8</v>
      </c>
      <c r="R266">
        <v>6</v>
      </c>
      <c r="S266">
        <v>1</v>
      </c>
      <c r="T266" t="s">
        <v>45</v>
      </c>
      <c r="U266" t="s">
        <v>46</v>
      </c>
      <c r="V266">
        <v>9</v>
      </c>
      <c r="W266">
        <v>2</v>
      </c>
      <c r="X266">
        <v>7</v>
      </c>
      <c r="Y266">
        <v>3</v>
      </c>
      <c r="Z266">
        <v>5</v>
      </c>
    </row>
    <row r="267" spans="1:26">
      <c r="A267">
        <v>649750</v>
      </c>
      <c r="B267">
        <v>650510</v>
      </c>
      <c r="C267">
        <v>650910</v>
      </c>
      <c r="D267">
        <v>648960</v>
      </c>
      <c r="E267">
        <v>650690</v>
      </c>
      <c r="F267">
        <v>649130</v>
      </c>
      <c r="G267">
        <v>650300</v>
      </c>
      <c r="H267">
        <v>649300</v>
      </c>
      <c r="I267">
        <v>649880</v>
      </c>
      <c r="J267">
        <v>649540</v>
      </c>
      <c r="K267">
        <v>650120</v>
      </c>
      <c r="L267">
        <v>648750</v>
      </c>
      <c r="O267" t="s">
        <v>47</v>
      </c>
      <c r="P267">
        <v>4</v>
      </c>
      <c r="Q267">
        <v>6</v>
      </c>
      <c r="R267">
        <v>8</v>
      </c>
      <c r="S267" t="s">
        <v>45</v>
      </c>
      <c r="T267">
        <v>1</v>
      </c>
      <c r="U267">
        <v>9</v>
      </c>
      <c r="V267" t="s">
        <v>46</v>
      </c>
      <c r="W267">
        <v>7</v>
      </c>
      <c r="X267">
        <v>2</v>
      </c>
      <c r="Y267">
        <v>5</v>
      </c>
      <c r="Z267">
        <v>3</v>
      </c>
    </row>
    <row r="268" spans="1:26">
      <c r="A268">
        <v>652260</v>
      </c>
      <c r="B268">
        <v>652650</v>
      </c>
      <c r="C268">
        <v>653060</v>
      </c>
      <c r="D268">
        <v>651100</v>
      </c>
      <c r="E268">
        <v>653260</v>
      </c>
      <c r="F268">
        <v>651640</v>
      </c>
      <c r="G268">
        <v>652860</v>
      </c>
      <c r="H268">
        <v>651450</v>
      </c>
      <c r="I268">
        <v>652050</v>
      </c>
      <c r="J268">
        <v>651860</v>
      </c>
      <c r="K268">
        <v>652440</v>
      </c>
      <c r="L268">
        <v>651270</v>
      </c>
      <c r="O268">
        <v>4</v>
      </c>
      <c r="P268" t="s">
        <v>47</v>
      </c>
      <c r="Q268">
        <v>8</v>
      </c>
      <c r="R268">
        <v>6</v>
      </c>
      <c r="S268" t="s">
        <v>45</v>
      </c>
      <c r="T268">
        <v>9</v>
      </c>
      <c r="U268">
        <v>1</v>
      </c>
      <c r="V268" t="s">
        <v>46</v>
      </c>
      <c r="W268">
        <v>2</v>
      </c>
      <c r="X268">
        <v>7</v>
      </c>
      <c r="Y268">
        <v>3</v>
      </c>
      <c r="Z268">
        <v>5</v>
      </c>
    </row>
    <row r="269" spans="1:26">
      <c r="A269">
        <v>655010</v>
      </c>
      <c r="B269">
        <v>655360</v>
      </c>
      <c r="C269">
        <v>655760</v>
      </c>
      <c r="D269">
        <v>653810</v>
      </c>
      <c r="E269">
        <v>655560</v>
      </c>
      <c r="F269">
        <v>654020</v>
      </c>
      <c r="G269">
        <v>655170</v>
      </c>
      <c r="H269">
        <v>654210</v>
      </c>
      <c r="I269">
        <v>654390</v>
      </c>
      <c r="J269">
        <v>654610</v>
      </c>
      <c r="K269">
        <v>654790</v>
      </c>
      <c r="L269">
        <v>653590</v>
      </c>
      <c r="O269" t="s">
        <v>47</v>
      </c>
      <c r="P269">
        <v>4</v>
      </c>
      <c r="Q269">
        <v>6</v>
      </c>
      <c r="R269">
        <v>8</v>
      </c>
      <c r="S269">
        <v>9</v>
      </c>
      <c r="T269" t="s">
        <v>45</v>
      </c>
      <c r="U269" t="s">
        <v>46</v>
      </c>
      <c r="V269">
        <v>1</v>
      </c>
      <c r="W269">
        <v>7</v>
      </c>
      <c r="X269">
        <v>2</v>
      </c>
      <c r="Y269">
        <v>5</v>
      </c>
      <c r="Z269">
        <v>3</v>
      </c>
    </row>
    <row r="270" spans="1:26">
      <c r="A270">
        <v>657120</v>
      </c>
      <c r="B270">
        <v>657900</v>
      </c>
      <c r="C270">
        <v>658120</v>
      </c>
      <c r="D270">
        <v>656290</v>
      </c>
      <c r="E270">
        <v>657700</v>
      </c>
      <c r="F270">
        <v>656130</v>
      </c>
      <c r="G270">
        <v>657470</v>
      </c>
      <c r="H270">
        <v>656730</v>
      </c>
      <c r="I270">
        <v>656500</v>
      </c>
      <c r="J270">
        <v>656920</v>
      </c>
      <c r="K270">
        <v>657280</v>
      </c>
      <c r="L270">
        <v>655880</v>
      </c>
      <c r="O270" t="s">
        <v>47</v>
      </c>
      <c r="P270">
        <v>6</v>
      </c>
      <c r="Q270">
        <v>4</v>
      </c>
      <c r="R270">
        <v>9</v>
      </c>
      <c r="S270">
        <v>8</v>
      </c>
      <c r="T270" t="s">
        <v>45</v>
      </c>
      <c r="U270">
        <v>1</v>
      </c>
      <c r="V270" t="s">
        <v>46</v>
      </c>
      <c r="W270">
        <v>7</v>
      </c>
      <c r="X270">
        <v>5</v>
      </c>
      <c r="Y270">
        <v>2</v>
      </c>
      <c r="Z270">
        <v>3</v>
      </c>
    </row>
    <row r="271" spans="1:26">
      <c r="A271">
        <v>659880</v>
      </c>
      <c r="B271">
        <v>660610</v>
      </c>
      <c r="C271">
        <v>660420</v>
      </c>
      <c r="D271">
        <v>659060</v>
      </c>
      <c r="E271">
        <v>660010</v>
      </c>
      <c r="F271">
        <v>658500</v>
      </c>
      <c r="G271">
        <v>660230</v>
      </c>
      <c r="H271">
        <v>659480</v>
      </c>
      <c r="I271">
        <v>658830</v>
      </c>
      <c r="J271">
        <v>659260</v>
      </c>
      <c r="K271">
        <v>659630</v>
      </c>
      <c r="L271">
        <v>658630</v>
      </c>
      <c r="O271">
        <v>6</v>
      </c>
      <c r="P271" t="s">
        <v>47</v>
      </c>
      <c r="Q271">
        <v>9</v>
      </c>
      <c r="R271">
        <v>4</v>
      </c>
      <c r="S271" t="s">
        <v>45</v>
      </c>
      <c r="T271">
        <v>8</v>
      </c>
      <c r="U271" t="s">
        <v>46</v>
      </c>
      <c r="V271">
        <v>1</v>
      </c>
      <c r="W271">
        <v>5</v>
      </c>
      <c r="X271">
        <v>7</v>
      </c>
      <c r="Y271">
        <v>3</v>
      </c>
      <c r="Z271">
        <v>2</v>
      </c>
    </row>
    <row r="272" spans="1:26">
      <c r="A272">
        <v>662400</v>
      </c>
      <c r="B272">
        <v>662790</v>
      </c>
      <c r="C272">
        <v>663000</v>
      </c>
      <c r="D272">
        <v>661180</v>
      </c>
      <c r="E272">
        <v>662180</v>
      </c>
      <c r="F272">
        <v>661020</v>
      </c>
      <c r="G272">
        <v>662600</v>
      </c>
      <c r="H272">
        <v>661580</v>
      </c>
      <c r="I272">
        <v>661380</v>
      </c>
      <c r="J272">
        <v>661790</v>
      </c>
      <c r="K272">
        <v>662000</v>
      </c>
      <c r="L272">
        <v>660820</v>
      </c>
      <c r="O272" t="s">
        <v>47</v>
      </c>
      <c r="P272">
        <v>6</v>
      </c>
      <c r="Q272">
        <v>4</v>
      </c>
      <c r="R272">
        <v>9</v>
      </c>
      <c r="S272">
        <v>8</v>
      </c>
      <c r="T272" t="s">
        <v>45</v>
      </c>
      <c r="U272" t="s">
        <v>46</v>
      </c>
      <c r="V272">
        <v>5</v>
      </c>
      <c r="W272">
        <v>1</v>
      </c>
      <c r="X272">
        <v>7</v>
      </c>
      <c r="Y272">
        <v>2</v>
      </c>
      <c r="Z272">
        <v>3</v>
      </c>
    </row>
    <row r="273" spans="1:26">
      <c r="A273">
        <v>665110</v>
      </c>
      <c r="B273">
        <v>665510</v>
      </c>
      <c r="C273">
        <v>665350</v>
      </c>
      <c r="D273">
        <v>663960</v>
      </c>
      <c r="E273">
        <v>664530</v>
      </c>
      <c r="F273">
        <v>663330</v>
      </c>
      <c r="G273">
        <v>664950</v>
      </c>
      <c r="H273">
        <v>664340</v>
      </c>
      <c r="I273">
        <v>663750</v>
      </c>
      <c r="J273">
        <v>664150</v>
      </c>
      <c r="K273">
        <v>664710</v>
      </c>
      <c r="L273">
        <v>663550</v>
      </c>
      <c r="O273">
        <v>6</v>
      </c>
      <c r="P273" t="s">
        <v>47</v>
      </c>
      <c r="Q273">
        <v>9</v>
      </c>
      <c r="R273">
        <v>4</v>
      </c>
      <c r="S273" t="s">
        <v>45</v>
      </c>
      <c r="T273">
        <v>8</v>
      </c>
      <c r="U273">
        <v>5</v>
      </c>
      <c r="V273" t="s">
        <v>46</v>
      </c>
      <c r="W273">
        <v>7</v>
      </c>
      <c r="X273">
        <v>1</v>
      </c>
      <c r="Y273">
        <v>3</v>
      </c>
      <c r="Z273">
        <v>2</v>
      </c>
    </row>
    <row r="274" spans="1:26">
      <c r="A274">
        <v>667270</v>
      </c>
      <c r="B274">
        <v>667660</v>
      </c>
      <c r="C274">
        <v>667850</v>
      </c>
      <c r="D274">
        <v>666470</v>
      </c>
      <c r="E274">
        <v>666660</v>
      </c>
      <c r="F274">
        <v>665740</v>
      </c>
      <c r="G274">
        <v>667460</v>
      </c>
      <c r="H274">
        <v>666820</v>
      </c>
      <c r="I274">
        <v>665890</v>
      </c>
      <c r="J274">
        <v>666310</v>
      </c>
      <c r="K274">
        <v>667070</v>
      </c>
      <c r="L274">
        <v>666100</v>
      </c>
      <c r="O274">
        <v>6</v>
      </c>
      <c r="P274">
        <v>9</v>
      </c>
      <c r="Q274" t="s">
        <v>47</v>
      </c>
      <c r="R274" t="s">
        <v>45</v>
      </c>
      <c r="S274">
        <v>4</v>
      </c>
      <c r="T274">
        <v>5</v>
      </c>
      <c r="U274">
        <v>8</v>
      </c>
      <c r="V274" t="s">
        <v>46</v>
      </c>
      <c r="W274">
        <v>1</v>
      </c>
      <c r="X274">
        <v>7</v>
      </c>
      <c r="Y274">
        <v>2</v>
      </c>
      <c r="Z274">
        <v>3</v>
      </c>
    </row>
    <row r="275" spans="1:26">
      <c r="A275">
        <v>670020</v>
      </c>
      <c r="B275">
        <v>670400</v>
      </c>
      <c r="C275">
        <v>670220</v>
      </c>
      <c r="D275">
        <v>669250</v>
      </c>
      <c r="E275">
        <v>669070</v>
      </c>
      <c r="F275">
        <v>668450</v>
      </c>
      <c r="G275">
        <v>669830</v>
      </c>
      <c r="H275">
        <v>669630</v>
      </c>
      <c r="I275">
        <v>668220</v>
      </c>
      <c r="J275">
        <v>668660</v>
      </c>
      <c r="K275">
        <v>669380</v>
      </c>
      <c r="L275">
        <v>668870</v>
      </c>
      <c r="O275">
        <v>9</v>
      </c>
      <c r="P275">
        <v>6</v>
      </c>
      <c r="Q275" t="s">
        <v>45</v>
      </c>
      <c r="R275" t="s">
        <v>47</v>
      </c>
      <c r="S275">
        <v>5</v>
      </c>
      <c r="T275">
        <v>4</v>
      </c>
      <c r="U275" t="s">
        <v>46</v>
      </c>
      <c r="V275">
        <v>8</v>
      </c>
      <c r="W275">
        <v>7</v>
      </c>
      <c r="X275">
        <v>1</v>
      </c>
      <c r="Y275">
        <v>3</v>
      </c>
      <c r="Z275">
        <v>2</v>
      </c>
    </row>
    <row r="276" spans="1:26">
      <c r="A276">
        <v>672580</v>
      </c>
      <c r="B276">
        <v>672760</v>
      </c>
      <c r="C276">
        <v>672370</v>
      </c>
      <c r="D276">
        <v>671390</v>
      </c>
      <c r="E276">
        <v>671580</v>
      </c>
      <c r="F276">
        <v>670620</v>
      </c>
      <c r="G276">
        <v>672140</v>
      </c>
      <c r="H276">
        <v>671750</v>
      </c>
      <c r="I276">
        <v>670800</v>
      </c>
      <c r="J276">
        <v>671200</v>
      </c>
      <c r="K276">
        <v>671960</v>
      </c>
      <c r="L276">
        <v>670990</v>
      </c>
      <c r="O276">
        <v>6</v>
      </c>
      <c r="P276">
        <v>9</v>
      </c>
      <c r="Q276" t="s">
        <v>47</v>
      </c>
      <c r="R276" t="s">
        <v>45</v>
      </c>
      <c r="S276">
        <v>4</v>
      </c>
      <c r="T276">
        <v>5</v>
      </c>
      <c r="U276">
        <v>8</v>
      </c>
      <c r="V276" t="s">
        <v>46</v>
      </c>
      <c r="W276">
        <v>7</v>
      </c>
      <c r="X276">
        <v>3</v>
      </c>
      <c r="Y276">
        <v>1</v>
      </c>
      <c r="Z276">
        <v>2</v>
      </c>
    </row>
    <row r="277" spans="1:26">
      <c r="A277">
        <v>675264</v>
      </c>
      <c r="B277">
        <v>675100</v>
      </c>
      <c r="C277">
        <v>674710</v>
      </c>
      <c r="D277">
        <v>674150</v>
      </c>
      <c r="E277">
        <v>673950</v>
      </c>
      <c r="F277">
        <v>673340</v>
      </c>
      <c r="G277">
        <v>674880</v>
      </c>
      <c r="H277">
        <v>674540</v>
      </c>
      <c r="I277">
        <v>673120</v>
      </c>
      <c r="J277">
        <v>673520</v>
      </c>
      <c r="K277">
        <v>674330</v>
      </c>
      <c r="L277">
        <v>673710</v>
      </c>
      <c r="O277">
        <v>9</v>
      </c>
      <c r="P277">
        <v>6</v>
      </c>
      <c r="Q277" t="s">
        <v>45</v>
      </c>
      <c r="R277" t="s">
        <v>47</v>
      </c>
      <c r="S277">
        <v>5</v>
      </c>
      <c r="T277">
        <v>4</v>
      </c>
      <c r="U277" t="s">
        <v>46</v>
      </c>
      <c r="V277">
        <v>8</v>
      </c>
      <c r="W277">
        <v>3</v>
      </c>
      <c r="X277">
        <v>7</v>
      </c>
      <c r="Y277">
        <v>2</v>
      </c>
      <c r="Z277">
        <v>1</v>
      </c>
    </row>
    <row r="278" spans="1:26">
      <c r="A278">
        <v>677430</v>
      </c>
      <c r="B278">
        <v>677650</v>
      </c>
      <c r="C278">
        <v>676820</v>
      </c>
      <c r="D278">
        <v>676670</v>
      </c>
      <c r="E278">
        <v>676100</v>
      </c>
      <c r="F278">
        <v>675870</v>
      </c>
      <c r="G278">
        <v>677240</v>
      </c>
      <c r="H278">
        <v>677000</v>
      </c>
      <c r="I278">
        <v>675440</v>
      </c>
      <c r="J278">
        <v>675650</v>
      </c>
      <c r="K278">
        <v>676470</v>
      </c>
      <c r="L278">
        <v>676270</v>
      </c>
      <c r="O278">
        <v>9</v>
      </c>
      <c r="P278" t="s">
        <v>45</v>
      </c>
      <c r="Q278">
        <v>6</v>
      </c>
      <c r="R278">
        <v>5</v>
      </c>
      <c r="S278" t="s">
        <v>47</v>
      </c>
      <c r="T278" t="s">
        <v>46</v>
      </c>
      <c r="U278">
        <v>4</v>
      </c>
      <c r="V278">
        <v>3</v>
      </c>
      <c r="W278">
        <v>8</v>
      </c>
      <c r="X278">
        <v>7</v>
      </c>
      <c r="Y278">
        <v>1</v>
      </c>
      <c r="Z278">
        <v>2</v>
      </c>
    </row>
    <row r="279" spans="1:26">
      <c r="A279">
        <v>680200</v>
      </c>
      <c r="B279">
        <v>679990</v>
      </c>
      <c r="C279">
        <v>679200</v>
      </c>
      <c r="D279">
        <v>679420</v>
      </c>
      <c r="E279">
        <v>678370</v>
      </c>
      <c r="F279">
        <v>678580</v>
      </c>
      <c r="G279">
        <v>679590</v>
      </c>
      <c r="H279">
        <v>679800</v>
      </c>
      <c r="I279">
        <v>678190</v>
      </c>
      <c r="J279">
        <v>677990</v>
      </c>
      <c r="K279">
        <v>678760</v>
      </c>
      <c r="L279">
        <v>679080</v>
      </c>
      <c r="O279" t="s">
        <v>45</v>
      </c>
      <c r="P279">
        <v>9</v>
      </c>
      <c r="Q279">
        <v>5</v>
      </c>
      <c r="R279">
        <v>6</v>
      </c>
      <c r="S279" t="s">
        <v>46</v>
      </c>
      <c r="T279" t="s">
        <v>47</v>
      </c>
      <c r="U279">
        <v>3</v>
      </c>
      <c r="V279">
        <v>4</v>
      </c>
      <c r="W279">
        <v>7</v>
      </c>
      <c r="X279">
        <v>8</v>
      </c>
      <c r="Y279">
        <v>2</v>
      </c>
      <c r="Z279">
        <v>1</v>
      </c>
    </row>
    <row r="280" spans="1:26">
      <c r="A280">
        <v>682560</v>
      </c>
      <c r="B280">
        <v>682320</v>
      </c>
      <c r="C280">
        <v>681780</v>
      </c>
      <c r="D280">
        <v>681550</v>
      </c>
      <c r="E280">
        <v>680900</v>
      </c>
      <c r="F280">
        <v>680730</v>
      </c>
      <c r="G280">
        <v>682110</v>
      </c>
      <c r="H280">
        <v>681930</v>
      </c>
      <c r="I280">
        <v>680340</v>
      </c>
      <c r="J280">
        <v>680530</v>
      </c>
      <c r="K280">
        <v>681340</v>
      </c>
      <c r="L280">
        <v>681130</v>
      </c>
      <c r="O280">
        <v>9</v>
      </c>
      <c r="P280" t="s">
        <v>45</v>
      </c>
      <c r="Q280">
        <v>6</v>
      </c>
      <c r="R280">
        <v>5</v>
      </c>
      <c r="S280" t="s">
        <v>47</v>
      </c>
      <c r="T280" t="s">
        <v>46</v>
      </c>
      <c r="U280">
        <v>4</v>
      </c>
      <c r="V280">
        <v>3</v>
      </c>
      <c r="W280">
        <v>8</v>
      </c>
      <c r="X280">
        <v>7</v>
      </c>
      <c r="Y280">
        <v>2</v>
      </c>
      <c r="Z280">
        <v>1</v>
      </c>
    </row>
    <row r="281" spans="1:26">
      <c r="A281">
        <v>684860</v>
      </c>
      <c r="B281">
        <v>685020</v>
      </c>
      <c r="C281">
        <v>684080</v>
      </c>
      <c r="D281">
        <v>684310</v>
      </c>
      <c r="E281">
        <v>683240</v>
      </c>
      <c r="F281">
        <v>683460</v>
      </c>
      <c r="G281">
        <v>684500</v>
      </c>
      <c r="H281">
        <v>684730</v>
      </c>
      <c r="I281">
        <v>683040</v>
      </c>
      <c r="J281">
        <v>682870</v>
      </c>
      <c r="K281">
        <v>683640</v>
      </c>
      <c r="L281">
        <v>683880</v>
      </c>
      <c r="O281" t="s">
        <v>45</v>
      </c>
      <c r="P281">
        <v>9</v>
      </c>
      <c r="Q281">
        <v>5</v>
      </c>
      <c r="R281">
        <v>6</v>
      </c>
      <c r="S281" t="s">
        <v>46</v>
      </c>
      <c r="T281" t="s">
        <v>47</v>
      </c>
      <c r="U281">
        <v>3</v>
      </c>
      <c r="V281">
        <v>4</v>
      </c>
      <c r="W281">
        <v>7</v>
      </c>
      <c r="X281">
        <v>8</v>
      </c>
      <c r="Y281">
        <v>1</v>
      </c>
      <c r="Z281">
        <v>2</v>
      </c>
    </row>
    <row r="282" spans="1:26">
      <c r="A282">
        <v>687420</v>
      </c>
      <c r="B282">
        <v>687210</v>
      </c>
      <c r="C282">
        <v>686220</v>
      </c>
      <c r="D282">
        <v>686770</v>
      </c>
      <c r="E282">
        <v>685430</v>
      </c>
      <c r="F282">
        <v>685990</v>
      </c>
      <c r="G282">
        <v>686590</v>
      </c>
      <c r="H282">
        <v>686980</v>
      </c>
      <c r="I282">
        <v>685590</v>
      </c>
      <c r="J282">
        <v>685230</v>
      </c>
      <c r="K282">
        <v>685790</v>
      </c>
      <c r="L282">
        <v>686400</v>
      </c>
      <c r="O282" t="s">
        <v>45</v>
      </c>
      <c r="P282">
        <v>5</v>
      </c>
      <c r="Q282">
        <v>9</v>
      </c>
      <c r="R282" t="s">
        <v>46</v>
      </c>
      <c r="S282">
        <v>6</v>
      </c>
      <c r="T282">
        <v>3</v>
      </c>
      <c r="U282" t="s">
        <v>47</v>
      </c>
      <c r="V282">
        <v>7</v>
      </c>
      <c r="W282">
        <v>4</v>
      </c>
      <c r="X282">
        <v>8</v>
      </c>
      <c r="Y282">
        <v>2</v>
      </c>
      <c r="Z282">
        <v>1</v>
      </c>
    </row>
    <row r="283" spans="1:26">
      <c r="A283">
        <v>689730</v>
      </c>
      <c r="B283">
        <v>689920</v>
      </c>
      <c r="C283">
        <v>688560</v>
      </c>
      <c r="D283">
        <v>689500</v>
      </c>
      <c r="E283">
        <v>687780</v>
      </c>
      <c r="F283">
        <v>688750</v>
      </c>
      <c r="G283">
        <v>688960</v>
      </c>
      <c r="H283">
        <v>689310</v>
      </c>
      <c r="I283">
        <v>688350</v>
      </c>
      <c r="J283">
        <v>687970</v>
      </c>
      <c r="K283">
        <v>688140</v>
      </c>
      <c r="L283">
        <v>689180</v>
      </c>
      <c r="O283">
        <v>5</v>
      </c>
      <c r="P283" t="s">
        <v>45</v>
      </c>
      <c r="Q283" t="s">
        <v>46</v>
      </c>
      <c r="R283">
        <v>9</v>
      </c>
      <c r="S283">
        <v>3</v>
      </c>
      <c r="T283">
        <v>6</v>
      </c>
      <c r="U283">
        <v>7</v>
      </c>
      <c r="V283" t="s">
        <v>47</v>
      </c>
      <c r="W283">
        <v>8</v>
      </c>
      <c r="X283">
        <v>4</v>
      </c>
      <c r="Y283">
        <v>1</v>
      </c>
      <c r="Z283">
        <v>2</v>
      </c>
    </row>
    <row r="284" spans="1:26">
      <c r="A284">
        <v>691890</v>
      </c>
      <c r="B284">
        <v>692260</v>
      </c>
      <c r="C284">
        <v>691100</v>
      </c>
      <c r="D284">
        <v>692030</v>
      </c>
      <c r="E284">
        <v>690300</v>
      </c>
      <c r="F284">
        <v>690890</v>
      </c>
      <c r="G284">
        <v>691530</v>
      </c>
      <c r="H284">
        <v>691680</v>
      </c>
      <c r="I284">
        <v>690470</v>
      </c>
      <c r="J284">
        <v>690100</v>
      </c>
      <c r="K284">
        <v>690660</v>
      </c>
      <c r="L284">
        <v>691310</v>
      </c>
      <c r="O284" t="s">
        <v>45</v>
      </c>
      <c r="P284">
        <v>5</v>
      </c>
      <c r="Q284">
        <v>9</v>
      </c>
      <c r="R284" t="s">
        <v>46</v>
      </c>
      <c r="S284">
        <v>6</v>
      </c>
      <c r="T284">
        <v>3</v>
      </c>
      <c r="U284" t="s">
        <v>47</v>
      </c>
      <c r="V284">
        <v>7</v>
      </c>
      <c r="W284">
        <v>8</v>
      </c>
      <c r="X284">
        <v>1</v>
      </c>
      <c r="Y284">
        <v>4</v>
      </c>
      <c r="Z284">
        <v>2</v>
      </c>
    </row>
    <row r="285" spans="1:26">
      <c r="A285">
        <v>694210</v>
      </c>
      <c r="B285">
        <v>694600</v>
      </c>
      <c r="C285">
        <v>693420</v>
      </c>
      <c r="D285">
        <v>694790</v>
      </c>
      <c r="E285">
        <v>692660</v>
      </c>
      <c r="F285">
        <v>693620</v>
      </c>
      <c r="G285">
        <v>693850</v>
      </c>
      <c r="H285">
        <v>694400</v>
      </c>
      <c r="I285">
        <v>693220</v>
      </c>
      <c r="J285">
        <v>692840</v>
      </c>
      <c r="K285">
        <v>693030</v>
      </c>
      <c r="L285">
        <v>694070</v>
      </c>
      <c r="O285">
        <v>5</v>
      </c>
      <c r="P285" t="s">
        <v>45</v>
      </c>
      <c r="Q285" t="s">
        <v>46</v>
      </c>
      <c r="R285">
        <v>9</v>
      </c>
      <c r="S285">
        <v>3</v>
      </c>
      <c r="T285">
        <v>6</v>
      </c>
      <c r="U285">
        <v>7</v>
      </c>
      <c r="V285" t="s">
        <v>47</v>
      </c>
      <c r="W285">
        <v>1</v>
      </c>
      <c r="X285">
        <v>8</v>
      </c>
      <c r="Y285">
        <v>2</v>
      </c>
      <c r="Z285">
        <v>4</v>
      </c>
    </row>
    <row r="286" spans="1:26">
      <c r="A286">
        <v>696800</v>
      </c>
      <c r="B286">
        <v>697160</v>
      </c>
      <c r="C286">
        <v>695560</v>
      </c>
      <c r="D286">
        <v>696950</v>
      </c>
      <c r="E286">
        <v>695000</v>
      </c>
      <c r="F286">
        <v>696200</v>
      </c>
      <c r="G286">
        <v>695980</v>
      </c>
      <c r="H286">
        <v>696560</v>
      </c>
      <c r="I286">
        <v>695790</v>
      </c>
      <c r="J286">
        <v>695360</v>
      </c>
      <c r="K286">
        <v>695180</v>
      </c>
      <c r="L286">
        <v>696360</v>
      </c>
      <c r="O286">
        <v>5</v>
      </c>
      <c r="P286" t="s">
        <v>46</v>
      </c>
      <c r="Q286" t="s">
        <v>45</v>
      </c>
      <c r="R286">
        <v>3</v>
      </c>
      <c r="S286">
        <v>9</v>
      </c>
      <c r="T286">
        <v>7</v>
      </c>
      <c r="U286">
        <v>6</v>
      </c>
      <c r="V286" t="s">
        <v>47</v>
      </c>
      <c r="W286">
        <v>8</v>
      </c>
      <c r="X286">
        <v>1</v>
      </c>
      <c r="Y286">
        <v>4</v>
      </c>
      <c r="Z286">
        <v>2</v>
      </c>
    </row>
    <row r="287" spans="1:26">
      <c r="A287">
        <v>699080</v>
      </c>
      <c r="B287">
        <v>699490</v>
      </c>
      <c r="C287">
        <v>697920</v>
      </c>
      <c r="D287">
        <v>699680</v>
      </c>
      <c r="E287">
        <v>697720</v>
      </c>
      <c r="F287">
        <v>698900</v>
      </c>
      <c r="G287">
        <v>698320</v>
      </c>
      <c r="H287">
        <v>699310</v>
      </c>
      <c r="I287">
        <v>698500</v>
      </c>
      <c r="J287">
        <v>698150</v>
      </c>
      <c r="K287">
        <v>697510</v>
      </c>
      <c r="L287">
        <v>698710</v>
      </c>
      <c r="O287" t="s">
        <v>46</v>
      </c>
      <c r="P287">
        <v>5</v>
      </c>
      <c r="Q287">
        <v>3</v>
      </c>
      <c r="R287" t="s">
        <v>45</v>
      </c>
      <c r="S287">
        <v>7</v>
      </c>
      <c r="T287">
        <v>9</v>
      </c>
      <c r="U287" t="s">
        <v>47</v>
      </c>
      <c r="V287">
        <v>6</v>
      </c>
      <c r="W287">
        <v>1</v>
      </c>
      <c r="X287">
        <v>8</v>
      </c>
      <c r="Y287">
        <v>2</v>
      </c>
      <c r="Z287">
        <v>4</v>
      </c>
    </row>
    <row r="288" spans="1:26">
      <c r="A288">
        <v>701270</v>
      </c>
      <c r="B288">
        <v>702060</v>
      </c>
      <c r="C288">
        <v>700440</v>
      </c>
      <c r="D288">
        <v>701820</v>
      </c>
      <c r="E288">
        <v>699890</v>
      </c>
      <c r="F288">
        <v>701440</v>
      </c>
      <c r="G288">
        <v>700840</v>
      </c>
      <c r="H288">
        <v>701630</v>
      </c>
      <c r="I288">
        <v>700630</v>
      </c>
      <c r="J288">
        <v>700280</v>
      </c>
      <c r="K288">
        <v>700080</v>
      </c>
      <c r="L288">
        <v>701070</v>
      </c>
      <c r="O288">
        <v>5</v>
      </c>
      <c r="P288" t="s">
        <v>46</v>
      </c>
      <c r="Q288" t="s">
        <v>45</v>
      </c>
      <c r="R288">
        <v>3</v>
      </c>
      <c r="S288">
        <v>9</v>
      </c>
      <c r="T288">
        <v>7</v>
      </c>
      <c r="U288" t="s">
        <v>47</v>
      </c>
      <c r="V288">
        <v>1</v>
      </c>
      <c r="W288">
        <v>6</v>
      </c>
      <c r="X288">
        <v>8</v>
      </c>
      <c r="Y288">
        <v>4</v>
      </c>
      <c r="Z288">
        <v>2</v>
      </c>
    </row>
    <row r="289" spans="1:26">
      <c r="A289">
        <v>703580</v>
      </c>
      <c r="B289">
        <v>704360</v>
      </c>
      <c r="C289">
        <v>702800</v>
      </c>
      <c r="D289">
        <v>704590</v>
      </c>
      <c r="E289">
        <v>702570</v>
      </c>
      <c r="F289">
        <v>704170</v>
      </c>
      <c r="G289">
        <v>703170</v>
      </c>
      <c r="H289">
        <v>703950</v>
      </c>
      <c r="I289">
        <v>703350</v>
      </c>
      <c r="J289">
        <v>703010</v>
      </c>
      <c r="K289">
        <v>702390</v>
      </c>
      <c r="L289">
        <v>703790</v>
      </c>
      <c r="O289" t="s">
        <v>46</v>
      </c>
      <c r="P289">
        <v>5</v>
      </c>
      <c r="Q289">
        <v>3</v>
      </c>
      <c r="R289" t="s">
        <v>45</v>
      </c>
      <c r="S289">
        <v>7</v>
      </c>
      <c r="T289">
        <v>9</v>
      </c>
      <c r="U289">
        <v>1</v>
      </c>
      <c r="V289" t="s">
        <v>47</v>
      </c>
      <c r="W289">
        <v>8</v>
      </c>
      <c r="X289">
        <v>6</v>
      </c>
      <c r="Y289">
        <v>2</v>
      </c>
      <c r="Z289">
        <v>4</v>
      </c>
    </row>
    <row r="290" spans="1:26">
      <c r="A290">
        <v>706150</v>
      </c>
      <c r="B290">
        <v>706550</v>
      </c>
      <c r="C290">
        <v>704940</v>
      </c>
      <c r="D290">
        <v>706930</v>
      </c>
      <c r="E290">
        <v>705120</v>
      </c>
      <c r="F290">
        <v>706740</v>
      </c>
      <c r="G290">
        <v>705380</v>
      </c>
      <c r="H290">
        <v>706340</v>
      </c>
      <c r="I290">
        <v>705690</v>
      </c>
      <c r="J290">
        <v>705490</v>
      </c>
      <c r="K290">
        <v>704750</v>
      </c>
      <c r="L290">
        <v>705930</v>
      </c>
      <c r="O290" t="s">
        <v>46</v>
      </c>
      <c r="P290">
        <v>3</v>
      </c>
      <c r="Q290">
        <v>5</v>
      </c>
      <c r="R290">
        <v>7</v>
      </c>
      <c r="S290" t="s">
        <v>45</v>
      </c>
      <c r="T290">
        <v>9</v>
      </c>
      <c r="U290" t="s">
        <v>47</v>
      </c>
      <c r="V290">
        <v>1</v>
      </c>
      <c r="W290">
        <v>8</v>
      </c>
      <c r="X290">
        <v>2</v>
      </c>
      <c r="Y290">
        <v>6</v>
      </c>
      <c r="Z290">
        <v>4</v>
      </c>
    </row>
    <row r="291" spans="1:26">
      <c r="A291">
        <v>708450</v>
      </c>
      <c r="B291">
        <v>708900</v>
      </c>
      <c r="C291">
        <v>707310</v>
      </c>
      <c r="D291">
        <v>709300</v>
      </c>
      <c r="E291">
        <v>707930</v>
      </c>
      <c r="F291">
        <v>709500</v>
      </c>
      <c r="G291">
        <v>707640</v>
      </c>
      <c r="H291">
        <v>709080</v>
      </c>
      <c r="I291">
        <v>708050</v>
      </c>
      <c r="J291">
        <v>708260</v>
      </c>
      <c r="K291">
        <v>707500</v>
      </c>
      <c r="L291">
        <v>708640</v>
      </c>
      <c r="O291">
        <v>3</v>
      </c>
      <c r="P291" t="s">
        <v>46</v>
      </c>
      <c r="Q291">
        <v>7</v>
      </c>
      <c r="R291">
        <v>5</v>
      </c>
      <c r="S291">
        <v>9</v>
      </c>
      <c r="T291" t="s">
        <v>45</v>
      </c>
      <c r="U291">
        <v>1</v>
      </c>
      <c r="V291" t="s">
        <v>47</v>
      </c>
      <c r="W291">
        <v>2</v>
      </c>
      <c r="X291">
        <v>8</v>
      </c>
      <c r="Y291">
        <v>4</v>
      </c>
      <c r="Z291">
        <v>6</v>
      </c>
    </row>
    <row r="292" spans="1:26">
      <c r="A292">
        <v>710620</v>
      </c>
      <c r="B292">
        <v>711460</v>
      </c>
      <c r="C292">
        <v>709830</v>
      </c>
      <c r="D292">
        <v>711840</v>
      </c>
      <c r="E292">
        <v>710010</v>
      </c>
      <c r="F292">
        <v>711640</v>
      </c>
      <c r="G292">
        <v>710260</v>
      </c>
      <c r="H292">
        <v>711240</v>
      </c>
      <c r="I292">
        <v>710400</v>
      </c>
      <c r="J292">
        <v>710780</v>
      </c>
      <c r="K292">
        <v>709640</v>
      </c>
      <c r="L292">
        <v>711040</v>
      </c>
      <c r="O292" t="s">
        <v>46</v>
      </c>
      <c r="P292">
        <v>3</v>
      </c>
      <c r="Q292">
        <v>5</v>
      </c>
      <c r="R292">
        <v>7</v>
      </c>
      <c r="S292">
        <v>9</v>
      </c>
      <c r="T292">
        <v>1</v>
      </c>
      <c r="U292" t="s">
        <v>45</v>
      </c>
      <c r="V292" t="s">
        <v>47</v>
      </c>
      <c r="W292">
        <v>8</v>
      </c>
      <c r="X292">
        <v>2</v>
      </c>
      <c r="Y292">
        <v>6</v>
      </c>
      <c r="Z292">
        <v>4</v>
      </c>
    </row>
    <row r="293" spans="1:26">
      <c r="A293">
        <v>713000</v>
      </c>
      <c r="B293">
        <v>713770</v>
      </c>
      <c r="C293">
        <v>712190</v>
      </c>
      <c r="D293">
        <v>714180</v>
      </c>
      <c r="E293">
        <v>712790</v>
      </c>
      <c r="F293">
        <v>714360</v>
      </c>
      <c r="G293">
        <v>712570</v>
      </c>
      <c r="H293">
        <v>713970</v>
      </c>
      <c r="I293">
        <v>713140</v>
      </c>
      <c r="J293">
        <v>713540</v>
      </c>
      <c r="K293">
        <v>712400</v>
      </c>
      <c r="L293">
        <v>713320</v>
      </c>
      <c r="O293">
        <v>3</v>
      </c>
      <c r="P293" t="s">
        <v>46</v>
      </c>
      <c r="Q293">
        <v>7</v>
      </c>
      <c r="R293">
        <v>5</v>
      </c>
      <c r="S293">
        <v>1</v>
      </c>
      <c r="T293">
        <v>9</v>
      </c>
      <c r="U293" t="s">
        <v>47</v>
      </c>
      <c r="V293" t="s">
        <v>45</v>
      </c>
      <c r="W293">
        <v>2</v>
      </c>
      <c r="X293">
        <v>8</v>
      </c>
      <c r="Y293">
        <v>4</v>
      </c>
      <c r="Z293">
        <v>6</v>
      </c>
    </row>
    <row r="294" spans="1:26">
      <c r="A294">
        <v>715540</v>
      </c>
      <c r="B294">
        <v>715940</v>
      </c>
      <c r="C294">
        <v>714540</v>
      </c>
      <c r="D294">
        <v>716320</v>
      </c>
      <c r="E294">
        <v>715110</v>
      </c>
      <c r="F294">
        <v>716690</v>
      </c>
      <c r="G294">
        <v>714790</v>
      </c>
      <c r="H294">
        <v>716450</v>
      </c>
      <c r="I294">
        <v>715310</v>
      </c>
      <c r="J294">
        <v>716110</v>
      </c>
      <c r="K294">
        <v>714950</v>
      </c>
      <c r="L294">
        <v>715710</v>
      </c>
      <c r="O294">
        <v>3</v>
      </c>
      <c r="P294">
        <v>7</v>
      </c>
      <c r="Q294" t="s">
        <v>46</v>
      </c>
      <c r="R294">
        <v>5</v>
      </c>
      <c r="S294">
        <v>9</v>
      </c>
      <c r="T294">
        <v>1</v>
      </c>
      <c r="U294" t="s">
        <v>47</v>
      </c>
      <c r="V294">
        <v>2</v>
      </c>
      <c r="W294" t="s">
        <v>45</v>
      </c>
      <c r="X294">
        <v>4</v>
      </c>
      <c r="Y294">
        <v>8</v>
      </c>
      <c r="Z294">
        <v>6</v>
      </c>
    </row>
    <row r="295" spans="1:26">
      <c r="A295">
        <v>717870</v>
      </c>
      <c r="B295">
        <v>718260</v>
      </c>
      <c r="C295">
        <v>717310</v>
      </c>
      <c r="D295">
        <v>718740</v>
      </c>
      <c r="E295">
        <v>717540</v>
      </c>
      <c r="F295">
        <v>719040</v>
      </c>
      <c r="G295">
        <v>717120</v>
      </c>
      <c r="H295">
        <v>719180</v>
      </c>
      <c r="I295">
        <v>718050</v>
      </c>
      <c r="J295">
        <v>718910</v>
      </c>
      <c r="K295">
        <v>717680</v>
      </c>
      <c r="L295">
        <v>718500</v>
      </c>
      <c r="O295">
        <v>7</v>
      </c>
      <c r="P295">
        <v>3</v>
      </c>
      <c r="Q295">
        <v>5</v>
      </c>
      <c r="R295" t="s">
        <v>46</v>
      </c>
      <c r="S295">
        <v>1</v>
      </c>
      <c r="T295">
        <v>9</v>
      </c>
      <c r="U295">
        <v>2</v>
      </c>
      <c r="V295" t="s">
        <v>47</v>
      </c>
      <c r="W295">
        <v>4</v>
      </c>
      <c r="X295" t="s">
        <v>45</v>
      </c>
      <c r="Y295">
        <v>6</v>
      </c>
      <c r="Z295">
        <v>8</v>
      </c>
    </row>
    <row r="296" spans="1:26">
      <c r="A296">
        <v>720050</v>
      </c>
      <c r="B296">
        <v>720830</v>
      </c>
      <c r="C296">
        <v>719450</v>
      </c>
      <c r="D296">
        <v>721230</v>
      </c>
      <c r="E296">
        <v>719850</v>
      </c>
      <c r="F296">
        <v>721650</v>
      </c>
      <c r="G296">
        <v>719690</v>
      </c>
      <c r="H296">
        <v>721400</v>
      </c>
      <c r="I296">
        <v>720410</v>
      </c>
      <c r="J296">
        <v>721030</v>
      </c>
      <c r="K296">
        <v>720260</v>
      </c>
      <c r="L296">
        <v>720640</v>
      </c>
      <c r="O296">
        <v>3</v>
      </c>
      <c r="P296">
        <v>7</v>
      </c>
      <c r="Q296">
        <v>5</v>
      </c>
      <c r="R296">
        <v>1</v>
      </c>
      <c r="S296" t="s">
        <v>46</v>
      </c>
      <c r="T296">
        <v>9</v>
      </c>
      <c r="U296" t="s">
        <v>47</v>
      </c>
      <c r="V296">
        <v>2</v>
      </c>
      <c r="W296" t="s">
        <v>45</v>
      </c>
      <c r="X296">
        <v>4</v>
      </c>
      <c r="Y296">
        <v>8</v>
      </c>
      <c r="Z296">
        <v>6</v>
      </c>
    </row>
    <row r="297" spans="1:26">
      <c r="A297">
        <v>722430</v>
      </c>
      <c r="B297">
        <v>723150</v>
      </c>
      <c r="C297">
        <v>722200</v>
      </c>
      <c r="D297">
        <v>723600</v>
      </c>
      <c r="E297">
        <v>722610</v>
      </c>
      <c r="F297">
        <v>723930</v>
      </c>
      <c r="G297">
        <v>722010</v>
      </c>
      <c r="H297">
        <v>724140</v>
      </c>
      <c r="I297">
        <v>722770</v>
      </c>
      <c r="J297">
        <v>723780</v>
      </c>
      <c r="K297">
        <v>722970</v>
      </c>
      <c r="L297">
        <v>723420</v>
      </c>
      <c r="O297">
        <v>7</v>
      </c>
      <c r="P297">
        <v>3</v>
      </c>
      <c r="Q297">
        <v>1</v>
      </c>
      <c r="R297">
        <v>5</v>
      </c>
      <c r="S297">
        <v>9</v>
      </c>
      <c r="T297" t="s">
        <v>46</v>
      </c>
      <c r="U297">
        <v>2</v>
      </c>
      <c r="V297" t="s">
        <v>47</v>
      </c>
      <c r="W297">
        <v>4</v>
      </c>
      <c r="X297" t="s">
        <v>45</v>
      </c>
      <c r="Y297">
        <v>6</v>
      </c>
      <c r="Z297">
        <v>8</v>
      </c>
    </row>
    <row r="298" spans="1:26">
      <c r="A298">
        <v>724980</v>
      </c>
      <c r="B298">
        <v>725380</v>
      </c>
      <c r="C298">
        <v>724520</v>
      </c>
      <c r="D298">
        <v>725710</v>
      </c>
      <c r="E298">
        <v>724740</v>
      </c>
      <c r="F298">
        <v>726150</v>
      </c>
      <c r="G298">
        <v>724370</v>
      </c>
      <c r="H298">
        <v>726580</v>
      </c>
      <c r="I298">
        <v>725210</v>
      </c>
      <c r="J298">
        <v>726340</v>
      </c>
      <c r="K298">
        <v>725500</v>
      </c>
      <c r="L298">
        <v>725940</v>
      </c>
      <c r="O298">
        <v>7</v>
      </c>
      <c r="P298">
        <v>3</v>
      </c>
      <c r="Q298">
        <v>5</v>
      </c>
      <c r="R298">
        <v>1</v>
      </c>
      <c r="S298">
        <v>9</v>
      </c>
      <c r="T298">
        <v>2</v>
      </c>
      <c r="U298" t="s">
        <v>46</v>
      </c>
      <c r="V298">
        <v>4</v>
      </c>
      <c r="W298" t="s">
        <v>47</v>
      </c>
      <c r="X298">
        <v>6</v>
      </c>
      <c r="Y298" t="s">
        <v>45</v>
      </c>
      <c r="Z298">
        <v>8</v>
      </c>
    </row>
    <row r="299" spans="1:26">
      <c r="A299">
        <v>727310</v>
      </c>
      <c r="B299">
        <v>727710</v>
      </c>
      <c r="C299">
        <v>726870</v>
      </c>
      <c r="D299">
        <v>728090</v>
      </c>
      <c r="E299">
        <v>727500</v>
      </c>
      <c r="F299">
        <v>728480</v>
      </c>
      <c r="G299">
        <v>727150</v>
      </c>
      <c r="H299">
        <v>728880</v>
      </c>
      <c r="I299">
        <v>727900</v>
      </c>
      <c r="J299">
        <v>729100</v>
      </c>
      <c r="K299">
        <v>728280</v>
      </c>
      <c r="L299">
        <v>728670</v>
      </c>
      <c r="O299">
        <v>3</v>
      </c>
      <c r="P299">
        <v>7</v>
      </c>
      <c r="Q299">
        <v>1</v>
      </c>
      <c r="R299">
        <v>5</v>
      </c>
      <c r="S299">
        <v>2</v>
      </c>
      <c r="T299">
        <v>9</v>
      </c>
      <c r="U299">
        <v>4</v>
      </c>
      <c r="V299" t="s">
        <v>46</v>
      </c>
      <c r="W299">
        <v>6</v>
      </c>
      <c r="X299" t="s">
        <v>47</v>
      </c>
      <c r="Y299">
        <v>8</v>
      </c>
      <c r="Z299" t="s">
        <v>45</v>
      </c>
    </row>
    <row r="300" spans="1:26">
      <c r="A300">
        <v>729490</v>
      </c>
      <c r="B300">
        <v>730240</v>
      </c>
      <c r="C300">
        <v>729270</v>
      </c>
      <c r="D300">
        <v>730600</v>
      </c>
      <c r="E300">
        <v>729850</v>
      </c>
      <c r="F300">
        <v>731040</v>
      </c>
      <c r="G300">
        <v>729680</v>
      </c>
      <c r="H300">
        <v>731490</v>
      </c>
      <c r="I300">
        <v>730040</v>
      </c>
      <c r="J300">
        <v>731240</v>
      </c>
      <c r="K300">
        <v>730430</v>
      </c>
      <c r="L300">
        <v>730830</v>
      </c>
      <c r="O300">
        <v>3</v>
      </c>
      <c r="P300">
        <v>1</v>
      </c>
      <c r="Q300">
        <v>7</v>
      </c>
      <c r="R300">
        <v>5</v>
      </c>
      <c r="S300">
        <v>9</v>
      </c>
      <c r="T300">
        <v>2</v>
      </c>
      <c r="U300" t="s">
        <v>46</v>
      </c>
      <c r="V300">
        <v>4</v>
      </c>
      <c r="W300" t="s">
        <v>47</v>
      </c>
      <c r="X300">
        <v>6</v>
      </c>
      <c r="Y300" t="s">
        <v>45</v>
      </c>
      <c r="Z300">
        <v>8</v>
      </c>
    </row>
    <row r="301" spans="1:26">
      <c r="A301">
        <v>731860</v>
      </c>
      <c r="B301">
        <v>732590</v>
      </c>
      <c r="C301">
        <v>732060</v>
      </c>
      <c r="D301">
        <v>732980</v>
      </c>
      <c r="E301">
        <v>732270</v>
      </c>
      <c r="F301">
        <v>733370</v>
      </c>
      <c r="G301">
        <v>732480</v>
      </c>
      <c r="H301">
        <v>733790</v>
      </c>
      <c r="I301">
        <v>732810</v>
      </c>
      <c r="J301">
        <v>733990</v>
      </c>
      <c r="K301">
        <v>733160</v>
      </c>
      <c r="L301">
        <v>733550</v>
      </c>
      <c r="O301">
        <v>1</v>
      </c>
      <c r="P301">
        <v>3</v>
      </c>
      <c r="Q301">
        <v>5</v>
      </c>
      <c r="R301">
        <v>7</v>
      </c>
      <c r="S301">
        <v>2</v>
      </c>
      <c r="T301">
        <v>9</v>
      </c>
      <c r="U301">
        <v>4</v>
      </c>
      <c r="V301" t="s">
        <v>46</v>
      </c>
      <c r="W301">
        <v>6</v>
      </c>
      <c r="X301" t="s">
        <v>47</v>
      </c>
      <c r="Y301">
        <v>8</v>
      </c>
      <c r="Z301" t="s">
        <v>45</v>
      </c>
    </row>
    <row r="302" spans="1:26">
      <c r="A302">
        <v>734420</v>
      </c>
      <c r="B302">
        <v>734760</v>
      </c>
      <c r="C302">
        <v>734230</v>
      </c>
      <c r="D302">
        <v>735130</v>
      </c>
      <c r="E302">
        <v>734560</v>
      </c>
      <c r="F302">
        <v>735520</v>
      </c>
      <c r="G302">
        <v>734970</v>
      </c>
      <c r="H302">
        <v>735920</v>
      </c>
      <c r="I302">
        <v>735330</v>
      </c>
      <c r="J302">
        <v>736330</v>
      </c>
      <c r="K302">
        <v>735700</v>
      </c>
      <c r="L302">
        <v>736130</v>
      </c>
      <c r="O302">
        <v>3</v>
      </c>
      <c r="P302">
        <v>1</v>
      </c>
      <c r="Q302">
        <v>5</v>
      </c>
      <c r="R302">
        <v>2</v>
      </c>
      <c r="S302">
        <v>7</v>
      </c>
      <c r="T302">
        <v>4</v>
      </c>
      <c r="U302">
        <v>9</v>
      </c>
      <c r="V302">
        <v>6</v>
      </c>
      <c r="W302" t="s">
        <v>46</v>
      </c>
      <c r="X302">
        <v>8</v>
      </c>
      <c r="Y302" t="s">
        <v>47</v>
      </c>
      <c r="Z302" t="s">
        <v>45</v>
      </c>
    </row>
    <row r="303" spans="1:26">
      <c r="A303">
        <v>736770</v>
      </c>
      <c r="B303">
        <v>737140</v>
      </c>
      <c r="C303">
        <v>736970</v>
      </c>
      <c r="D303">
        <v>737520</v>
      </c>
      <c r="E303">
        <v>737320</v>
      </c>
      <c r="F303">
        <v>737930</v>
      </c>
      <c r="G303">
        <v>737720</v>
      </c>
      <c r="H303">
        <v>738250</v>
      </c>
      <c r="I303">
        <v>738090</v>
      </c>
      <c r="J303">
        <v>738640</v>
      </c>
      <c r="K303">
        <v>738420</v>
      </c>
      <c r="L303">
        <v>738890</v>
      </c>
      <c r="O303">
        <v>1</v>
      </c>
      <c r="P303">
        <v>3</v>
      </c>
      <c r="Q303">
        <v>2</v>
      </c>
      <c r="R303">
        <v>5</v>
      </c>
      <c r="S303">
        <v>4</v>
      </c>
      <c r="T303">
        <v>7</v>
      </c>
      <c r="U303">
        <v>6</v>
      </c>
      <c r="V303">
        <v>9</v>
      </c>
      <c r="W303">
        <v>8</v>
      </c>
      <c r="X303" t="s">
        <v>46</v>
      </c>
      <c r="Y303" t="s">
        <v>45</v>
      </c>
      <c r="Z303" t="s">
        <v>47</v>
      </c>
    </row>
    <row r="304" spans="1:26">
      <c r="A304">
        <v>739120</v>
      </c>
      <c r="B304">
        <v>739290</v>
      </c>
      <c r="C304">
        <v>739490</v>
      </c>
      <c r="D304">
        <v>739660</v>
      </c>
      <c r="E304">
        <v>739860</v>
      </c>
      <c r="F304">
        <v>740050</v>
      </c>
      <c r="G304">
        <v>740230</v>
      </c>
      <c r="H304">
        <v>740420</v>
      </c>
      <c r="I304">
        <v>740600</v>
      </c>
      <c r="J304">
        <v>740760</v>
      </c>
      <c r="K304">
        <v>741010</v>
      </c>
      <c r="L304">
        <v>741200</v>
      </c>
      <c r="O304">
        <v>1</v>
      </c>
      <c r="P304">
        <v>2</v>
      </c>
      <c r="Q304">
        <v>3</v>
      </c>
      <c r="R304">
        <v>4</v>
      </c>
      <c r="S304">
        <v>5</v>
      </c>
      <c r="T304">
        <v>6</v>
      </c>
      <c r="U304">
        <v>7</v>
      </c>
      <c r="V304">
        <v>8</v>
      </c>
      <c r="W304">
        <v>9</v>
      </c>
      <c r="X304" t="s">
        <v>45</v>
      </c>
      <c r="Y304" t="s">
        <v>46</v>
      </c>
      <c r="Z304" t="s">
        <v>47</v>
      </c>
    </row>
    <row r="305" spans="1:26">
      <c r="A305">
        <v>741630</v>
      </c>
      <c r="B305">
        <v>741820</v>
      </c>
      <c r="C305">
        <v>741980</v>
      </c>
      <c r="D305">
        <v>742200</v>
      </c>
      <c r="E305">
        <v>742370</v>
      </c>
      <c r="F305">
        <v>742570</v>
      </c>
      <c r="G305">
        <v>742800</v>
      </c>
      <c r="H305">
        <v>742950</v>
      </c>
      <c r="I305">
        <v>743160</v>
      </c>
      <c r="J305">
        <v>743350</v>
      </c>
      <c r="K305">
        <v>743540</v>
      </c>
      <c r="L305">
        <v>743740</v>
      </c>
      <c r="O305">
        <v>1</v>
      </c>
      <c r="P305">
        <v>2</v>
      </c>
      <c r="Q305">
        <v>3</v>
      </c>
      <c r="R305">
        <v>4</v>
      </c>
      <c r="S305">
        <v>5</v>
      </c>
      <c r="T305">
        <v>6</v>
      </c>
      <c r="U305">
        <v>7</v>
      </c>
      <c r="V305">
        <v>8</v>
      </c>
      <c r="W305">
        <v>9</v>
      </c>
      <c r="X305" t="s">
        <v>45</v>
      </c>
      <c r="Y305" t="s">
        <v>46</v>
      </c>
      <c r="Z305" t="s">
        <v>47</v>
      </c>
    </row>
    <row r="306" spans="1:26">
      <c r="A306">
        <v>743980</v>
      </c>
      <c r="B306">
        <v>744160</v>
      </c>
      <c r="C306">
        <v>744340</v>
      </c>
      <c r="D306">
        <v>744510</v>
      </c>
      <c r="E306">
        <v>744690</v>
      </c>
      <c r="F306">
        <v>744890</v>
      </c>
      <c r="G306">
        <v>745080</v>
      </c>
      <c r="H306">
        <v>745260</v>
      </c>
      <c r="I306">
        <v>745440</v>
      </c>
      <c r="J306">
        <v>745640</v>
      </c>
      <c r="K306">
        <v>745870</v>
      </c>
      <c r="L306">
        <v>746100</v>
      </c>
      <c r="O306">
        <v>1</v>
      </c>
      <c r="P306">
        <v>2</v>
      </c>
      <c r="Q306">
        <v>3</v>
      </c>
      <c r="R306">
        <v>4</v>
      </c>
      <c r="S306">
        <v>5</v>
      </c>
      <c r="T306">
        <v>6</v>
      </c>
      <c r="U306">
        <v>7</v>
      </c>
      <c r="V306">
        <v>8</v>
      </c>
      <c r="W306">
        <v>9</v>
      </c>
      <c r="X306" t="s">
        <v>45</v>
      </c>
      <c r="Y306" t="s">
        <v>46</v>
      </c>
      <c r="Z306" t="s">
        <v>47</v>
      </c>
    </row>
    <row r="307" spans="1:26">
      <c r="A307">
        <v>746480</v>
      </c>
      <c r="B307">
        <v>746680</v>
      </c>
      <c r="C307">
        <v>746860</v>
      </c>
      <c r="D307">
        <v>747100</v>
      </c>
      <c r="E307">
        <v>747260</v>
      </c>
      <c r="F307">
        <v>747440</v>
      </c>
      <c r="G307">
        <v>747620</v>
      </c>
      <c r="H307">
        <v>747790</v>
      </c>
      <c r="I307">
        <v>747960</v>
      </c>
      <c r="J307">
        <v>748180</v>
      </c>
      <c r="K307">
        <v>748370</v>
      </c>
      <c r="L307">
        <v>748590</v>
      </c>
      <c r="O307">
        <v>1</v>
      </c>
      <c r="P307">
        <v>2</v>
      </c>
      <c r="Q307">
        <v>3</v>
      </c>
      <c r="R307">
        <v>4</v>
      </c>
      <c r="S307">
        <v>5</v>
      </c>
      <c r="T307">
        <v>6</v>
      </c>
      <c r="U307">
        <v>7</v>
      </c>
      <c r="V307">
        <v>8</v>
      </c>
      <c r="W307">
        <v>9</v>
      </c>
      <c r="X307" t="s">
        <v>45</v>
      </c>
      <c r="Y307" t="s">
        <v>46</v>
      </c>
      <c r="Z307" t="s">
        <v>47</v>
      </c>
    </row>
    <row r="308" spans="1:26">
      <c r="A308">
        <v>748790</v>
      </c>
      <c r="B308">
        <v>749030</v>
      </c>
      <c r="C308">
        <v>749210</v>
      </c>
      <c r="D308">
        <v>749360</v>
      </c>
      <c r="E308">
        <v>749520</v>
      </c>
      <c r="F308">
        <v>749760</v>
      </c>
      <c r="G308">
        <v>749960</v>
      </c>
      <c r="H308">
        <v>750160</v>
      </c>
      <c r="I308">
        <v>750290</v>
      </c>
      <c r="J308">
        <v>750540</v>
      </c>
      <c r="K308">
        <v>750760</v>
      </c>
      <c r="L308">
        <v>750980</v>
      </c>
      <c r="O308">
        <v>1</v>
      </c>
      <c r="P308">
        <v>2</v>
      </c>
      <c r="Q308">
        <v>3</v>
      </c>
      <c r="R308">
        <v>4</v>
      </c>
      <c r="S308">
        <v>5</v>
      </c>
      <c r="T308">
        <v>6</v>
      </c>
      <c r="U308">
        <v>7</v>
      </c>
      <c r="V308">
        <v>8</v>
      </c>
      <c r="W308">
        <v>9</v>
      </c>
      <c r="X308" t="s">
        <v>45</v>
      </c>
      <c r="Y308" t="s">
        <v>46</v>
      </c>
      <c r="Z308">
        <v>1</v>
      </c>
    </row>
    <row r="309" spans="1:26">
      <c r="A309">
        <v>750960</v>
      </c>
      <c r="B309">
        <v>0</v>
      </c>
      <c r="C309">
        <v>751320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O309" t="s">
        <v>47</v>
      </c>
      <c r="P309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3"/>
  <dimension ref="A1:BF153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12.75"/>
  <cols>
    <col min="1" max="1" width="4" style="1" bestFit="1" customWidth="1"/>
    <col min="2" max="26" width="7" style="1" bestFit="1" customWidth="1"/>
    <col min="27" max="28" width="10.7109375" style="5" customWidth="1"/>
    <col min="29" max="29" width="10.7109375" style="14" customWidth="1"/>
    <col min="30" max="30" width="10.7109375" style="5" customWidth="1"/>
    <col min="31" max="31" width="3.5703125" style="1" bestFit="1" customWidth="1"/>
    <col min="32" max="32" width="3.28515625" style="5" customWidth="1"/>
    <col min="33" max="33" width="10.7109375" style="5" customWidth="1"/>
    <col min="34" max="34" width="3.28515625" style="5" customWidth="1"/>
    <col min="35" max="43" width="4" style="1" bestFit="1" customWidth="1"/>
    <col min="44" max="44" width="4.28515625" style="1" bestFit="1" customWidth="1"/>
    <col min="45" max="55" width="4" style="1" bestFit="1" customWidth="1"/>
    <col min="56" max="56" width="4.28515625" style="1" bestFit="1" customWidth="1"/>
    <col min="57" max="58" width="4" style="1" bestFit="1" customWidth="1"/>
    <col min="59" max="16384" width="9.140625" style="1"/>
  </cols>
  <sheetData>
    <row r="1" spans="1:58" s="5" customFormat="1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2">
        <v>1</v>
      </c>
      <c r="O1" s="12">
        <v>2</v>
      </c>
      <c r="P1" s="12">
        <v>3</v>
      </c>
      <c r="Q1" s="12">
        <v>4</v>
      </c>
      <c r="R1" s="12">
        <v>5</v>
      </c>
      <c r="S1" s="12">
        <v>6</v>
      </c>
      <c r="T1" s="12">
        <v>7</v>
      </c>
      <c r="U1" s="12">
        <v>8</v>
      </c>
      <c r="V1" s="12">
        <v>9</v>
      </c>
      <c r="W1" s="12">
        <v>10</v>
      </c>
      <c r="X1" s="12">
        <v>11</v>
      </c>
      <c r="Y1" s="12">
        <v>12</v>
      </c>
      <c r="Z1" s="5" t="s">
        <v>48</v>
      </c>
      <c r="AA1" s="5" t="s">
        <v>49</v>
      </c>
      <c r="AB1" s="13" t="s">
        <v>50</v>
      </c>
      <c r="AC1" s="14" t="s">
        <v>51</v>
      </c>
      <c r="AD1" s="13" t="s">
        <v>52</v>
      </c>
      <c r="AG1" s="5" t="s">
        <v>53</v>
      </c>
    </row>
    <row r="2" spans="1:58" s="5" customFormat="1"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AB2" s="13"/>
      <c r="AC2" s="14"/>
      <c r="AD2" s="13"/>
      <c r="AG2" s="5" t="s">
        <v>54</v>
      </c>
      <c r="AI2" s="15" t="s">
        <v>55</v>
      </c>
      <c r="AJ2" s="15" t="s">
        <v>56</v>
      </c>
      <c r="AK2" s="15" t="s">
        <v>57</v>
      </c>
      <c r="AL2" s="15" t="s">
        <v>58</v>
      </c>
      <c r="AM2" s="15" t="s">
        <v>59</v>
      </c>
      <c r="AN2" s="15" t="s">
        <v>60</v>
      </c>
      <c r="AO2" s="15" t="s">
        <v>61</v>
      </c>
      <c r="AP2" s="15" t="s">
        <v>62</v>
      </c>
      <c r="AQ2" s="15" t="s">
        <v>63</v>
      </c>
      <c r="AR2" s="15" t="s">
        <v>64</v>
      </c>
      <c r="AS2" s="15" t="s">
        <v>65</v>
      </c>
      <c r="AT2" s="15" t="s">
        <v>66</v>
      </c>
      <c r="AU2" s="15" t="s">
        <v>55</v>
      </c>
      <c r="AV2" s="15" t="s">
        <v>56</v>
      </c>
      <c r="AW2" s="15" t="s">
        <v>57</v>
      </c>
      <c r="AX2" s="15" t="s">
        <v>58</v>
      </c>
      <c r="AY2" s="15" t="s">
        <v>59</v>
      </c>
      <c r="AZ2" s="15" t="s">
        <v>60</v>
      </c>
      <c r="BA2" s="15" t="s">
        <v>61</v>
      </c>
      <c r="BB2" s="15" t="s">
        <v>62</v>
      </c>
      <c r="BC2" s="15" t="s">
        <v>63</v>
      </c>
      <c r="BD2" s="15" t="s">
        <v>64</v>
      </c>
      <c r="BE2" s="15" t="s">
        <v>65</v>
      </c>
      <c r="BF2" s="15" t="s">
        <v>66</v>
      </c>
    </row>
    <row r="3" spans="1:58">
      <c r="A3" s="1">
        <v>1</v>
      </c>
      <c r="B3" s="1">
        <v>34660</v>
      </c>
      <c r="C3" s="1">
        <v>34840</v>
      </c>
      <c r="D3" s="1">
        <v>34990</v>
      </c>
      <c r="E3" s="1">
        <v>35200</v>
      </c>
      <c r="F3" s="1">
        <v>35370</v>
      </c>
      <c r="G3" s="1">
        <v>35560</v>
      </c>
      <c r="H3" s="1">
        <v>35790</v>
      </c>
      <c r="I3" s="1">
        <v>35980</v>
      </c>
      <c r="J3" s="1">
        <v>36150</v>
      </c>
      <c r="K3" s="1">
        <v>36360</v>
      </c>
      <c r="L3" s="1">
        <v>36550</v>
      </c>
      <c r="M3" s="1">
        <v>36750</v>
      </c>
      <c r="N3" s="1">
        <v>36990</v>
      </c>
      <c r="O3" s="1">
        <v>37210</v>
      </c>
      <c r="P3" s="1">
        <v>37350</v>
      </c>
      <c r="Q3" s="1">
        <v>37530</v>
      </c>
      <c r="R3" s="1">
        <v>37710</v>
      </c>
      <c r="S3" s="1">
        <v>37910</v>
      </c>
      <c r="T3" s="1">
        <v>38110</v>
      </c>
      <c r="U3" s="1">
        <v>38330</v>
      </c>
      <c r="V3" s="1">
        <v>38480</v>
      </c>
      <c r="W3" s="1">
        <v>38690</v>
      </c>
      <c r="X3" s="1">
        <v>38910</v>
      </c>
      <c r="Y3" s="1">
        <v>39140</v>
      </c>
      <c r="Z3" s="1">
        <v>39520</v>
      </c>
      <c r="AA3" s="5">
        <f>AVERAGE(B3:Y3)</f>
        <v>36856.666666666664</v>
      </c>
      <c r="AG3" s="5" t="s">
        <v>51</v>
      </c>
      <c r="AI3" s="1">
        <f>C3-B3</f>
        <v>180</v>
      </c>
      <c r="AJ3" s="1">
        <f>D3-C3</f>
        <v>150</v>
      </c>
      <c r="AK3" s="1">
        <f>E3-D3</f>
        <v>210</v>
      </c>
      <c r="AL3" s="1">
        <f>F3-E3</f>
        <v>170</v>
      </c>
      <c r="AM3" s="1">
        <f>G3-F3</f>
        <v>190</v>
      </c>
      <c r="AN3" s="1">
        <f>H3-G3</f>
        <v>230</v>
      </c>
      <c r="AO3" s="1">
        <f>I3-H3</f>
        <v>190</v>
      </c>
      <c r="AP3" s="1">
        <f>J3-I3</f>
        <v>170</v>
      </c>
      <c r="AQ3" s="1">
        <f>K3-J3</f>
        <v>210</v>
      </c>
      <c r="AR3" s="1">
        <f>L3-K3</f>
        <v>190</v>
      </c>
      <c r="AS3" s="1">
        <f>M3-L3</f>
        <v>200</v>
      </c>
      <c r="AT3" s="1">
        <f>N3-M3</f>
        <v>240</v>
      </c>
      <c r="AU3" s="1">
        <f>O3-N3</f>
        <v>220</v>
      </c>
      <c r="AV3" s="1">
        <f>P3-O3</f>
        <v>140</v>
      </c>
      <c r="AW3" s="1">
        <f>Q3-P3</f>
        <v>180</v>
      </c>
      <c r="AX3" s="1">
        <f>R3-Q3</f>
        <v>180</v>
      </c>
      <c r="AY3" s="1">
        <f>S3-R3</f>
        <v>200</v>
      </c>
      <c r="AZ3" s="1">
        <f>T3-S3</f>
        <v>200</v>
      </c>
      <c r="BA3" s="1">
        <f>U3-T3</f>
        <v>220</v>
      </c>
      <c r="BB3" s="1">
        <f>V3-U3</f>
        <v>150</v>
      </c>
      <c r="BC3" s="1">
        <f>W3-V3</f>
        <v>210</v>
      </c>
      <c r="BD3" s="1">
        <f>X3-W3</f>
        <v>220</v>
      </c>
      <c r="BE3" s="1">
        <f>Y3-X3</f>
        <v>230</v>
      </c>
      <c r="BF3" s="1">
        <f>Z3-Y3</f>
        <v>380</v>
      </c>
    </row>
    <row r="4" spans="1:58">
      <c r="A4" s="1">
        <v>2</v>
      </c>
      <c r="B4" s="1">
        <v>39520</v>
      </c>
      <c r="C4" s="1">
        <v>39740</v>
      </c>
      <c r="D4" s="1">
        <v>39920</v>
      </c>
      <c r="E4" s="1">
        <v>40110</v>
      </c>
      <c r="F4" s="1">
        <v>40310</v>
      </c>
      <c r="G4" s="1">
        <v>40510</v>
      </c>
      <c r="H4" s="1">
        <v>40700</v>
      </c>
      <c r="I4" s="1">
        <v>40950</v>
      </c>
      <c r="J4" s="1">
        <v>41090</v>
      </c>
      <c r="K4" s="1">
        <v>41250</v>
      </c>
      <c r="L4" s="1">
        <v>41460</v>
      </c>
      <c r="M4" s="1">
        <v>41660</v>
      </c>
      <c r="N4" s="1">
        <v>41850</v>
      </c>
      <c r="O4" s="1">
        <v>42060</v>
      </c>
      <c r="P4" s="1">
        <v>42220</v>
      </c>
      <c r="Q4" s="1">
        <v>42440</v>
      </c>
      <c r="R4" s="1">
        <v>42650</v>
      </c>
      <c r="S4" s="1">
        <v>42800</v>
      </c>
      <c r="T4" s="1">
        <v>43020</v>
      </c>
      <c r="U4" s="1">
        <v>43190</v>
      </c>
      <c r="V4" s="1">
        <v>43470</v>
      </c>
      <c r="W4" s="1">
        <v>43630</v>
      </c>
      <c r="X4" s="1">
        <v>43810</v>
      </c>
      <c r="Y4" s="1">
        <v>44040</v>
      </c>
      <c r="Z4" s="1">
        <v>44410</v>
      </c>
      <c r="AA4" s="5">
        <f>AVERAGE(B4:Y4)</f>
        <v>41766.666666666664</v>
      </c>
      <c r="AB4" s="5">
        <f>(AA5-AA3)/2</f>
        <v>4898.9583333333358</v>
      </c>
      <c r="AC4" s="14">
        <f>AB4/(23+AB151)</f>
        <v>196.39785388618455</v>
      </c>
      <c r="AD4" s="5">
        <f>AA4-AA3</f>
        <v>4910</v>
      </c>
      <c r="AG4" s="5">
        <f>Z4-Y4</f>
        <v>370</v>
      </c>
      <c r="AI4" s="1">
        <f>C4-B4</f>
        <v>220</v>
      </c>
      <c r="AJ4" s="1">
        <f>D4-C4</f>
        <v>180</v>
      </c>
      <c r="AK4" s="1">
        <f>E4-D4</f>
        <v>190</v>
      </c>
      <c r="AL4" s="1">
        <f>F4-E4</f>
        <v>200</v>
      </c>
      <c r="AM4" s="1">
        <f>G4-F4</f>
        <v>200</v>
      </c>
      <c r="AN4" s="1">
        <f>H4-G4</f>
        <v>190</v>
      </c>
      <c r="AO4" s="1">
        <f>I4-H4</f>
        <v>250</v>
      </c>
      <c r="AP4" s="1">
        <f>J4-I4</f>
        <v>140</v>
      </c>
      <c r="AQ4" s="1">
        <f>K4-J4</f>
        <v>160</v>
      </c>
      <c r="AR4" s="1">
        <f>L4-K4</f>
        <v>210</v>
      </c>
      <c r="AS4" s="1">
        <f>M4-L4</f>
        <v>200</v>
      </c>
      <c r="AT4" s="1">
        <f>N4-M4</f>
        <v>190</v>
      </c>
      <c r="AU4" s="1">
        <f>O4-N4</f>
        <v>210</v>
      </c>
      <c r="AV4" s="1">
        <f>P4-O4</f>
        <v>160</v>
      </c>
      <c r="AW4" s="1">
        <f>Q4-P4</f>
        <v>220</v>
      </c>
      <c r="AX4" s="1">
        <f>R4-Q4</f>
        <v>210</v>
      </c>
      <c r="AY4" s="1">
        <f>S4-R4</f>
        <v>150</v>
      </c>
      <c r="AZ4" s="1">
        <f>T4-S4</f>
        <v>220</v>
      </c>
      <c r="BA4" s="1">
        <f>U4-T4</f>
        <v>170</v>
      </c>
      <c r="BB4" s="1">
        <f>V4-U4</f>
        <v>280</v>
      </c>
      <c r="BC4" s="1">
        <f>W4-V4</f>
        <v>160</v>
      </c>
      <c r="BD4" s="1">
        <f>X4-W4</f>
        <v>180</v>
      </c>
      <c r="BE4" s="1">
        <f>Y4-X4</f>
        <v>230</v>
      </c>
      <c r="BF4" s="1">
        <f>Z4-Y4</f>
        <v>370</v>
      </c>
    </row>
    <row r="5" spans="1:58">
      <c r="A5" s="1">
        <v>3</v>
      </c>
      <c r="B5" s="1">
        <v>44410</v>
      </c>
      <c r="C5" s="1">
        <v>44620</v>
      </c>
      <c r="D5" s="1">
        <v>44850</v>
      </c>
      <c r="E5" s="1">
        <v>45010</v>
      </c>
      <c r="F5" s="1">
        <v>45180</v>
      </c>
      <c r="G5" s="1">
        <v>45360</v>
      </c>
      <c r="H5" s="1">
        <v>45560</v>
      </c>
      <c r="I5" s="1">
        <v>45770</v>
      </c>
      <c r="J5" s="1">
        <v>46000</v>
      </c>
      <c r="K5" s="1">
        <v>46200</v>
      </c>
      <c r="L5" s="1">
        <v>46360</v>
      </c>
      <c r="M5" s="1">
        <v>46560</v>
      </c>
      <c r="N5" s="1">
        <v>46720</v>
      </c>
      <c r="O5" s="1">
        <v>46980</v>
      </c>
      <c r="P5" s="1">
        <v>47150</v>
      </c>
      <c r="Q5" s="1">
        <v>47270</v>
      </c>
      <c r="R5" s="1">
        <v>47540</v>
      </c>
      <c r="S5" s="1">
        <v>47720</v>
      </c>
      <c r="T5" s="1">
        <v>47900</v>
      </c>
      <c r="U5" s="1">
        <v>48040</v>
      </c>
      <c r="V5" s="1">
        <v>48350</v>
      </c>
      <c r="W5" s="1">
        <v>48510</v>
      </c>
      <c r="X5" s="1">
        <v>48730</v>
      </c>
      <c r="Y5" s="1">
        <v>48920</v>
      </c>
      <c r="Z5" s="1">
        <v>49340</v>
      </c>
      <c r="AA5" s="5">
        <f>AVERAGE(B5:Y5)</f>
        <v>46654.583333333336</v>
      </c>
      <c r="AB5" s="5">
        <f>(AA6-AA4)/2</f>
        <v>4888.9583333333358</v>
      </c>
      <c r="AC5" s="14">
        <f>AB5/(23+AB151)</f>
        <v>195.99695671473921</v>
      </c>
      <c r="AD5" s="5">
        <f>AA5-AA4</f>
        <v>4887.9166666666715</v>
      </c>
      <c r="AE5" s="1">
        <f>AD5-AD4</f>
        <v>-22.083333333328483</v>
      </c>
      <c r="AG5" s="5">
        <f>Z5-Y5</f>
        <v>420</v>
      </c>
      <c r="AI5" s="1">
        <f>C5-B5</f>
        <v>210</v>
      </c>
      <c r="AJ5" s="1">
        <f>D5-C5</f>
        <v>230</v>
      </c>
      <c r="AK5" s="1">
        <f>E5-D5</f>
        <v>160</v>
      </c>
      <c r="AL5" s="1">
        <f>F5-E5</f>
        <v>170</v>
      </c>
      <c r="AM5" s="1">
        <f>G5-F5</f>
        <v>180</v>
      </c>
      <c r="AN5" s="1">
        <f>H5-G5</f>
        <v>200</v>
      </c>
      <c r="AO5" s="1">
        <f>I5-H5</f>
        <v>210</v>
      </c>
      <c r="AP5" s="1">
        <f>J5-I5</f>
        <v>230</v>
      </c>
      <c r="AQ5" s="1">
        <f>K5-J5</f>
        <v>200</v>
      </c>
      <c r="AR5" s="1">
        <f>L5-K5</f>
        <v>160</v>
      </c>
      <c r="AS5" s="1">
        <f>M5-L5</f>
        <v>200</v>
      </c>
      <c r="AT5" s="1">
        <f>N5-M5</f>
        <v>160</v>
      </c>
      <c r="AU5" s="1">
        <f>O5-N5</f>
        <v>260</v>
      </c>
      <c r="AV5" s="1">
        <f>P5-O5</f>
        <v>170</v>
      </c>
      <c r="AW5" s="1">
        <f>Q5-P5</f>
        <v>120</v>
      </c>
      <c r="AX5" s="1">
        <f>R5-Q5</f>
        <v>270</v>
      </c>
      <c r="AY5" s="1">
        <f>S5-R5</f>
        <v>180</v>
      </c>
      <c r="AZ5" s="1">
        <f>T5-S5</f>
        <v>180</v>
      </c>
      <c r="BA5" s="1">
        <f>U5-T5</f>
        <v>140</v>
      </c>
      <c r="BB5" s="1">
        <f>V5-U5</f>
        <v>310</v>
      </c>
      <c r="BC5" s="1">
        <f>W5-V5</f>
        <v>160</v>
      </c>
      <c r="BD5" s="1">
        <f>X5-W5</f>
        <v>220</v>
      </c>
      <c r="BE5" s="1">
        <f>Y5-X5</f>
        <v>190</v>
      </c>
      <c r="BF5" s="1">
        <f>Z5-Y5</f>
        <v>420</v>
      </c>
    </row>
    <row r="6" spans="1:58">
      <c r="A6" s="1">
        <v>4</v>
      </c>
      <c r="B6" s="1">
        <v>49340</v>
      </c>
      <c r="C6" s="1">
        <v>49520</v>
      </c>
      <c r="D6" s="1">
        <v>49710</v>
      </c>
      <c r="E6" s="1">
        <v>49860</v>
      </c>
      <c r="F6" s="1">
        <v>50070</v>
      </c>
      <c r="G6" s="1">
        <v>50280</v>
      </c>
      <c r="H6" s="1">
        <v>50480</v>
      </c>
      <c r="I6" s="1">
        <v>50680</v>
      </c>
      <c r="J6" s="1">
        <v>50840</v>
      </c>
      <c r="K6" s="1">
        <v>51080</v>
      </c>
      <c r="L6" s="1">
        <v>51240</v>
      </c>
      <c r="M6" s="1">
        <v>51440</v>
      </c>
      <c r="N6" s="1">
        <v>51680</v>
      </c>
      <c r="O6" s="1">
        <v>51860</v>
      </c>
      <c r="P6" s="1">
        <v>52070</v>
      </c>
      <c r="Q6" s="1">
        <v>52220</v>
      </c>
      <c r="R6" s="1">
        <v>52410</v>
      </c>
      <c r="S6" s="1">
        <v>52620</v>
      </c>
      <c r="T6" s="1">
        <v>52800</v>
      </c>
      <c r="U6" s="1">
        <v>52960</v>
      </c>
      <c r="V6" s="1">
        <v>53170</v>
      </c>
      <c r="W6" s="1">
        <v>53370</v>
      </c>
      <c r="X6" s="1">
        <v>53590</v>
      </c>
      <c r="Y6" s="1">
        <v>53780</v>
      </c>
      <c r="Z6" s="1">
        <v>54190</v>
      </c>
      <c r="AA6" s="5">
        <f>AVERAGE(B6:Y6)</f>
        <v>51544.583333333336</v>
      </c>
      <c r="AB6" s="5">
        <f>(AA7-AA5)/2</f>
        <v>4880</v>
      </c>
      <c r="AC6" s="14">
        <f>AB6/(23+AB151)</f>
        <v>195.63781966531934</v>
      </c>
      <c r="AD6" s="5">
        <f>AA6-AA5</f>
        <v>4890</v>
      </c>
      <c r="AE6" s="1">
        <f>AD6-AD5</f>
        <v>2.0833333333284827</v>
      </c>
      <c r="AG6" s="5">
        <f>Z6-Y6</f>
        <v>410</v>
      </c>
      <c r="AI6" s="1">
        <f>C6-B6</f>
        <v>180</v>
      </c>
      <c r="AJ6" s="1">
        <f>D6-C6</f>
        <v>190</v>
      </c>
      <c r="AK6" s="1">
        <f>E6-D6</f>
        <v>150</v>
      </c>
      <c r="AL6" s="1">
        <f>F6-E6</f>
        <v>210</v>
      </c>
      <c r="AM6" s="1">
        <f>G6-F6</f>
        <v>210</v>
      </c>
      <c r="AN6" s="1">
        <f>H6-G6</f>
        <v>200</v>
      </c>
      <c r="AO6" s="1">
        <f>I6-H6</f>
        <v>200</v>
      </c>
      <c r="AP6" s="1">
        <f>J6-I6</f>
        <v>160</v>
      </c>
      <c r="AQ6" s="1">
        <f>K6-J6</f>
        <v>240</v>
      </c>
      <c r="AR6" s="1">
        <f>L6-K6</f>
        <v>160</v>
      </c>
      <c r="AS6" s="1">
        <f>M6-L6</f>
        <v>200</v>
      </c>
      <c r="AT6" s="1">
        <f>N6-M6</f>
        <v>240</v>
      </c>
      <c r="AU6" s="1">
        <f>O6-N6</f>
        <v>180</v>
      </c>
      <c r="AV6" s="1">
        <f>P6-O6</f>
        <v>210</v>
      </c>
      <c r="AW6" s="1">
        <f>Q6-P6</f>
        <v>150</v>
      </c>
      <c r="AX6" s="1">
        <f>R6-Q6</f>
        <v>190</v>
      </c>
      <c r="AY6" s="1">
        <f>S6-R6</f>
        <v>210</v>
      </c>
      <c r="AZ6" s="1">
        <f>T6-S6</f>
        <v>180</v>
      </c>
      <c r="BA6" s="1">
        <f>U6-T6</f>
        <v>160</v>
      </c>
      <c r="BB6" s="1">
        <f>V6-U6</f>
        <v>210</v>
      </c>
      <c r="BC6" s="1">
        <f>W6-V6</f>
        <v>200</v>
      </c>
      <c r="BD6" s="1">
        <f>X6-W6</f>
        <v>220</v>
      </c>
      <c r="BE6" s="1">
        <f>Y6-X6</f>
        <v>190</v>
      </c>
      <c r="BF6" s="1">
        <f>Z6-Y6</f>
        <v>410</v>
      </c>
    </row>
    <row r="7" spans="1:58">
      <c r="A7" s="1">
        <v>5</v>
      </c>
      <c r="B7" s="1">
        <v>54190</v>
      </c>
      <c r="C7" s="1">
        <v>54420</v>
      </c>
      <c r="D7" s="1">
        <v>54560</v>
      </c>
      <c r="E7" s="1">
        <v>54790</v>
      </c>
      <c r="F7" s="1">
        <v>54970</v>
      </c>
      <c r="G7" s="1">
        <v>55160</v>
      </c>
      <c r="H7" s="1">
        <v>55330</v>
      </c>
      <c r="I7" s="1">
        <v>55510</v>
      </c>
      <c r="J7" s="1">
        <v>55640</v>
      </c>
      <c r="K7" s="1">
        <v>55890</v>
      </c>
      <c r="L7" s="1">
        <v>56090</v>
      </c>
      <c r="M7" s="1">
        <v>56340</v>
      </c>
      <c r="N7" s="1">
        <v>56540</v>
      </c>
      <c r="O7" s="1">
        <v>56740</v>
      </c>
      <c r="P7" s="1">
        <v>56900</v>
      </c>
      <c r="Q7" s="1">
        <v>57100</v>
      </c>
      <c r="R7" s="1">
        <v>57300</v>
      </c>
      <c r="S7" s="1">
        <v>57490</v>
      </c>
      <c r="T7" s="1">
        <v>57700</v>
      </c>
      <c r="U7" s="1">
        <v>57830</v>
      </c>
      <c r="V7" s="1">
        <v>58050</v>
      </c>
      <c r="W7" s="1">
        <v>58220</v>
      </c>
      <c r="X7" s="1">
        <v>58520</v>
      </c>
      <c r="Y7" s="1">
        <v>58670</v>
      </c>
      <c r="Z7" s="1">
        <v>59060</v>
      </c>
      <c r="AA7" s="5">
        <f>AVERAGE(B7:Y7)</f>
        <v>56414.583333333336</v>
      </c>
      <c r="AB7" s="5">
        <f>(AA8-AA6)/2</f>
        <v>4869.375</v>
      </c>
      <c r="AC7" s="14">
        <f>AB7/(23+AB151)</f>
        <v>195.21186642065868</v>
      </c>
      <c r="AD7" s="5">
        <f>AA7-AA6</f>
        <v>4870</v>
      </c>
      <c r="AE7" s="1">
        <f>AD7-AD6</f>
        <v>-20</v>
      </c>
      <c r="AG7" s="5">
        <f>Z7-Y7</f>
        <v>390</v>
      </c>
      <c r="AI7" s="1">
        <f>C7-B7</f>
        <v>230</v>
      </c>
      <c r="AJ7" s="1">
        <f>D7-C7</f>
        <v>140</v>
      </c>
      <c r="AK7" s="1">
        <f>E7-D7</f>
        <v>230</v>
      </c>
      <c r="AL7" s="1">
        <f>F7-E7</f>
        <v>180</v>
      </c>
      <c r="AM7" s="1">
        <f>G7-F7</f>
        <v>190</v>
      </c>
      <c r="AN7" s="1">
        <f>H7-G7</f>
        <v>170</v>
      </c>
      <c r="AO7" s="1">
        <f>I7-H7</f>
        <v>180</v>
      </c>
      <c r="AP7" s="1">
        <f>J7-I7</f>
        <v>130</v>
      </c>
      <c r="AQ7" s="1">
        <f>K7-J7</f>
        <v>250</v>
      </c>
      <c r="AR7" s="1">
        <f>L7-K7</f>
        <v>200</v>
      </c>
      <c r="AS7" s="1">
        <f>M7-L7</f>
        <v>250</v>
      </c>
      <c r="AT7" s="1">
        <f>N7-M7</f>
        <v>200</v>
      </c>
      <c r="AU7" s="1">
        <f>O7-N7</f>
        <v>200</v>
      </c>
      <c r="AV7" s="1">
        <f>P7-O7</f>
        <v>160</v>
      </c>
      <c r="AW7" s="1">
        <f>Q7-P7</f>
        <v>200</v>
      </c>
      <c r="AX7" s="1">
        <f>R7-Q7</f>
        <v>200</v>
      </c>
      <c r="AY7" s="1">
        <f>S7-R7</f>
        <v>190</v>
      </c>
      <c r="AZ7" s="1">
        <f>T7-S7</f>
        <v>210</v>
      </c>
      <c r="BA7" s="1">
        <f>U7-T7</f>
        <v>130</v>
      </c>
      <c r="BB7" s="1">
        <f>V7-U7</f>
        <v>220</v>
      </c>
      <c r="BC7" s="1">
        <f>W7-V7</f>
        <v>170</v>
      </c>
      <c r="BD7" s="1">
        <f>X7-W7</f>
        <v>300</v>
      </c>
      <c r="BE7" s="1">
        <f>Y7-X7</f>
        <v>150</v>
      </c>
      <c r="BF7" s="1">
        <f>Z7-Y7</f>
        <v>390</v>
      </c>
    </row>
    <row r="8" spans="1:58">
      <c r="A8" s="1">
        <v>6</v>
      </c>
      <c r="B8" s="1">
        <v>59060</v>
      </c>
      <c r="C8" s="1">
        <v>59290</v>
      </c>
      <c r="D8" s="1">
        <v>59480</v>
      </c>
      <c r="E8" s="1">
        <v>59650</v>
      </c>
      <c r="F8" s="1">
        <v>59810</v>
      </c>
      <c r="G8" s="1">
        <v>60020</v>
      </c>
      <c r="H8" s="1">
        <v>60210</v>
      </c>
      <c r="I8" s="1">
        <v>60410</v>
      </c>
      <c r="J8" s="1">
        <v>60550</v>
      </c>
      <c r="K8" s="1">
        <v>60810</v>
      </c>
      <c r="L8" s="1">
        <v>60970</v>
      </c>
      <c r="M8" s="1">
        <v>61120</v>
      </c>
      <c r="N8" s="1">
        <v>61400</v>
      </c>
      <c r="O8" s="1">
        <v>61580</v>
      </c>
      <c r="P8" s="1">
        <v>61810</v>
      </c>
      <c r="Q8" s="1">
        <v>61970</v>
      </c>
      <c r="R8" s="1">
        <v>62200</v>
      </c>
      <c r="S8" s="1">
        <v>62340</v>
      </c>
      <c r="T8" s="1">
        <v>62480</v>
      </c>
      <c r="U8" s="1">
        <v>62700</v>
      </c>
      <c r="V8" s="1">
        <v>62920</v>
      </c>
      <c r="W8" s="1">
        <v>63100</v>
      </c>
      <c r="X8" s="1">
        <v>63340</v>
      </c>
      <c r="Y8" s="1">
        <v>63580</v>
      </c>
      <c r="Z8" s="1">
        <v>63940</v>
      </c>
      <c r="AA8" s="5">
        <f>AVERAGE(B8:Y8)</f>
        <v>61283.333333333336</v>
      </c>
      <c r="AB8" s="5">
        <f>(AA9-AA7)/2</f>
        <v>4868.1249999999964</v>
      </c>
      <c r="AC8" s="14">
        <f>AB8/(23+AB151)</f>
        <v>195.16175427422789</v>
      </c>
      <c r="AD8" s="5">
        <f>AA8-AA7</f>
        <v>4868.75</v>
      </c>
      <c r="AE8" s="1">
        <f>AD8-AD7</f>
        <v>-1.25</v>
      </c>
      <c r="AG8" s="5">
        <f>Z8-Y8</f>
        <v>360</v>
      </c>
      <c r="AI8" s="1">
        <f>C8-B8</f>
        <v>230</v>
      </c>
      <c r="AJ8" s="1">
        <f>D8-C8</f>
        <v>190</v>
      </c>
      <c r="AK8" s="1">
        <f>E8-D8</f>
        <v>170</v>
      </c>
      <c r="AL8" s="1">
        <f>F8-E8</f>
        <v>160</v>
      </c>
      <c r="AM8" s="1">
        <f>G8-F8</f>
        <v>210</v>
      </c>
      <c r="AN8" s="1">
        <f>H8-G8</f>
        <v>190</v>
      </c>
      <c r="AO8" s="1">
        <f>I8-H8</f>
        <v>200</v>
      </c>
      <c r="AP8" s="1">
        <f>J8-I8</f>
        <v>140</v>
      </c>
      <c r="AQ8" s="1">
        <f>K8-J8</f>
        <v>260</v>
      </c>
      <c r="AR8" s="1">
        <f>L8-K8</f>
        <v>160</v>
      </c>
      <c r="AS8" s="1">
        <f>M8-L8</f>
        <v>150</v>
      </c>
      <c r="AT8" s="1">
        <f>N8-M8</f>
        <v>280</v>
      </c>
      <c r="AU8" s="1">
        <f>O8-N8</f>
        <v>180</v>
      </c>
      <c r="AV8" s="1">
        <f>P8-O8</f>
        <v>230</v>
      </c>
      <c r="AW8" s="1">
        <f>Q8-P8</f>
        <v>160</v>
      </c>
      <c r="AX8" s="1">
        <f>R8-Q8</f>
        <v>230</v>
      </c>
      <c r="AY8" s="1">
        <f>S8-R8</f>
        <v>140</v>
      </c>
      <c r="AZ8" s="1">
        <f>T8-S8</f>
        <v>140</v>
      </c>
      <c r="BA8" s="1">
        <f>U8-T8</f>
        <v>220</v>
      </c>
      <c r="BB8" s="1">
        <f>V8-U8</f>
        <v>220</v>
      </c>
      <c r="BC8" s="1">
        <f>W8-V8</f>
        <v>180</v>
      </c>
      <c r="BD8" s="1">
        <f>X8-W8</f>
        <v>240</v>
      </c>
      <c r="BE8" s="1">
        <f>Y8-X8</f>
        <v>240</v>
      </c>
      <c r="BF8" s="1">
        <f>Z8-Y8</f>
        <v>360</v>
      </c>
    </row>
    <row r="9" spans="1:58">
      <c r="A9" s="1">
        <v>7</v>
      </c>
      <c r="B9" s="1">
        <v>63940</v>
      </c>
      <c r="C9" s="1">
        <v>64090</v>
      </c>
      <c r="D9" s="1">
        <v>64320</v>
      </c>
      <c r="E9" s="1">
        <v>64520</v>
      </c>
      <c r="F9" s="1">
        <v>64750</v>
      </c>
      <c r="G9" s="1">
        <v>64950</v>
      </c>
      <c r="H9" s="1">
        <v>65010</v>
      </c>
      <c r="I9" s="1">
        <v>65250</v>
      </c>
      <c r="J9" s="1">
        <v>65440</v>
      </c>
      <c r="K9" s="1">
        <v>65620</v>
      </c>
      <c r="L9" s="1">
        <v>65860</v>
      </c>
      <c r="M9" s="1">
        <v>66020</v>
      </c>
      <c r="N9" s="1">
        <v>66270</v>
      </c>
      <c r="O9" s="1">
        <v>66420</v>
      </c>
      <c r="P9" s="1">
        <v>66640</v>
      </c>
      <c r="Q9" s="1">
        <v>66820</v>
      </c>
      <c r="R9" s="1">
        <v>67040</v>
      </c>
      <c r="S9" s="1">
        <v>67200</v>
      </c>
      <c r="T9" s="1">
        <v>67440</v>
      </c>
      <c r="U9" s="1">
        <v>67610</v>
      </c>
      <c r="V9" s="1">
        <v>67800</v>
      </c>
      <c r="W9" s="1">
        <v>68010</v>
      </c>
      <c r="X9" s="1">
        <v>68170</v>
      </c>
      <c r="Y9" s="1">
        <v>68430</v>
      </c>
      <c r="Z9" s="1">
        <v>68800</v>
      </c>
      <c r="AA9" s="5">
        <f>AVERAGE(B9:Y9)</f>
        <v>66150.833333333328</v>
      </c>
      <c r="AB9" s="5">
        <f>(AA10-AA8)/2</f>
        <v>4878.5416666666679</v>
      </c>
      <c r="AC9" s="14">
        <f>AB9/(23+AB151)</f>
        <v>195.57935549448362</v>
      </c>
      <c r="AD9" s="5">
        <f>AA9-AA8</f>
        <v>4867.4999999999927</v>
      </c>
      <c r="AE9" s="1">
        <f>AD9-AD8</f>
        <v>-1.250000000007276</v>
      </c>
      <c r="AG9" s="5">
        <f>Z9-Y9</f>
        <v>370</v>
      </c>
      <c r="AI9" s="1">
        <f>C9-B9</f>
        <v>150</v>
      </c>
      <c r="AJ9" s="1">
        <f>D9-C9</f>
        <v>230</v>
      </c>
      <c r="AK9" s="1">
        <f>E9-D9</f>
        <v>200</v>
      </c>
      <c r="AL9" s="1">
        <f>F9-E9</f>
        <v>230</v>
      </c>
      <c r="AM9" s="1">
        <f>G9-F9</f>
        <v>200</v>
      </c>
      <c r="AN9" s="1">
        <f>H9-G9</f>
        <v>60</v>
      </c>
      <c r="AO9" s="1">
        <f>I9-H9</f>
        <v>240</v>
      </c>
      <c r="AP9" s="1">
        <f>J9-I9</f>
        <v>190</v>
      </c>
      <c r="AQ9" s="1">
        <f>K9-J9</f>
        <v>180</v>
      </c>
      <c r="AR9" s="1">
        <f>L9-K9</f>
        <v>240</v>
      </c>
      <c r="AS9" s="1">
        <f>M9-L9</f>
        <v>160</v>
      </c>
      <c r="AT9" s="1">
        <f>N9-M9</f>
        <v>250</v>
      </c>
      <c r="AU9" s="1">
        <f>O9-N9</f>
        <v>150</v>
      </c>
      <c r="AV9" s="1">
        <f>P9-O9</f>
        <v>220</v>
      </c>
      <c r="AW9" s="1">
        <f>Q9-P9</f>
        <v>180</v>
      </c>
      <c r="AX9" s="1">
        <f>R9-Q9</f>
        <v>220</v>
      </c>
      <c r="AY9" s="1">
        <f>S9-R9</f>
        <v>160</v>
      </c>
      <c r="AZ9" s="1">
        <f>T9-S9</f>
        <v>240</v>
      </c>
      <c r="BA9" s="1">
        <f>U9-T9</f>
        <v>170</v>
      </c>
      <c r="BB9" s="1">
        <f>V9-U9</f>
        <v>190</v>
      </c>
      <c r="BC9" s="1">
        <f>W9-V9</f>
        <v>210</v>
      </c>
      <c r="BD9" s="1">
        <f>X9-W9</f>
        <v>160</v>
      </c>
      <c r="BE9" s="1">
        <f>Y9-X9</f>
        <v>260</v>
      </c>
      <c r="BF9" s="1">
        <f>Z9-Y9</f>
        <v>370</v>
      </c>
    </row>
    <row r="10" spans="1:58">
      <c r="A10" s="1">
        <v>8</v>
      </c>
      <c r="B10" s="1">
        <v>68800</v>
      </c>
      <c r="C10" s="1">
        <v>69010</v>
      </c>
      <c r="D10" s="1">
        <v>69200</v>
      </c>
      <c r="E10" s="1">
        <v>69410</v>
      </c>
      <c r="F10" s="1">
        <v>69570</v>
      </c>
      <c r="G10" s="1">
        <v>69760</v>
      </c>
      <c r="H10" s="1">
        <v>69980</v>
      </c>
      <c r="I10" s="1">
        <v>70180</v>
      </c>
      <c r="J10" s="1">
        <v>70370</v>
      </c>
      <c r="K10" s="1">
        <v>70550</v>
      </c>
      <c r="L10" s="1">
        <v>70780</v>
      </c>
      <c r="M10" s="1">
        <v>70930</v>
      </c>
      <c r="N10" s="1">
        <v>71090</v>
      </c>
      <c r="O10" s="1">
        <v>71310</v>
      </c>
      <c r="P10" s="1">
        <v>71530</v>
      </c>
      <c r="Q10" s="1">
        <v>71710</v>
      </c>
      <c r="R10" s="1">
        <v>71910</v>
      </c>
      <c r="S10" s="1">
        <v>72160</v>
      </c>
      <c r="T10" s="1">
        <v>72320</v>
      </c>
      <c r="U10" s="1">
        <v>72480</v>
      </c>
      <c r="V10" s="1">
        <v>72660</v>
      </c>
      <c r="W10" s="1">
        <v>72940</v>
      </c>
      <c r="X10" s="1">
        <v>73070</v>
      </c>
      <c r="Y10" s="1">
        <v>73250</v>
      </c>
      <c r="Z10" s="1">
        <v>73670</v>
      </c>
      <c r="AA10" s="5">
        <f>AVERAGE(B10:Y10)</f>
        <v>71040.416666666672</v>
      </c>
      <c r="AB10" s="5">
        <f>(AA11-AA9)/2</f>
        <v>4878.9583333333358</v>
      </c>
      <c r="AC10" s="14">
        <f>AB10/(23+AB151)</f>
        <v>195.5960595432939</v>
      </c>
      <c r="AD10" s="5">
        <f>AA10-AA9</f>
        <v>4889.583333333343</v>
      </c>
      <c r="AE10" s="1">
        <f>AD10-AD9</f>
        <v>22.083333333350311</v>
      </c>
      <c r="AG10" s="5">
        <f>Z10-Y10</f>
        <v>420</v>
      </c>
      <c r="AI10" s="1">
        <f>C10-B10</f>
        <v>210</v>
      </c>
      <c r="AJ10" s="1">
        <f>D10-C10</f>
        <v>190</v>
      </c>
      <c r="AK10" s="1">
        <f>E10-D10</f>
        <v>210</v>
      </c>
      <c r="AL10" s="1">
        <f>F10-E10</f>
        <v>160</v>
      </c>
      <c r="AM10" s="1">
        <f>G10-F10</f>
        <v>190</v>
      </c>
      <c r="AN10" s="1">
        <f>H10-G10</f>
        <v>220</v>
      </c>
      <c r="AO10" s="1">
        <f>I10-H10</f>
        <v>200</v>
      </c>
      <c r="AP10" s="1">
        <f>J10-I10</f>
        <v>190</v>
      </c>
      <c r="AQ10" s="1">
        <f>K10-J10</f>
        <v>180</v>
      </c>
      <c r="AR10" s="1">
        <f>L10-K10</f>
        <v>230</v>
      </c>
      <c r="AS10" s="1">
        <f>M10-L10</f>
        <v>150</v>
      </c>
      <c r="AT10" s="1">
        <f>N10-M10</f>
        <v>160</v>
      </c>
      <c r="AU10" s="1">
        <f>O10-N10</f>
        <v>220</v>
      </c>
      <c r="AV10" s="1">
        <f>P10-O10</f>
        <v>220</v>
      </c>
      <c r="AW10" s="1">
        <f>Q10-P10</f>
        <v>180</v>
      </c>
      <c r="AX10" s="1">
        <f>R10-Q10</f>
        <v>200</v>
      </c>
      <c r="AY10" s="1">
        <f>S10-R10</f>
        <v>250</v>
      </c>
      <c r="AZ10" s="1">
        <f>T10-S10</f>
        <v>160</v>
      </c>
      <c r="BA10" s="1">
        <f>U10-T10</f>
        <v>160</v>
      </c>
      <c r="BB10" s="1">
        <f>V10-U10</f>
        <v>180</v>
      </c>
      <c r="BC10" s="1">
        <f>W10-V10</f>
        <v>280</v>
      </c>
      <c r="BD10" s="1">
        <f>X10-W10</f>
        <v>130</v>
      </c>
      <c r="BE10" s="1">
        <f>Y10-X10</f>
        <v>180</v>
      </c>
      <c r="BF10" s="1">
        <f>Z10-Y10</f>
        <v>420</v>
      </c>
    </row>
    <row r="11" spans="1:58">
      <c r="A11" s="1">
        <v>9</v>
      </c>
      <c r="B11" s="1">
        <v>73670</v>
      </c>
      <c r="C11" s="1">
        <v>73830</v>
      </c>
      <c r="D11" s="1">
        <v>74040</v>
      </c>
      <c r="E11" s="1">
        <v>74240</v>
      </c>
      <c r="F11" s="1">
        <v>74490</v>
      </c>
      <c r="G11" s="1">
        <v>74680</v>
      </c>
      <c r="H11" s="1">
        <v>74870</v>
      </c>
      <c r="I11" s="1">
        <v>75060</v>
      </c>
      <c r="J11" s="1">
        <v>75270</v>
      </c>
      <c r="K11" s="1">
        <v>75420</v>
      </c>
      <c r="L11" s="1">
        <v>75580</v>
      </c>
      <c r="M11" s="1">
        <v>75780</v>
      </c>
      <c r="N11" s="1">
        <v>75970</v>
      </c>
      <c r="O11" s="1">
        <v>76150</v>
      </c>
      <c r="P11" s="1">
        <v>76380</v>
      </c>
      <c r="Q11" s="1">
        <v>76570</v>
      </c>
      <c r="R11" s="1">
        <v>76780</v>
      </c>
      <c r="S11" s="1">
        <v>76990</v>
      </c>
      <c r="T11" s="1">
        <v>77160</v>
      </c>
      <c r="U11" s="1">
        <v>77410</v>
      </c>
      <c r="V11" s="1">
        <v>77580</v>
      </c>
      <c r="W11" s="1">
        <v>77760</v>
      </c>
      <c r="X11" s="1">
        <v>77970</v>
      </c>
      <c r="Y11" s="1">
        <v>78160</v>
      </c>
      <c r="Z11" s="1">
        <v>78580</v>
      </c>
      <c r="AA11" s="5">
        <f>AVERAGE(B11:Y11)</f>
        <v>75908.75</v>
      </c>
      <c r="AB11" s="5">
        <f>(AA12-AA10)/2</f>
        <v>4880.8333333333285</v>
      </c>
      <c r="AC11" s="14">
        <f>AB11/(23+AB151)</f>
        <v>195.67122776293959</v>
      </c>
      <c r="AD11" s="5">
        <f>AA11-AA10</f>
        <v>4868.3333333333285</v>
      </c>
      <c r="AE11" s="1">
        <f>AD11-AD10</f>
        <v>-21.250000000014552</v>
      </c>
      <c r="AG11" s="5">
        <f>Z11-Y11</f>
        <v>420</v>
      </c>
      <c r="AI11" s="1">
        <f>C11-B11</f>
        <v>160</v>
      </c>
      <c r="AJ11" s="1">
        <f>D11-C11</f>
        <v>210</v>
      </c>
      <c r="AK11" s="1">
        <f>E11-D11</f>
        <v>200</v>
      </c>
      <c r="AL11" s="1">
        <f>F11-E11</f>
        <v>250</v>
      </c>
      <c r="AM11" s="1">
        <f>G11-F11</f>
        <v>190</v>
      </c>
      <c r="AN11" s="1">
        <f>H11-G11</f>
        <v>190</v>
      </c>
      <c r="AO11" s="1">
        <f>I11-H11</f>
        <v>190</v>
      </c>
      <c r="AP11" s="1">
        <f>J11-I11</f>
        <v>210</v>
      </c>
      <c r="AQ11" s="1">
        <f>K11-J11</f>
        <v>150</v>
      </c>
      <c r="AR11" s="1">
        <f>L11-K11</f>
        <v>160</v>
      </c>
      <c r="AS11" s="1">
        <f>M11-L11</f>
        <v>200</v>
      </c>
      <c r="AT11" s="1">
        <f>N11-M11</f>
        <v>190</v>
      </c>
      <c r="AU11" s="1">
        <f>O11-N11</f>
        <v>180</v>
      </c>
      <c r="AV11" s="1">
        <f>P11-O11</f>
        <v>230</v>
      </c>
      <c r="AW11" s="1">
        <f>Q11-P11</f>
        <v>190</v>
      </c>
      <c r="AX11" s="1">
        <f>R11-Q11</f>
        <v>210</v>
      </c>
      <c r="AY11" s="1">
        <f>S11-R11</f>
        <v>210</v>
      </c>
      <c r="AZ11" s="1">
        <f>T11-S11</f>
        <v>170</v>
      </c>
      <c r="BA11" s="1">
        <f>U11-T11</f>
        <v>250</v>
      </c>
      <c r="BB11" s="1">
        <f>V11-U11</f>
        <v>170</v>
      </c>
      <c r="BC11" s="1">
        <f>W11-V11</f>
        <v>180</v>
      </c>
      <c r="BD11" s="1">
        <f>X11-W11</f>
        <v>210</v>
      </c>
      <c r="BE11" s="1">
        <f>Y11-X11</f>
        <v>190</v>
      </c>
      <c r="BF11" s="1">
        <f>Z11-Y11</f>
        <v>420</v>
      </c>
    </row>
    <row r="12" spans="1:58">
      <c r="A12" s="1">
        <v>10</v>
      </c>
      <c r="B12" s="1">
        <v>78580</v>
      </c>
      <c r="C12" s="1">
        <v>78780</v>
      </c>
      <c r="D12" s="1">
        <v>78940</v>
      </c>
      <c r="E12" s="1">
        <v>79150</v>
      </c>
      <c r="F12" s="1">
        <v>79320</v>
      </c>
      <c r="G12" s="1">
        <v>79510</v>
      </c>
      <c r="H12" s="1">
        <v>79720</v>
      </c>
      <c r="I12" s="1">
        <v>79950</v>
      </c>
      <c r="J12" s="1">
        <v>80120</v>
      </c>
      <c r="K12" s="1">
        <v>80320</v>
      </c>
      <c r="L12" s="1">
        <v>80470</v>
      </c>
      <c r="M12" s="1">
        <v>80680</v>
      </c>
      <c r="N12" s="1">
        <v>80920</v>
      </c>
      <c r="O12" s="1">
        <v>81080</v>
      </c>
      <c r="P12" s="1">
        <v>81250</v>
      </c>
      <c r="Q12" s="1">
        <v>81450</v>
      </c>
      <c r="R12" s="1">
        <v>81700</v>
      </c>
      <c r="S12" s="1">
        <v>81910</v>
      </c>
      <c r="T12" s="1">
        <v>82110</v>
      </c>
      <c r="U12" s="1">
        <v>82270</v>
      </c>
      <c r="V12" s="1">
        <v>82450</v>
      </c>
      <c r="W12" s="1">
        <v>82630</v>
      </c>
      <c r="X12" s="1">
        <v>82880</v>
      </c>
      <c r="Y12" s="1">
        <v>83060</v>
      </c>
      <c r="Z12" s="1">
        <v>83420</v>
      </c>
      <c r="AA12" s="5">
        <f>AVERAGE(B12:Y12)</f>
        <v>80802.083333333328</v>
      </c>
      <c r="AB12" s="5">
        <f>(AA13-AA11)/2</f>
        <v>4886.25</v>
      </c>
      <c r="AC12" s="14">
        <f>AB12/(23+AB151)</f>
        <v>195.88838039747267</v>
      </c>
      <c r="AD12" s="5">
        <f>AA12-AA11</f>
        <v>4893.3333333333285</v>
      </c>
      <c r="AE12" s="1">
        <f>AD12-AD11</f>
        <v>25</v>
      </c>
      <c r="AG12" s="5">
        <f>Z12-Y12</f>
        <v>360</v>
      </c>
      <c r="AI12" s="1">
        <f>C12-B12</f>
        <v>200</v>
      </c>
      <c r="AJ12" s="1">
        <f>D12-C12</f>
        <v>160</v>
      </c>
      <c r="AK12" s="1">
        <f>E12-D12</f>
        <v>210</v>
      </c>
      <c r="AL12" s="1">
        <f>F12-E12</f>
        <v>170</v>
      </c>
      <c r="AM12" s="1">
        <f>G12-F12</f>
        <v>190</v>
      </c>
      <c r="AN12" s="1">
        <f>H12-G12</f>
        <v>210</v>
      </c>
      <c r="AO12" s="1">
        <f>I12-H12</f>
        <v>230</v>
      </c>
      <c r="AP12" s="1">
        <f>J12-I12</f>
        <v>170</v>
      </c>
      <c r="AQ12" s="1">
        <f>K12-J12</f>
        <v>200</v>
      </c>
      <c r="AR12" s="1">
        <f>L12-K12</f>
        <v>150</v>
      </c>
      <c r="AS12" s="1">
        <f>M12-L12</f>
        <v>210</v>
      </c>
      <c r="AT12" s="1">
        <f>N12-M12</f>
        <v>240</v>
      </c>
      <c r="AU12" s="1">
        <f>O12-N12</f>
        <v>160</v>
      </c>
      <c r="AV12" s="1">
        <f>P12-O12</f>
        <v>170</v>
      </c>
      <c r="AW12" s="1">
        <f>Q12-P12</f>
        <v>200</v>
      </c>
      <c r="AX12" s="1">
        <f>R12-Q12</f>
        <v>250</v>
      </c>
      <c r="AY12" s="1">
        <f>S12-R12</f>
        <v>210</v>
      </c>
      <c r="AZ12" s="1">
        <f>T12-S12</f>
        <v>200</v>
      </c>
      <c r="BA12" s="1">
        <f>U12-T12</f>
        <v>160</v>
      </c>
      <c r="BB12" s="1">
        <f>V12-U12</f>
        <v>180</v>
      </c>
      <c r="BC12" s="1">
        <f>W12-V12</f>
        <v>180</v>
      </c>
      <c r="BD12" s="1">
        <f>X12-W12</f>
        <v>250</v>
      </c>
      <c r="BE12" s="1">
        <f>Y12-X12</f>
        <v>180</v>
      </c>
      <c r="BF12" s="1">
        <f>Z12-Y12</f>
        <v>360</v>
      </c>
    </row>
    <row r="13" spans="1:58">
      <c r="A13" s="1">
        <v>11</v>
      </c>
      <c r="B13" s="1">
        <v>83420</v>
      </c>
      <c r="C13" s="1">
        <v>83610</v>
      </c>
      <c r="D13" s="1">
        <v>83820</v>
      </c>
      <c r="E13" s="1">
        <v>84020</v>
      </c>
      <c r="F13" s="1">
        <v>84190</v>
      </c>
      <c r="G13" s="1">
        <v>84420</v>
      </c>
      <c r="H13" s="1">
        <v>84610</v>
      </c>
      <c r="I13" s="1">
        <v>84820</v>
      </c>
      <c r="J13" s="1">
        <v>85010</v>
      </c>
      <c r="K13" s="1">
        <v>85210</v>
      </c>
      <c r="L13" s="1">
        <v>85380</v>
      </c>
      <c r="M13" s="1">
        <v>85600</v>
      </c>
      <c r="N13" s="1">
        <v>85790</v>
      </c>
      <c r="O13" s="1">
        <v>85950</v>
      </c>
      <c r="P13" s="1">
        <v>86130</v>
      </c>
      <c r="Q13" s="1">
        <v>86350</v>
      </c>
      <c r="R13" s="1">
        <v>86580</v>
      </c>
      <c r="S13" s="1">
        <v>86750</v>
      </c>
      <c r="T13" s="1">
        <v>86970</v>
      </c>
      <c r="U13" s="1">
        <v>87100</v>
      </c>
      <c r="V13" s="1">
        <v>87350</v>
      </c>
      <c r="W13" s="1">
        <v>87550</v>
      </c>
      <c r="X13" s="1">
        <v>87740</v>
      </c>
      <c r="Y13" s="1">
        <v>87980</v>
      </c>
      <c r="Z13" s="1">
        <v>88320</v>
      </c>
      <c r="AA13" s="5">
        <f>AVERAGE(B13:Y13)</f>
        <v>85681.25</v>
      </c>
      <c r="AB13" s="5">
        <f>(AA14-AA12)/2</f>
        <v>4876.4583333333358</v>
      </c>
      <c r="AC13" s="14">
        <f>AB13/(23+AB151)</f>
        <v>195.49583525043255</v>
      </c>
      <c r="AD13" s="5">
        <f>AA13-AA12</f>
        <v>4879.1666666666715</v>
      </c>
      <c r="AE13" s="1">
        <f>AD13-AD12</f>
        <v>-14.166666666656965</v>
      </c>
      <c r="AG13" s="5">
        <f>Z13-Y13</f>
        <v>340</v>
      </c>
      <c r="AI13" s="1">
        <f>C13-B13</f>
        <v>190</v>
      </c>
      <c r="AJ13" s="1">
        <f>D13-C13</f>
        <v>210</v>
      </c>
      <c r="AK13" s="1">
        <f>E13-D13</f>
        <v>200</v>
      </c>
      <c r="AL13" s="1">
        <f>F13-E13</f>
        <v>170</v>
      </c>
      <c r="AM13" s="1">
        <f>G13-F13</f>
        <v>230</v>
      </c>
      <c r="AN13" s="1">
        <f>H13-G13</f>
        <v>190</v>
      </c>
      <c r="AO13" s="1">
        <f>I13-H13</f>
        <v>210</v>
      </c>
      <c r="AP13" s="1">
        <f>J13-I13</f>
        <v>190</v>
      </c>
      <c r="AQ13" s="1">
        <f>K13-J13</f>
        <v>200</v>
      </c>
      <c r="AR13" s="1">
        <f>L13-K13</f>
        <v>170</v>
      </c>
      <c r="AS13" s="1">
        <f>M13-L13</f>
        <v>220</v>
      </c>
      <c r="AT13" s="1">
        <f>N13-M13</f>
        <v>190</v>
      </c>
      <c r="AU13" s="1">
        <f>O13-N13</f>
        <v>160</v>
      </c>
      <c r="AV13" s="1">
        <f>P13-O13</f>
        <v>180</v>
      </c>
      <c r="AW13" s="1">
        <f>Q13-P13</f>
        <v>220</v>
      </c>
      <c r="AX13" s="1">
        <f>R13-Q13</f>
        <v>230</v>
      </c>
      <c r="AY13" s="1">
        <f>S13-R13</f>
        <v>170</v>
      </c>
      <c r="AZ13" s="1">
        <f>T13-S13</f>
        <v>220</v>
      </c>
      <c r="BA13" s="1">
        <f>U13-T13</f>
        <v>130</v>
      </c>
      <c r="BB13" s="1">
        <f>V13-U13</f>
        <v>250</v>
      </c>
      <c r="BC13" s="1">
        <f>W13-V13</f>
        <v>200</v>
      </c>
      <c r="BD13" s="1">
        <f>X13-W13</f>
        <v>190</v>
      </c>
      <c r="BE13" s="1">
        <f>Y13-X13</f>
        <v>240</v>
      </c>
      <c r="BF13" s="1">
        <f>Z13-Y13</f>
        <v>340</v>
      </c>
    </row>
    <row r="14" spans="1:58">
      <c r="A14" s="1">
        <v>12</v>
      </c>
      <c r="B14" s="1">
        <v>88320</v>
      </c>
      <c r="C14" s="1">
        <v>88510</v>
      </c>
      <c r="D14" s="1">
        <v>88710</v>
      </c>
      <c r="E14" s="1">
        <v>88900</v>
      </c>
      <c r="F14" s="1">
        <v>89120</v>
      </c>
      <c r="G14" s="1">
        <v>89300</v>
      </c>
      <c r="H14" s="1">
        <v>89460</v>
      </c>
      <c r="I14" s="1">
        <v>89690</v>
      </c>
      <c r="J14" s="1">
        <v>89840</v>
      </c>
      <c r="K14" s="1">
        <v>90030</v>
      </c>
      <c r="L14" s="1">
        <v>90260</v>
      </c>
      <c r="M14" s="1">
        <v>90500</v>
      </c>
      <c r="N14" s="1">
        <v>90680</v>
      </c>
      <c r="O14" s="1">
        <v>90840</v>
      </c>
      <c r="P14" s="1">
        <v>90980</v>
      </c>
      <c r="Q14" s="1">
        <v>91260</v>
      </c>
      <c r="R14" s="1">
        <v>91420</v>
      </c>
      <c r="S14" s="1">
        <v>91610</v>
      </c>
      <c r="T14" s="1">
        <v>91840</v>
      </c>
      <c r="U14" s="1">
        <v>92010</v>
      </c>
      <c r="V14" s="1">
        <v>92210</v>
      </c>
      <c r="W14" s="1">
        <v>92390</v>
      </c>
      <c r="X14" s="1">
        <v>92610</v>
      </c>
      <c r="Y14" s="1">
        <v>92830</v>
      </c>
      <c r="Z14" s="1">
        <v>93190</v>
      </c>
      <c r="AA14" s="5">
        <f>AVERAGE(B14:Y14)</f>
        <v>90555</v>
      </c>
      <c r="AB14" s="5">
        <f>(AA15-AA13)/2</f>
        <v>4877.9166666666642</v>
      </c>
      <c r="AC14" s="14">
        <f>AB14/(23+AB151)</f>
        <v>195.55429942126815</v>
      </c>
      <c r="AD14" s="5">
        <f>AA14-AA13</f>
        <v>4873.75</v>
      </c>
      <c r="AE14" s="1">
        <f>AD14-AD13</f>
        <v>-5.4166666666715173</v>
      </c>
      <c r="AG14" s="5">
        <f>Z14-Y14</f>
        <v>360</v>
      </c>
      <c r="AI14" s="1">
        <f>C14-B14</f>
        <v>190</v>
      </c>
      <c r="AJ14" s="1">
        <f>D14-C14</f>
        <v>200</v>
      </c>
      <c r="AK14" s="1">
        <f>E14-D14</f>
        <v>190</v>
      </c>
      <c r="AL14" s="1">
        <f>F14-E14</f>
        <v>220</v>
      </c>
      <c r="AM14" s="1">
        <f>G14-F14</f>
        <v>180</v>
      </c>
      <c r="AN14" s="1">
        <f>H14-G14</f>
        <v>160</v>
      </c>
      <c r="AO14" s="1">
        <f>I14-H14</f>
        <v>230</v>
      </c>
      <c r="AP14" s="1">
        <f>J14-I14</f>
        <v>150</v>
      </c>
      <c r="AQ14" s="1">
        <f>K14-J14</f>
        <v>190</v>
      </c>
      <c r="AR14" s="1">
        <f>L14-K14</f>
        <v>230</v>
      </c>
      <c r="AS14" s="1">
        <f>M14-L14</f>
        <v>240</v>
      </c>
      <c r="AT14" s="1">
        <f>N14-M14</f>
        <v>180</v>
      </c>
      <c r="AU14" s="1">
        <f>O14-N14</f>
        <v>160</v>
      </c>
      <c r="AV14" s="1">
        <f>P14-O14</f>
        <v>140</v>
      </c>
      <c r="AW14" s="1">
        <f>Q14-P14</f>
        <v>280</v>
      </c>
      <c r="AX14" s="1">
        <f>R14-Q14</f>
        <v>160</v>
      </c>
      <c r="AY14" s="1">
        <f>S14-R14</f>
        <v>190</v>
      </c>
      <c r="AZ14" s="1">
        <f>T14-S14</f>
        <v>230</v>
      </c>
      <c r="BA14" s="1">
        <f>U14-T14</f>
        <v>170</v>
      </c>
      <c r="BB14" s="1">
        <f>V14-U14</f>
        <v>200</v>
      </c>
      <c r="BC14" s="1">
        <f>W14-V14</f>
        <v>180</v>
      </c>
      <c r="BD14" s="1">
        <f>X14-W14</f>
        <v>220</v>
      </c>
      <c r="BE14" s="1">
        <f>Y14-X14</f>
        <v>220</v>
      </c>
      <c r="BF14" s="1">
        <f>Z14-Y14</f>
        <v>360</v>
      </c>
    </row>
    <row r="15" spans="1:58">
      <c r="A15" s="1">
        <v>13</v>
      </c>
      <c r="B15" s="1">
        <v>93190</v>
      </c>
      <c r="C15" s="1">
        <v>93390</v>
      </c>
      <c r="D15" s="1">
        <v>93630</v>
      </c>
      <c r="E15" s="1">
        <v>93780</v>
      </c>
      <c r="F15" s="1">
        <v>93960</v>
      </c>
      <c r="G15" s="1">
        <v>94170</v>
      </c>
      <c r="H15" s="1">
        <v>94340</v>
      </c>
      <c r="I15" s="1">
        <v>94530</v>
      </c>
      <c r="J15" s="1">
        <v>94720</v>
      </c>
      <c r="K15" s="1">
        <v>94970</v>
      </c>
      <c r="L15" s="1">
        <v>95150</v>
      </c>
      <c r="M15" s="1">
        <v>95380</v>
      </c>
      <c r="N15" s="1">
        <v>95520</v>
      </c>
      <c r="O15" s="1">
        <v>95740</v>
      </c>
      <c r="P15" s="1">
        <v>95900</v>
      </c>
      <c r="Q15" s="1">
        <v>96160</v>
      </c>
      <c r="R15" s="1">
        <v>96320</v>
      </c>
      <c r="S15" s="1">
        <v>96490</v>
      </c>
      <c r="T15" s="1">
        <v>96720</v>
      </c>
      <c r="U15" s="1">
        <v>96910</v>
      </c>
      <c r="V15" s="1">
        <v>97080</v>
      </c>
      <c r="W15" s="1">
        <v>97290</v>
      </c>
      <c r="X15" s="1">
        <v>97460</v>
      </c>
      <c r="Y15" s="1">
        <v>97690</v>
      </c>
      <c r="Z15" s="1">
        <v>98080</v>
      </c>
      <c r="AA15" s="5">
        <f>AVERAGE(B15:Y15)</f>
        <v>95437.083333333328</v>
      </c>
      <c r="AB15" s="5">
        <f>(AA16-AA14)/2</f>
        <v>4880.8333333333358</v>
      </c>
      <c r="AC15" s="14">
        <f>AB15/(23+AB151)</f>
        <v>195.67122776293991</v>
      </c>
      <c r="AD15" s="5">
        <f>AA15-AA14</f>
        <v>4882.0833333333285</v>
      </c>
      <c r="AE15" s="1">
        <f>AD15-AD14</f>
        <v>8.3333333333284827</v>
      </c>
      <c r="AG15" s="5">
        <f>Z15-Y15</f>
        <v>390</v>
      </c>
      <c r="AI15" s="1">
        <f>C15-B15</f>
        <v>200</v>
      </c>
      <c r="AJ15" s="1">
        <f>D15-C15</f>
        <v>240</v>
      </c>
      <c r="AK15" s="1">
        <f>E15-D15</f>
        <v>150</v>
      </c>
      <c r="AL15" s="1">
        <f>F15-E15</f>
        <v>180</v>
      </c>
      <c r="AM15" s="1">
        <f>G15-F15</f>
        <v>210</v>
      </c>
      <c r="AN15" s="1">
        <f>H15-G15</f>
        <v>170</v>
      </c>
      <c r="AO15" s="1">
        <f>I15-H15</f>
        <v>190</v>
      </c>
      <c r="AP15" s="1">
        <f>J15-I15</f>
        <v>190</v>
      </c>
      <c r="AQ15" s="1">
        <f>K15-J15</f>
        <v>250</v>
      </c>
      <c r="AR15" s="1">
        <f>L15-K15</f>
        <v>180</v>
      </c>
      <c r="AS15" s="1">
        <f>M15-L15</f>
        <v>230</v>
      </c>
      <c r="AT15" s="1">
        <f>N15-M15</f>
        <v>140</v>
      </c>
      <c r="AU15" s="1">
        <f>O15-N15</f>
        <v>220</v>
      </c>
      <c r="AV15" s="1">
        <f>P15-O15</f>
        <v>160</v>
      </c>
      <c r="AW15" s="1">
        <f>Q15-P15</f>
        <v>260</v>
      </c>
      <c r="AX15" s="1">
        <f>R15-Q15</f>
        <v>160</v>
      </c>
      <c r="AY15" s="1">
        <f>S15-R15</f>
        <v>170</v>
      </c>
      <c r="AZ15" s="1">
        <f>T15-S15</f>
        <v>230</v>
      </c>
      <c r="BA15" s="1">
        <f>U15-T15</f>
        <v>190</v>
      </c>
      <c r="BB15" s="1">
        <f>V15-U15</f>
        <v>170</v>
      </c>
      <c r="BC15" s="1">
        <f>W15-V15</f>
        <v>210</v>
      </c>
      <c r="BD15" s="1">
        <f>X15-W15</f>
        <v>170</v>
      </c>
      <c r="BE15" s="1">
        <f>Y15-X15</f>
        <v>230</v>
      </c>
      <c r="BF15" s="1">
        <f>Z15-Y15</f>
        <v>390</v>
      </c>
    </row>
    <row r="16" spans="1:58">
      <c r="A16" s="1">
        <v>14</v>
      </c>
      <c r="B16" s="1">
        <v>98080</v>
      </c>
      <c r="C16" s="1">
        <v>98270</v>
      </c>
      <c r="D16" s="1">
        <v>98490</v>
      </c>
      <c r="E16" s="1">
        <v>98680</v>
      </c>
      <c r="F16" s="1">
        <v>98870</v>
      </c>
      <c r="G16" s="1">
        <v>99070</v>
      </c>
      <c r="H16" s="1">
        <v>99250</v>
      </c>
      <c r="I16" s="1">
        <v>99440</v>
      </c>
      <c r="J16" s="1">
        <v>99580</v>
      </c>
      <c r="K16" s="1">
        <v>99820</v>
      </c>
      <c r="L16" s="1">
        <v>100000</v>
      </c>
      <c r="M16" s="1">
        <v>100190</v>
      </c>
      <c r="N16" s="1">
        <v>100430</v>
      </c>
      <c r="O16" s="1">
        <v>100640</v>
      </c>
      <c r="P16" s="1">
        <v>100800</v>
      </c>
      <c r="Q16" s="1">
        <v>101030</v>
      </c>
      <c r="R16" s="1">
        <v>101170</v>
      </c>
      <c r="S16" s="1">
        <v>101380</v>
      </c>
      <c r="T16" s="1">
        <v>101550</v>
      </c>
      <c r="U16" s="1">
        <v>101770</v>
      </c>
      <c r="V16" s="1">
        <v>101950</v>
      </c>
      <c r="W16" s="1">
        <v>102180</v>
      </c>
      <c r="X16" s="1">
        <v>102370</v>
      </c>
      <c r="Y16" s="1">
        <v>102590</v>
      </c>
      <c r="Z16" s="1">
        <v>102950</v>
      </c>
      <c r="AA16" s="5">
        <f>AVERAGE(B16:Y16)</f>
        <v>100316.66666666667</v>
      </c>
      <c r="AB16" s="5">
        <f>(AA17-AA15)/2</f>
        <v>4870.2083333333358</v>
      </c>
      <c r="AC16" s="14">
        <f>AB16/(23+AB151)</f>
        <v>195.24527451827925</v>
      </c>
      <c r="AD16" s="5">
        <f>AA16-AA15</f>
        <v>4879.583333333343</v>
      </c>
      <c r="AE16" s="1">
        <f>AD16-AD15</f>
        <v>-2.4999999999854481</v>
      </c>
      <c r="AG16" s="5">
        <f>Z16-Y16</f>
        <v>360</v>
      </c>
      <c r="AI16" s="1">
        <f>C16-B16</f>
        <v>190</v>
      </c>
      <c r="AJ16" s="1">
        <f>D16-C16</f>
        <v>220</v>
      </c>
      <c r="AK16" s="1">
        <f>E16-D16</f>
        <v>190</v>
      </c>
      <c r="AL16" s="1">
        <f>F16-E16</f>
        <v>190</v>
      </c>
      <c r="AM16" s="1">
        <f>G16-F16</f>
        <v>200</v>
      </c>
      <c r="AN16" s="1">
        <f>H16-G16</f>
        <v>180</v>
      </c>
      <c r="AO16" s="1">
        <f>I16-H16</f>
        <v>190</v>
      </c>
      <c r="AP16" s="1">
        <f>J16-I16</f>
        <v>140</v>
      </c>
      <c r="AQ16" s="1">
        <f>K16-J16</f>
        <v>240</v>
      </c>
      <c r="AR16" s="1">
        <f>L16-K16</f>
        <v>180</v>
      </c>
      <c r="AS16" s="1">
        <f>M16-L16</f>
        <v>190</v>
      </c>
      <c r="AT16" s="1">
        <f>N16-M16</f>
        <v>240</v>
      </c>
      <c r="AU16" s="1">
        <f>O16-N16</f>
        <v>210</v>
      </c>
      <c r="AV16" s="1">
        <f>P16-O16</f>
        <v>160</v>
      </c>
      <c r="AW16" s="1">
        <f>Q16-P16</f>
        <v>230</v>
      </c>
      <c r="AX16" s="1">
        <f>R16-Q16</f>
        <v>140</v>
      </c>
      <c r="AY16" s="1">
        <f>S16-R16</f>
        <v>210</v>
      </c>
      <c r="AZ16" s="1">
        <f>T16-S16</f>
        <v>170</v>
      </c>
      <c r="BA16" s="1">
        <f>U16-T16</f>
        <v>220</v>
      </c>
      <c r="BB16" s="1">
        <f>V16-U16</f>
        <v>180</v>
      </c>
      <c r="BC16" s="1">
        <f>W16-V16</f>
        <v>230</v>
      </c>
      <c r="BD16" s="1">
        <f>X16-W16</f>
        <v>190</v>
      </c>
      <c r="BE16" s="1">
        <f>Y16-X16</f>
        <v>220</v>
      </c>
      <c r="BF16" s="1">
        <f>Z16-Y16</f>
        <v>360</v>
      </c>
    </row>
    <row r="17" spans="1:58">
      <c r="A17" s="1">
        <v>15</v>
      </c>
      <c r="B17" s="1">
        <v>102950</v>
      </c>
      <c r="C17" s="1">
        <v>103110</v>
      </c>
      <c r="D17" s="1">
        <v>103330</v>
      </c>
      <c r="E17" s="1">
        <v>103520</v>
      </c>
      <c r="F17" s="1">
        <v>103740</v>
      </c>
      <c r="G17" s="1">
        <v>103930</v>
      </c>
      <c r="H17" s="1">
        <v>104130</v>
      </c>
      <c r="I17" s="1">
        <v>104350</v>
      </c>
      <c r="J17" s="1">
        <v>104520</v>
      </c>
      <c r="K17" s="1">
        <v>104680</v>
      </c>
      <c r="L17" s="1">
        <v>104880</v>
      </c>
      <c r="M17" s="1">
        <v>105070</v>
      </c>
      <c r="N17" s="1">
        <v>105230</v>
      </c>
      <c r="O17" s="1">
        <v>105470</v>
      </c>
      <c r="P17" s="1">
        <v>105610</v>
      </c>
      <c r="Q17" s="1">
        <v>105830</v>
      </c>
      <c r="R17" s="1">
        <v>106030</v>
      </c>
      <c r="S17" s="1">
        <v>106250</v>
      </c>
      <c r="T17" s="1">
        <v>106450</v>
      </c>
      <c r="U17" s="1">
        <v>106650</v>
      </c>
      <c r="V17" s="1">
        <v>106870</v>
      </c>
      <c r="W17" s="1">
        <v>107030</v>
      </c>
      <c r="X17" s="1">
        <v>107210</v>
      </c>
      <c r="Y17" s="1">
        <v>107420</v>
      </c>
      <c r="Z17" s="1">
        <v>107820</v>
      </c>
      <c r="AA17" s="5">
        <f>AVERAGE(B17:Y17)</f>
        <v>105177.5</v>
      </c>
      <c r="AB17" s="5">
        <f>(AA18-AA16)/2</f>
        <v>4852.5</v>
      </c>
      <c r="AC17" s="14">
        <f>AB17/(23+AB151)</f>
        <v>194.53535244384472</v>
      </c>
      <c r="AD17" s="5">
        <f>AA17-AA16</f>
        <v>4860.8333333333285</v>
      </c>
      <c r="AE17" s="1">
        <f>AD17-AD16</f>
        <v>-18.750000000014552</v>
      </c>
      <c r="AG17" s="5">
        <f>Z17-Y17</f>
        <v>400</v>
      </c>
      <c r="AI17" s="1">
        <f>C17-B17</f>
        <v>160</v>
      </c>
      <c r="AJ17" s="1">
        <f>D17-C17</f>
        <v>220</v>
      </c>
      <c r="AK17" s="1">
        <f>E17-D17</f>
        <v>190</v>
      </c>
      <c r="AL17" s="1">
        <f>F17-E17</f>
        <v>220</v>
      </c>
      <c r="AM17" s="1">
        <f>G17-F17</f>
        <v>190</v>
      </c>
      <c r="AN17" s="1">
        <f>H17-G17</f>
        <v>200</v>
      </c>
      <c r="AO17" s="1">
        <f>I17-H17</f>
        <v>220</v>
      </c>
      <c r="AP17" s="1">
        <f>J17-I17</f>
        <v>170</v>
      </c>
      <c r="AQ17" s="1">
        <f>K17-J17</f>
        <v>160</v>
      </c>
      <c r="AR17" s="1">
        <f>L17-K17</f>
        <v>200</v>
      </c>
      <c r="AS17" s="1">
        <f>M17-L17</f>
        <v>190</v>
      </c>
      <c r="AT17" s="1">
        <f>N17-M17</f>
        <v>160</v>
      </c>
      <c r="AU17" s="1">
        <f>O17-N17</f>
        <v>240</v>
      </c>
      <c r="AV17" s="1">
        <f>P17-O17</f>
        <v>140</v>
      </c>
      <c r="AW17" s="1">
        <f>Q17-P17</f>
        <v>220</v>
      </c>
      <c r="AX17" s="1">
        <f>R17-Q17</f>
        <v>200</v>
      </c>
      <c r="AY17" s="1">
        <f>S17-R17</f>
        <v>220</v>
      </c>
      <c r="AZ17" s="1">
        <f>T17-S17</f>
        <v>200</v>
      </c>
      <c r="BA17" s="1">
        <f>U17-T17</f>
        <v>200</v>
      </c>
      <c r="BB17" s="1">
        <f>V17-U17</f>
        <v>220</v>
      </c>
      <c r="BC17" s="1">
        <f>W17-V17</f>
        <v>160</v>
      </c>
      <c r="BD17" s="1">
        <f>X17-W17</f>
        <v>180</v>
      </c>
      <c r="BE17" s="1">
        <f>Y17-X17</f>
        <v>210</v>
      </c>
      <c r="BF17" s="1">
        <f>Z17-Y17</f>
        <v>400</v>
      </c>
    </row>
    <row r="18" spans="1:58">
      <c r="A18" s="1">
        <v>16</v>
      </c>
      <c r="B18" s="1">
        <v>107820</v>
      </c>
      <c r="C18" s="1">
        <v>107960</v>
      </c>
      <c r="D18" s="1">
        <v>108170</v>
      </c>
      <c r="E18" s="1">
        <v>108370</v>
      </c>
      <c r="F18" s="1">
        <v>108540</v>
      </c>
      <c r="G18" s="1">
        <v>108740</v>
      </c>
      <c r="H18" s="1">
        <v>108920</v>
      </c>
      <c r="I18" s="1">
        <v>109180</v>
      </c>
      <c r="J18" s="1">
        <v>109380</v>
      </c>
      <c r="K18" s="1">
        <v>109560</v>
      </c>
      <c r="L18" s="1">
        <v>109750</v>
      </c>
      <c r="M18" s="1">
        <v>109920</v>
      </c>
      <c r="N18" s="1">
        <v>110110</v>
      </c>
      <c r="O18" s="1">
        <v>110290</v>
      </c>
      <c r="P18" s="1">
        <v>110500</v>
      </c>
      <c r="Q18" s="1">
        <v>110700</v>
      </c>
      <c r="R18" s="1">
        <v>110890</v>
      </c>
      <c r="S18" s="1">
        <v>111060</v>
      </c>
      <c r="T18" s="1">
        <v>111230</v>
      </c>
      <c r="U18" s="1">
        <v>111460</v>
      </c>
      <c r="V18" s="1">
        <v>111680</v>
      </c>
      <c r="W18" s="1">
        <v>111910</v>
      </c>
      <c r="X18" s="1">
        <v>112100</v>
      </c>
      <c r="Y18" s="1">
        <v>112280</v>
      </c>
      <c r="Z18" s="1">
        <v>112670</v>
      </c>
      <c r="AA18" s="5">
        <f>AVERAGE(B18:Y18)</f>
        <v>110021.66666666667</v>
      </c>
      <c r="AB18" s="5">
        <f>(AA19-AA17)/2</f>
        <v>4847.5</v>
      </c>
      <c r="AC18" s="14">
        <f>AB18/(23+AB151)</f>
        <v>194.33490385812203</v>
      </c>
      <c r="AD18" s="5">
        <f>AA18-AA17</f>
        <v>4844.1666666666715</v>
      </c>
      <c r="AE18" s="1">
        <f>AD18-AD17</f>
        <v>-16.666666666656965</v>
      </c>
      <c r="AG18" s="5">
        <f>Z18-Y18</f>
        <v>390</v>
      </c>
      <c r="AI18" s="1">
        <f>C18-B18</f>
        <v>140</v>
      </c>
      <c r="AJ18" s="1">
        <f>D18-C18</f>
        <v>210</v>
      </c>
      <c r="AK18" s="1">
        <f>E18-D18</f>
        <v>200</v>
      </c>
      <c r="AL18" s="1">
        <f>F18-E18</f>
        <v>170</v>
      </c>
      <c r="AM18" s="1">
        <f>G18-F18</f>
        <v>200</v>
      </c>
      <c r="AN18" s="1">
        <f>H18-G18</f>
        <v>180</v>
      </c>
      <c r="AO18" s="1">
        <f>I18-H18</f>
        <v>260</v>
      </c>
      <c r="AP18" s="1">
        <f>J18-I18</f>
        <v>200</v>
      </c>
      <c r="AQ18" s="1">
        <f>K18-J18</f>
        <v>180</v>
      </c>
      <c r="AR18" s="1">
        <f>L18-K18</f>
        <v>190</v>
      </c>
      <c r="AS18" s="1">
        <f>M18-L18</f>
        <v>170</v>
      </c>
      <c r="AT18" s="1">
        <f>N18-M18</f>
        <v>190</v>
      </c>
      <c r="AU18" s="1">
        <f>O18-N18</f>
        <v>180</v>
      </c>
      <c r="AV18" s="1">
        <f>P18-O18</f>
        <v>210</v>
      </c>
      <c r="AW18" s="1">
        <f>Q18-P18</f>
        <v>200</v>
      </c>
      <c r="AX18" s="1">
        <f>R18-Q18</f>
        <v>190</v>
      </c>
      <c r="AY18" s="1">
        <f>S18-R18</f>
        <v>170</v>
      </c>
      <c r="AZ18" s="1">
        <f>T18-S18</f>
        <v>170</v>
      </c>
      <c r="BA18" s="1">
        <f>U18-T18</f>
        <v>230</v>
      </c>
      <c r="BB18" s="1">
        <f>V18-U18</f>
        <v>220</v>
      </c>
      <c r="BC18" s="1">
        <f>W18-V18</f>
        <v>230</v>
      </c>
      <c r="BD18" s="1">
        <f>X18-W18</f>
        <v>190</v>
      </c>
      <c r="BE18" s="1">
        <f>Y18-X18</f>
        <v>180</v>
      </c>
      <c r="BF18" s="1">
        <f>Z18-Y18</f>
        <v>390</v>
      </c>
    </row>
    <row r="19" spans="1:58">
      <c r="A19" s="1">
        <v>17</v>
      </c>
      <c r="B19" s="1">
        <v>112670</v>
      </c>
      <c r="C19" s="1">
        <v>112910</v>
      </c>
      <c r="D19" s="1">
        <v>113080</v>
      </c>
      <c r="E19" s="1">
        <v>113230</v>
      </c>
      <c r="F19" s="1">
        <v>113400</v>
      </c>
      <c r="G19" s="1">
        <v>113630</v>
      </c>
      <c r="H19" s="1">
        <v>113770</v>
      </c>
      <c r="I19" s="1">
        <v>113950</v>
      </c>
      <c r="J19" s="1">
        <v>114230</v>
      </c>
      <c r="K19" s="1">
        <v>114390</v>
      </c>
      <c r="L19" s="1">
        <v>114590</v>
      </c>
      <c r="M19" s="1">
        <v>114790</v>
      </c>
      <c r="N19" s="1">
        <v>114990</v>
      </c>
      <c r="O19" s="1">
        <v>115170</v>
      </c>
      <c r="P19" s="1">
        <v>115370</v>
      </c>
      <c r="Q19" s="1">
        <v>115550</v>
      </c>
      <c r="R19" s="1">
        <v>115690</v>
      </c>
      <c r="S19" s="1">
        <v>115920</v>
      </c>
      <c r="T19" s="1">
        <v>116140</v>
      </c>
      <c r="U19" s="1">
        <v>116340</v>
      </c>
      <c r="V19" s="1">
        <v>116440</v>
      </c>
      <c r="W19" s="1">
        <v>116690</v>
      </c>
      <c r="X19" s="1">
        <v>116900</v>
      </c>
      <c r="Y19" s="1">
        <v>117100</v>
      </c>
      <c r="Z19" s="1">
        <v>117540</v>
      </c>
      <c r="AA19" s="5">
        <f>AVERAGE(B19:Y19)</f>
        <v>114872.5</v>
      </c>
      <c r="AB19" s="5">
        <f>(AA20-AA18)/2</f>
        <v>4855.2083333333285</v>
      </c>
      <c r="AC19" s="14">
        <f>AB19/(23+AB151)</f>
        <v>194.64392876111094</v>
      </c>
      <c r="AD19" s="5">
        <f>AA19-AA18</f>
        <v>4850.8333333333285</v>
      </c>
      <c r="AE19" s="1">
        <f>AD19-AD18</f>
        <v>6.6666666666569654</v>
      </c>
      <c r="AG19" s="5">
        <f>Z19-Y19</f>
        <v>440</v>
      </c>
      <c r="AI19" s="1">
        <f>C19-B19</f>
        <v>240</v>
      </c>
      <c r="AJ19" s="1">
        <f>D19-C19</f>
        <v>170</v>
      </c>
      <c r="AK19" s="1">
        <f>E19-D19</f>
        <v>150</v>
      </c>
      <c r="AL19" s="1">
        <f>F19-E19</f>
        <v>170</v>
      </c>
      <c r="AM19" s="1">
        <f>G19-F19</f>
        <v>230</v>
      </c>
      <c r="AN19" s="1">
        <f>H19-G19</f>
        <v>140</v>
      </c>
      <c r="AO19" s="1">
        <f>I19-H19</f>
        <v>180</v>
      </c>
      <c r="AP19" s="1">
        <f>J19-I19</f>
        <v>280</v>
      </c>
      <c r="AQ19" s="1">
        <f>K19-J19</f>
        <v>160</v>
      </c>
      <c r="AR19" s="1">
        <f>L19-K19</f>
        <v>200</v>
      </c>
      <c r="AS19" s="1">
        <f>M19-L19</f>
        <v>200</v>
      </c>
      <c r="AT19" s="1">
        <f>N19-M19</f>
        <v>200</v>
      </c>
      <c r="AU19" s="1">
        <f>O19-N19</f>
        <v>180</v>
      </c>
      <c r="AV19" s="1">
        <f>P19-O19</f>
        <v>200</v>
      </c>
      <c r="AW19" s="1">
        <f>Q19-P19</f>
        <v>180</v>
      </c>
      <c r="AX19" s="1">
        <f>R19-Q19</f>
        <v>140</v>
      </c>
      <c r="AY19" s="1">
        <f>S19-R19</f>
        <v>230</v>
      </c>
      <c r="AZ19" s="1">
        <f>T19-S19</f>
        <v>220</v>
      </c>
      <c r="BA19" s="1">
        <f>U19-T19</f>
        <v>200</v>
      </c>
      <c r="BB19" s="1">
        <f>V19-U19</f>
        <v>100</v>
      </c>
      <c r="BC19" s="1">
        <f>W19-V19</f>
        <v>250</v>
      </c>
      <c r="BD19" s="1">
        <f>X19-W19</f>
        <v>210</v>
      </c>
      <c r="BE19" s="1">
        <f>Y19-X19</f>
        <v>200</v>
      </c>
      <c r="BF19" s="1">
        <f>Z19-Y19</f>
        <v>440</v>
      </c>
    </row>
    <row r="20" spans="1:58">
      <c r="A20" s="1">
        <v>18</v>
      </c>
      <c r="B20" s="1">
        <v>117540</v>
      </c>
      <c r="C20" s="1">
        <v>117710</v>
      </c>
      <c r="D20" s="1">
        <v>117950</v>
      </c>
      <c r="E20" s="1">
        <v>118080</v>
      </c>
      <c r="F20" s="1">
        <v>118260</v>
      </c>
      <c r="G20" s="1">
        <v>118470</v>
      </c>
      <c r="H20" s="1">
        <v>118690</v>
      </c>
      <c r="I20" s="1">
        <v>118870</v>
      </c>
      <c r="J20" s="1">
        <v>119020</v>
      </c>
      <c r="K20" s="1">
        <v>119200</v>
      </c>
      <c r="L20" s="1">
        <v>119410</v>
      </c>
      <c r="M20" s="1">
        <v>119630</v>
      </c>
      <c r="N20" s="1">
        <v>119810</v>
      </c>
      <c r="O20" s="1">
        <v>120060</v>
      </c>
      <c r="P20" s="1">
        <v>120240</v>
      </c>
      <c r="Q20" s="1">
        <v>120380</v>
      </c>
      <c r="R20" s="1">
        <v>120620</v>
      </c>
      <c r="S20" s="1">
        <v>120780</v>
      </c>
      <c r="T20" s="1">
        <v>120960</v>
      </c>
      <c r="U20" s="1">
        <v>121180</v>
      </c>
      <c r="V20" s="1">
        <v>121410</v>
      </c>
      <c r="W20" s="1">
        <v>121570</v>
      </c>
      <c r="X20" s="1">
        <v>121760</v>
      </c>
      <c r="Y20" s="1">
        <v>121970</v>
      </c>
      <c r="Z20" s="1">
        <v>122360</v>
      </c>
      <c r="AA20" s="5">
        <f>AVERAGE(B20:Y20)</f>
        <v>119732.08333333333</v>
      </c>
      <c r="AB20" s="5">
        <f>(AA21-AA19)/2</f>
        <v>4859.375</v>
      </c>
      <c r="AC20" s="14">
        <f>AB20/(23+AB151)</f>
        <v>194.81096924921337</v>
      </c>
      <c r="AD20" s="5">
        <f>AA20-AA19</f>
        <v>4859.5833333333285</v>
      </c>
      <c r="AE20" s="1">
        <f>AD20-AD19</f>
        <v>8.75</v>
      </c>
      <c r="AG20" s="5">
        <f>Z20-Y20</f>
        <v>390</v>
      </c>
      <c r="AI20" s="1">
        <f>C20-B20</f>
        <v>170</v>
      </c>
      <c r="AJ20" s="1">
        <f>D20-C20</f>
        <v>240</v>
      </c>
      <c r="AK20" s="1">
        <f>E20-D20</f>
        <v>130</v>
      </c>
      <c r="AL20" s="1">
        <f>F20-E20</f>
        <v>180</v>
      </c>
      <c r="AM20" s="1">
        <f>G20-F20</f>
        <v>210</v>
      </c>
      <c r="AN20" s="1">
        <f>H20-G20</f>
        <v>220</v>
      </c>
      <c r="AO20" s="1">
        <f>I20-H20</f>
        <v>180</v>
      </c>
      <c r="AP20" s="1">
        <f>J20-I20</f>
        <v>150</v>
      </c>
      <c r="AQ20" s="1">
        <f>K20-J20</f>
        <v>180</v>
      </c>
      <c r="AR20" s="1">
        <f>L20-K20</f>
        <v>210</v>
      </c>
      <c r="AS20" s="1">
        <f>M20-L20</f>
        <v>220</v>
      </c>
      <c r="AT20" s="1">
        <f>N20-M20</f>
        <v>180</v>
      </c>
      <c r="AU20" s="1">
        <f>O20-N20</f>
        <v>250</v>
      </c>
      <c r="AV20" s="1">
        <f>P20-O20</f>
        <v>180</v>
      </c>
      <c r="AW20" s="1">
        <f>Q20-P20</f>
        <v>140</v>
      </c>
      <c r="AX20" s="1">
        <f>R20-Q20</f>
        <v>240</v>
      </c>
      <c r="AY20" s="1">
        <f>S20-R20</f>
        <v>160</v>
      </c>
      <c r="AZ20" s="1">
        <f>T20-S20</f>
        <v>180</v>
      </c>
      <c r="BA20" s="1">
        <f>U20-T20</f>
        <v>220</v>
      </c>
      <c r="BB20" s="1">
        <f>V20-U20</f>
        <v>230</v>
      </c>
      <c r="BC20" s="1">
        <f>W20-V20</f>
        <v>160</v>
      </c>
      <c r="BD20" s="1">
        <f>X20-W20</f>
        <v>190</v>
      </c>
      <c r="BE20" s="1">
        <f>Y20-X20</f>
        <v>210</v>
      </c>
      <c r="BF20" s="1">
        <f>Z20-Y20</f>
        <v>390</v>
      </c>
    </row>
    <row r="21" spans="1:58">
      <c r="A21" s="1">
        <v>19</v>
      </c>
      <c r="B21" s="1">
        <v>122360</v>
      </c>
      <c r="C21" s="1">
        <v>122530</v>
      </c>
      <c r="D21" s="1">
        <v>122700</v>
      </c>
      <c r="E21" s="1">
        <v>122960</v>
      </c>
      <c r="F21" s="1">
        <v>123160</v>
      </c>
      <c r="G21" s="1">
        <v>123380</v>
      </c>
      <c r="H21" s="1">
        <v>123530</v>
      </c>
      <c r="I21" s="1">
        <v>123750</v>
      </c>
      <c r="J21" s="1">
        <v>123890</v>
      </c>
      <c r="K21" s="1">
        <v>124140</v>
      </c>
      <c r="L21" s="1">
        <v>124270</v>
      </c>
      <c r="M21" s="1">
        <v>124470</v>
      </c>
      <c r="N21" s="1">
        <v>124670</v>
      </c>
      <c r="O21" s="1">
        <v>124890</v>
      </c>
      <c r="P21" s="1">
        <v>125030</v>
      </c>
      <c r="Q21" s="1">
        <v>125230</v>
      </c>
      <c r="R21" s="1">
        <v>125450</v>
      </c>
      <c r="S21" s="1">
        <v>125700</v>
      </c>
      <c r="T21" s="1">
        <v>125860</v>
      </c>
      <c r="U21" s="1">
        <v>126030</v>
      </c>
      <c r="V21" s="1">
        <v>126250</v>
      </c>
      <c r="W21" s="1">
        <v>126460</v>
      </c>
      <c r="X21" s="1">
        <v>126640</v>
      </c>
      <c r="Y21" s="1">
        <v>126840</v>
      </c>
      <c r="Z21" s="1">
        <v>127200</v>
      </c>
      <c r="AA21" s="5">
        <f>AVERAGE(B21:Y21)</f>
        <v>124591.25</v>
      </c>
      <c r="AB21" s="5">
        <f>(AA22-AA20)/2</f>
        <v>4867.7083333333358</v>
      </c>
      <c r="AC21" s="14">
        <f>AB21/(23+AB151)</f>
        <v>195.14505022541789</v>
      </c>
      <c r="AD21" s="5">
        <f>AA21-AA20</f>
        <v>4859.1666666666715</v>
      </c>
      <c r="AE21" s="1">
        <f>AD21-AD20</f>
        <v>-0.41666666665696539</v>
      </c>
      <c r="AG21" s="5">
        <f>Z21-Y21</f>
        <v>360</v>
      </c>
      <c r="AI21" s="1">
        <f>C21-B21</f>
        <v>170</v>
      </c>
      <c r="AJ21" s="1">
        <f>D21-C21</f>
        <v>170</v>
      </c>
      <c r="AK21" s="1">
        <f>E21-D21</f>
        <v>260</v>
      </c>
      <c r="AL21" s="1">
        <f>F21-E21</f>
        <v>200</v>
      </c>
      <c r="AM21" s="1">
        <f>G21-F21</f>
        <v>220</v>
      </c>
      <c r="AN21" s="1">
        <f>H21-G21</f>
        <v>150</v>
      </c>
      <c r="AO21" s="1">
        <f>I21-H21</f>
        <v>220</v>
      </c>
      <c r="AP21" s="1">
        <f>J21-I21</f>
        <v>140</v>
      </c>
      <c r="AQ21" s="1">
        <f>K21-J21</f>
        <v>250</v>
      </c>
      <c r="AR21" s="1">
        <f>L21-K21</f>
        <v>130</v>
      </c>
      <c r="AS21" s="1">
        <f>M21-L21</f>
        <v>200</v>
      </c>
      <c r="AT21" s="1">
        <f>N21-M21</f>
        <v>200</v>
      </c>
      <c r="AU21" s="1">
        <f>O21-N21</f>
        <v>220</v>
      </c>
      <c r="AV21" s="1">
        <f>P21-O21</f>
        <v>140</v>
      </c>
      <c r="AW21" s="1">
        <f>Q21-P21</f>
        <v>200</v>
      </c>
      <c r="AX21" s="1">
        <f>R21-Q21</f>
        <v>220</v>
      </c>
      <c r="AY21" s="1">
        <f>S21-R21</f>
        <v>250</v>
      </c>
      <c r="AZ21" s="1">
        <f>T21-S21</f>
        <v>160</v>
      </c>
      <c r="BA21" s="1">
        <f>U21-T21</f>
        <v>170</v>
      </c>
      <c r="BB21" s="1">
        <f>V21-U21</f>
        <v>220</v>
      </c>
      <c r="BC21" s="1">
        <f>W21-V21</f>
        <v>210</v>
      </c>
      <c r="BD21" s="1">
        <f>X21-W21</f>
        <v>180</v>
      </c>
      <c r="BE21" s="1">
        <f>Y21-X21</f>
        <v>200</v>
      </c>
      <c r="BF21" s="1">
        <f>Z21-Y21</f>
        <v>360</v>
      </c>
    </row>
    <row r="22" spans="1:58">
      <c r="A22" s="1">
        <v>20</v>
      </c>
      <c r="B22" s="1">
        <v>127200</v>
      </c>
      <c r="C22" s="1">
        <v>127410</v>
      </c>
      <c r="D22" s="1">
        <v>127570</v>
      </c>
      <c r="E22" s="1">
        <v>127850</v>
      </c>
      <c r="F22" s="1">
        <v>128020</v>
      </c>
      <c r="G22" s="1">
        <v>128210</v>
      </c>
      <c r="H22" s="1">
        <v>128400</v>
      </c>
      <c r="I22" s="1">
        <v>128570</v>
      </c>
      <c r="J22" s="1">
        <v>128780</v>
      </c>
      <c r="K22" s="1">
        <v>129000</v>
      </c>
      <c r="L22" s="1">
        <v>129190</v>
      </c>
      <c r="M22" s="1">
        <v>129380</v>
      </c>
      <c r="N22" s="1">
        <v>129580</v>
      </c>
      <c r="O22" s="1">
        <v>129700</v>
      </c>
      <c r="P22" s="1">
        <v>129940</v>
      </c>
      <c r="Q22" s="1">
        <v>130130</v>
      </c>
      <c r="R22" s="1">
        <v>130330</v>
      </c>
      <c r="S22" s="1">
        <v>130550</v>
      </c>
      <c r="T22" s="1">
        <v>130740</v>
      </c>
      <c r="U22" s="1">
        <v>130980</v>
      </c>
      <c r="V22" s="1">
        <v>131090</v>
      </c>
      <c r="W22" s="1">
        <v>131320</v>
      </c>
      <c r="X22" s="1">
        <v>131520</v>
      </c>
      <c r="Y22" s="1">
        <v>131760</v>
      </c>
      <c r="Z22" s="1">
        <v>132120</v>
      </c>
      <c r="AA22" s="5">
        <f>AVERAGE(B22:Y22)</f>
        <v>129467.5</v>
      </c>
      <c r="AB22" s="5">
        <f>(AA23-AA21)/2</f>
        <v>4883.75</v>
      </c>
      <c r="AC22" s="14">
        <f>AB22/(23+AB151)</f>
        <v>195.78815610461135</v>
      </c>
      <c r="AD22" s="5">
        <f>AA22-AA21</f>
        <v>4876.25</v>
      </c>
      <c r="AE22" s="1">
        <f>AD22-AD21</f>
        <v>17.083333333328483</v>
      </c>
      <c r="AG22" s="5">
        <f>Z22-Y22</f>
        <v>360</v>
      </c>
      <c r="AI22" s="1">
        <f>C22-B22</f>
        <v>210</v>
      </c>
      <c r="AJ22" s="1">
        <f>D22-C22</f>
        <v>160</v>
      </c>
      <c r="AK22" s="1">
        <f>E22-D22</f>
        <v>280</v>
      </c>
      <c r="AL22" s="1">
        <f>F22-E22</f>
        <v>170</v>
      </c>
      <c r="AM22" s="1">
        <f>G22-F22</f>
        <v>190</v>
      </c>
      <c r="AN22" s="1">
        <f>H22-G22</f>
        <v>190</v>
      </c>
      <c r="AO22" s="1">
        <f>I22-H22</f>
        <v>170</v>
      </c>
      <c r="AP22" s="1">
        <f>J22-I22</f>
        <v>210</v>
      </c>
      <c r="AQ22" s="1">
        <f>K22-J22</f>
        <v>220</v>
      </c>
      <c r="AR22" s="1">
        <f>L22-K22</f>
        <v>190</v>
      </c>
      <c r="AS22" s="1">
        <f>M22-L22</f>
        <v>190</v>
      </c>
      <c r="AT22" s="1">
        <f>N22-M22</f>
        <v>200</v>
      </c>
      <c r="AU22" s="1">
        <f>O22-N22</f>
        <v>120</v>
      </c>
      <c r="AV22" s="1">
        <f>P22-O22</f>
        <v>240</v>
      </c>
      <c r="AW22" s="1">
        <f>Q22-P22</f>
        <v>190</v>
      </c>
      <c r="AX22" s="1">
        <f>R22-Q22</f>
        <v>200</v>
      </c>
      <c r="AY22" s="1">
        <f>S22-R22</f>
        <v>220</v>
      </c>
      <c r="AZ22" s="1">
        <f>T22-S22</f>
        <v>190</v>
      </c>
      <c r="BA22" s="1">
        <f>U22-T22</f>
        <v>240</v>
      </c>
      <c r="BB22" s="1">
        <f>V22-U22</f>
        <v>110</v>
      </c>
      <c r="BC22" s="1">
        <f>W22-V22</f>
        <v>230</v>
      </c>
      <c r="BD22" s="1">
        <f>X22-W22</f>
        <v>200</v>
      </c>
      <c r="BE22" s="1">
        <f>Y22-X22</f>
        <v>240</v>
      </c>
      <c r="BF22" s="1">
        <f>Z22-Y22</f>
        <v>360</v>
      </c>
    </row>
    <row r="23" spans="1:58">
      <c r="A23" s="1">
        <v>21</v>
      </c>
      <c r="B23" s="1">
        <v>132120</v>
      </c>
      <c r="C23" s="1">
        <v>132340</v>
      </c>
      <c r="D23" s="1">
        <v>132500</v>
      </c>
      <c r="E23" s="1">
        <v>132710</v>
      </c>
      <c r="F23" s="1">
        <v>132920</v>
      </c>
      <c r="G23" s="1">
        <v>133080</v>
      </c>
      <c r="H23" s="1">
        <v>133270</v>
      </c>
      <c r="I23" s="1">
        <v>133510</v>
      </c>
      <c r="J23" s="1">
        <v>133700</v>
      </c>
      <c r="K23" s="1">
        <v>133860</v>
      </c>
      <c r="L23" s="1">
        <v>134070</v>
      </c>
      <c r="M23" s="1">
        <v>134270</v>
      </c>
      <c r="N23" s="1">
        <v>134440</v>
      </c>
      <c r="O23" s="1">
        <v>134630</v>
      </c>
      <c r="P23" s="1">
        <v>134820</v>
      </c>
      <c r="Q23" s="1">
        <v>135070</v>
      </c>
      <c r="R23" s="1">
        <v>135250</v>
      </c>
      <c r="S23" s="1">
        <v>135420</v>
      </c>
      <c r="T23" s="1">
        <v>135610</v>
      </c>
      <c r="U23" s="1">
        <v>135840</v>
      </c>
      <c r="V23" s="1">
        <v>135980</v>
      </c>
      <c r="W23" s="1">
        <v>136210</v>
      </c>
      <c r="X23" s="1">
        <v>136410</v>
      </c>
      <c r="Y23" s="1">
        <v>136580</v>
      </c>
      <c r="Z23" s="1">
        <v>136990</v>
      </c>
      <c r="AA23" s="5">
        <f>AVERAGE(B23:Y23)</f>
        <v>134358.75</v>
      </c>
      <c r="AB23" s="5">
        <f>(AA24-AA22)/2</f>
        <v>4889.5833333333285</v>
      </c>
      <c r="AC23" s="14">
        <f>AB23/(23+AB151)</f>
        <v>196.02201278795425</v>
      </c>
      <c r="AD23" s="5">
        <f>AA23-AA22</f>
        <v>4891.25</v>
      </c>
      <c r="AE23" s="1">
        <f>AD23-AD22</f>
        <v>15</v>
      </c>
      <c r="AG23" s="5">
        <f>Z23-Y23</f>
        <v>410</v>
      </c>
      <c r="AI23" s="1">
        <f>C23-B23</f>
        <v>220</v>
      </c>
      <c r="AJ23" s="1">
        <f>D23-C23</f>
        <v>160</v>
      </c>
      <c r="AK23" s="1">
        <f>E23-D23</f>
        <v>210</v>
      </c>
      <c r="AL23" s="1">
        <f>F23-E23</f>
        <v>210</v>
      </c>
      <c r="AM23" s="1">
        <f>G23-F23</f>
        <v>160</v>
      </c>
      <c r="AN23" s="1">
        <f>H23-G23</f>
        <v>190</v>
      </c>
      <c r="AO23" s="1">
        <f>I23-H23</f>
        <v>240</v>
      </c>
      <c r="AP23" s="1">
        <f>J23-I23</f>
        <v>190</v>
      </c>
      <c r="AQ23" s="1">
        <f>K23-J23</f>
        <v>160</v>
      </c>
      <c r="AR23" s="1">
        <f>L23-K23</f>
        <v>210</v>
      </c>
      <c r="AS23" s="1">
        <f>M23-L23</f>
        <v>200</v>
      </c>
      <c r="AT23" s="1">
        <f>N23-M23</f>
        <v>170</v>
      </c>
      <c r="AU23" s="1">
        <f>O23-N23</f>
        <v>190</v>
      </c>
      <c r="AV23" s="1">
        <f>P23-O23</f>
        <v>190</v>
      </c>
      <c r="AW23" s="1">
        <f>Q23-P23</f>
        <v>250</v>
      </c>
      <c r="AX23" s="1">
        <f>R23-Q23</f>
        <v>180</v>
      </c>
      <c r="AY23" s="1">
        <f>S23-R23</f>
        <v>170</v>
      </c>
      <c r="AZ23" s="1">
        <f>T23-S23</f>
        <v>190</v>
      </c>
      <c r="BA23" s="1">
        <f>U23-T23</f>
        <v>230</v>
      </c>
      <c r="BB23" s="1">
        <f>V23-U23</f>
        <v>140</v>
      </c>
      <c r="BC23" s="1">
        <f>W23-V23</f>
        <v>230</v>
      </c>
      <c r="BD23" s="1">
        <f>X23-W23</f>
        <v>200</v>
      </c>
      <c r="BE23" s="1">
        <f>Y23-X23</f>
        <v>170</v>
      </c>
      <c r="BF23" s="1">
        <f>Z23-Y23</f>
        <v>410</v>
      </c>
    </row>
    <row r="24" spans="1:58">
      <c r="A24" s="1">
        <v>22</v>
      </c>
      <c r="B24" s="1">
        <v>136990</v>
      </c>
      <c r="C24" s="1">
        <v>137200</v>
      </c>
      <c r="D24" s="1">
        <v>137390</v>
      </c>
      <c r="E24" s="1">
        <v>137640</v>
      </c>
      <c r="F24" s="1">
        <v>137780</v>
      </c>
      <c r="G24" s="1">
        <v>138010</v>
      </c>
      <c r="H24" s="1">
        <v>138180</v>
      </c>
      <c r="I24" s="1">
        <v>138410</v>
      </c>
      <c r="J24" s="1">
        <v>138560</v>
      </c>
      <c r="K24" s="1">
        <v>138710</v>
      </c>
      <c r="L24" s="1">
        <v>138930</v>
      </c>
      <c r="M24" s="1">
        <v>139150</v>
      </c>
      <c r="N24" s="1">
        <v>139310</v>
      </c>
      <c r="O24" s="1">
        <v>139480</v>
      </c>
      <c r="P24" s="1">
        <v>139760</v>
      </c>
      <c r="Q24" s="1">
        <v>139940</v>
      </c>
      <c r="R24" s="1">
        <v>140120</v>
      </c>
      <c r="S24" s="1">
        <v>140320</v>
      </c>
      <c r="T24" s="1">
        <v>140530</v>
      </c>
      <c r="U24" s="1">
        <v>140720</v>
      </c>
      <c r="V24" s="1">
        <v>140920</v>
      </c>
      <c r="W24" s="1">
        <v>141100</v>
      </c>
      <c r="X24" s="1">
        <v>141270</v>
      </c>
      <c r="Y24" s="1">
        <v>141500</v>
      </c>
      <c r="Z24" s="1">
        <v>141880</v>
      </c>
      <c r="AA24" s="5">
        <f>AVERAGE(B24:Y24)</f>
        <v>139246.66666666666</v>
      </c>
      <c r="AB24" s="5">
        <f>(AA25-AA23)/2</f>
        <v>4889.1666666666715</v>
      </c>
      <c r="AC24" s="14">
        <f>AB24/(23+AB151)</f>
        <v>196.00530873914443</v>
      </c>
      <c r="AD24" s="5">
        <f>AA24-AA23</f>
        <v>4887.916666666657</v>
      </c>
      <c r="AE24" s="1">
        <f>AD24-AD23</f>
        <v>-3.3333333333430346</v>
      </c>
      <c r="AG24" s="5">
        <f>Z24-Y24</f>
        <v>380</v>
      </c>
      <c r="AI24" s="1">
        <f>C24-B24</f>
        <v>210</v>
      </c>
      <c r="AJ24" s="1">
        <f>D24-C24</f>
        <v>190</v>
      </c>
      <c r="AK24" s="1">
        <f>E24-D24</f>
        <v>250</v>
      </c>
      <c r="AL24" s="1">
        <f>F24-E24</f>
        <v>140</v>
      </c>
      <c r="AM24" s="1">
        <f>G24-F24</f>
        <v>230</v>
      </c>
      <c r="AN24" s="1">
        <f>H24-G24</f>
        <v>170</v>
      </c>
      <c r="AO24" s="1">
        <f>I24-H24</f>
        <v>230</v>
      </c>
      <c r="AP24" s="1">
        <f>J24-I24</f>
        <v>150</v>
      </c>
      <c r="AQ24" s="1">
        <f>K24-J24</f>
        <v>150</v>
      </c>
      <c r="AR24" s="1">
        <f>L24-K24</f>
        <v>220</v>
      </c>
      <c r="AS24" s="1">
        <f>M24-L24</f>
        <v>220</v>
      </c>
      <c r="AT24" s="1">
        <f>N24-M24</f>
        <v>160</v>
      </c>
      <c r="AU24" s="1">
        <f>O24-N24</f>
        <v>170</v>
      </c>
      <c r="AV24" s="1">
        <f>P24-O24</f>
        <v>280</v>
      </c>
      <c r="AW24" s="1">
        <f>Q24-P24</f>
        <v>180</v>
      </c>
      <c r="AX24" s="1">
        <f>R24-Q24</f>
        <v>180</v>
      </c>
      <c r="AY24" s="1">
        <f>S24-R24</f>
        <v>200</v>
      </c>
      <c r="AZ24" s="1">
        <f>T24-S24</f>
        <v>210</v>
      </c>
      <c r="BA24" s="1">
        <f>U24-T24</f>
        <v>190</v>
      </c>
      <c r="BB24" s="1">
        <f>V24-U24</f>
        <v>200</v>
      </c>
      <c r="BC24" s="1">
        <f>W24-V24</f>
        <v>180</v>
      </c>
      <c r="BD24" s="1">
        <f>X24-W24</f>
        <v>170</v>
      </c>
      <c r="BE24" s="1">
        <f>Y24-X24</f>
        <v>230</v>
      </c>
      <c r="BF24" s="1">
        <f>Z24-Y24</f>
        <v>380</v>
      </c>
    </row>
    <row r="25" spans="1:58">
      <c r="A25" s="1">
        <v>23</v>
      </c>
      <c r="B25" s="1">
        <v>141880</v>
      </c>
      <c r="C25" s="1">
        <v>142080</v>
      </c>
      <c r="D25" s="1">
        <v>142280</v>
      </c>
      <c r="E25" s="1">
        <v>142520</v>
      </c>
      <c r="F25" s="1">
        <v>142690</v>
      </c>
      <c r="G25" s="1">
        <v>142880</v>
      </c>
      <c r="H25" s="1">
        <v>143070</v>
      </c>
      <c r="I25" s="1">
        <v>143250</v>
      </c>
      <c r="J25" s="1">
        <v>143490</v>
      </c>
      <c r="K25" s="1">
        <v>143670</v>
      </c>
      <c r="L25" s="1">
        <v>143820</v>
      </c>
      <c r="M25" s="1">
        <v>144000</v>
      </c>
      <c r="N25" s="1">
        <v>144200</v>
      </c>
      <c r="O25" s="1">
        <v>144430</v>
      </c>
      <c r="P25" s="1">
        <v>144590</v>
      </c>
      <c r="Q25" s="1">
        <v>144790</v>
      </c>
      <c r="R25" s="1">
        <v>145020</v>
      </c>
      <c r="S25" s="1">
        <v>145220</v>
      </c>
      <c r="T25" s="1">
        <v>145390</v>
      </c>
      <c r="U25" s="1">
        <v>145620</v>
      </c>
      <c r="V25" s="1">
        <v>145810</v>
      </c>
      <c r="W25" s="1">
        <v>146000</v>
      </c>
      <c r="X25" s="1">
        <v>146180</v>
      </c>
      <c r="Y25" s="1">
        <v>146410</v>
      </c>
      <c r="Z25" s="1">
        <v>146790</v>
      </c>
      <c r="AA25" s="5">
        <f>AVERAGE(B25:Y25)</f>
        <v>144137.08333333334</v>
      </c>
      <c r="AB25" s="5">
        <f>(AA26-AA24)/2</f>
        <v>4885.833333333343</v>
      </c>
      <c r="AC25" s="14">
        <f>AB25/(23+AB151)</f>
        <v>195.87167634866285</v>
      </c>
      <c r="AD25" s="5">
        <f>AA25-AA24</f>
        <v>4890.4166666666861</v>
      </c>
      <c r="AE25" s="1">
        <f>AD25-AD24</f>
        <v>2.5000000000291038</v>
      </c>
      <c r="AG25" s="5">
        <f>Z25-Y25</f>
        <v>380</v>
      </c>
      <c r="AI25" s="1">
        <f>C25-B25</f>
        <v>200</v>
      </c>
      <c r="AJ25" s="1">
        <f>D25-C25</f>
        <v>200</v>
      </c>
      <c r="AK25" s="1">
        <f>E25-D25</f>
        <v>240</v>
      </c>
      <c r="AL25" s="1">
        <f>F25-E25</f>
        <v>170</v>
      </c>
      <c r="AM25" s="1">
        <f>G25-F25</f>
        <v>190</v>
      </c>
      <c r="AN25" s="1">
        <f>H25-G25</f>
        <v>190</v>
      </c>
      <c r="AO25" s="1">
        <f>I25-H25</f>
        <v>180</v>
      </c>
      <c r="AP25" s="1">
        <f>J25-I25</f>
        <v>240</v>
      </c>
      <c r="AQ25" s="1">
        <f>K25-J25</f>
        <v>180</v>
      </c>
      <c r="AR25" s="1">
        <f>L25-K25</f>
        <v>150</v>
      </c>
      <c r="AS25" s="1">
        <f>M25-L25</f>
        <v>180</v>
      </c>
      <c r="AT25" s="1">
        <f>N25-M25</f>
        <v>200</v>
      </c>
      <c r="AU25" s="1">
        <f>O25-N25</f>
        <v>230</v>
      </c>
      <c r="AV25" s="1">
        <f>P25-O25</f>
        <v>160</v>
      </c>
      <c r="AW25" s="1">
        <f>Q25-P25</f>
        <v>200</v>
      </c>
      <c r="AX25" s="1">
        <f>R25-Q25</f>
        <v>230</v>
      </c>
      <c r="AY25" s="1">
        <f>S25-R25</f>
        <v>200</v>
      </c>
      <c r="AZ25" s="1">
        <f>T25-S25</f>
        <v>170</v>
      </c>
      <c r="BA25" s="1">
        <f>U25-T25</f>
        <v>230</v>
      </c>
      <c r="BB25" s="1">
        <f>V25-U25</f>
        <v>190</v>
      </c>
      <c r="BC25" s="1">
        <f>W25-V25</f>
        <v>190</v>
      </c>
      <c r="BD25" s="1">
        <f>X25-W25</f>
        <v>180</v>
      </c>
      <c r="BE25" s="1">
        <f>Y25-X25</f>
        <v>230</v>
      </c>
      <c r="BF25" s="1">
        <f>Z25-Y25</f>
        <v>380</v>
      </c>
    </row>
    <row r="26" spans="1:58">
      <c r="A26" s="1">
        <v>24</v>
      </c>
      <c r="B26" s="1">
        <v>146790</v>
      </c>
      <c r="C26" s="1">
        <v>146980</v>
      </c>
      <c r="D26" s="1">
        <v>147190</v>
      </c>
      <c r="E26" s="1">
        <v>147360</v>
      </c>
      <c r="F26" s="1">
        <v>147550</v>
      </c>
      <c r="G26" s="1">
        <v>147720</v>
      </c>
      <c r="H26" s="1">
        <v>147940</v>
      </c>
      <c r="I26" s="1">
        <v>148120</v>
      </c>
      <c r="J26" s="1">
        <v>148350</v>
      </c>
      <c r="K26" s="1">
        <v>148550</v>
      </c>
      <c r="L26" s="1">
        <v>148740</v>
      </c>
      <c r="M26" s="1">
        <v>148920</v>
      </c>
      <c r="N26" s="1">
        <v>149130</v>
      </c>
      <c r="O26" s="1">
        <v>149310</v>
      </c>
      <c r="P26" s="1">
        <v>149530</v>
      </c>
      <c r="Q26" s="1">
        <v>149720</v>
      </c>
      <c r="R26" s="1">
        <v>149910</v>
      </c>
      <c r="S26" s="1">
        <v>150110</v>
      </c>
      <c r="T26" s="1">
        <v>150230</v>
      </c>
      <c r="U26" s="1">
        <v>150410</v>
      </c>
      <c r="V26" s="1">
        <v>150640</v>
      </c>
      <c r="W26" s="1">
        <v>150890</v>
      </c>
      <c r="X26" s="1">
        <v>151070</v>
      </c>
      <c r="Y26" s="1">
        <v>151280</v>
      </c>
      <c r="Z26" s="1">
        <v>151660</v>
      </c>
      <c r="AA26" s="5">
        <f>AVERAGE(B26:Y26)</f>
        <v>149018.33333333334</v>
      </c>
      <c r="AB26" s="5">
        <f>(AA27-AA25)/2</f>
        <v>4881.666666666657</v>
      </c>
      <c r="AC26" s="14">
        <f>AB26/(23+AB151)</f>
        <v>195.70463586055985</v>
      </c>
      <c r="AD26" s="5">
        <f>AA26-AA25</f>
        <v>4881.25</v>
      </c>
      <c r="AE26" s="1">
        <f>AD26-AD25</f>
        <v>-9.1666666666860692</v>
      </c>
      <c r="AG26" s="5">
        <f>Z26-Y26</f>
        <v>380</v>
      </c>
      <c r="AI26" s="1">
        <f>C26-B26</f>
        <v>190</v>
      </c>
      <c r="AJ26" s="1">
        <f>D26-C26</f>
        <v>210</v>
      </c>
      <c r="AK26" s="1">
        <f>E26-D26</f>
        <v>170</v>
      </c>
      <c r="AL26" s="1">
        <f>F26-E26</f>
        <v>190</v>
      </c>
      <c r="AM26" s="1">
        <f>G26-F26</f>
        <v>170</v>
      </c>
      <c r="AN26" s="1">
        <f>H26-G26</f>
        <v>220</v>
      </c>
      <c r="AO26" s="1">
        <f>I26-H26</f>
        <v>180</v>
      </c>
      <c r="AP26" s="1">
        <f>J26-I26</f>
        <v>230</v>
      </c>
      <c r="AQ26" s="1">
        <f>K26-J26</f>
        <v>200</v>
      </c>
      <c r="AR26" s="1">
        <f>L26-K26</f>
        <v>190</v>
      </c>
      <c r="AS26" s="1">
        <f>M26-L26</f>
        <v>180</v>
      </c>
      <c r="AT26" s="1">
        <f>N26-M26</f>
        <v>210</v>
      </c>
      <c r="AU26" s="1">
        <f>O26-N26</f>
        <v>180</v>
      </c>
      <c r="AV26" s="1">
        <f>P26-O26</f>
        <v>220</v>
      </c>
      <c r="AW26" s="1">
        <f>Q26-P26</f>
        <v>190</v>
      </c>
      <c r="AX26" s="1">
        <f>R26-Q26</f>
        <v>190</v>
      </c>
      <c r="AY26" s="1">
        <f>S26-R26</f>
        <v>200</v>
      </c>
      <c r="AZ26" s="1">
        <f>T26-S26</f>
        <v>120</v>
      </c>
      <c r="BA26" s="1">
        <f>U26-T26</f>
        <v>180</v>
      </c>
      <c r="BB26" s="1">
        <f>V26-U26</f>
        <v>230</v>
      </c>
      <c r="BC26" s="1">
        <f>W26-V26</f>
        <v>250</v>
      </c>
      <c r="BD26" s="1">
        <f>X26-W26</f>
        <v>180</v>
      </c>
      <c r="BE26" s="1">
        <f>Y26-X26</f>
        <v>210</v>
      </c>
      <c r="BF26" s="1">
        <f>Z26-Y26</f>
        <v>380</v>
      </c>
    </row>
    <row r="27" spans="1:58">
      <c r="A27" s="1">
        <v>25</v>
      </c>
      <c r="B27" s="1">
        <v>151660</v>
      </c>
      <c r="C27" s="1">
        <v>151840</v>
      </c>
      <c r="D27" s="1">
        <v>152050</v>
      </c>
      <c r="E27" s="1">
        <v>152290</v>
      </c>
      <c r="F27" s="1">
        <v>152470</v>
      </c>
      <c r="G27" s="1">
        <v>152660</v>
      </c>
      <c r="H27" s="1">
        <v>152810</v>
      </c>
      <c r="I27" s="1">
        <v>152990</v>
      </c>
      <c r="J27" s="1">
        <v>153200</v>
      </c>
      <c r="K27" s="1">
        <v>153400</v>
      </c>
      <c r="L27" s="1">
        <v>153590</v>
      </c>
      <c r="M27" s="1">
        <v>153810</v>
      </c>
      <c r="N27" s="1">
        <v>154010</v>
      </c>
      <c r="O27" s="1">
        <v>154180</v>
      </c>
      <c r="P27" s="1">
        <v>154440</v>
      </c>
      <c r="Q27" s="1">
        <v>154600</v>
      </c>
      <c r="R27" s="1">
        <v>154830</v>
      </c>
      <c r="S27" s="1">
        <v>155010</v>
      </c>
      <c r="T27" s="1">
        <v>155160</v>
      </c>
      <c r="U27" s="1">
        <v>155310</v>
      </c>
      <c r="V27" s="1">
        <v>155540</v>
      </c>
      <c r="W27" s="1">
        <v>155720</v>
      </c>
      <c r="X27" s="1">
        <v>155920</v>
      </c>
      <c r="Y27" s="1">
        <v>156120</v>
      </c>
      <c r="Z27" s="1">
        <v>156540</v>
      </c>
      <c r="AA27" s="5">
        <f>AVERAGE(B27:Y27)</f>
        <v>153900.41666666666</v>
      </c>
      <c r="AB27" s="5">
        <f>(AA28-AA26)/2</f>
        <v>4875.8333333333285</v>
      </c>
      <c r="AC27" s="14">
        <f>AB27/(23+AB151)</f>
        <v>195.47077917721694</v>
      </c>
      <c r="AD27" s="5">
        <f>AA27-AA26</f>
        <v>4882.0833333333139</v>
      </c>
      <c r="AE27" s="1">
        <f>AD27-AD26</f>
        <v>0.83333333331393078</v>
      </c>
      <c r="AG27" s="5">
        <f>Z27-Y27</f>
        <v>420</v>
      </c>
      <c r="AI27" s="1">
        <f>C27-B27</f>
        <v>180</v>
      </c>
      <c r="AJ27" s="1">
        <f>D27-C27</f>
        <v>210</v>
      </c>
      <c r="AK27" s="1">
        <f>E27-D27</f>
        <v>240</v>
      </c>
      <c r="AL27" s="1">
        <f>F27-E27</f>
        <v>180</v>
      </c>
      <c r="AM27" s="1">
        <f>G27-F27</f>
        <v>190</v>
      </c>
      <c r="AN27" s="1">
        <f>H27-G27</f>
        <v>150</v>
      </c>
      <c r="AO27" s="1">
        <f>I27-H27</f>
        <v>180</v>
      </c>
      <c r="AP27" s="1">
        <f>J27-I27</f>
        <v>210</v>
      </c>
      <c r="AQ27" s="1">
        <f>K27-J27</f>
        <v>200</v>
      </c>
      <c r="AR27" s="1">
        <f>L27-K27</f>
        <v>190</v>
      </c>
      <c r="AS27" s="1">
        <f>M27-L27</f>
        <v>220</v>
      </c>
      <c r="AT27" s="1">
        <f>N27-M27</f>
        <v>200</v>
      </c>
      <c r="AU27" s="1">
        <f>O27-N27</f>
        <v>170</v>
      </c>
      <c r="AV27" s="1">
        <f>P27-O27</f>
        <v>260</v>
      </c>
      <c r="AW27" s="1">
        <f>Q27-P27</f>
        <v>160</v>
      </c>
      <c r="AX27" s="1">
        <f>R27-Q27</f>
        <v>230</v>
      </c>
      <c r="AY27" s="1">
        <f>S27-R27</f>
        <v>180</v>
      </c>
      <c r="AZ27" s="1">
        <f>T27-S27</f>
        <v>150</v>
      </c>
      <c r="BA27" s="1">
        <f>U27-T27</f>
        <v>150</v>
      </c>
      <c r="BB27" s="1">
        <f>V27-U27</f>
        <v>230</v>
      </c>
      <c r="BC27" s="1">
        <f>W27-V27</f>
        <v>180</v>
      </c>
      <c r="BD27" s="1">
        <f>X27-W27</f>
        <v>200</v>
      </c>
      <c r="BE27" s="1">
        <f>Y27-X27</f>
        <v>200</v>
      </c>
      <c r="BF27" s="1">
        <f>Z27-Y27</f>
        <v>420</v>
      </c>
    </row>
    <row r="28" spans="1:58">
      <c r="A28" s="1">
        <v>26</v>
      </c>
      <c r="B28" s="1">
        <v>156540</v>
      </c>
      <c r="C28" s="1">
        <v>156740</v>
      </c>
      <c r="D28" s="1">
        <v>156970</v>
      </c>
      <c r="E28" s="1">
        <v>157200</v>
      </c>
      <c r="F28" s="1">
        <v>157340</v>
      </c>
      <c r="G28" s="1">
        <v>157540</v>
      </c>
      <c r="H28" s="1">
        <v>157710</v>
      </c>
      <c r="I28" s="1">
        <v>157880</v>
      </c>
      <c r="J28" s="1">
        <v>158070</v>
      </c>
      <c r="K28" s="1">
        <v>158310</v>
      </c>
      <c r="L28" s="1">
        <v>158420</v>
      </c>
      <c r="M28" s="1">
        <v>158660</v>
      </c>
      <c r="N28" s="1">
        <v>158880</v>
      </c>
      <c r="O28" s="1">
        <v>159040</v>
      </c>
      <c r="P28" s="1">
        <v>159270</v>
      </c>
      <c r="Q28" s="1">
        <v>159460</v>
      </c>
      <c r="R28" s="1">
        <v>159680</v>
      </c>
      <c r="S28" s="1">
        <v>159800</v>
      </c>
      <c r="T28" s="1">
        <v>160010</v>
      </c>
      <c r="U28" s="1">
        <v>160210</v>
      </c>
      <c r="V28" s="1">
        <v>160370</v>
      </c>
      <c r="W28" s="1">
        <v>160570</v>
      </c>
      <c r="X28" s="1">
        <v>160790</v>
      </c>
      <c r="Y28" s="1">
        <v>161020</v>
      </c>
      <c r="Z28" s="1">
        <v>161390</v>
      </c>
      <c r="AA28" s="5">
        <f>AVERAGE(B28:Y28)</f>
        <v>158770</v>
      </c>
      <c r="AB28" s="5">
        <f>(AA29-AA27)/2</f>
        <v>4867.708333333343</v>
      </c>
      <c r="AC28" s="14">
        <f>AB28/(23+AB151)</f>
        <v>195.1450502254182</v>
      </c>
      <c r="AD28" s="5">
        <f>AA28-AA27</f>
        <v>4869.583333333343</v>
      </c>
      <c r="AE28" s="1">
        <f>AD28-AD27</f>
        <v>-12.499999999970896</v>
      </c>
      <c r="AG28" s="5">
        <f>Z28-Y28</f>
        <v>370</v>
      </c>
      <c r="AI28" s="1">
        <f>C28-B28</f>
        <v>200</v>
      </c>
      <c r="AJ28" s="1">
        <f>D28-C28</f>
        <v>230</v>
      </c>
      <c r="AK28" s="1">
        <f>E28-D28</f>
        <v>230</v>
      </c>
      <c r="AL28" s="1">
        <f>F28-E28</f>
        <v>140</v>
      </c>
      <c r="AM28" s="1">
        <f>G28-F28</f>
        <v>200</v>
      </c>
      <c r="AN28" s="1">
        <f>H28-G28</f>
        <v>170</v>
      </c>
      <c r="AO28" s="1">
        <f>I28-H28</f>
        <v>170</v>
      </c>
      <c r="AP28" s="1">
        <f>J28-I28</f>
        <v>190</v>
      </c>
      <c r="AQ28" s="1">
        <f>K28-J28</f>
        <v>240</v>
      </c>
      <c r="AR28" s="1">
        <f>L28-K28</f>
        <v>110</v>
      </c>
      <c r="AS28" s="1">
        <f>M28-L28</f>
        <v>240</v>
      </c>
      <c r="AT28" s="1">
        <f>N28-M28</f>
        <v>220</v>
      </c>
      <c r="AU28" s="1">
        <f>O28-N28</f>
        <v>160</v>
      </c>
      <c r="AV28" s="1">
        <f>P28-O28</f>
        <v>230</v>
      </c>
      <c r="AW28" s="1">
        <f>Q28-P28</f>
        <v>190</v>
      </c>
      <c r="AX28" s="1">
        <f>R28-Q28</f>
        <v>220</v>
      </c>
      <c r="AY28" s="1">
        <f>S28-R28</f>
        <v>120</v>
      </c>
      <c r="AZ28" s="1">
        <f>T28-S28</f>
        <v>210</v>
      </c>
      <c r="BA28" s="1">
        <f>U28-T28</f>
        <v>200</v>
      </c>
      <c r="BB28" s="1">
        <f>V28-U28</f>
        <v>160</v>
      </c>
      <c r="BC28" s="1">
        <f>W28-V28</f>
        <v>200</v>
      </c>
      <c r="BD28" s="1">
        <f>X28-W28</f>
        <v>220</v>
      </c>
      <c r="BE28" s="1">
        <f>Y28-X28</f>
        <v>230</v>
      </c>
      <c r="BF28" s="1">
        <f>Z28-Y28</f>
        <v>370</v>
      </c>
    </row>
    <row r="29" spans="1:58">
      <c r="A29" s="1">
        <v>27</v>
      </c>
      <c r="B29" s="1">
        <v>161390</v>
      </c>
      <c r="C29" s="1">
        <v>161640</v>
      </c>
      <c r="D29" s="1">
        <v>161780</v>
      </c>
      <c r="E29" s="1">
        <v>161990</v>
      </c>
      <c r="F29" s="1">
        <v>162200</v>
      </c>
      <c r="G29" s="1">
        <v>162390</v>
      </c>
      <c r="H29" s="1">
        <v>162610</v>
      </c>
      <c r="I29" s="1">
        <v>162780</v>
      </c>
      <c r="J29" s="1">
        <v>162930</v>
      </c>
      <c r="K29" s="1">
        <v>163100</v>
      </c>
      <c r="L29" s="1">
        <v>163300</v>
      </c>
      <c r="M29" s="1">
        <v>163520</v>
      </c>
      <c r="N29" s="1">
        <v>163710</v>
      </c>
      <c r="O29" s="1">
        <v>163930</v>
      </c>
      <c r="P29" s="1">
        <v>164150</v>
      </c>
      <c r="Q29" s="1">
        <v>164340</v>
      </c>
      <c r="R29" s="1">
        <v>164510</v>
      </c>
      <c r="S29" s="1">
        <v>164680</v>
      </c>
      <c r="T29" s="1">
        <v>164910</v>
      </c>
      <c r="U29" s="1">
        <v>165130</v>
      </c>
      <c r="V29" s="1">
        <v>165250</v>
      </c>
      <c r="W29" s="1">
        <v>165470</v>
      </c>
      <c r="X29" s="1">
        <v>165670</v>
      </c>
      <c r="Y29" s="1">
        <v>165880</v>
      </c>
      <c r="Z29" s="1">
        <v>166280</v>
      </c>
      <c r="AA29" s="5">
        <f>AVERAGE(B29:Y29)</f>
        <v>163635.83333333334</v>
      </c>
      <c r="AB29" s="5">
        <f>(AA30-AA28)/2</f>
        <v>4868.9583333333285</v>
      </c>
      <c r="AC29" s="14">
        <f>AB29/(23+AB151)</f>
        <v>195.19516237184828</v>
      </c>
      <c r="AD29" s="5">
        <f>AA29-AA28</f>
        <v>4865.833333333343</v>
      </c>
      <c r="AE29" s="1">
        <f>AD29-AD28</f>
        <v>-3.75</v>
      </c>
      <c r="AG29" s="5">
        <f>Z29-Y29</f>
        <v>400</v>
      </c>
      <c r="AI29" s="1">
        <f>C29-B29</f>
        <v>250</v>
      </c>
      <c r="AJ29" s="1">
        <f>D29-C29</f>
        <v>140</v>
      </c>
      <c r="AK29" s="1">
        <f>E29-D29</f>
        <v>210</v>
      </c>
      <c r="AL29" s="1">
        <f>F29-E29</f>
        <v>210</v>
      </c>
      <c r="AM29" s="1">
        <f>G29-F29</f>
        <v>190</v>
      </c>
      <c r="AN29" s="1">
        <f>H29-G29</f>
        <v>220</v>
      </c>
      <c r="AO29" s="1">
        <f>I29-H29</f>
        <v>170</v>
      </c>
      <c r="AP29" s="1">
        <f>J29-I29</f>
        <v>150</v>
      </c>
      <c r="AQ29" s="1">
        <f>K29-J29</f>
        <v>170</v>
      </c>
      <c r="AR29" s="1">
        <f>L29-K29</f>
        <v>200</v>
      </c>
      <c r="AS29" s="1">
        <f>M29-L29</f>
        <v>220</v>
      </c>
      <c r="AT29" s="1">
        <f>N29-M29</f>
        <v>190</v>
      </c>
      <c r="AU29" s="1">
        <f>O29-N29</f>
        <v>220</v>
      </c>
      <c r="AV29" s="1">
        <f>P29-O29</f>
        <v>220</v>
      </c>
      <c r="AW29" s="1">
        <f>Q29-P29</f>
        <v>190</v>
      </c>
      <c r="AX29" s="1">
        <f>R29-Q29</f>
        <v>170</v>
      </c>
      <c r="AY29" s="1">
        <f>S29-R29</f>
        <v>170</v>
      </c>
      <c r="AZ29" s="1">
        <f>T29-S29</f>
        <v>230</v>
      </c>
      <c r="BA29" s="1">
        <f>U29-T29</f>
        <v>220</v>
      </c>
      <c r="BB29" s="1">
        <f>V29-U29</f>
        <v>120</v>
      </c>
      <c r="BC29" s="1">
        <f>W29-V29</f>
        <v>220</v>
      </c>
      <c r="BD29" s="1">
        <f>X29-W29</f>
        <v>200</v>
      </c>
      <c r="BE29" s="1">
        <f>Y29-X29</f>
        <v>210</v>
      </c>
      <c r="BF29" s="1">
        <f>Z29-Y29</f>
        <v>400</v>
      </c>
    </row>
    <row r="30" spans="1:58">
      <c r="A30" s="1">
        <v>28</v>
      </c>
      <c r="B30" s="1">
        <v>166280</v>
      </c>
      <c r="C30" s="1">
        <v>166480</v>
      </c>
      <c r="D30" s="1">
        <v>166660</v>
      </c>
      <c r="E30" s="1">
        <v>166900</v>
      </c>
      <c r="F30" s="1">
        <v>167040</v>
      </c>
      <c r="G30" s="1">
        <v>167240</v>
      </c>
      <c r="H30" s="1">
        <v>167450</v>
      </c>
      <c r="I30" s="1">
        <v>167630</v>
      </c>
      <c r="J30" s="1">
        <v>167820</v>
      </c>
      <c r="K30" s="1">
        <v>168000</v>
      </c>
      <c r="L30" s="1">
        <v>168190</v>
      </c>
      <c r="M30" s="1">
        <v>168420</v>
      </c>
      <c r="N30" s="1">
        <v>168630</v>
      </c>
      <c r="O30" s="1">
        <v>168830</v>
      </c>
      <c r="P30" s="1">
        <v>169030</v>
      </c>
      <c r="Q30" s="1">
        <v>169200</v>
      </c>
      <c r="R30" s="1">
        <v>169360</v>
      </c>
      <c r="S30" s="1">
        <v>169570</v>
      </c>
      <c r="T30" s="1">
        <v>169750</v>
      </c>
      <c r="U30" s="1">
        <v>169950</v>
      </c>
      <c r="V30" s="1">
        <v>170140</v>
      </c>
      <c r="W30" s="1">
        <v>170320</v>
      </c>
      <c r="X30" s="1">
        <v>170540</v>
      </c>
      <c r="Y30" s="1">
        <v>170760</v>
      </c>
      <c r="Z30" s="1">
        <v>171180</v>
      </c>
      <c r="AA30" s="5">
        <f>AVERAGE(B30:Y30)</f>
        <v>168507.91666666666</v>
      </c>
      <c r="AB30" s="5">
        <f>(AA31-AA29)/2</f>
        <v>4874.791666666657</v>
      </c>
      <c r="AC30" s="14">
        <f>AB30/(23+AB151)</f>
        <v>195.42901905519119</v>
      </c>
      <c r="AD30" s="5">
        <f>AA30-AA29</f>
        <v>4872.0833333333139</v>
      </c>
      <c r="AE30" s="1">
        <f>AD30-AD29</f>
        <v>6.2499999999708962</v>
      </c>
      <c r="AG30" s="5">
        <f>Z30-Y30</f>
        <v>420</v>
      </c>
      <c r="AI30" s="1">
        <f>C30-B30</f>
        <v>200</v>
      </c>
      <c r="AJ30" s="1">
        <f>D30-C30</f>
        <v>180</v>
      </c>
      <c r="AK30" s="1">
        <f>E30-D30</f>
        <v>240</v>
      </c>
      <c r="AL30" s="1">
        <f>F30-E30</f>
        <v>140</v>
      </c>
      <c r="AM30" s="1">
        <f>G30-F30</f>
        <v>200</v>
      </c>
      <c r="AN30" s="1">
        <f>H30-G30</f>
        <v>210</v>
      </c>
      <c r="AO30" s="1">
        <f>I30-H30</f>
        <v>180</v>
      </c>
      <c r="AP30" s="1">
        <f>J30-I30</f>
        <v>190</v>
      </c>
      <c r="AQ30" s="1">
        <f>K30-J30</f>
        <v>180</v>
      </c>
      <c r="AR30" s="1">
        <f>L30-K30</f>
        <v>190</v>
      </c>
      <c r="AS30" s="1">
        <f>M30-L30</f>
        <v>230</v>
      </c>
      <c r="AT30" s="1">
        <f>N30-M30</f>
        <v>210</v>
      </c>
      <c r="AU30" s="1">
        <f>O30-N30</f>
        <v>200</v>
      </c>
      <c r="AV30" s="1">
        <f>P30-O30</f>
        <v>200</v>
      </c>
      <c r="AW30" s="1">
        <f>Q30-P30</f>
        <v>170</v>
      </c>
      <c r="AX30" s="1">
        <f>R30-Q30</f>
        <v>160</v>
      </c>
      <c r="AY30" s="1">
        <f>S30-R30</f>
        <v>210</v>
      </c>
      <c r="AZ30" s="1">
        <f>T30-S30</f>
        <v>180</v>
      </c>
      <c r="BA30" s="1">
        <f>U30-T30</f>
        <v>200</v>
      </c>
      <c r="BB30" s="1">
        <f>V30-U30</f>
        <v>190</v>
      </c>
      <c r="BC30" s="1">
        <f>W30-V30</f>
        <v>180</v>
      </c>
      <c r="BD30" s="1">
        <f>X30-W30</f>
        <v>220</v>
      </c>
      <c r="BE30" s="1">
        <f>Y30-X30</f>
        <v>220</v>
      </c>
      <c r="BF30" s="1">
        <f>Z30-Y30</f>
        <v>420</v>
      </c>
    </row>
    <row r="31" spans="1:58">
      <c r="A31" s="1">
        <v>29</v>
      </c>
      <c r="B31" s="1">
        <v>171180</v>
      </c>
      <c r="C31" s="1">
        <v>171350</v>
      </c>
      <c r="D31" s="1">
        <v>171530</v>
      </c>
      <c r="E31" s="1">
        <v>171750</v>
      </c>
      <c r="F31" s="1">
        <v>171940</v>
      </c>
      <c r="G31" s="1">
        <v>172110</v>
      </c>
      <c r="H31" s="1">
        <v>172290</v>
      </c>
      <c r="I31" s="1">
        <v>172560</v>
      </c>
      <c r="J31" s="1">
        <v>172720</v>
      </c>
      <c r="K31" s="1">
        <v>172880</v>
      </c>
      <c r="L31" s="1">
        <v>173080</v>
      </c>
      <c r="M31" s="1">
        <v>173290</v>
      </c>
      <c r="N31" s="1">
        <v>173520</v>
      </c>
      <c r="O31" s="1">
        <v>173700</v>
      </c>
      <c r="P31" s="1">
        <v>173870</v>
      </c>
      <c r="Q31" s="1">
        <v>174090</v>
      </c>
      <c r="R31" s="1">
        <v>174270</v>
      </c>
      <c r="S31" s="1">
        <v>174410</v>
      </c>
      <c r="T31" s="1">
        <v>174630</v>
      </c>
      <c r="U31" s="1">
        <v>174820</v>
      </c>
      <c r="V31" s="1">
        <v>175020</v>
      </c>
      <c r="W31" s="1">
        <v>175210</v>
      </c>
      <c r="X31" s="1">
        <v>175400</v>
      </c>
      <c r="Y31" s="1">
        <v>175630</v>
      </c>
      <c r="Z31" s="1">
        <v>176040</v>
      </c>
      <c r="AA31" s="5">
        <f>AVERAGE(B31:Y31)</f>
        <v>173385.41666666666</v>
      </c>
      <c r="AB31" s="5">
        <f>(AA32-AA30)/2</f>
        <v>4878.5416666666715</v>
      </c>
      <c r="AC31" s="14">
        <f>AB31/(23+AB151)</f>
        <v>195.57935549448376</v>
      </c>
      <c r="AD31" s="5">
        <f>AA31-AA30</f>
        <v>4877.5</v>
      </c>
      <c r="AE31" s="1">
        <f>AD31-AD30</f>
        <v>5.4166666666860692</v>
      </c>
      <c r="AG31" s="5">
        <f>Z31-Y31</f>
        <v>410</v>
      </c>
      <c r="AI31" s="1">
        <f>C31-B31</f>
        <v>170</v>
      </c>
      <c r="AJ31" s="1">
        <f>D31-C31</f>
        <v>180</v>
      </c>
      <c r="AK31" s="1">
        <f>E31-D31</f>
        <v>220</v>
      </c>
      <c r="AL31" s="1">
        <f>F31-E31</f>
        <v>190</v>
      </c>
      <c r="AM31" s="1">
        <f>G31-F31</f>
        <v>170</v>
      </c>
      <c r="AN31" s="1">
        <f>H31-G31</f>
        <v>180</v>
      </c>
      <c r="AO31" s="1">
        <f>I31-H31</f>
        <v>270</v>
      </c>
      <c r="AP31" s="1">
        <f>J31-I31</f>
        <v>160</v>
      </c>
      <c r="AQ31" s="1">
        <f>K31-J31</f>
        <v>160</v>
      </c>
      <c r="AR31" s="1">
        <f>L31-K31</f>
        <v>200</v>
      </c>
      <c r="AS31" s="1">
        <f>M31-L31</f>
        <v>210</v>
      </c>
      <c r="AT31" s="1">
        <f>N31-M31</f>
        <v>230</v>
      </c>
      <c r="AU31" s="1">
        <f>O31-N31</f>
        <v>180</v>
      </c>
      <c r="AV31" s="1">
        <f>P31-O31</f>
        <v>170</v>
      </c>
      <c r="AW31" s="1">
        <f>Q31-P31</f>
        <v>220</v>
      </c>
      <c r="AX31" s="1">
        <f>R31-Q31</f>
        <v>180</v>
      </c>
      <c r="AY31" s="1">
        <f>S31-R31</f>
        <v>140</v>
      </c>
      <c r="AZ31" s="1">
        <f>T31-S31</f>
        <v>220</v>
      </c>
      <c r="BA31" s="1">
        <f>U31-T31</f>
        <v>190</v>
      </c>
      <c r="BB31" s="1">
        <f>V31-U31</f>
        <v>200</v>
      </c>
      <c r="BC31" s="1">
        <f>W31-V31</f>
        <v>190</v>
      </c>
      <c r="BD31" s="1">
        <f>X31-W31</f>
        <v>190</v>
      </c>
      <c r="BE31" s="1">
        <f>Y31-X31</f>
        <v>230</v>
      </c>
      <c r="BF31" s="1">
        <f>Z31-Y31</f>
        <v>410</v>
      </c>
    </row>
    <row r="32" spans="1:58">
      <c r="A32" s="1">
        <v>30</v>
      </c>
      <c r="B32" s="1">
        <v>176040</v>
      </c>
      <c r="C32" s="1">
        <v>176230</v>
      </c>
      <c r="D32" s="1">
        <v>176440</v>
      </c>
      <c r="E32" s="1">
        <v>176620</v>
      </c>
      <c r="F32" s="1">
        <v>176820</v>
      </c>
      <c r="G32" s="1">
        <v>177000</v>
      </c>
      <c r="H32" s="1">
        <v>177140</v>
      </c>
      <c r="I32" s="1">
        <v>177420</v>
      </c>
      <c r="J32" s="1">
        <v>177570</v>
      </c>
      <c r="K32" s="1">
        <v>177750</v>
      </c>
      <c r="L32" s="1">
        <v>177950</v>
      </c>
      <c r="M32" s="1">
        <v>178170</v>
      </c>
      <c r="N32" s="1">
        <v>178360</v>
      </c>
      <c r="O32" s="1">
        <v>178570</v>
      </c>
      <c r="P32" s="1">
        <v>178770</v>
      </c>
      <c r="Q32" s="1">
        <v>178980</v>
      </c>
      <c r="R32" s="1">
        <v>179180</v>
      </c>
      <c r="S32" s="1">
        <v>179310</v>
      </c>
      <c r="T32" s="1">
        <v>179490</v>
      </c>
      <c r="U32" s="1">
        <v>179680</v>
      </c>
      <c r="V32" s="1">
        <v>179940</v>
      </c>
      <c r="W32" s="1">
        <v>180140</v>
      </c>
      <c r="X32" s="1">
        <v>180300</v>
      </c>
      <c r="Y32" s="1">
        <v>180490</v>
      </c>
      <c r="Z32" s="1">
        <v>180930</v>
      </c>
      <c r="AA32" s="5">
        <f>AVERAGE(B32:Y32)</f>
        <v>178265</v>
      </c>
      <c r="AB32" s="5">
        <f>(AA33-AA31)/2</f>
        <v>4880</v>
      </c>
      <c r="AC32" s="14">
        <f>AB32/(23+AB151)</f>
        <v>195.63781966531934</v>
      </c>
      <c r="AD32" s="5">
        <f>AA32-AA31</f>
        <v>4879.583333333343</v>
      </c>
      <c r="AE32" s="1">
        <f>AD32-AD31</f>
        <v>2.0833333333430346</v>
      </c>
      <c r="AG32" s="5">
        <f>Z32-Y32</f>
        <v>440</v>
      </c>
      <c r="AI32" s="1">
        <f>C32-B32</f>
        <v>190</v>
      </c>
      <c r="AJ32" s="1">
        <f>D32-C32</f>
        <v>210</v>
      </c>
      <c r="AK32" s="1">
        <f>E32-D32</f>
        <v>180</v>
      </c>
      <c r="AL32" s="1">
        <f>F32-E32</f>
        <v>200</v>
      </c>
      <c r="AM32" s="1">
        <f>G32-F32</f>
        <v>180</v>
      </c>
      <c r="AN32" s="1">
        <f>H32-G32</f>
        <v>140</v>
      </c>
      <c r="AO32" s="1">
        <f>I32-H32</f>
        <v>280</v>
      </c>
      <c r="AP32" s="1">
        <f>J32-I32</f>
        <v>150</v>
      </c>
      <c r="AQ32" s="1">
        <f>K32-J32</f>
        <v>180</v>
      </c>
      <c r="AR32" s="1">
        <f>L32-K32</f>
        <v>200</v>
      </c>
      <c r="AS32" s="1">
        <f>M32-L32</f>
        <v>220</v>
      </c>
      <c r="AT32" s="1">
        <f>N32-M32</f>
        <v>190</v>
      </c>
      <c r="AU32" s="1">
        <f>O32-N32</f>
        <v>210</v>
      </c>
      <c r="AV32" s="1">
        <f>P32-O32</f>
        <v>200</v>
      </c>
      <c r="AW32" s="1">
        <f>Q32-P32</f>
        <v>210</v>
      </c>
      <c r="AX32" s="1">
        <f>R32-Q32</f>
        <v>200</v>
      </c>
      <c r="AY32" s="1">
        <f>S32-R32</f>
        <v>130</v>
      </c>
      <c r="AZ32" s="1">
        <f>T32-S32</f>
        <v>180</v>
      </c>
      <c r="BA32" s="1">
        <f>U32-T32</f>
        <v>190</v>
      </c>
      <c r="BB32" s="1">
        <f>V32-U32</f>
        <v>260</v>
      </c>
      <c r="BC32" s="1">
        <f>W32-V32</f>
        <v>200</v>
      </c>
      <c r="BD32" s="1">
        <f>X32-W32</f>
        <v>160</v>
      </c>
      <c r="BE32" s="1">
        <f>Y32-X32</f>
        <v>190</v>
      </c>
      <c r="BF32" s="1">
        <f>Z32-Y32</f>
        <v>440</v>
      </c>
    </row>
    <row r="33" spans="1:58">
      <c r="A33" s="1">
        <v>31</v>
      </c>
      <c r="B33" s="1">
        <v>180930</v>
      </c>
      <c r="C33" s="1">
        <v>181100</v>
      </c>
      <c r="D33" s="1">
        <v>181300</v>
      </c>
      <c r="E33" s="1">
        <v>181500</v>
      </c>
      <c r="F33" s="1">
        <v>181670</v>
      </c>
      <c r="G33" s="1">
        <v>181900</v>
      </c>
      <c r="H33" s="1">
        <v>182110</v>
      </c>
      <c r="I33" s="1">
        <v>182250</v>
      </c>
      <c r="J33" s="1">
        <v>182490</v>
      </c>
      <c r="K33" s="1">
        <v>182680</v>
      </c>
      <c r="L33" s="1">
        <v>182790</v>
      </c>
      <c r="M33" s="1">
        <v>183000</v>
      </c>
      <c r="N33" s="1">
        <v>183230</v>
      </c>
      <c r="O33" s="1">
        <v>183400</v>
      </c>
      <c r="P33" s="1">
        <v>183620</v>
      </c>
      <c r="Q33" s="1">
        <v>183860</v>
      </c>
      <c r="R33" s="1">
        <v>183980</v>
      </c>
      <c r="S33" s="1">
        <v>184200</v>
      </c>
      <c r="T33" s="1">
        <v>184420</v>
      </c>
      <c r="U33" s="1">
        <v>184590</v>
      </c>
      <c r="V33" s="1">
        <v>184830</v>
      </c>
      <c r="W33" s="1">
        <v>185020</v>
      </c>
      <c r="X33" s="1">
        <v>185220</v>
      </c>
      <c r="Y33" s="1">
        <v>185400</v>
      </c>
      <c r="Z33" s="1">
        <v>185770</v>
      </c>
      <c r="AA33" s="5">
        <f>AVERAGE(B33:Y33)</f>
        <v>183145.41666666666</v>
      </c>
      <c r="AB33" s="5">
        <f>(AA34-AA32)/2</f>
        <v>4874.1666666666715</v>
      </c>
      <c r="AC33" s="14">
        <f>AB33/(23+AB151)</f>
        <v>195.40396298197643</v>
      </c>
      <c r="AD33" s="5">
        <f>AA33-AA32</f>
        <v>4880.416666666657</v>
      </c>
      <c r="AE33" s="1">
        <f>AD33-AD32</f>
        <v>0.83333333331393078</v>
      </c>
      <c r="AG33" s="5">
        <f>Z33-Y33</f>
        <v>370</v>
      </c>
      <c r="AI33" s="1">
        <f>C33-B33</f>
        <v>170</v>
      </c>
      <c r="AJ33" s="1">
        <f>D33-C33</f>
        <v>200</v>
      </c>
      <c r="AK33" s="1">
        <f>E33-D33</f>
        <v>200</v>
      </c>
      <c r="AL33" s="1">
        <f>F33-E33</f>
        <v>170</v>
      </c>
      <c r="AM33" s="1">
        <f>G33-F33</f>
        <v>230</v>
      </c>
      <c r="AN33" s="1">
        <f>H33-G33</f>
        <v>210</v>
      </c>
      <c r="AO33" s="1">
        <f>I33-H33</f>
        <v>140</v>
      </c>
      <c r="AP33" s="1">
        <f>J33-I33</f>
        <v>240</v>
      </c>
      <c r="AQ33" s="1">
        <f>K33-J33</f>
        <v>190</v>
      </c>
      <c r="AR33" s="1">
        <f>L33-K33</f>
        <v>110</v>
      </c>
      <c r="AS33" s="1">
        <f>M33-L33</f>
        <v>210</v>
      </c>
      <c r="AT33" s="1">
        <f>N33-M33</f>
        <v>230</v>
      </c>
      <c r="AU33" s="1">
        <f>O33-N33</f>
        <v>170</v>
      </c>
      <c r="AV33" s="1">
        <f>P33-O33</f>
        <v>220</v>
      </c>
      <c r="AW33" s="1">
        <f>Q33-P33</f>
        <v>240</v>
      </c>
      <c r="AX33" s="1">
        <f>R33-Q33</f>
        <v>120</v>
      </c>
      <c r="AY33" s="1">
        <f>S33-R33</f>
        <v>220</v>
      </c>
      <c r="AZ33" s="1">
        <f>T33-S33</f>
        <v>220</v>
      </c>
      <c r="BA33" s="1">
        <f>U33-T33</f>
        <v>170</v>
      </c>
      <c r="BB33" s="1">
        <f>V33-U33</f>
        <v>240</v>
      </c>
      <c r="BC33" s="1">
        <f>W33-V33</f>
        <v>190</v>
      </c>
      <c r="BD33" s="1">
        <f>X33-W33</f>
        <v>200</v>
      </c>
      <c r="BE33" s="1">
        <f>Y33-X33</f>
        <v>180</v>
      </c>
      <c r="BF33" s="1">
        <f>Z33-Y33</f>
        <v>370</v>
      </c>
    </row>
    <row r="34" spans="1:58">
      <c r="A34" s="1">
        <v>32</v>
      </c>
      <c r="B34" s="1">
        <v>185770</v>
      </c>
      <c r="C34" s="1">
        <v>185950</v>
      </c>
      <c r="D34" s="1">
        <v>186180</v>
      </c>
      <c r="E34" s="1">
        <v>186380</v>
      </c>
      <c r="F34" s="1">
        <v>186570</v>
      </c>
      <c r="G34" s="1">
        <v>186730</v>
      </c>
      <c r="H34" s="1">
        <v>186950</v>
      </c>
      <c r="I34" s="1">
        <v>187130</v>
      </c>
      <c r="J34" s="1">
        <v>187360</v>
      </c>
      <c r="K34" s="1">
        <v>187570</v>
      </c>
      <c r="L34" s="1">
        <v>187720</v>
      </c>
      <c r="M34" s="1">
        <v>187920</v>
      </c>
      <c r="N34" s="1">
        <v>188150</v>
      </c>
      <c r="O34" s="1">
        <v>188320</v>
      </c>
      <c r="P34" s="1">
        <v>188490</v>
      </c>
      <c r="Q34" s="1">
        <v>188670</v>
      </c>
      <c r="R34" s="1">
        <v>188860</v>
      </c>
      <c r="S34" s="1">
        <v>189050</v>
      </c>
      <c r="T34" s="1">
        <v>189290</v>
      </c>
      <c r="U34" s="1">
        <v>189420</v>
      </c>
      <c r="V34" s="1">
        <v>189640</v>
      </c>
      <c r="W34" s="1">
        <v>189860</v>
      </c>
      <c r="X34" s="1">
        <v>190080</v>
      </c>
      <c r="Y34" s="1">
        <v>190260</v>
      </c>
      <c r="Z34" s="1">
        <v>190650</v>
      </c>
      <c r="AA34" s="5">
        <f>AVERAGE(B34:Y34)</f>
        <v>188013.33333333334</v>
      </c>
      <c r="AB34" s="5">
        <f>(AA35-AA33)/2</f>
        <v>4865.4166666666715</v>
      </c>
      <c r="AC34" s="14">
        <f>AB34/(23+AB151)</f>
        <v>195.05317795696178</v>
      </c>
      <c r="AD34" s="5">
        <f>AA34-AA33</f>
        <v>4867.9166666666861</v>
      </c>
      <c r="AE34" s="1">
        <f>AD34-AD33</f>
        <v>-12.499999999970896</v>
      </c>
      <c r="AG34" s="5">
        <f>Z34-Y34</f>
        <v>390</v>
      </c>
      <c r="AI34" s="1">
        <f>C34-B34</f>
        <v>180</v>
      </c>
      <c r="AJ34" s="1">
        <f>D34-C34</f>
        <v>230</v>
      </c>
      <c r="AK34" s="1">
        <f>E34-D34</f>
        <v>200</v>
      </c>
      <c r="AL34" s="1">
        <f>F34-E34</f>
        <v>190</v>
      </c>
      <c r="AM34" s="1">
        <f>G34-F34</f>
        <v>160</v>
      </c>
      <c r="AN34" s="1">
        <f>H34-G34</f>
        <v>220</v>
      </c>
      <c r="AO34" s="1">
        <f>I34-H34</f>
        <v>180</v>
      </c>
      <c r="AP34" s="1">
        <f>J34-I34</f>
        <v>230</v>
      </c>
      <c r="AQ34" s="1">
        <f>K34-J34</f>
        <v>210</v>
      </c>
      <c r="AR34" s="1">
        <f>L34-K34</f>
        <v>150</v>
      </c>
      <c r="AS34" s="1">
        <f>M34-L34</f>
        <v>200</v>
      </c>
      <c r="AT34" s="1">
        <f>N34-M34</f>
        <v>230</v>
      </c>
      <c r="AU34" s="1">
        <f>O34-N34</f>
        <v>170</v>
      </c>
      <c r="AV34" s="1">
        <f>P34-O34</f>
        <v>170</v>
      </c>
      <c r="AW34" s="1">
        <f>Q34-P34</f>
        <v>180</v>
      </c>
      <c r="AX34" s="1">
        <f>R34-Q34</f>
        <v>190</v>
      </c>
      <c r="AY34" s="1">
        <f>S34-R34</f>
        <v>190</v>
      </c>
      <c r="AZ34" s="1">
        <f>T34-S34</f>
        <v>240</v>
      </c>
      <c r="BA34" s="1">
        <f>U34-T34</f>
        <v>130</v>
      </c>
      <c r="BB34" s="1">
        <f>V34-U34</f>
        <v>220</v>
      </c>
      <c r="BC34" s="1">
        <f>W34-V34</f>
        <v>220</v>
      </c>
      <c r="BD34" s="1">
        <f>X34-W34</f>
        <v>220</v>
      </c>
      <c r="BE34" s="1">
        <f>Y34-X34</f>
        <v>180</v>
      </c>
      <c r="BF34" s="1">
        <f>Z34-Y34</f>
        <v>390</v>
      </c>
    </row>
    <row r="35" spans="1:58">
      <c r="A35" s="1">
        <v>33</v>
      </c>
      <c r="B35" s="1">
        <v>190650</v>
      </c>
      <c r="C35" s="1">
        <v>190850</v>
      </c>
      <c r="D35" s="1">
        <v>191060</v>
      </c>
      <c r="E35" s="1">
        <v>191240</v>
      </c>
      <c r="F35" s="1">
        <v>191450</v>
      </c>
      <c r="G35" s="1">
        <v>191610</v>
      </c>
      <c r="H35" s="1">
        <v>191790</v>
      </c>
      <c r="I35" s="1">
        <v>192000</v>
      </c>
      <c r="J35" s="1">
        <v>192120</v>
      </c>
      <c r="K35" s="1">
        <v>192370</v>
      </c>
      <c r="L35" s="1">
        <v>192540</v>
      </c>
      <c r="M35" s="1">
        <v>192780</v>
      </c>
      <c r="N35" s="1">
        <v>192960</v>
      </c>
      <c r="O35" s="1">
        <v>193180</v>
      </c>
      <c r="P35" s="1">
        <v>193360</v>
      </c>
      <c r="Q35" s="1">
        <v>193550</v>
      </c>
      <c r="R35" s="1">
        <v>193780</v>
      </c>
      <c r="S35" s="1">
        <v>193980</v>
      </c>
      <c r="T35" s="1">
        <v>194140</v>
      </c>
      <c r="U35" s="1">
        <v>194310</v>
      </c>
      <c r="V35" s="1">
        <v>194520</v>
      </c>
      <c r="W35" s="1">
        <v>194730</v>
      </c>
      <c r="X35" s="1">
        <v>194930</v>
      </c>
      <c r="Y35" s="1">
        <v>195130</v>
      </c>
      <c r="Z35" s="1">
        <v>195520</v>
      </c>
      <c r="AA35" s="5">
        <f>AVERAGE(B35:Y35)</f>
        <v>192876.25</v>
      </c>
      <c r="AB35" s="5">
        <f>(AA36-AA34)/2</f>
        <v>4870.8333333333285</v>
      </c>
      <c r="AC35" s="14">
        <f>AB35/(23+AB151)</f>
        <v>195.27033059149429</v>
      </c>
      <c r="AD35" s="5">
        <f>AA35-AA34</f>
        <v>4862.916666666657</v>
      </c>
      <c r="AE35" s="1">
        <f>AD35-AD34</f>
        <v>-5.0000000000291038</v>
      </c>
      <c r="AG35" s="5">
        <f>Z35-Y35</f>
        <v>390</v>
      </c>
      <c r="AI35" s="1">
        <f>C35-B35</f>
        <v>200</v>
      </c>
      <c r="AJ35" s="1">
        <f>D35-C35</f>
        <v>210</v>
      </c>
      <c r="AK35" s="1">
        <f>E35-D35</f>
        <v>180</v>
      </c>
      <c r="AL35" s="1">
        <f>F35-E35</f>
        <v>210</v>
      </c>
      <c r="AM35" s="1">
        <f>G35-F35</f>
        <v>160</v>
      </c>
      <c r="AN35" s="1">
        <f>H35-G35</f>
        <v>180</v>
      </c>
      <c r="AO35" s="1">
        <f>I35-H35</f>
        <v>210</v>
      </c>
      <c r="AP35" s="1">
        <f>J35-I35</f>
        <v>120</v>
      </c>
      <c r="AQ35" s="1">
        <f>K35-J35</f>
        <v>250</v>
      </c>
      <c r="AR35" s="1">
        <f>L35-K35</f>
        <v>170</v>
      </c>
      <c r="AS35" s="1">
        <f>M35-L35</f>
        <v>240</v>
      </c>
      <c r="AT35" s="1">
        <f>N35-M35</f>
        <v>180</v>
      </c>
      <c r="AU35" s="1">
        <f>O35-N35</f>
        <v>220</v>
      </c>
      <c r="AV35" s="1">
        <f>P35-O35</f>
        <v>180</v>
      </c>
      <c r="AW35" s="1">
        <f>Q35-P35</f>
        <v>190</v>
      </c>
      <c r="AX35" s="1">
        <f>R35-Q35</f>
        <v>230</v>
      </c>
      <c r="AY35" s="1">
        <f>S35-R35</f>
        <v>200</v>
      </c>
      <c r="AZ35" s="1">
        <f>T35-S35</f>
        <v>160</v>
      </c>
      <c r="BA35" s="1">
        <f>U35-T35</f>
        <v>170</v>
      </c>
      <c r="BB35" s="1">
        <f>V35-U35</f>
        <v>210</v>
      </c>
      <c r="BC35" s="1">
        <f>W35-V35</f>
        <v>210</v>
      </c>
      <c r="BD35" s="1">
        <f>X35-W35</f>
        <v>200</v>
      </c>
      <c r="BE35" s="1">
        <f>Y35-X35</f>
        <v>200</v>
      </c>
      <c r="BF35" s="1">
        <f>Z35-Y35</f>
        <v>390</v>
      </c>
    </row>
    <row r="36" spans="1:58">
      <c r="A36" s="1">
        <v>34</v>
      </c>
      <c r="B36" s="1">
        <v>195520</v>
      </c>
      <c r="C36" s="1">
        <v>195720</v>
      </c>
      <c r="D36" s="1">
        <v>195910</v>
      </c>
      <c r="E36" s="1">
        <v>196090</v>
      </c>
      <c r="F36" s="1">
        <v>196310</v>
      </c>
      <c r="G36" s="1">
        <v>196500</v>
      </c>
      <c r="H36" s="1">
        <v>196670</v>
      </c>
      <c r="I36" s="1">
        <v>196860</v>
      </c>
      <c r="J36" s="1">
        <v>197080</v>
      </c>
      <c r="K36" s="1">
        <v>197270</v>
      </c>
      <c r="L36" s="1">
        <v>197450</v>
      </c>
      <c r="M36" s="1">
        <v>197630</v>
      </c>
      <c r="N36" s="1">
        <v>197860</v>
      </c>
      <c r="O36" s="1">
        <v>198040</v>
      </c>
      <c r="P36" s="1">
        <v>198250</v>
      </c>
      <c r="Q36" s="1">
        <v>198460</v>
      </c>
      <c r="R36" s="1">
        <v>198650</v>
      </c>
      <c r="S36" s="1">
        <v>198810</v>
      </c>
      <c r="T36" s="1">
        <v>199020</v>
      </c>
      <c r="U36" s="1">
        <v>199180</v>
      </c>
      <c r="V36" s="1">
        <v>199410</v>
      </c>
      <c r="W36" s="1">
        <v>199610</v>
      </c>
      <c r="X36" s="1">
        <v>199800</v>
      </c>
      <c r="Y36" s="1">
        <v>200020</v>
      </c>
      <c r="Z36" s="1">
        <v>200400</v>
      </c>
      <c r="AA36" s="5">
        <f>AVERAGE(B36:Y36)</f>
        <v>197755</v>
      </c>
      <c r="AB36" s="5">
        <f>(AA37-AA35)/2</f>
        <v>4881.4583333333285</v>
      </c>
      <c r="AC36" s="14">
        <f>AB36/(23+AB151)</f>
        <v>195.69628383615495</v>
      </c>
      <c r="AD36" s="5">
        <f>AA36-AA35</f>
        <v>4878.75</v>
      </c>
      <c r="AE36" s="1">
        <f>AD36-AD35</f>
        <v>15.833333333343035</v>
      </c>
      <c r="AG36" s="5">
        <f>Z36-Y36</f>
        <v>380</v>
      </c>
      <c r="AI36" s="1">
        <f>C36-B36</f>
        <v>200</v>
      </c>
      <c r="AJ36" s="1">
        <f>D36-C36</f>
        <v>190</v>
      </c>
      <c r="AK36" s="1">
        <f>E36-D36</f>
        <v>180</v>
      </c>
      <c r="AL36" s="1">
        <f>F36-E36</f>
        <v>220</v>
      </c>
      <c r="AM36" s="1">
        <f>G36-F36</f>
        <v>190</v>
      </c>
      <c r="AN36" s="1">
        <f>H36-G36</f>
        <v>170</v>
      </c>
      <c r="AO36" s="1">
        <f>I36-H36</f>
        <v>190</v>
      </c>
      <c r="AP36" s="1">
        <f>J36-I36</f>
        <v>220</v>
      </c>
      <c r="AQ36" s="1">
        <f>K36-J36</f>
        <v>190</v>
      </c>
      <c r="AR36" s="1">
        <f>L36-K36</f>
        <v>180</v>
      </c>
      <c r="AS36" s="1">
        <f>M36-L36</f>
        <v>180</v>
      </c>
      <c r="AT36" s="1">
        <f>N36-M36</f>
        <v>230</v>
      </c>
      <c r="AU36" s="1">
        <f>O36-N36</f>
        <v>180</v>
      </c>
      <c r="AV36" s="1">
        <f>P36-O36</f>
        <v>210</v>
      </c>
      <c r="AW36" s="1">
        <f>Q36-P36</f>
        <v>210</v>
      </c>
      <c r="AX36" s="1">
        <f>R36-Q36</f>
        <v>190</v>
      </c>
      <c r="AY36" s="1">
        <f>S36-R36</f>
        <v>160</v>
      </c>
      <c r="AZ36" s="1">
        <f>T36-S36</f>
        <v>210</v>
      </c>
      <c r="BA36" s="1">
        <f>U36-T36</f>
        <v>160</v>
      </c>
      <c r="BB36" s="1">
        <f>V36-U36</f>
        <v>230</v>
      </c>
      <c r="BC36" s="1">
        <f>W36-V36</f>
        <v>200</v>
      </c>
      <c r="BD36" s="1">
        <f>X36-W36</f>
        <v>190</v>
      </c>
      <c r="BE36" s="1">
        <f>Y36-X36</f>
        <v>220</v>
      </c>
      <c r="BF36" s="1">
        <f>Z36-Y36</f>
        <v>380</v>
      </c>
    </row>
    <row r="37" spans="1:58">
      <c r="A37" s="1">
        <v>35</v>
      </c>
      <c r="B37" s="1">
        <v>200400</v>
      </c>
      <c r="C37" s="1">
        <v>200590</v>
      </c>
      <c r="D37" s="1">
        <v>200820</v>
      </c>
      <c r="E37" s="1">
        <v>201000</v>
      </c>
      <c r="F37" s="1">
        <v>201160</v>
      </c>
      <c r="G37" s="1">
        <v>201370</v>
      </c>
      <c r="H37" s="1">
        <v>201520</v>
      </c>
      <c r="I37" s="1">
        <v>201750</v>
      </c>
      <c r="J37" s="1">
        <v>201970</v>
      </c>
      <c r="K37" s="1">
        <v>202170</v>
      </c>
      <c r="L37" s="1">
        <v>202300</v>
      </c>
      <c r="M37" s="1">
        <v>202550</v>
      </c>
      <c r="N37" s="1">
        <v>202730</v>
      </c>
      <c r="O37" s="1">
        <v>202900</v>
      </c>
      <c r="P37" s="1">
        <v>203140</v>
      </c>
      <c r="Q37" s="1">
        <v>203340</v>
      </c>
      <c r="R37" s="1">
        <v>203530</v>
      </c>
      <c r="S37" s="1">
        <v>203690</v>
      </c>
      <c r="T37" s="1">
        <v>203900</v>
      </c>
      <c r="U37" s="1">
        <v>204080</v>
      </c>
      <c r="V37" s="1">
        <v>204310</v>
      </c>
      <c r="W37" s="1">
        <v>204500</v>
      </c>
      <c r="X37" s="1">
        <v>204690</v>
      </c>
      <c r="Y37" s="1">
        <v>204930</v>
      </c>
      <c r="Z37" s="1">
        <v>205260</v>
      </c>
      <c r="AA37" s="5">
        <f>AVERAGE(B37:Y37)</f>
        <v>202639.16666666666</v>
      </c>
      <c r="AB37" s="5">
        <f>(AA38-AA36)/2</f>
        <v>4874.7916666666715</v>
      </c>
      <c r="AC37" s="14">
        <f>AB37/(23+AB151)</f>
        <v>195.42901905519176</v>
      </c>
      <c r="AD37" s="5">
        <f>AA37-AA36</f>
        <v>4884.166666666657</v>
      </c>
      <c r="AE37" s="1">
        <f>AD37-AD36</f>
        <v>5.4166666666569654</v>
      </c>
      <c r="AG37" s="5">
        <f>Z37-Y37</f>
        <v>330</v>
      </c>
      <c r="AI37" s="1">
        <f>C37-B37</f>
        <v>190</v>
      </c>
      <c r="AJ37" s="1">
        <f>D37-C37</f>
        <v>230</v>
      </c>
      <c r="AK37" s="1">
        <f>E37-D37</f>
        <v>180</v>
      </c>
      <c r="AL37" s="1">
        <f>F37-E37</f>
        <v>160</v>
      </c>
      <c r="AM37" s="1">
        <f>G37-F37</f>
        <v>210</v>
      </c>
      <c r="AN37" s="1">
        <f>H37-G37</f>
        <v>150</v>
      </c>
      <c r="AO37" s="1">
        <f>I37-H37</f>
        <v>230</v>
      </c>
      <c r="AP37" s="1">
        <f>J37-I37</f>
        <v>220</v>
      </c>
      <c r="AQ37" s="1">
        <f>K37-J37</f>
        <v>200</v>
      </c>
      <c r="AR37" s="1">
        <f>L37-K37</f>
        <v>130</v>
      </c>
      <c r="AS37" s="1">
        <f>M37-L37</f>
        <v>250</v>
      </c>
      <c r="AT37" s="1">
        <f>N37-M37</f>
        <v>180</v>
      </c>
      <c r="AU37" s="1">
        <f>O37-N37</f>
        <v>170</v>
      </c>
      <c r="AV37" s="1">
        <f>P37-O37</f>
        <v>240</v>
      </c>
      <c r="AW37" s="1">
        <f>Q37-P37</f>
        <v>200</v>
      </c>
      <c r="AX37" s="1">
        <f>R37-Q37</f>
        <v>190</v>
      </c>
      <c r="AY37" s="1">
        <f>S37-R37</f>
        <v>160</v>
      </c>
      <c r="AZ37" s="1">
        <f>T37-S37</f>
        <v>210</v>
      </c>
      <c r="BA37" s="1">
        <f>U37-T37</f>
        <v>180</v>
      </c>
      <c r="BB37" s="1">
        <f>V37-U37</f>
        <v>230</v>
      </c>
      <c r="BC37" s="1">
        <f>W37-V37</f>
        <v>190</v>
      </c>
      <c r="BD37" s="1">
        <f>X37-W37</f>
        <v>190</v>
      </c>
      <c r="BE37" s="1">
        <f>Y37-X37</f>
        <v>240</v>
      </c>
      <c r="BF37" s="1">
        <f>Z37-Y37</f>
        <v>330</v>
      </c>
    </row>
    <row r="38" spans="1:58">
      <c r="A38" s="1">
        <v>36</v>
      </c>
      <c r="B38" s="1">
        <v>205260</v>
      </c>
      <c r="C38" s="1">
        <v>205450</v>
      </c>
      <c r="D38" s="1">
        <v>205690</v>
      </c>
      <c r="E38" s="1">
        <v>205860</v>
      </c>
      <c r="F38" s="1">
        <v>206040</v>
      </c>
      <c r="G38" s="1">
        <v>206240</v>
      </c>
      <c r="H38" s="1">
        <v>206400</v>
      </c>
      <c r="I38" s="1">
        <v>206640</v>
      </c>
      <c r="J38" s="1">
        <v>206800</v>
      </c>
      <c r="K38" s="1">
        <v>207010</v>
      </c>
      <c r="L38" s="1">
        <v>207260</v>
      </c>
      <c r="M38" s="1">
        <v>207430</v>
      </c>
      <c r="N38" s="1">
        <v>207550</v>
      </c>
      <c r="O38" s="1">
        <v>207780</v>
      </c>
      <c r="P38" s="1">
        <v>208000</v>
      </c>
      <c r="Q38" s="1">
        <v>208190</v>
      </c>
      <c r="R38" s="1">
        <v>208390</v>
      </c>
      <c r="S38" s="1">
        <v>208580</v>
      </c>
      <c r="T38" s="1">
        <v>208770</v>
      </c>
      <c r="U38" s="1">
        <v>208940</v>
      </c>
      <c r="V38" s="1">
        <v>209160</v>
      </c>
      <c r="W38" s="1">
        <v>209350</v>
      </c>
      <c r="X38" s="1">
        <v>209550</v>
      </c>
      <c r="Y38" s="1">
        <v>209770</v>
      </c>
      <c r="Z38" s="1">
        <v>210170</v>
      </c>
      <c r="AA38" s="5">
        <f>AVERAGE(B38:Y38)</f>
        <v>207504.58333333334</v>
      </c>
      <c r="AB38" s="5">
        <f>(AA39-AA37)/2</f>
        <v>4872.9166666666715</v>
      </c>
      <c r="AC38" s="14">
        <f>AB38/(23+AB151)</f>
        <v>195.35385083554579</v>
      </c>
      <c r="AD38" s="5">
        <f>AA38-AA37</f>
        <v>4865.4166666666861</v>
      </c>
      <c r="AE38" s="1">
        <f>AD38-AD37</f>
        <v>-18.749999999970896</v>
      </c>
      <c r="AG38" s="5">
        <f>Z38-Y38</f>
        <v>400</v>
      </c>
      <c r="AI38" s="1">
        <f>C38-B38</f>
        <v>190</v>
      </c>
      <c r="AJ38" s="1">
        <f>D38-C38</f>
        <v>240</v>
      </c>
      <c r="AK38" s="1">
        <f>E38-D38</f>
        <v>170</v>
      </c>
      <c r="AL38" s="1">
        <f>F38-E38</f>
        <v>180</v>
      </c>
      <c r="AM38" s="1">
        <f>G38-F38</f>
        <v>200</v>
      </c>
      <c r="AN38" s="1">
        <f>H38-G38</f>
        <v>160</v>
      </c>
      <c r="AO38" s="1">
        <f>I38-H38</f>
        <v>240</v>
      </c>
      <c r="AP38" s="1">
        <f>J38-I38</f>
        <v>160</v>
      </c>
      <c r="AQ38" s="1">
        <f>K38-J38</f>
        <v>210</v>
      </c>
      <c r="AR38" s="1">
        <f>L38-K38</f>
        <v>250</v>
      </c>
      <c r="AS38" s="1">
        <f>M38-L38</f>
        <v>170</v>
      </c>
      <c r="AT38" s="1">
        <f>N38-M38</f>
        <v>120</v>
      </c>
      <c r="AU38" s="1">
        <f>O38-N38</f>
        <v>230</v>
      </c>
      <c r="AV38" s="1">
        <f>P38-O38</f>
        <v>220</v>
      </c>
      <c r="AW38" s="1">
        <f>Q38-P38</f>
        <v>190</v>
      </c>
      <c r="AX38" s="1">
        <f>R38-Q38</f>
        <v>200</v>
      </c>
      <c r="AY38" s="1">
        <f>S38-R38</f>
        <v>190</v>
      </c>
      <c r="AZ38" s="1">
        <f>T38-S38</f>
        <v>190</v>
      </c>
      <c r="BA38" s="1">
        <f>U38-T38</f>
        <v>170</v>
      </c>
      <c r="BB38" s="1">
        <f>V38-U38</f>
        <v>220</v>
      </c>
      <c r="BC38" s="1">
        <f>W38-V38</f>
        <v>190</v>
      </c>
      <c r="BD38" s="1">
        <f>X38-W38</f>
        <v>200</v>
      </c>
      <c r="BE38" s="1">
        <f>Y38-X38</f>
        <v>220</v>
      </c>
      <c r="BF38" s="1">
        <f>Z38-Y38</f>
        <v>400</v>
      </c>
    </row>
    <row r="39" spans="1:58">
      <c r="A39" s="1">
        <v>37</v>
      </c>
      <c r="B39" s="1">
        <v>210170</v>
      </c>
      <c r="C39" s="1">
        <v>210340</v>
      </c>
      <c r="D39" s="1">
        <v>210520</v>
      </c>
      <c r="E39" s="1">
        <v>210750</v>
      </c>
      <c r="F39" s="1">
        <v>210890</v>
      </c>
      <c r="G39" s="1">
        <v>211110</v>
      </c>
      <c r="H39" s="1">
        <v>211300</v>
      </c>
      <c r="I39" s="1">
        <v>211560</v>
      </c>
      <c r="J39" s="1">
        <v>211730</v>
      </c>
      <c r="K39" s="1">
        <v>211910</v>
      </c>
      <c r="L39" s="1">
        <v>212110</v>
      </c>
      <c r="M39" s="1">
        <v>212280</v>
      </c>
      <c r="N39" s="1">
        <v>212480</v>
      </c>
      <c r="O39" s="1">
        <v>212640</v>
      </c>
      <c r="P39" s="1">
        <v>212870</v>
      </c>
      <c r="Q39" s="1">
        <v>213060</v>
      </c>
      <c r="R39" s="1">
        <v>213230</v>
      </c>
      <c r="S39" s="1">
        <v>213440</v>
      </c>
      <c r="T39" s="1">
        <v>213630</v>
      </c>
      <c r="U39" s="1">
        <v>213850</v>
      </c>
      <c r="V39" s="1">
        <v>214060</v>
      </c>
      <c r="W39" s="1">
        <v>214240</v>
      </c>
      <c r="X39" s="1">
        <v>214440</v>
      </c>
      <c r="Y39" s="1">
        <v>214630</v>
      </c>
      <c r="Z39" s="1">
        <v>215060</v>
      </c>
      <c r="AA39" s="5">
        <f>AVERAGE(B39:Y39)</f>
        <v>212385</v>
      </c>
      <c r="AB39" s="5">
        <f>(AA40-AA38)/2</f>
        <v>4891.25</v>
      </c>
      <c r="AC39" s="14">
        <f>AB39/(23+AB151)</f>
        <v>196.08882898319536</v>
      </c>
      <c r="AD39" s="5">
        <f>AA39-AA38</f>
        <v>4880.416666666657</v>
      </c>
      <c r="AE39" s="1">
        <f>AD39-AD38</f>
        <v>14.999999999970896</v>
      </c>
      <c r="AG39" s="5">
        <f>Z39-Y39</f>
        <v>430</v>
      </c>
      <c r="AI39" s="1">
        <f>C39-B39</f>
        <v>170</v>
      </c>
      <c r="AJ39" s="1">
        <f>D39-C39</f>
        <v>180</v>
      </c>
      <c r="AK39" s="1">
        <f>E39-D39</f>
        <v>230</v>
      </c>
      <c r="AL39" s="1">
        <f>F39-E39</f>
        <v>140</v>
      </c>
      <c r="AM39" s="1">
        <f>G39-F39</f>
        <v>220</v>
      </c>
      <c r="AN39" s="1">
        <f>H39-G39</f>
        <v>190</v>
      </c>
      <c r="AO39" s="1">
        <f>I39-H39</f>
        <v>260</v>
      </c>
      <c r="AP39" s="1">
        <f>J39-I39</f>
        <v>170</v>
      </c>
      <c r="AQ39" s="1">
        <f>K39-J39</f>
        <v>180</v>
      </c>
      <c r="AR39" s="1">
        <f>L39-K39</f>
        <v>200</v>
      </c>
      <c r="AS39" s="1">
        <f>M39-L39</f>
        <v>170</v>
      </c>
      <c r="AT39" s="1">
        <f>N39-M39</f>
        <v>200</v>
      </c>
      <c r="AU39" s="1">
        <f>O39-N39</f>
        <v>160</v>
      </c>
      <c r="AV39" s="1">
        <f>P39-O39</f>
        <v>230</v>
      </c>
      <c r="AW39" s="1">
        <f>Q39-P39</f>
        <v>190</v>
      </c>
      <c r="AX39" s="1">
        <f>R39-Q39</f>
        <v>170</v>
      </c>
      <c r="AY39" s="1">
        <f>S39-R39</f>
        <v>210</v>
      </c>
      <c r="AZ39" s="1">
        <f>T39-S39</f>
        <v>190</v>
      </c>
      <c r="BA39" s="1">
        <f>U39-T39</f>
        <v>220</v>
      </c>
      <c r="BB39" s="1">
        <f>V39-U39</f>
        <v>210</v>
      </c>
      <c r="BC39" s="1">
        <f>W39-V39</f>
        <v>180</v>
      </c>
      <c r="BD39" s="1">
        <f>X39-W39</f>
        <v>200</v>
      </c>
      <c r="BE39" s="1">
        <f>Y39-X39</f>
        <v>190</v>
      </c>
      <c r="BF39" s="1">
        <f>Z39-Y39</f>
        <v>430</v>
      </c>
    </row>
    <row r="40" spans="1:58">
      <c r="A40" s="1">
        <v>38</v>
      </c>
      <c r="B40" s="1">
        <v>215060</v>
      </c>
      <c r="C40" s="1">
        <v>215280</v>
      </c>
      <c r="D40" s="1">
        <v>215450</v>
      </c>
      <c r="E40" s="1">
        <v>215640</v>
      </c>
      <c r="F40" s="1">
        <v>215770</v>
      </c>
      <c r="G40" s="1">
        <v>215980</v>
      </c>
      <c r="H40" s="1">
        <v>216190</v>
      </c>
      <c r="I40" s="1">
        <v>216400</v>
      </c>
      <c r="J40" s="1">
        <v>216610</v>
      </c>
      <c r="K40" s="1">
        <v>216830</v>
      </c>
      <c r="L40" s="1">
        <v>216990</v>
      </c>
      <c r="M40" s="1">
        <v>217210</v>
      </c>
      <c r="N40" s="1">
        <v>217340</v>
      </c>
      <c r="O40" s="1">
        <v>217560</v>
      </c>
      <c r="P40" s="1">
        <v>217760</v>
      </c>
      <c r="Q40" s="1">
        <v>217940</v>
      </c>
      <c r="R40" s="1">
        <v>218160</v>
      </c>
      <c r="S40" s="1">
        <v>218330</v>
      </c>
      <c r="T40" s="1">
        <v>218570</v>
      </c>
      <c r="U40" s="1">
        <v>218760</v>
      </c>
      <c r="V40" s="1">
        <v>218930</v>
      </c>
      <c r="W40" s="1">
        <v>219140</v>
      </c>
      <c r="X40" s="1">
        <v>219410</v>
      </c>
      <c r="Y40" s="1">
        <v>219580</v>
      </c>
      <c r="Z40" s="1">
        <v>219940</v>
      </c>
      <c r="AA40" s="5">
        <f>AVERAGE(B40:Y40)</f>
        <v>217287.08333333334</v>
      </c>
      <c r="AB40" s="5">
        <f>(AA41-AA39)/2</f>
        <v>4897.0833333333285</v>
      </c>
      <c r="AC40" s="14">
        <f>AB40/(23+AB151)</f>
        <v>196.32268566653826</v>
      </c>
      <c r="AD40" s="5">
        <f>AA40-AA39</f>
        <v>4902.083333333343</v>
      </c>
      <c r="AE40" s="1">
        <f>AD40-AD39</f>
        <v>21.666666666686069</v>
      </c>
      <c r="AG40" s="5">
        <f>Z40-Y40</f>
        <v>360</v>
      </c>
      <c r="AI40" s="1">
        <f>C40-B40</f>
        <v>220</v>
      </c>
      <c r="AJ40" s="1">
        <f>D40-C40</f>
        <v>170</v>
      </c>
      <c r="AK40" s="1">
        <f>E40-D40</f>
        <v>190</v>
      </c>
      <c r="AL40" s="1">
        <f>F40-E40</f>
        <v>130</v>
      </c>
      <c r="AM40" s="1">
        <f>G40-F40</f>
        <v>210</v>
      </c>
      <c r="AN40" s="1">
        <f>H40-G40</f>
        <v>210</v>
      </c>
      <c r="AO40" s="1">
        <f>I40-H40</f>
        <v>210</v>
      </c>
      <c r="AP40" s="1">
        <f>J40-I40</f>
        <v>210</v>
      </c>
      <c r="AQ40" s="1">
        <f>K40-J40</f>
        <v>220</v>
      </c>
      <c r="AR40" s="1">
        <f>L40-K40</f>
        <v>160</v>
      </c>
      <c r="AS40" s="1">
        <f>M40-L40</f>
        <v>220</v>
      </c>
      <c r="AT40" s="1">
        <f>N40-M40</f>
        <v>130</v>
      </c>
      <c r="AU40" s="1">
        <f>O40-N40</f>
        <v>220</v>
      </c>
      <c r="AV40" s="1">
        <f>P40-O40</f>
        <v>200</v>
      </c>
      <c r="AW40" s="1">
        <f>Q40-P40</f>
        <v>180</v>
      </c>
      <c r="AX40" s="1">
        <f>R40-Q40</f>
        <v>220</v>
      </c>
      <c r="AY40" s="1">
        <f>S40-R40</f>
        <v>170</v>
      </c>
      <c r="AZ40" s="1">
        <f>T40-S40</f>
        <v>240</v>
      </c>
      <c r="BA40" s="1">
        <f>U40-T40</f>
        <v>190</v>
      </c>
      <c r="BB40" s="1">
        <f>V40-U40</f>
        <v>170</v>
      </c>
      <c r="BC40" s="1">
        <f>W40-V40</f>
        <v>210</v>
      </c>
      <c r="BD40" s="1">
        <f>X40-W40</f>
        <v>270</v>
      </c>
      <c r="BE40" s="1">
        <f>Y40-X40</f>
        <v>170</v>
      </c>
      <c r="BF40" s="1">
        <f>Z40-Y40</f>
        <v>360</v>
      </c>
    </row>
    <row r="41" spans="1:58">
      <c r="A41" s="1">
        <v>39</v>
      </c>
      <c r="B41" s="1">
        <v>219940</v>
      </c>
      <c r="C41" s="1">
        <v>220130</v>
      </c>
      <c r="D41" s="1">
        <v>220290</v>
      </c>
      <c r="E41" s="1">
        <v>220520</v>
      </c>
      <c r="F41" s="1">
        <v>220690</v>
      </c>
      <c r="G41" s="1">
        <v>220870</v>
      </c>
      <c r="H41" s="1">
        <v>221130</v>
      </c>
      <c r="I41" s="1">
        <v>221320</v>
      </c>
      <c r="J41" s="1">
        <v>221500</v>
      </c>
      <c r="K41" s="1">
        <v>221670</v>
      </c>
      <c r="L41" s="1">
        <v>221900</v>
      </c>
      <c r="M41" s="1">
        <v>222130</v>
      </c>
      <c r="N41" s="1">
        <v>222250</v>
      </c>
      <c r="O41" s="1">
        <v>222460</v>
      </c>
      <c r="P41" s="1">
        <v>222630</v>
      </c>
      <c r="Q41" s="1">
        <v>222830</v>
      </c>
      <c r="R41" s="1">
        <v>223040</v>
      </c>
      <c r="S41" s="1">
        <v>223220</v>
      </c>
      <c r="T41" s="1">
        <v>223460</v>
      </c>
      <c r="U41" s="1">
        <v>223650</v>
      </c>
      <c r="V41" s="1">
        <v>223870</v>
      </c>
      <c r="W41" s="1">
        <v>224080</v>
      </c>
      <c r="X41" s="1">
        <v>224240</v>
      </c>
      <c r="Y41" s="1">
        <v>224480</v>
      </c>
      <c r="Z41" s="1">
        <v>224830</v>
      </c>
      <c r="AA41" s="5">
        <f>AVERAGE(B41:Y41)</f>
        <v>222179.16666666666</v>
      </c>
      <c r="AB41" s="5">
        <f>(AA42-AA40)/2</f>
        <v>4883.9583333333285</v>
      </c>
      <c r="AC41" s="14">
        <f>AB41/(23+AB151)</f>
        <v>195.79650812901627</v>
      </c>
      <c r="AD41" s="5">
        <f>AA41-AA40</f>
        <v>4892.0833333333139</v>
      </c>
      <c r="AE41" s="1">
        <f>AD41-AD40</f>
        <v>-10.000000000029104</v>
      </c>
      <c r="AG41" s="5">
        <f>Z41-Y41</f>
        <v>350</v>
      </c>
      <c r="AI41" s="1">
        <f>C41-B41</f>
        <v>190</v>
      </c>
      <c r="AJ41" s="1">
        <f>D41-C41</f>
        <v>160</v>
      </c>
      <c r="AK41" s="1">
        <f>E41-D41</f>
        <v>230</v>
      </c>
      <c r="AL41" s="1">
        <f>F41-E41</f>
        <v>170</v>
      </c>
      <c r="AM41" s="1">
        <f>G41-F41</f>
        <v>180</v>
      </c>
      <c r="AN41" s="1">
        <f>H41-G41</f>
        <v>260</v>
      </c>
      <c r="AO41" s="1">
        <f>I41-H41</f>
        <v>190</v>
      </c>
      <c r="AP41" s="1">
        <f>J41-I41</f>
        <v>180</v>
      </c>
      <c r="AQ41" s="1">
        <f>K41-J41</f>
        <v>170</v>
      </c>
      <c r="AR41" s="1">
        <f>L41-K41</f>
        <v>230</v>
      </c>
      <c r="AS41" s="1">
        <f>M41-L41</f>
        <v>230</v>
      </c>
      <c r="AT41" s="1">
        <f>N41-M41</f>
        <v>120</v>
      </c>
      <c r="AU41" s="1">
        <f>O41-N41</f>
        <v>210</v>
      </c>
      <c r="AV41" s="1">
        <f>P41-O41</f>
        <v>170</v>
      </c>
      <c r="AW41" s="1">
        <f>Q41-P41</f>
        <v>200</v>
      </c>
      <c r="AX41" s="1">
        <f>R41-Q41</f>
        <v>210</v>
      </c>
      <c r="AY41" s="1">
        <f>S41-R41</f>
        <v>180</v>
      </c>
      <c r="AZ41" s="1">
        <f>T41-S41</f>
        <v>240</v>
      </c>
      <c r="BA41" s="1">
        <f>U41-T41</f>
        <v>190</v>
      </c>
      <c r="BB41" s="1">
        <f>V41-U41</f>
        <v>220</v>
      </c>
      <c r="BC41" s="1">
        <f>W41-V41</f>
        <v>210</v>
      </c>
      <c r="BD41" s="1">
        <f>X41-W41</f>
        <v>160</v>
      </c>
      <c r="BE41" s="1">
        <f>Y41-X41</f>
        <v>240</v>
      </c>
      <c r="BF41" s="1">
        <f>Z41-Y41</f>
        <v>350</v>
      </c>
    </row>
    <row r="42" spans="1:58">
      <c r="A42" s="1">
        <v>40</v>
      </c>
      <c r="B42" s="1">
        <v>224830</v>
      </c>
      <c r="C42" s="1">
        <v>225010</v>
      </c>
      <c r="D42" s="1">
        <v>225190</v>
      </c>
      <c r="E42" s="1">
        <v>225400</v>
      </c>
      <c r="F42" s="1">
        <v>225560</v>
      </c>
      <c r="G42" s="1">
        <v>225770</v>
      </c>
      <c r="H42" s="1">
        <v>226030</v>
      </c>
      <c r="I42" s="1">
        <v>226190</v>
      </c>
      <c r="J42" s="1">
        <v>226380</v>
      </c>
      <c r="K42" s="1">
        <v>226580</v>
      </c>
      <c r="L42" s="1">
        <v>226780</v>
      </c>
      <c r="M42" s="1">
        <v>226960</v>
      </c>
      <c r="N42" s="1">
        <v>227130</v>
      </c>
      <c r="O42" s="1">
        <v>227350</v>
      </c>
      <c r="P42" s="1">
        <v>227490</v>
      </c>
      <c r="Q42" s="1">
        <v>227710</v>
      </c>
      <c r="R42" s="1">
        <v>227870</v>
      </c>
      <c r="S42" s="1">
        <v>228150</v>
      </c>
      <c r="T42" s="1">
        <v>228320</v>
      </c>
      <c r="U42" s="1">
        <v>228540</v>
      </c>
      <c r="V42" s="1">
        <v>228720</v>
      </c>
      <c r="W42" s="1">
        <v>228950</v>
      </c>
      <c r="X42" s="1">
        <v>229100</v>
      </c>
      <c r="Y42" s="1">
        <v>229310</v>
      </c>
      <c r="Z42" s="1">
        <v>229700</v>
      </c>
      <c r="AA42" s="5">
        <f>AVERAGE(B42:Y42)</f>
        <v>227055</v>
      </c>
      <c r="AB42" s="5">
        <f>(AA43-AA41)/2</f>
        <v>4879.583333333343</v>
      </c>
      <c r="AC42" s="14">
        <f>AB42/(23+AB151)</f>
        <v>195.62111561650951</v>
      </c>
      <c r="AD42" s="5">
        <f>AA42-AA41</f>
        <v>4875.833333333343</v>
      </c>
      <c r="AE42" s="1">
        <f>AD42-AD41</f>
        <v>-16.249999999970896</v>
      </c>
      <c r="AG42" s="5">
        <f>Z42-Y42</f>
        <v>390</v>
      </c>
      <c r="AI42" s="1">
        <f>C42-B42</f>
        <v>180</v>
      </c>
      <c r="AJ42" s="1">
        <f>D42-C42</f>
        <v>180</v>
      </c>
      <c r="AK42" s="1">
        <f>E42-D42</f>
        <v>210</v>
      </c>
      <c r="AL42" s="1">
        <f>F42-E42</f>
        <v>160</v>
      </c>
      <c r="AM42" s="1">
        <f>G42-F42</f>
        <v>210</v>
      </c>
      <c r="AN42" s="1">
        <f>H42-G42</f>
        <v>260</v>
      </c>
      <c r="AO42" s="1">
        <f>I42-H42</f>
        <v>160</v>
      </c>
      <c r="AP42" s="1">
        <f>J42-I42</f>
        <v>190</v>
      </c>
      <c r="AQ42" s="1">
        <f>K42-J42</f>
        <v>200</v>
      </c>
      <c r="AR42" s="1">
        <f>L42-K42</f>
        <v>200</v>
      </c>
      <c r="AS42" s="1">
        <f>M42-L42</f>
        <v>180</v>
      </c>
      <c r="AT42" s="1">
        <f>N42-M42</f>
        <v>170</v>
      </c>
      <c r="AU42" s="1">
        <f>O42-N42</f>
        <v>220</v>
      </c>
      <c r="AV42" s="1">
        <f>P42-O42</f>
        <v>140</v>
      </c>
      <c r="AW42" s="1">
        <f>Q42-P42</f>
        <v>220</v>
      </c>
      <c r="AX42" s="1">
        <f>R42-Q42</f>
        <v>160</v>
      </c>
      <c r="AY42" s="1">
        <f>S42-R42</f>
        <v>280</v>
      </c>
      <c r="AZ42" s="1">
        <f>T42-S42</f>
        <v>170</v>
      </c>
      <c r="BA42" s="1">
        <f>U42-T42</f>
        <v>220</v>
      </c>
      <c r="BB42" s="1">
        <f>V42-U42</f>
        <v>180</v>
      </c>
      <c r="BC42" s="1">
        <f>W42-V42</f>
        <v>230</v>
      </c>
      <c r="BD42" s="1">
        <f>X42-W42</f>
        <v>150</v>
      </c>
      <c r="BE42" s="1">
        <f>Y42-X42</f>
        <v>210</v>
      </c>
      <c r="BF42" s="1">
        <f>Z42-Y42</f>
        <v>390</v>
      </c>
    </row>
    <row r="43" spans="1:58">
      <c r="A43" s="1">
        <v>41</v>
      </c>
      <c r="B43" s="1">
        <v>229700</v>
      </c>
      <c r="C43" s="1">
        <v>229890</v>
      </c>
      <c r="D43" s="1">
        <v>230080</v>
      </c>
      <c r="E43" s="1">
        <v>230270</v>
      </c>
      <c r="F43" s="1">
        <v>230480</v>
      </c>
      <c r="G43" s="1">
        <v>230680</v>
      </c>
      <c r="H43" s="1">
        <v>230880</v>
      </c>
      <c r="I43" s="1">
        <v>231060</v>
      </c>
      <c r="J43" s="1">
        <v>231290</v>
      </c>
      <c r="K43" s="1">
        <v>231490</v>
      </c>
      <c r="L43" s="1">
        <v>231640</v>
      </c>
      <c r="M43" s="1">
        <v>231820</v>
      </c>
      <c r="N43" s="1">
        <v>231990</v>
      </c>
      <c r="O43" s="1">
        <v>232240</v>
      </c>
      <c r="P43" s="1">
        <v>232390</v>
      </c>
      <c r="Q43" s="1">
        <v>232610</v>
      </c>
      <c r="R43" s="1">
        <v>232800</v>
      </c>
      <c r="S43" s="1">
        <v>233000</v>
      </c>
      <c r="T43" s="1">
        <v>233210</v>
      </c>
      <c r="U43" s="1">
        <v>233430</v>
      </c>
      <c r="V43" s="1">
        <v>233570</v>
      </c>
      <c r="W43" s="1">
        <v>233780</v>
      </c>
      <c r="X43" s="1">
        <v>233990</v>
      </c>
      <c r="Y43" s="1">
        <v>234230</v>
      </c>
      <c r="Z43" s="1">
        <v>234590</v>
      </c>
      <c r="AA43" s="5">
        <f>AVERAGE(B43:Y43)</f>
        <v>231938.33333333334</v>
      </c>
      <c r="AB43" s="5">
        <f>(AA44-AA42)/2</f>
        <v>4883.9583333333285</v>
      </c>
      <c r="AC43" s="14">
        <f>AB43/(23+AB151)</f>
        <v>195.79650812901627</v>
      </c>
      <c r="AD43" s="5">
        <f>AA43-AA42</f>
        <v>4883.333333333343</v>
      </c>
      <c r="AE43" s="1">
        <f>AD43-AD42</f>
        <v>7.5</v>
      </c>
      <c r="AG43" s="5">
        <f>Z43-Y43</f>
        <v>360</v>
      </c>
      <c r="AI43" s="1">
        <f>C43-B43</f>
        <v>190</v>
      </c>
      <c r="AJ43" s="1">
        <f>D43-C43</f>
        <v>190</v>
      </c>
      <c r="AK43" s="1">
        <f>E43-D43</f>
        <v>190</v>
      </c>
      <c r="AL43" s="1">
        <f>F43-E43</f>
        <v>210</v>
      </c>
      <c r="AM43" s="1">
        <f>G43-F43</f>
        <v>200</v>
      </c>
      <c r="AN43" s="1">
        <f>H43-G43</f>
        <v>200</v>
      </c>
      <c r="AO43" s="1">
        <f>I43-H43</f>
        <v>180</v>
      </c>
      <c r="AP43" s="1">
        <f>J43-I43</f>
        <v>230</v>
      </c>
      <c r="AQ43" s="1">
        <f>K43-J43</f>
        <v>200</v>
      </c>
      <c r="AR43" s="1">
        <f>L43-K43</f>
        <v>150</v>
      </c>
      <c r="AS43" s="1">
        <f>M43-L43</f>
        <v>180</v>
      </c>
      <c r="AT43" s="1">
        <f>N43-M43</f>
        <v>170</v>
      </c>
      <c r="AU43" s="1">
        <f>O43-N43</f>
        <v>250</v>
      </c>
      <c r="AV43" s="1">
        <f>P43-O43</f>
        <v>150</v>
      </c>
      <c r="AW43" s="1">
        <f>Q43-P43</f>
        <v>220</v>
      </c>
      <c r="AX43" s="1">
        <f>R43-Q43</f>
        <v>190</v>
      </c>
      <c r="AY43" s="1">
        <f>S43-R43</f>
        <v>200</v>
      </c>
      <c r="AZ43" s="1">
        <f>T43-S43</f>
        <v>210</v>
      </c>
      <c r="BA43" s="1">
        <f>U43-T43</f>
        <v>220</v>
      </c>
      <c r="BB43" s="1">
        <f>V43-U43</f>
        <v>140</v>
      </c>
      <c r="BC43" s="1">
        <f>W43-V43</f>
        <v>210</v>
      </c>
      <c r="BD43" s="1">
        <f>X43-W43</f>
        <v>210</v>
      </c>
      <c r="BE43" s="1">
        <f>Y43-X43</f>
        <v>240</v>
      </c>
      <c r="BF43" s="1">
        <f>Z43-Y43</f>
        <v>360</v>
      </c>
    </row>
    <row r="44" spans="1:58">
      <c r="A44" s="1">
        <v>42</v>
      </c>
      <c r="B44" s="1">
        <v>234590</v>
      </c>
      <c r="C44" s="1">
        <v>234770</v>
      </c>
      <c r="D44" s="1">
        <v>234970</v>
      </c>
      <c r="E44" s="1">
        <v>235160</v>
      </c>
      <c r="F44" s="1">
        <v>235340</v>
      </c>
      <c r="G44" s="1">
        <v>235600</v>
      </c>
      <c r="H44" s="1">
        <v>235740</v>
      </c>
      <c r="I44" s="1">
        <v>235930</v>
      </c>
      <c r="J44" s="1">
        <v>236120</v>
      </c>
      <c r="K44" s="1">
        <v>236310</v>
      </c>
      <c r="L44" s="1">
        <v>236550</v>
      </c>
      <c r="M44" s="1">
        <v>236760</v>
      </c>
      <c r="N44" s="1">
        <v>236940</v>
      </c>
      <c r="O44" s="1">
        <v>237090</v>
      </c>
      <c r="P44" s="1">
        <v>237310</v>
      </c>
      <c r="Q44" s="1">
        <v>237500</v>
      </c>
      <c r="R44" s="1">
        <v>237650</v>
      </c>
      <c r="S44" s="1">
        <v>237890</v>
      </c>
      <c r="T44" s="1">
        <v>238110</v>
      </c>
      <c r="U44" s="1">
        <v>238280</v>
      </c>
      <c r="V44" s="1">
        <v>238480</v>
      </c>
      <c r="W44" s="1">
        <v>238710</v>
      </c>
      <c r="X44" s="1">
        <v>238890</v>
      </c>
      <c r="Y44" s="1">
        <v>239060</v>
      </c>
      <c r="Z44" s="1">
        <v>239440</v>
      </c>
      <c r="AA44" s="5">
        <f>AVERAGE(B44:Y44)</f>
        <v>236822.91666666666</v>
      </c>
      <c r="AB44" s="5">
        <f>(AA45-AA43)/2</f>
        <v>4883.9583333333285</v>
      </c>
      <c r="AC44" s="14">
        <f>AB44/(23+AB151)</f>
        <v>195.79650812901627</v>
      </c>
      <c r="AD44" s="5">
        <f>AA44-AA43</f>
        <v>4884.5833333333139</v>
      </c>
      <c r="AE44" s="1">
        <f>AD44-AD43</f>
        <v>1.2499999999708962</v>
      </c>
      <c r="AG44" s="5">
        <f>Z44-Y44</f>
        <v>380</v>
      </c>
      <c r="AI44" s="1">
        <f>C44-B44</f>
        <v>180</v>
      </c>
      <c r="AJ44" s="1">
        <f>D44-C44</f>
        <v>200</v>
      </c>
      <c r="AK44" s="1">
        <f>E44-D44</f>
        <v>190</v>
      </c>
      <c r="AL44" s="1">
        <f>F44-E44</f>
        <v>180</v>
      </c>
      <c r="AM44" s="1">
        <f>G44-F44</f>
        <v>260</v>
      </c>
      <c r="AN44" s="1">
        <f>H44-G44</f>
        <v>140</v>
      </c>
      <c r="AO44" s="1">
        <f>I44-H44</f>
        <v>190</v>
      </c>
      <c r="AP44" s="1">
        <f>J44-I44</f>
        <v>190</v>
      </c>
      <c r="AQ44" s="1">
        <f>K44-J44</f>
        <v>190</v>
      </c>
      <c r="AR44" s="1">
        <f>L44-K44</f>
        <v>240</v>
      </c>
      <c r="AS44" s="1">
        <f>M44-L44</f>
        <v>210</v>
      </c>
      <c r="AT44" s="1">
        <f>N44-M44</f>
        <v>180</v>
      </c>
      <c r="AU44" s="1">
        <f>O44-N44</f>
        <v>150</v>
      </c>
      <c r="AV44" s="1">
        <f>P44-O44</f>
        <v>220</v>
      </c>
      <c r="AW44" s="1">
        <f>Q44-P44</f>
        <v>190</v>
      </c>
      <c r="AX44" s="1">
        <f>R44-Q44</f>
        <v>150</v>
      </c>
      <c r="AY44" s="1">
        <f>S44-R44</f>
        <v>240</v>
      </c>
      <c r="AZ44" s="1">
        <f>T44-S44</f>
        <v>220</v>
      </c>
      <c r="BA44" s="1">
        <f>U44-T44</f>
        <v>170</v>
      </c>
      <c r="BB44" s="1">
        <f>V44-U44</f>
        <v>200</v>
      </c>
      <c r="BC44" s="1">
        <f>W44-V44</f>
        <v>230</v>
      </c>
      <c r="BD44" s="1">
        <f>X44-W44</f>
        <v>180</v>
      </c>
      <c r="BE44" s="1">
        <f>Y44-X44</f>
        <v>170</v>
      </c>
      <c r="BF44" s="1">
        <f>Z44-Y44</f>
        <v>380</v>
      </c>
    </row>
    <row r="45" spans="1:58">
      <c r="A45" s="1">
        <v>43</v>
      </c>
      <c r="B45" s="1">
        <v>239440</v>
      </c>
      <c r="C45" s="1">
        <v>239620</v>
      </c>
      <c r="D45" s="1">
        <v>239840</v>
      </c>
      <c r="E45" s="1">
        <v>240040</v>
      </c>
      <c r="F45" s="1">
        <v>240230</v>
      </c>
      <c r="G45" s="1">
        <v>240460</v>
      </c>
      <c r="H45" s="1">
        <v>240680</v>
      </c>
      <c r="I45" s="1">
        <v>240880</v>
      </c>
      <c r="J45" s="1">
        <v>241060</v>
      </c>
      <c r="K45" s="1">
        <v>241250</v>
      </c>
      <c r="L45" s="1">
        <v>241420</v>
      </c>
      <c r="M45" s="1">
        <v>241610</v>
      </c>
      <c r="N45" s="1">
        <v>241760</v>
      </c>
      <c r="O45" s="1">
        <v>241960</v>
      </c>
      <c r="P45" s="1">
        <v>242160</v>
      </c>
      <c r="Q45" s="1">
        <v>242380</v>
      </c>
      <c r="R45" s="1">
        <v>242570</v>
      </c>
      <c r="S45" s="1">
        <v>242800</v>
      </c>
      <c r="T45" s="1">
        <v>242940</v>
      </c>
      <c r="U45" s="1">
        <v>243190</v>
      </c>
      <c r="V45" s="1">
        <v>243380</v>
      </c>
      <c r="W45" s="1">
        <v>243570</v>
      </c>
      <c r="X45" s="1">
        <v>243760</v>
      </c>
      <c r="Y45" s="1">
        <v>243950</v>
      </c>
      <c r="Z45" s="1">
        <v>244320</v>
      </c>
      <c r="AA45" s="5">
        <f>AVERAGE(B45:Y45)</f>
        <v>241706.25</v>
      </c>
      <c r="AB45" s="5">
        <f>(AA46-AA44)/2</f>
        <v>4872.083333333343</v>
      </c>
      <c r="AC45" s="14">
        <f>AB45/(23+AB151)</f>
        <v>195.32044273792553</v>
      </c>
      <c r="AD45" s="5">
        <f>AA45-AA44</f>
        <v>4883.333333333343</v>
      </c>
      <c r="AE45" s="1">
        <f>AD45-AD44</f>
        <v>-1.2499999999708962</v>
      </c>
      <c r="AG45" s="5">
        <f>Z45-Y45</f>
        <v>370</v>
      </c>
      <c r="AI45" s="1">
        <f>C45-B45</f>
        <v>180</v>
      </c>
      <c r="AJ45" s="1">
        <f>D45-C45</f>
        <v>220</v>
      </c>
      <c r="AK45" s="1">
        <f>E45-D45</f>
        <v>200</v>
      </c>
      <c r="AL45" s="1">
        <f>F45-E45</f>
        <v>190</v>
      </c>
      <c r="AM45" s="1">
        <f>G45-F45</f>
        <v>230</v>
      </c>
      <c r="AN45" s="1">
        <f>H45-G45</f>
        <v>220</v>
      </c>
      <c r="AO45" s="1">
        <f>I45-H45</f>
        <v>200</v>
      </c>
      <c r="AP45" s="1">
        <f>J45-I45</f>
        <v>180</v>
      </c>
      <c r="AQ45" s="1">
        <f>K45-J45</f>
        <v>190</v>
      </c>
      <c r="AR45" s="1">
        <f>L45-K45</f>
        <v>170</v>
      </c>
      <c r="AS45" s="1">
        <f>M45-L45</f>
        <v>190</v>
      </c>
      <c r="AT45" s="1">
        <f>N45-M45</f>
        <v>150</v>
      </c>
      <c r="AU45" s="1">
        <f>O45-N45</f>
        <v>200</v>
      </c>
      <c r="AV45" s="1">
        <f>P45-O45</f>
        <v>200</v>
      </c>
      <c r="AW45" s="1">
        <f>Q45-P45</f>
        <v>220</v>
      </c>
      <c r="AX45" s="1">
        <f>R45-Q45</f>
        <v>190</v>
      </c>
      <c r="AY45" s="1">
        <f>S45-R45</f>
        <v>230</v>
      </c>
      <c r="AZ45" s="1">
        <f>T45-S45</f>
        <v>140</v>
      </c>
      <c r="BA45" s="1">
        <f>U45-T45</f>
        <v>250</v>
      </c>
      <c r="BB45" s="1">
        <f>V45-U45</f>
        <v>190</v>
      </c>
      <c r="BC45" s="1">
        <f>W45-V45</f>
        <v>190</v>
      </c>
      <c r="BD45" s="1">
        <f>X45-W45</f>
        <v>190</v>
      </c>
      <c r="BE45" s="1">
        <f>Y45-X45</f>
        <v>190</v>
      </c>
      <c r="BF45" s="1">
        <f>Z45-Y45</f>
        <v>370</v>
      </c>
    </row>
    <row r="46" spans="1:58">
      <c r="A46" s="1">
        <v>44</v>
      </c>
      <c r="B46" s="1">
        <v>244320</v>
      </c>
      <c r="C46" s="1">
        <v>244500</v>
      </c>
      <c r="D46" s="1">
        <v>244680</v>
      </c>
      <c r="E46" s="1">
        <v>244900</v>
      </c>
      <c r="F46" s="1">
        <v>245150</v>
      </c>
      <c r="G46" s="1">
        <v>245360</v>
      </c>
      <c r="H46" s="1">
        <v>245510</v>
      </c>
      <c r="I46" s="1">
        <v>245680</v>
      </c>
      <c r="J46" s="1">
        <v>245880</v>
      </c>
      <c r="K46" s="1">
        <v>246110</v>
      </c>
      <c r="L46" s="1">
        <v>246280</v>
      </c>
      <c r="M46" s="1">
        <v>246440</v>
      </c>
      <c r="N46" s="1">
        <v>246640</v>
      </c>
      <c r="O46" s="1">
        <v>246860</v>
      </c>
      <c r="P46" s="1">
        <v>247030</v>
      </c>
      <c r="Q46" s="1">
        <v>247210</v>
      </c>
      <c r="R46" s="1">
        <v>247420</v>
      </c>
      <c r="S46" s="1">
        <v>247670</v>
      </c>
      <c r="T46" s="1">
        <v>247870</v>
      </c>
      <c r="U46" s="1">
        <v>248080</v>
      </c>
      <c r="V46" s="1">
        <v>248170</v>
      </c>
      <c r="W46" s="1">
        <v>248400</v>
      </c>
      <c r="X46" s="1">
        <v>248610</v>
      </c>
      <c r="Y46" s="1">
        <v>248840</v>
      </c>
      <c r="Z46" s="1">
        <v>249200</v>
      </c>
      <c r="AA46" s="5">
        <f>AVERAGE(B46:Y46)</f>
        <v>246567.08333333334</v>
      </c>
      <c r="AB46" s="5">
        <f>(AA47-AA45)/2</f>
        <v>4859.7916666666715</v>
      </c>
      <c r="AC46" s="14">
        <f>AB46/(23+AB151)</f>
        <v>194.8276732980238</v>
      </c>
      <c r="AD46" s="5">
        <f>AA46-AA45</f>
        <v>4860.833333333343</v>
      </c>
      <c r="AE46" s="1">
        <f>AD46-AD45</f>
        <v>-22.5</v>
      </c>
      <c r="AG46" s="5">
        <f>Z46-Y46</f>
        <v>360</v>
      </c>
      <c r="AI46" s="1">
        <f>C46-B46</f>
        <v>180</v>
      </c>
      <c r="AJ46" s="1">
        <f>D46-C46</f>
        <v>180</v>
      </c>
      <c r="AK46" s="1">
        <f>E46-D46</f>
        <v>220</v>
      </c>
      <c r="AL46" s="1">
        <f>F46-E46</f>
        <v>250</v>
      </c>
      <c r="AM46" s="1">
        <f>G46-F46</f>
        <v>210</v>
      </c>
      <c r="AN46" s="1">
        <f>H46-G46</f>
        <v>150</v>
      </c>
      <c r="AO46" s="1">
        <f>I46-H46</f>
        <v>170</v>
      </c>
      <c r="AP46" s="1">
        <f>J46-I46</f>
        <v>200</v>
      </c>
      <c r="AQ46" s="1">
        <f>K46-J46</f>
        <v>230</v>
      </c>
      <c r="AR46" s="1">
        <f>L46-K46</f>
        <v>170</v>
      </c>
      <c r="AS46" s="1">
        <f>M46-L46</f>
        <v>160</v>
      </c>
      <c r="AT46" s="1">
        <f>N46-M46</f>
        <v>200</v>
      </c>
      <c r="AU46" s="1">
        <f>O46-N46</f>
        <v>220</v>
      </c>
      <c r="AV46" s="1">
        <f>P46-O46</f>
        <v>170</v>
      </c>
      <c r="AW46" s="1">
        <f>Q46-P46</f>
        <v>180</v>
      </c>
      <c r="AX46" s="1">
        <f>R46-Q46</f>
        <v>210</v>
      </c>
      <c r="AY46" s="1">
        <f>S46-R46</f>
        <v>250</v>
      </c>
      <c r="AZ46" s="1">
        <f>T46-S46</f>
        <v>200</v>
      </c>
      <c r="BA46" s="1">
        <f>U46-T46</f>
        <v>210</v>
      </c>
      <c r="BB46" s="1">
        <f>V46-U46</f>
        <v>90</v>
      </c>
      <c r="BC46" s="1">
        <f>W46-V46</f>
        <v>230</v>
      </c>
      <c r="BD46" s="1">
        <f>X46-W46</f>
        <v>210</v>
      </c>
      <c r="BE46" s="1">
        <f>Y46-X46</f>
        <v>230</v>
      </c>
      <c r="BF46" s="1">
        <f>Z46-Y46</f>
        <v>360</v>
      </c>
    </row>
    <row r="47" spans="1:58">
      <c r="A47" s="1">
        <v>45</v>
      </c>
      <c r="B47" s="1">
        <v>249200</v>
      </c>
      <c r="C47" s="1">
        <v>249380</v>
      </c>
      <c r="D47" s="1">
        <v>249570</v>
      </c>
      <c r="E47" s="1">
        <v>249760</v>
      </c>
      <c r="F47" s="1">
        <v>249990</v>
      </c>
      <c r="G47" s="1">
        <v>250190</v>
      </c>
      <c r="H47" s="1">
        <v>250390</v>
      </c>
      <c r="I47" s="1">
        <v>250580</v>
      </c>
      <c r="J47" s="1">
        <v>250740</v>
      </c>
      <c r="K47" s="1">
        <v>250910</v>
      </c>
      <c r="L47" s="1">
        <v>251130</v>
      </c>
      <c r="M47" s="1">
        <v>251330</v>
      </c>
      <c r="N47" s="1">
        <v>251500</v>
      </c>
      <c r="O47" s="1">
        <v>251700</v>
      </c>
      <c r="P47" s="1">
        <v>251910</v>
      </c>
      <c r="Q47" s="1">
        <v>252130</v>
      </c>
      <c r="R47" s="1">
        <v>252300</v>
      </c>
      <c r="S47" s="1">
        <v>252470</v>
      </c>
      <c r="T47" s="1">
        <v>252700</v>
      </c>
      <c r="U47" s="1">
        <v>252910</v>
      </c>
      <c r="V47" s="1">
        <v>253050</v>
      </c>
      <c r="W47" s="1">
        <v>253250</v>
      </c>
      <c r="X47" s="1">
        <v>253460</v>
      </c>
      <c r="Y47" s="1">
        <v>253670</v>
      </c>
      <c r="Z47" s="1">
        <v>254070</v>
      </c>
      <c r="AA47" s="5">
        <f>AVERAGE(B47:Y47)</f>
        <v>251425.83333333334</v>
      </c>
      <c r="AB47" s="5">
        <f>(AA48-AA46)/2</f>
        <v>4853.3333333333285</v>
      </c>
      <c r="AC47" s="14">
        <f>AB47/(23+AB151)</f>
        <v>194.56876054146494</v>
      </c>
      <c r="AD47" s="5">
        <f>AA47-AA46</f>
        <v>4858.75</v>
      </c>
      <c r="AE47" s="1">
        <f>AD47-AD46</f>
        <v>-2.0833333333430346</v>
      </c>
      <c r="AG47" s="5">
        <f>Z47-Y47</f>
        <v>400</v>
      </c>
      <c r="AI47" s="1">
        <f>C47-B47</f>
        <v>180</v>
      </c>
      <c r="AJ47" s="1">
        <f>D47-C47</f>
        <v>190</v>
      </c>
      <c r="AK47" s="1">
        <f>E47-D47</f>
        <v>190</v>
      </c>
      <c r="AL47" s="1">
        <f>F47-E47</f>
        <v>230</v>
      </c>
      <c r="AM47" s="1">
        <f>G47-F47</f>
        <v>200</v>
      </c>
      <c r="AN47" s="1">
        <f>H47-G47</f>
        <v>200</v>
      </c>
      <c r="AO47" s="1">
        <f>I47-H47</f>
        <v>190</v>
      </c>
      <c r="AP47" s="1">
        <f>J47-I47</f>
        <v>160</v>
      </c>
      <c r="AQ47" s="1">
        <f>K47-J47</f>
        <v>170</v>
      </c>
      <c r="AR47" s="1">
        <f>L47-K47</f>
        <v>220</v>
      </c>
      <c r="AS47" s="1">
        <f>M47-L47</f>
        <v>200</v>
      </c>
      <c r="AT47" s="1">
        <f>N47-M47</f>
        <v>170</v>
      </c>
      <c r="AU47" s="1">
        <f>O47-N47</f>
        <v>200</v>
      </c>
      <c r="AV47" s="1">
        <f>P47-O47</f>
        <v>210</v>
      </c>
      <c r="AW47" s="1">
        <f>Q47-P47</f>
        <v>220</v>
      </c>
      <c r="AX47" s="1">
        <f>R47-Q47</f>
        <v>170</v>
      </c>
      <c r="AY47" s="1">
        <f>S47-R47</f>
        <v>170</v>
      </c>
      <c r="AZ47" s="1">
        <f>T47-S47</f>
        <v>230</v>
      </c>
      <c r="BA47" s="1">
        <f>U47-T47</f>
        <v>210</v>
      </c>
      <c r="BB47" s="1">
        <f>V47-U47</f>
        <v>140</v>
      </c>
      <c r="BC47" s="1">
        <f>W47-V47</f>
        <v>200</v>
      </c>
      <c r="BD47" s="1">
        <f>X47-W47</f>
        <v>210</v>
      </c>
      <c r="BE47" s="1">
        <f>Y47-X47</f>
        <v>210</v>
      </c>
      <c r="BF47" s="1">
        <f>Z47-Y47</f>
        <v>400</v>
      </c>
    </row>
    <row r="48" spans="1:58">
      <c r="A48" s="1">
        <v>46</v>
      </c>
      <c r="B48" s="1">
        <v>254070</v>
      </c>
      <c r="C48" s="1">
        <v>254180</v>
      </c>
      <c r="D48" s="1">
        <v>254460</v>
      </c>
      <c r="E48" s="1">
        <v>254590</v>
      </c>
      <c r="F48" s="1">
        <v>254830</v>
      </c>
      <c r="G48" s="1">
        <v>254990</v>
      </c>
      <c r="H48" s="1">
        <v>255240</v>
      </c>
      <c r="I48" s="1">
        <v>255400</v>
      </c>
      <c r="J48" s="1">
        <v>255590</v>
      </c>
      <c r="K48" s="1">
        <v>255770</v>
      </c>
      <c r="L48" s="1">
        <v>255970</v>
      </c>
      <c r="M48" s="1">
        <v>256160</v>
      </c>
      <c r="N48" s="1">
        <v>256340</v>
      </c>
      <c r="O48" s="1">
        <v>256570</v>
      </c>
      <c r="P48" s="1">
        <v>256740</v>
      </c>
      <c r="Q48" s="1">
        <v>256970</v>
      </c>
      <c r="R48" s="1">
        <v>257130</v>
      </c>
      <c r="S48" s="1">
        <v>257390</v>
      </c>
      <c r="T48" s="1">
        <v>257570</v>
      </c>
      <c r="U48" s="1">
        <v>257700</v>
      </c>
      <c r="V48" s="1">
        <v>257920</v>
      </c>
      <c r="W48" s="1">
        <v>258130</v>
      </c>
      <c r="X48" s="1">
        <v>258310</v>
      </c>
      <c r="Y48" s="1">
        <v>258550</v>
      </c>
      <c r="Z48" s="1">
        <v>258860</v>
      </c>
      <c r="AA48" s="5">
        <f>AVERAGE(B48:Y48)</f>
        <v>256273.75</v>
      </c>
      <c r="AB48" s="5">
        <f>(AA49-AA47)/2</f>
        <v>4856.041666666657</v>
      </c>
      <c r="AC48" s="14">
        <f>AB48/(23+AB151)</f>
        <v>194.67733685873119</v>
      </c>
      <c r="AD48" s="5">
        <f>AA48-AA47</f>
        <v>4847.916666666657</v>
      </c>
      <c r="AE48" s="1">
        <f>AD48-AD47</f>
        <v>-10.833333333343035</v>
      </c>
      <c r="AG48" s="5">
        <f>Z48-Y48</f>
        <v>310</v>
      </c>
      <c r="AI48" s="1">
        <f>C48-B48</f>
        <v>110</v>
      </c>
      <c r="AJ48" s="1">
        <f>D48-C48</f>
        <v>280</v>
      </c>
      <c r="AK48" s="1">
        <f>E48-D48</f>
        <v>130</v>
      </c>
      <c r="AL48" s="1">
        <f>F48-E48</f>
        <v>240</v>
      </c>
      <c r="AM48" s="1">
        <f>G48-F48</f>
        <v>160</v>
      </c>
      <c r="AN48" s="1">
        <f>H48-G48</f>
        <v>250</v>
      </c>
      <c r="AO48" s="1">
        <f>I48-H48</f>
        <v>160</v>
      </c>
      <c r="AP48" s="1">
        <f>J48-I48</f>
        <v>190</v>
      </c>
      <c r="AQ48" s="1">
        <f>K48-J48</f>
        <v>180</v>
      </c>
      <c r="AR48" s="1">
        <f>L48-K48</f>
        <v>200</v>
      </c>
      <c r="AS48" s="1">
        <f>M48-L48</f>
        <v>190</v>
      </c>
      <c r="AT48" s="1">
        <f>N48-M48</f>
        <v>180</v>
      </c>
      <c r="AU48" s="1">
        <f>O48-N48</f>
        <v>230</v>
      </c>
      <c r="AV48" s="1">
        <f>P48-O48</f>
        <v>170</v>
      </c>
      <c r="AW48" s="1">
        <f>Q48-P48</f>
        <v>230</v>
      </c>
      <c r="AX48" s="1">
        <f>R48-Q48</f>
        <v>160</v>
      </c>
      <c r="AY48" s="1">
        <f>S48-R48</f>
        <v>260</v>
      </c>
      <c r="AZ48" s="1">
        <f>T48-S48</f>
        <v>180</v>
      </c>
      <c r="BA48" s="1">
        <f>U48-T48</f>
        <v>130</v>
      </c>
      <c r="BB48" s="1">
        <f>V48-U48</f>
        <v>220</v>
      </c>
      <c r="BC48" s="1">
        <f>W48-V48</f>
        <v>210</v>
      </c>
      <c r="BD48" s="1">
        <f>X48-W48</f>
        <v>180</v>
      </c>
      <c r="BE48" s="1">
        <f>Y48-X48</f>
        <v>240</v>
      </c>
      <c r="BF48" s="1">
        <f>Z48-Y48</f>
        <v>310</v>
      </c>
    </row>
    <row r="49" spans="1:58">
      <c r="A49" s="1">
        <v>47</v>
      </c>
      <c r="B49" s="1">
        <v>258860</v>
      </c>
      <c r="C49" s="1">
        <v>259080</v>
      </c>
      <c r="D49" s="1">
        <v>259330</v>
      </c>
      <c r="E49" s="1">
        <v>259470</v>
      </c>
      <c r="F49" s="1">
        <v>259740</v>
      </c>
      <c r="G49" s="1">
        <v>259920</v>
      </c>
      <c r="H49" s="1">
        <v>260080</v>
      </c>
      <c r="I49" s="1">
        <v>260250</v>
      </c>
      <c r="J49" s="1">
        <v>260430</v>
      </c>
      <c r="K49" s="1">
        <v>260650</v>
      </c>
      <c r="L49" s="1">
        <v>260850</v>
      </c>
      <c r="M49" s="1">
        <v>261060</v>
      </c>
      <c r="N49" s="1">
        <v>261220</v>
      </c>
      <c r="O49" s="1">
        <v>261430</v>
      </c>
      <c r="P49" s="1">
        <v>261620</v>
      </c>
      <c r="Q49" s="1">
        <v>261820</v>
      </c>
      <c r="R49" s="1">
        <v>262000</v>
      </c>
      <c r="S49" s="1">
        <v>262210</v>
      </c>
      <c r="T49" s="1">
        <v>262430</v>
      </c>
      <c r="U49" s="1">
        <v>262550</v>
      </c>
      <c r="V49" s="1">
        <v>262770</v>
      </c>
      <c r="W49" s="1">
        <v>262950</v>
      </c>
      <c r="X49" s="1">
        <v>263180</v>
      </c>
      <c r="Y49" s="1">
        <v>263410</v>
      </c>
      <c r="Z49" s="1">
        <v>263770</v>
      </c>
      <c r="AA49" s="5">
        <f>AVERAGE(B49:Y49)</f>
        <v>261137.91666666666</v>
      </c>
      <c r="AB49" s="5">
        <f>(AA50-AA48)/2</f>
        <v>4860.625</v>
      </c>
      <c r="AC49" s="14">
        <f>AB49/(23+AB151)</f>
        <v>194.86108139564402</v>
      </c>
      <c r="AD49" s="5">
        <f>AA49-AA48</f>
        <v>4864.166666666657</v>
      </c>
      <c r="AE49" s="1">
        <f>AD49-AD48</f>
        <v>16.25</v>
      </c>
      <c r="AG49" s="5">
        <f>Z49-Y49</f>
        <v>360</v>
      </c>
      <c r="AI49" s="1">
        <f>C49-B49</f>
        <v>220</v>
      </c>
      <c r="AJ49" s="1">
        <f>D49-C49</f>
        <v>250</v>
      </c>
      <c r="AK49" s="1">
        <f>E49-D49</f>
        <v>140</v>
      </c>
      <c r="AL49" s="1">
        <f>F49-E49</f>
        <v>270</v>
      </c>
      <c r="AM49" s="1">
        <f>G49-F49</f>
        <v>180</v>
      </c>
      <c r="AN49" s="1">
        <f>H49-G49</f>
        <v>160</v>
      </c>
      <c r="AO49" s="1">
        <f>I49-H49</f>
        <v>170</v>
      </c>
      <c r="AP49" s="1">
        <f>J49-I49</f>
        <v>180</v>
      </c>
      <c r="AQ49" s="1">
        <f>K49-J49</f>
        <v>220</v>
      </c>
      <c r="AR49" s="1">
        <f>L49-K49</f>
        <v>200</v>
      </c>
      <c r="AS49" s="1">
        <f>M49-L49</f>
        <v>210</v>
      </c>
      <c r="AT49" s="1">
        <f>N49-M49</f>
        <v>160</v>
      </c>
      <c r="AU49" s="1">
        <f>O49-N49</f>
        <v>210</v>
      </c>
      <c r="AV49" s="1">
        <f>P49-O49</f>
        <v>190</v>
      </c>
      <c r="AW49" s="1">
        <f>Q49-P49</f>
        <v>200</v>
      </c>
      <c r="AX49" s="1">
        <f>R49-Q49</f>
        <v>180</v>
      </c>
      <c r="AY49" s="1">
        <f>S49-R49</f>
        <v>210</v>
      </c>
      <c r="AZ49" s="1">
        <f>T49-S49</f>
        <v>220</v>
      </c>
      <c r="BA49" s="1">
        <f>U49-T49</f>
        <v>120</v>
      </c>
      <c r="BB49" s="1">
        <f>V49-U49</f>
        <v>220</v>
      </c>
      <c r="BC49" s="1">
        <f>W49-V49</f>
        <v>180</v>
      </c>
      <c r="BD49" s="1">
        <f>X49-W49</f>
        <v>230</v>
      </c>
      <c r="BE49" s="1">
        <f>Y49-X49</f>
        <v>230</v>
      </c>
      <c r="BF49" s="1">
        <f>Z49-Y49</f>
        <v>360</v>
      </c>
    </row>
    <row r="50" spans="1:58">
      <c r="A50" s="1">
        <v>48</v>
      </c>
      <c r="B50" s="1">
        <v>263770</v>
      </c>
      <c r="C50" s="1">
        <v>263900</v>
      </c>
      <c r="D50" s="1">
        <v>264120</v>
      </c>
      <c r="E50" s="1">
        <v>264370</v>
      </c>
      <c r="F50" s="1">
        <v>264560</v>
      </c>
      <c r="G50" s="1">
        <v>264760</v>
      </c>
      <c r="H50" s="1">
        <v>264920</v>
      </c>
      <c r="I50" s="1">
        <v>265080</v>
      </c>
      <c r="J50" s="1">
        <v>265310</v>
      </c>
      <c r="K50" s="1">
        <v>265510</v>
      </c>
      <c r="L50" s="1">
        <v>265710</v>
      </c>
      <c r="M50" s="1">
        <v>265900</v>
      </c>
      <c r="N50" s="1">
        <v>266070</v>
      </c>
      <c r="O50" s="1">
        <v>266310</v>
      </c>
      <c r="P50" s="1">
        <v>266480</v>
      </c>
      <c r="Q50" s="1">
        <v>266690</v>
      </c>
      <c r="R50" s="1">
        <v>266860</v>
      </c>
      <c r="S50" s="1">
        <v>267070</v>
      </c>
      <c r="T50" s="1">
        <v>267270</v>
      </c>
      <c r="U50" s="1">
        <v>267470</v>
      </c>
      <c r="V50" s="1">
        <v>267610</v>
      </c>
      <c r="W50" s="1">
        <v>267850</v>
      </c>
      <c r="X50" s="1">
        <v>268050</v>
      </c>
      <c r="Y50" s="1">
        <v>268240</v>
      </c>
      <c r="Z50" s="1">
        <v>268640</v>
      </c>
      <c r="AA50" s="5">
        <f>AVERAGE(B50:Y50)</f>
        <v>265995</v>
      </c>
      <c r="AB50" s="5">
        <f>(AA51-AA49)/2</f>
        <v>4867.7083333333285</v>
      </c>
      <c r="AC50" s="14">
        <f>AB50/(23+AB151)</f>
        <v>195.14505022541761</v>
      </c>
      <c r="AD50" s="5">
        <f>AA50-AA49</f>
        <v>4857.083333333343</v>
      </c>
      <c r="AE50" s="1">
        <f>AD50-AD49</f>
        <v>-7.0833333333139308</v>
      </c>
      <c r="AG50" s="5">
        <f>Z50-Y50</f>
        <v>400</v>
      </c>
      <c r="AI50" s="1">
        <f>C50-B50</f>
        <v>130</v>
      </c>
      <c r="AJ50" s="1">
        <f>D50-C50</f>
        <v>220</v>
      </c>
      <c r="AK50" s="1">
        <f>E50-D50</f>
        <v>250</v>
      </c>
      <c r="AL50" s="1">
        <f>F50-E50</f>
        <v>190</v>
      </c>
      <c r="AM50" s="1">
        <f>G50-F50</f>
        <v>200</v>
      </c>
      <c r="AN50" s="1">
        <f>H50-G50</f>
        <v>160</v>
      </c>
      <c r="AO50" s="1">
        <f>I50-H50</f>
        <v>160</v>
      </c>
      <c r="AP50" s="1">
        <f>J50-I50</f>
        <v>230</v>
      </c>
      <c r="AQ50" s="1">
        <f>K50-J50</f>
        <v>200</v>
      </c>
      <c r="AR50" s="1">
        <f>L50-K50</f>
        <v>200</v>
      </c>
      <c r="AS50" s="1">
        <f>M50-L50</f>
        <v>190</v>
      </c>
      <c r="AT50" s="1">
        <f>N50-M50</f>
        <v>170</v>
      </c>
      <c r="AU50" s="1">
        <f>O50-N50</f>
        <v>240</v>
      </c>
      <c r="AV50" s="1">
        <f>P50-O50</f>
        <v>170</v>
      </c>
      <c r="AW50" s="1">
        <f>Q50-P50</f>
        <v>210</v>
      </c>
      <c r="AX50" s="1">
        <f>R50-Q50</f>
        <v>170</v>
      </c>
      <c r="AY50" s="1">
        <f>S50-R50</f>
        <v>210</v>
      </c>
      <c r="AZ50" s="1">
        <f>T50-S50</f>
        <v>200</v>
      </c>
      <c r="BA50" s="1">
        <f>U50-T50</f>
        <v>200</v>
      </c>
      <c r="BB50" s="1">
        <f>V50-U50</f>
        <v>140</v>
      </c>
      <c r="BC50" s="1">
        <f>W50-V50</f>
        <v>240</v>
      </c>
      <c r="BD50" s="1">
        <f>X50-W50</f>
        <v>200</v>
      </c>
      <c r="BE50" s="1">
        <f>Y50-X50</f>
        <v>190</v>
      </c>
      <c r="BF50" s="1">
        <f>Z50-Y50</f>
        <v>400</v>
      </c>
    </row>
    <row r="51" spans="1:58">
      <c r="A51" s="1">
        <v>49</v>
      </c>
      <c r="B51" s="1">
        <v>268640</v>
      </c>
      <c r="C51" s="1">
        <v>268820</v>
      </c>
      <c r="D51" s="1">
        <v>269040</v>
      </c>
      <c r="E51" s="1">
        <v>269180</v>
      </c>
      <c r="F51" s="1">
        <v>269410</v>
      </c>
      <c r="G51" s="1">
        <v>269620</v>
      </c>
      <c r="H51" s="1">
        <v>269820</v>
      </c>
      <c r="I51" s="1">
        <v>270050</v>
      </c>
      <c r="J51" s="1">
        <v>270210</v>
      </c>
      <c r="K51" s="1">
        <v>270390</v>
      </c>
      <c r="L51" s="1">
        <v>270580</v>
      </c>
      <c r="M51" s="1">
        <v>270780</v>
      </c>
      <c r="N51" s="1">
        <v>270950</v>
      </c>
      <c r="O51" s="1">
        <v>271130</v>
      </c>
      <c r="P51" s="1">
        <v>271320</v>
      </c>
      <c r="Q51" s="1">
        <v>271500</v>
      </c>
      <c r="R51" s="1">
        <v>271760</v>
      </c>
      <c r="S51" s="1">
        <v>271940</v>
      </c>
      <c r="T51" s="1">
        <v>272140</v>
      </c>
      <c r="U51" s="1">
        <v>272360</v>
      </c>
      <c r="V51" s="1">
        <v>272530</v>
      </c>
      <c r="W51" s="1">
        <v>272760</v>
      </c>
      <c r="X51" s="1">
        <v>272920</v>
      </c>
      <c r="Y51" s="1">
        <v>273110</v>
      </c>
      <c r="Z51" s="1">
        <v>273470</v>
      </c>
      <c r="AA51" s="5">
        <f>AVERAGE(B51:Y51)</f>
        <v>270873.33333333331</v>
      </c>
      <c r="AB51" s="5">
        <f>(AA52-AA50)/2</f>
        <v>4874.166666666657</v>
      </c>
      <c r="AC51" s="14">
        <f>AB51/(23+AB151)</f>
        <v>195.40396298197587</v>
      </c>
      <c r="AD51" s="5">
        <f>AA51-AA50</f>
        <v>4878.3333333333139</v>
      </c>
      <c r="AE51" s="1">
        <f>AD51-AD50</f>
        <v>21.249999999970896</v>
      </c>
      <c r="AG51" s="5">
        <f>Z51-Y51</f>
        <v>360</v>
      </c>
      <c r="AI51" s="1">
        <f>C51-B51</f>
        <v>180</v>
      </c>
      <c r="AJ51" s="1">
        <f>D51-C51</f>
        <v>220</v>
      </c>
      <c r="AK51" s="1">
        <f>E51-D51</f>
        <v>140</v>
      </c>
      <c r="AL51" s="1">
        <f>F51-E51</f>
        <v>230</v>
      </c>
      <c r="AM51" s="1">
        <f>G51-F51</f>
        <v>210</v>
      </c>
      <c r="AN51" s="1">
        <f>H51-G51</f>
        <v>200</v>
      </c>
      <c r="AO51" s="1">
        <f>I51-H51</f>
        <v>230</v>
      </c>
      <c r="AP51" s="1">
        <f>J51-I51</f>
        <v>160</v>
      </c>
      <c r="AQ51" s="1">
        <f>K51-J51</f>
        <v>180</v>
      </c>
      <c r="AR51" s="1">
        <f>L51-K51</f>
        <v>190</v>
      </c>
      <c r="AS51" s="1">
        <f>M51-L51</f>
        <v>200</v>
      </c>
      <c r="AT51" s="1">
        <f>N51-M51</f>
        <v>170</v>
      </c>
      <c r="AU51" s="1">
        <f>O51-N51</f>
        <v>180</v>
      </c>
      <c r="AV51" s="1">
        <f>P51-O51</f>
        <v>190</v>
      </c>
      <c r="AW51" s="1">
        <f>Q51-P51</f>
        <v>180</v>
      </c>
      <c r="AX51" s="1">
        <f>R51-Q51</f>
        <v>260</v>
      </c>
      <c r="AY51" s="1">
        <f>S51-R51</f>
        <v>180</v>
      </c>
      <c r="AZ51" s="1">
        <f>T51-S51</f>
        <v>200</v>
      </c>
      <c r="BA51" s="1">
        <f>U51-T51</f>
        <v>220</v>
      </c>
      <c r="BB51" s="1">
        <f>V51-U51</f>
        <v>170</v>
      </c>
      <c r="BC51" s="1">
        <f>W51-V51</f>
        <v>230</v>
      </c>
      <c r="BD51" s="1">
        <f>X51-W51</f>
        <v>160</v>
      </c>
      <c r="BE51" s="1">
        <f>Y51-X51</f>
        <v>190</v>
      </c>
      <c r="BF51" s="1">
        <f>Z51-Y51</f>
        <v>360</v>
      </c>
    </row>
    <row r="52" spans="1:58">
      <c r="A52" s="1">
        <v>50</v>
      </c>
      <c r="B52" s="1">
        <v>273470</v>
      </c>
      <c r="C52" s="1">
        <v>273700</v>
      </c>
      <c r="D52" s="1">
        <v>273870</v>
      </c>
      <c r="E52" s="1">
        <v>274060</v>
      </c>
      <c r="F52" s="1">
        <v>274300</v>
      </c>
      <c r="G52" s="1">
        <v>274520</v>
      </c>
      <c r="H52" s="1">
        <v>274690</v>
      </c>
      <c r="I52" s="1">
        <v>274900</v>
      </c>
      <c r="J52" s="1">
        <v>275070</v>
      </c>
      <c r="K52" s="1">
        <v>275250</v>
      </c>
      <c r="L52" s="1">
        <v>275460</v>
      </c>
      <c r="M52" s="1">
        <v>275660</v>
      </c>
      <c r="N52" s="1">
        <v>275830</v>
      </c>
      <c r="O52" s="1">
        <v>276010</v>
      </c>
      <c r="P52" s="1">
        <v>276170</v>
      </c>
      <c r="Q52" s="1">
        <v>276390</v>
      </c>
      <c r="R52" s="1">
        <v>276610</v>
      </c>
      <c r="S52" s="1">
        <v>276820</v>
      </c>
      <c r="T52" s="1">
        <v>277030</v>
      </c>
      <c r="U52" s="1">
        <v>277240</v>
      </c>
      <c r="V52" s="1">
        <v>277380</v>
      </c>
      <c r="W52" s="1">
        <v>277610</v>
      </c>
      <c r="X52" s="1">
        <v>277790</v>
      </c>
      <c r="Y52" s="1">
        <v>278010</v>
      </c>
      <c r="Z52" s="1">
        <v>278390</v>
      </c>
      <c r="AA52" s="5">
        <f>AVERAGE(B52:Y52)</f>
        <v>275743.33333333331</v>
      </c>
      <c r="AB52" s="5">
        <f>(AA53-AA51)/2</f>
        <v>4884.583333333343</v>
      </c>
      <c r="AC52" s="14">
        <f>AB52/(23+AB151)</f>
        <v>195.8215642022322</v>
      </c>
      <c r="AD52" s="5">
        <f>AA52-AA51</f>
        <v>4870</v>
      </c>
      <c r="AE52" s="1">
        <f>AD52-AD51</f>
        <v>-8.3333333333139308</v>
      </c>
      <c r="AG52" s="5">
        <f>Z52-Y52</f>
        <v>380</v>
      </c>
      <c r="AI52" s="1">
        <f>C52-B52</f>
        <v>230</v>
      </c>
      <c r="AJ52" s="1">
        <f>D52-C52</f>
        <v>170</v>
      </c>
      <c r="AK52" s="1">
        <f>E52-D52</f>
        <v>190</v>
      </c>
      <c r="AL52" s="1">
        <f>F52-E52</f>
        <v>240</v>
      </c>
      <c r="AM52" s="1">
        <f>G52-F52</f>
        <v>220</v>
      </c>
      <c r="AN52" s="1">
        <f>H52-G52</f>
        <v>170</v>
      </c>
      <c r="AO52" s="1">
        <f>I52-H52</f>
        <v>210</v>
      </c>
      <c r="AP52" s="1">
        <f>J52-I52</f>
        <v>170</v>
      </c>
      <c r="AQ52" s="1">
        <f>K52-J52</f>
        <v>180</v>
      </c>
      <c r="AR52" s="1">
        <f>L52-K52</f>
        <v>210</v>
      </c>
      <c r="AS52" s="1">
        <f>M52-L52</f>
        <v>200</v>
      </c>
      <c r="AT52" s="1">
        <f>N52-M52</f>
        <v>170</v>
      </c>
      <c r="AU52" s="1">
        <f>O52-N52</f>
        <v>180</v>
      </c>
      <c r="AV52" s="1">
        <f>P52-O52</f>
        <v>160</v>
      </c>
      <c r="AW52" s="1">
        <f>Q52-P52</f>
        <v>220</v>
      </c>
      <c r="AX52" s="1">
        <f>R52-Q52</f>
        <v>220</v>
      </c>
      <c r="AY52" s="1">
        <f>S52-R52</f>
        <v>210</v>
      </c>
      <c r="AZ52" s="1">
        <f>T52-S52</f>
        <v>210</v>
      </c>
      <c r="BA52" s="1">
        <f>U52-T52</f>
        <v>210</v>
      </c>
      <c r="BB52" s="1">
        <f>V52-U52</f>
        <v>140</v>
      </c>
      <c r="BC52" s="1">
        <f>W52-V52</f>
        <v>230</v>
      </c>
      <c r="BD52" s="1">
        <f>X52-W52</f>
        <v>180</v>
      </c>
      <c r="BE52" s="1">
        <f>Y52-X52</f>
        <v>220</v>
      </c>
      <c r="BF52" s="1">
        <f>Z52-Y52</f>
        <v>380</v>
      </c>
    </row>
    <row r="53" spans="1:58">
      <c r="A53" s="1">
        <v>51</v>
      </c>
      <c r="B53" s="1">
        <v>278390</v>
      </c>
      <c r="C53" s="1">
        <v>278620</v>
      </c>
      <c r="D53" s="1">
        <v>278810</v>
      </c>
      <c r="E53" s="1">
        <v>278980</v>
      </c>
      <c r="F53" s="1">
        <v>279150</v>
      </c>
      <c r="G53" s="1">
        <v>279340</v>
      </c>
      <c r="H53" s="1">
        <v>279530</v>
      </c>
      <c r="I53" s="1">
        <v>279800</v>
      </c>
      <c r="J53" s="1">
        <v>279990</v>
      </c>
      <c r="K53" s="1">
        <v>280160</v>
      </c>
      <c r="L53" s="1">
        <v>280330</v>
      </c>
      <c r="M53" s="1">
        <v>280490</v>
      </c>
      <c r="N53" s="1">
        <v>280730</v>
      </c>
      <c r="O53" s="1">
        <v>280910</v>
      </c>
      <c r="P53" s="1">
        <v>281110</v>
      </c>
      <c r="Q53" s="1">
        <v>281350</v>
      </c>
      <c r="R53" s="1">
        <v>281530</v>
      </c>
      <c r="S53" s="1">
        <v>281710</v>
      </c>
      <c r="T53" s="1">
        <v>281910</v>
      </c>
      <c r="U53" s="1">
        <v>282120</v>
      </c>
      <c r="V53" s="1">
        <v>282310</v>
      </c>
      <c r="W53" s="1">
        <v>282530</v>
      </c>
      <c r="X53" s="1">
        <v>282700</v>
      </c>
      <c r="Y53" s="1">
        <v>282920</v>
      </c>
      <c r="Z53" s="1">
        <v>283310</v>
      </c>
      <c r="AA53" s="5">
        <f>AVERAGE(B53:Y53)</f>
        <v>280642.5</v>
      </c>
      <c r="AB53" s="5">
        <f>(AA54-AA52)/2</f>
        <v>4901.875</v>
      </c>
      <c r="AC53" s="14">
        <f>AB53/(23+AB151)</f>
        <v>196.51478222785602</v>
      </c>
      <c r="AD53" s="5">
        <f>AA53-AA52</f>
        <v>4899.1666666666861</v>
      </c>
      <c r="AE53" s="1">
        <f>AD53-AD52</f>
        <v>29.166666666686069</v>
      </c>
      <c r="AG53" s="5">
        <f>Z53-Y53</f>
        <v>390</v>
      </c>
      <c r="AI53" s="1">
        <f>C53-B53</f>
        <v>230</v>
      </c>
      <c r="AJ53" s="1">
        <f>D53-C53</f>
        <v>190</v>
      </c>
      <c r="AK53" s="1">
        <f>E53-D53</f>
        <v>170</v>
      </c>
      <c r="AL53" s="1">
        <f>F53-E53</f>
        <v>170</v>
      </c>
      <c r="AM53" s="1">
        <f>G53-F53</f>
        <v>190</v>
      </c>
      <c r="AN53" s="1">
        <f>H53-G53</f>
        <v>190</v>
      </c>
      <c r="AO53" s="1">
        <f>I53-H53</f>
        <v>270</v>
      </c>
      <c r="AP53" s="1">
        <f>J53-I53</f>
        <v>190</v>
      </c>
      <c r="AQ53" s="1">
        <f>K53-J53</f>
        <v>170</v>
      </c>
      <c r="AR53" s="1">
        <f>L53-K53</f>
        <v>170</v>
      </c>
      <c r="AS53" s="1">
        <f>M53-L53</f>
        <v>160</v>
      </c>
      <c r="AT53" s="1">
        <f>N53-M53</f>
        <v>240</v>
      </c>
      <c r="AU53" s="1">
        <f>O53-N53</f>
        <v>180</v>
      </c>
      <c r="AV53" s="1">
        <f>P53-O53</f>
        <v>200</v>
      </c>
      <c r="AW53" s="1">
        <f>Q53-P53</f>
        <v>240</v>
      </c>
      <c r="AX53" s="1">
        <f>R53-Q53</f>
        <v>180</v>
      </c>
      <c r="AY53" s="1">
        <f>S53-R53</f>
        <v>180</v>
      </c>
      <c r="AZ53" s="1">
        <f>T53-S53</f>
        <v>200</v>
      </c>
      <c r="BA53" s="1">
        <f>U53-T53</f>
        <v>210</v>
      </c>
      <c r="BB53" s="1">
        <f>V53-U53</f>
        <v>190</v>
      </c>
      <c r="BC53" s="1">
        <f>W53-V53</f>
        <v>220</v>
      </c>
      <c r="BD53" s="1">
        <f>X53-W53</f>
        <v>170</v>
      </c>
      <c r="BE53" s="1">
        <f>Y53-X53</f>
        <v>220</v>
      </c>
      <c r="BF53" s="1">
        <f>Z53-Y53</f>
        <v>390</v>
      </c>
    </row>
    <row r="54" spans="1:58">
      <c r="A54" s="1">
        <v>52</v>
      </c>
      <c r="B54" s="1">
        <v>283310</v>
      </c>
      <c r="C54" s="1">
        <v>283490</v>
      </c>
      <c r="D54" s="1">
        <v>283720</v>
      </c>
      <c r="E54" s="1">
        <v>283910</v>
      </c>
      <c r="F54" s="1">
        <v>284080</v>
      </c>
      <c r="G54" s="1">
        <v>284260</v>
      </c>
      <c r="H54" s="1">
        <v>284480</v>
      </c>
      <c r="I54" s="1">
        <v>284720</v>
      </c>
      <c r="J54" s="1">
        <v>284880</v>
      </c>
      <c r="K54" s="1">
        <v>285050</v>
      </c>
      <c r="L54" s="1">
        <v>285240</v>
      </c>
      <c r="M54" s="1">
        <v>285430</v>
      </c>
      <c r="N54" s="1">
        <v>285610</v>
      </c>
      <c r="O54" s="1">
        <v>285830</v>
      </c>
      <c r="P54" s="1">
        <v>286030</v>
      </c>
      <c r="Q54" s="1">
        <v>286270</v>
      </c>
      <c r="R54" s="1">
        <v>286430</v>
      </c>
      <c r="S54" s="1">
        <v>286620</v>
      </c>
      <c r="T54" s="1">
        <v>286810</v>
      </c>
      <c r="U54" s="1">
        <v>286960</v>
      </c>
      <c r="V54" s="1">
        <v>287220</v>
      </c>
      <c r="W54" s="1">
        <v>287400</v>
      </c>
      <c r="X54" s="1">
        <v>287570</v>
      </c>
      <c r="Y54" s="1">
        <v>287810</v>
      </c>
      <c r="Z54" s="1">
        <v>288200</v>
      </c>
      <c r="AA54" s="5">
        <f>AVERAGE(B54:Y54)</f>
        <v>285547.08333333331</v>
      </c>
      <c r="AB54" s="5">
        <f>(AA55-AA53)/2</f>
        <v>4895.416666666657</v>
      </c>
      <c r="AC54" s="14">
        <f>AB54/(23+AB151)</f>
        <v>196.25586947129719</v>
      </c>
      <c r="AD54" s="5">
        <f>AA54-AA53</f>
        <v>4904.5833333333139</v>
      </c>
      <c r="AE54" s="1">
        <f>AD54-AD53</f>
        <v>5.4166666666278616</v>
      </c>
      <c r="AG54" s="5">
        <f>Z54-Y54</f>
        <v>390</v>
      </c>
      <c r="AI54" s="1">
        <f>C54-B54</f>
        <v>180</v>
      </c>
      <c r="AJ54" s="1">
        <f>D54-C54</f>
        <v>230</v>
      </c>
      <c r="AK54" s="1">
        <f>E54-D54</f>
        <v>190</v>
      </c>
      <c r="AL54" s="1">
        <f>F54-E54</f>
        <v>170</v>
      </c>
      <c r="AM54" s="1">
        <f>G54-F54</f>
        <v>180</v>
      </c>
      <c r="AN54" s="1">
        <f>H54-G54</f>
        <v>220</v>
      </c>
      <c r="AO54" s="1">
        <f>I54-H54</f>
        <v>240</v>
      </c>
      <c r="AP54" s="1">
        <f>J54-I54</f>
        <v>160</v>
      </c>
      <c r="AQ54" s="1">
        <f>K54-J54</f>
        <v>170</v>
      </c>
      <c r="AR54" s="1">
        <f>L54-K54</f>
        <v>190</v>
      </c>
      <c r="AS54" s="1">
        <f>M54-L54</f>
        <v>190</v>
      </c>
      <c r="AT54" s="1">
        <f>N54-M54</f>
        <v>180</v>
      </c>
      <c r="AU54" s="1">
        <f>O54-N54</f>
        <v>220</v>
      </c>
      <c r="AV54" s="1">
        <f>P54-O54</f>
        <v>200</v>
      </c>
      <c r="AW54" s="1">
        <f>Q54-P54</f>
        <v>240</v>
      </c>
      <c r="AX54" s="1">
        <f>R54-Q54</f>
        <v>160</v>
      </c>
      <c r="AY54" s="1">
        <f>S54-R54</f>
        <v>190</v>
      </c>
      <c r="AZ54" s="1">
        <f>T54-S54</f>
        <v>190</v>
      </c>
      <c r="BA54" s="1">
        <f>U54-T54</f>
        <v>150</v>
      </c>
      <c r="BB54" s="1">
        <f>V54-U54</f>
        <v>260</v>
      </c>
      <c r="BC54" s="1">
        <f>W54-V54</f>
        <v>180</v>
      </c>
      <c r="BD54" s="1">
        <f>X54-W54</f>
        <v>170</v>
      </c>
      <c r="BE54" s="1">
        <f>Y54-X54</f>
        <v>240</v>
      </c>
      <c r="BF54" s="1">
        <f>Z54-Y54</f>
        <v>390</v>
      </c>
    </row>
    <row r="55" spans="1:58">
      <c r="A55" s="1">
        <v>53</v>
      </c>
      <c r="B55" s="1">
        <v>288200</v>
      </c>
      <c r="C55" s="1">
        <v>288430</v>
      </c>
      <c r="D55" s="1">
        <v>288600</v>
      </c>
      <c r="E55" s="1">
        <v>288790</v>
      </c>
      <c r="F55" s="1">
        <v>288960</v>
      </c>
      <c r="G55" s="1">
        <v>289120</v>
      </c>
      <c r="H55" s="1">
        <v>289350</v>
      </c>
      <c r="I55" s="1">
        <v>289530</v>
      </c>
      <c r="J55" s="1">
        <v>289740</v>
      </c>
      <c r="K55" s="1">
        <v>289970</v>
      </c>
      <c r="L55" s="1">
        <v>290110</v>
      </c>
      <c r="M55" s="1">
        <v>290350</v>
      </c>
      <c r="N55" s="1">
        <v>290530</v>
      </c>
      <c r="O55" s="1">
        <v>290700</v>
      </c>
      <c r="P55" s="1">
        <v>290930</v>
      </c>
      <c r="Q55" s="1">
        <v>291150</v>
      </c>
      <c r="R55" s="1">
        <v>291360</v>
      </c>
      <c r="S55" s="1">
        <v>291520</v>
      </c>
      <c r="T55" s="1">
        <v>291690</v>
      </c>
      <c r="U55" s="1">
        <v>291850</v>
      </c>
      <c r="V55" s="1">
        <v>292080</v>
      </c>
      <c r="W55" s="1">
        <v>292280</v>
      </c>
      <c r="X55" s="1">
        <v>292490</v>
      </c>
      <c r="Y55" s="1">
        <v>292670</v>
      </c>
      <c r="Z55" s="1">
        <v>293080</v>
      </c>
      <c r="AA55" s="5">
        <f>AVERAGE(B55:Y55)</f>
        <v>290433.33333333331</v>
      </c>
      <c r="AB55" s="5">
        <f>(AA56-AA54)/2</f>
        <v>4880.4166666666861</v>
      </c>
      <c r="AC55" s="14">
        <f>AB55/(23+AB151)</f>
        <v>195.65452371413036</v>
      </c>
      <c r="AD55" s="5">
        <f>AA55-AA54</f>
        <v>4886.25</v>
      </c>
      <c r="AE55" s="1">
        <f>AD55-AD54</f>
        <v>-18.333333333313931</v>
      </c>
      <c r="AG55" s="5">
        <f>Z55-Y55</f>
        <v>410</v>
      </c>
      <c r="AI55" s="1">
        <f>C55-B55</f>
        <v>230</v>
      </c>
      <c r="AJ55" s="1">
        <f>D55-C55</f>
        <v>170</v>
      </c>
      <c r="AK55" s="1">
        <f>E55-D55</f>
        <v>190</v>
      </c>
      <c r="AL55" s="1">
        <f>F55-E55</f>
        <v>170</v>
      </c>
      <c r="AM55" s="1">
        <f>G55-F55</f>
        <v>160</v>
      </c>
      <c r="AN55" s="1">
        <f>H55-G55</f>
        <v>230</v>
      </c>
      <c r="AO55" s="1">
        <f>I55-H55</f>
        <v>180</v>
      </c>
      <c r="AP55" s="1">
        <f>J55-I55</f>
        <v>210</v>
      </c>
      <c r="AQ55" s="1">
        <f>K55-J55</f>
        <v>230</v>
      </c>
      <c r="AR55" s="1">
        <f>L55-K55</f>
        <v>140</v>
      </c>
      <c r="AS55" s="1">
        <f>M55-L55</f>
        <v>240</v>
      </c>
      <c r="AT55" s="1">
        <f>N55-M55</f>
        <v>180</v>
      </c>
      <c r="AU55" s="1">
        <f>O55-N55</f>
        <v>170</v>
      </c>
      <c r="AV55" s="1">
        <f>P55-O55</f>
        <v>230</v>
      </c>
      <c r="AW55" s="1">
        <f>Q55-P55</f>
        <v>220</v>
      </c>
      <c r="AX55" s="1">
        <f>R55-Q55</f>
        <v>210</v>
      </c>
      <c r="AY55" s="1">
        <f>S55-R55</f>
        <v>160</v>
      </c>
      <c r="AZ55" s="1">
        <f>T55-S55</f>
        <v>170</v>
      </c>
      <c r="BA55" s="1">
        <f>U55-T55</f>
        <v>160</v>
      </c>
      <c r="BB55" s="1">
        <f>V55-U55</f>
        <v>230</v>
      </c>
      <c r="BC55" s="1">
        <f>W55-V55</f>
        <v>200</v>
      </c>
      <c r="BD55" s="1">
        <f>X55-W55</f>
        <v>210</v>
      </c>
      <c r="BE55" s="1">
        <f>Y55-X55</f>
        <v>180</v>
      </c>
      <c r="BF55" s="1">
        <f>Z55-Y55</f>
        <v>410</v>
      </c>
    </row>
    <row r="56" spans="1:58">
      <c r="A56" s="1">
        <v>54</v>
      </c>
      <c r="B56" s="1">
        <v>293080</v>
      </c>
      <c r="C56" s="1">
        <v>293270</v>
      </c>
      <c r="D56" s="1">
        <v>293450</v>
      </c>
      <c r="E56" s="1">
        <v>293660</v>
      </c>
      <c r="F56" s="1">
        <v>293860</v>
      </c>
      <c r="G56" s="1">
        <v>294090</v>
      </c>
      <c r="H56" s="1">
        <v>294260</v>
      </c>
      <c r="I56" s="1">
        <v>294430</v>
      </c>
      <c r="J56" s="1">
        <v>294590</v>
      </c>
      <c r="K56" s="1">
        <v>294840</v>
      </c>
      <c r="L56" s="1">
        <v>294970</v>
      </c>
      <c r="M56" s="1">
        <v>295220</v>
      </c>
      <c r="N56" s="1">
        <v>295380</v>
      </c>
      <c r="O56" s="1">
        <v>295610</v>
      </c>
      <c r="P56" s="1">
        <v>295800</v>
      </c>
      <c r="Q56" s="1">
        <v>296010</v>
      </c>
      <c r="R56" s="1">
        <v>296200</v>
      </c>
      <c r="S56" s="1">
        <v>296410</v>
      </c>
      <c r="T56" s="1">
        <v>296560</v>
      </c>
      <c r="U56" s="1">
        <v>296760</v>
      </c>
      <c r="V56" s="1">
        <v>296940</v>
      </c>
      <c r="W56" s="1">
        <v>297080</v>
      </c>
      <c r="X56" s="1">
        <v>297340</v>
      </c>
      <c r="Y56" s="1">
        <v>297580</v>
      </c>
      <c r="Z56" s="1">
        <v>297980</v>
      </c>
      <c r="AA56" s="5">
        <f>AVERAGE(B56:Y56)</f>
        <v>295307.91666666669</v>
      </c>
      <c r="AB56" s="5">
        <f>(AA57-AA55)/2</f>
        <v>4880.208333333343</v>
      </c>
      <c r="AC56" s="14">
        <f>AB56/(23+AB151)</f>
        <v>195.64617168972484</v>
      </c>
      <c r="AD56" s="5">
        <f>AA56-AA55</f>
        <v>4874.5833333333721</v>
      </c>
      <c r="AE56" s="1">
        <f>AD56-AD55</f>
        <v>-11.666666666627862</v>
      </c>
      <c r="AG56" s="5">
        <f>Z56-Y56</f>
        <v>400</v>
      </c>
      <c r="AI56" s="1">
        <f>C56-B56</f>
        <v>190</v>
      </c>
      <c r="AJ56" s="1">
        <f>D56-C56</f>
        <v>180</v>
      </c>
      <c r="AK56" s="1">
        <f>E56-D56</f>
        <v>210</v>
      </c>
      <c r="AL56" s="1">
        <f>F56-E56</f>
        <v>200</v>
      </c>
      <c r="AM56" s="1">
        <f>G56-F56</f>
        <v>230</v>
      </c>
      <c r="AN56" s="1">
        <f>H56-G56</f>
        <v>170</v>
      </c>
      <c r="AO56" s="1">
        <f>I56-H56</f>
        <v>170</v>
      </c>
      <c r="AP56" s="1">
        <f>J56-I56</f>
        <v>160</v>
      </c>
      <c r="AQ56" s="1">
        <f>K56-J56</f>
        <v>250</v>
      </c>
      <c r="AR56" s="1">
        <f>L56-K56</f>
        <v>130</v>
      </c>
      <c r="AS56" s="1">
        <f>M56-L56</f>
        <v>250</v>
      </c>
      <c r="AT56" s="1">
        <f>N56-M56</f>
        <v>160</v>
      </c>
      <c r="AU56" s="1">
        <f>O56-N56</f>
        <v>230</v>
      </c>
      <c r="AV56" s="1">
        <f>P56-O56</f>
        <v>190</v>
      </c>
      <c r="AW56" s="1">
        <f>Q56-P56</f>
        <v>210</v>
      </c>
      <c r="AX56" s="1">
        <f>R56-Q56</f>
        <v>190</v>
      </c>
      <c r="AY56" s="1">
        <f>S56-R56</f>
        <v>210</v>
      </c>
      <c r="AZ56" s="1">
        <f>T56-S56</f>
        <v>150</v>
      </c>
      <c r="BA56" s="1">
        <f>U56-T56</f>
        <v>200</v>
      </c>
      <c r="BB56" s="1">
        <f>V56-U56</f>
        <v>180</v>
      </c>
      <c r="BC56" s="1">
        <f>W56-V56</f>
        <v>140</v>
      </c>
      <c r="BD56" s="1">
        <f>X56-W56</f>
        <v>260</v>
      </c>
      <c r="BE56" s="1">
        <f>Y56-X56</f>
        <v>240</v>
      </c>
      <c r="BF56" s="1">
        <f>Z56-Y56</f>
        <v>400</v>
      </c>
    </row>
    <row r="57" spans="1:58">
      <c r="A57" s="1">
        <v>55</v>
      </c>
      <c r="B57" s="1">
        <v>297980</v>
      </c>
      <c r="C57" s="1">
        <v>298130</v>
      </c>
      <c r="D57" s="1">
        <v>298370</v>
      </c>
      <c r="E57" s="1">
        <v>298550</v>
      </c>
      <c r="F57" s="1">
        <v>298770</v>
      </c>
      <c r="G57" s="1">
        <v>298990</v>
      </c>
      <c r="H57" s="1">
        <v>299120</v>
      </c>
      <c r="I57" s="1">
        <v>299320</v>
      </c>
      <c r="J57" s="1">
        <v>299470</v>
      </c>
      <c r="K57" s="1">
        <v>299670</v>
      </c>
      <c r="L57" s="1">
        <v>299890</v>
      </c>
      <c r="M57" s="1">
        <v>300070</v>
      </c>
      <c r="N57" s="1">
        <v>300280</v>
      </c>
      <c r="O57" s="1">
        <v>300530</v>
      </c>
      <c r="P57" s="1">
        <v>300690</v>
      </c>
      <c r="Q57" s="1">
        <v>300910</v>
      </c>
      <c r="R57" s="1">
        <v>301050</v>
      </c>
      <c r="S57" s="1">
        <v>301270</v>
      </c>
      <c r="T57" s="1">
        <v>301450</v>
      </c>
      <c r="U57" s="1">
        <v>301640</v>
      </c>
      <c r="V57" s="1">
        <v>301820</v>
      </c>
      <c r="W57" s="1">
        <v>302030</v>
      </c>
      <c r="X57" s="1">
        <v>302210</v>
      </c>
      <c r="Y57" s="1">
        <v>302440</v>
      </c>
      <c r="Z57" s="1">
        <v>302850</v>
      </c>
      <c r="AA57" s="5">
        <f>AVERAGE(B57:Y57)</f>
        <v>300193.75</v>
      </c>
      <c r="AB57" s="5">
        <f>(AA58-AA56)/2</f>
        <v>4882.291666666657</v>
      </c>
      <c r="AC57" s="14">
        <f>AB57/(23+AB151)</f>
        <v>195.72969193377517</v>
      </c>
      <c r="AD57" s="5">
        <f>AA57-AA56</f>
        <v>4885.8333333333139</v>
      </c>
      <c r="AE57" s="1">
        <f>AD57-AD56</f>
        <v>11.249999999941792</v>
      </c>
      <c r="AG57" s="5">
        <f>Z57-Y57</f>
        <v>410</v>
      </c>
      <c r="AI57" s="1">
        <f>C57-B57</f>
        <v>150</v>
      </c>
      <c r="AJ57" s="1">
        <f>D57-C57</f>
        <v>240</v>
      </c>
      <c r="AK57" s="1">
        <f>E57-D57</f>
        <v>180</v>
      </c>
      <c r="AL57" s="1">
        <f>F57-E57</f>
        <v>220</v>
      </c>
      <c r="AM57" s="1">
        <f>G57-F57</f>
        <v>220</v>
      </c>
      <c r="AN57" s="1">
        <f>H57-G57</f>
        <v>130</v>
      </c>
      <c r="AO57" s="1">
        <f>I57-H57</f>
        <v>200</v>
      </c>
      <c r="AP57" s="1">
        <f>J57-I57</f>
        <v>150</v>
      </c>
      <c r="AQ57" s="1">
        <f>K57-J57</f>
        <v>200</v>
      </c>
      <c r="AR57" s="1">
        <f>L57-K57</f>
        <v>220</v>
      </c>
      <c r="AS57" s="1">
        <f>M57-L57</f>
        <v>180</v>
      </c>
      <c r="AT57" s="1">
        <f>N57-M57</f>
        <v>210</v>
      </c>
      <c r="AU57" s="1">
        <f>O57-N57</f>
        <v>250</v>
      </c>
      <c r="AV57" s="1">
        <f>P57-O57</f>
        <v>160</v>
      </c>
      <c r="AW57" s="1">
        <f>Q57-P57</f>
        <v>220</v>
      </c>
      <c r="AX57" s="1">
        <f>R57-Q57</f>
        <v>140</v>
      </c>
      <c r="AY57" s="1">
        <f>S57-R57</f>
        <v>220</v>
      </c>
      <c r="AZ57" s="1">
        <f>T57-S57</f>
        <v>180</v>
      </c>
      <c r="BA57" s="1">
        <f>U57-T57</f>
        <v>190</v>
      </c>
      <c r="BB57" s="1">
        <f>V57-U57</f>
        <v>180</v>
      </c>
      <c r="BC57" s="1">
        <f>W57-V57</f>
        <v>210</v>
      </c>
      <c r="BD57" s="1">
        <f>X57-W57</f>
        <v>180</v>
      </c>
      <c r="BE57" s="1">
        <f>Y57-X57</f>
        <v>230</v>
      </c>
      <c r="BF57" s="1">
        <f>Z57-Y57</f>
        <v>410</v>
      </c>
    </row>
    <row r="58" spans="1:58">
      <c r="A58" s="1">
        <v>56</v>
      </c>
      <c r="B58" s="1">
        <v>302850</v>
      </c>
      <c r="C58" s="1">
        <v>303050</v>
      </c>
      <c r="D58" s="1">
        <v>303270</v>
      </c>
      <c r="E58" s="1">
        <v>303470</v>
      </c>
      <c r="F58" s="1">
        <v>303630</v>
      </c>
      <c r="G58" s="1">
        <v>303790</v>
      </c>
      <c r="H58" s="1">
        <v>304020</v>
      </c>
      <c r="I58" s="1">
        <v>304210</v>
      </c>
      <c r="J58" s="1">
        <v>304380</v>
      </c>
      <c r="K58" s="1">
        <v>304540</v>
      </c>
      <c r="L58" s="1">
        <v>304750</v>
      </c>
      <c r="M58" s="1">
        <v>304960</v>
      </c>
      <c r="N58" s="1">
        <v>305170</v>
      </c>
      <c r="O58" s="1">
        <v>305400</v>
      </c>
      <c r="P58" s="1">
        <v>305570</v>
      </c>
      <c r="Q58" s="1">
        <v>305750</v>
      </c>
      <c r="R58" s="1">
        <v>305930</v>
      </c>
      <c r="S58" s="1">
        <v>306120</v>
      </c>
      <c r="T58" s="1">
        <v>306340</v>
      </c>
      <c r="U58" s="1">
        <v>306500</v>
      </c>
      <c r="V58" s="1">
        <v>306710</v>
      </c>
      <c r="W58" s="1">
        <v>306920</v>
      </c>
      <c r="X58" s="1">
        <v>307090</v>
      </c>
      <c r="Y58" s="1">
        <v>307320</v>
      </c>
      <c r="Z58" s="1">
        <v>307690</v>
      </c>
      <c r="AA58" s="5">
        <f>AVERAGE(B58:Y58)</f>
        <v>305072.5</v>
      </c>
      <c r="AB58" s="5">
        <f>(AA59-AA57)/2</f>
        <v>4869.166666666657</v>
      </c>
      <c r="AC58" s="14">
        <f>AB58/(23+AB151)</f>
        <v>195.20351439625318</v>
      </c>
      <c r="AD58" s="5">
        <f>AA58-AA57</f>
        <v>4878.75</v>
      </c>
      <c r="AE58" s="1">
        <f>AD58-AD57</f>
        <v>-7.0833333333139308</v>
      </c>
      <c r="AG58" s="5">
        <f>Z58-Y58</f>
        <v>370</v>
      </c>
      <c r="AI58" s="1">
        <f>C58-B58</f>
        <v>200</v>
      </c>
      <c r="AJ58" s="1">
        <f>D58-C58</f>
        <v>220</v>
      </c>
      <c r="AK58" s="1">
        <f>E58-D58</f>
        <v>200</v>
      </c>
      <c r="AL58" s="1">
        <f>F58-E58</f>
        <v>160</v>
      </c>
      <c r="AM58" s="1">
        <f>G58-F58</f>
        <v>160</v>
      </c>
      <c r="AN58" s="1">
        <f>H58-G58</f>
        <v>230</v>
      </c>
      <c r="AO58" s="1">
        <f>I58-H58</f>
        <v>190</v>
      </c>
      <c r="AP58" s="1">
        <f>J58-I58</f>
        <v>170</v>
      </c>
      <c r="AQ58" s="1">
        <f>K58-J58</f>
        <v>160</v>
      </c>
      <c r="AR58" s="1">
        <f>L58-K58</f>
        <v>210</v>
      </c>
      <c r="AS58" s="1">
        <f>M58-L58</f>
        <v>210</v>
      </c>
      <c r="AT58" s="1">
        <f>N58-M58</f>
        <v>210</v>
      </c>
      <c r="AU58" s="1">
        <f>O58-N58</f>
        <v>230</v>
      </c>
      <c r="AV58" s="1">
        <f>P58-O58</f>
        <v>170</v>
      </c>
      <c r="AW58" s="1">
        <f>Q58-P58</f>
        <v>180</v>
      </c>
      <c r="AX58" s="1">
        <f>R58-Q58</f>
        <v>180</v>
      </c>
      <c r="AY58" s="1">
        <f>S58-R58</f>
        <v>190</v>
      </c>
      <c r="AZ58" s="1">
        <f>T58-S58</f>
        <v>220</v>
      </c>
      <c r="BA58" s="1">
        <f>U58-T58</f>
        <v>160</v>
      </c>
      <c r="BB58" s="1">
        <f>V58-U58</f>
        <v>210</v>
      </c>
      <c r="BC58" s="1">
        <f>W58-V58</f>
        <v>210</v>
      </c>
      <c r="BD58" s="1">
        <f>X58-W58</f>
        <v>170</v>
      </c>
      <c r="BE58" s="1">
        <f>Y58-X58</f>
        <v>230</v>
      </c>
      <c r="BF58" s="1">
        <f>Z58-Y58</f>
        <v>370</v>
      </c>
    </row>
    <row r="59" spans="1:58">
      <c r="A59" s="1">
        <v>57</v>
      </c>
      <c r="B59" s="1">
        <v>307690</v>
      </c>
      <c r="C59" s="1">
        <v>307910</v>
      </c>
      <c r="D59" s="1">
        <v>308110</v>
      </c>
      <c r="E59" s="1">
        <v>308300</v>
      </c>
      <c r="F59" s="1">
        <v>308450</v>
      </c>
      <c r="G59" s="1">
        <v>308660</v>
      </c>
      <c r="H59" s="1">
        <v>308860</v>
      </c>
      <c r="I59" s="1">
        <v>309080</v>
      </c>
      <c r="J59" s="1">
        <v>309270</v>
      </c>
      <c r="K59" s="1">
        <v>309440</v>
      </c>
      <c r="L59" s="1">
        <v>309620</v>
      </c>
      <c r="M59" s="1">
        <v>309830</v>
      </c>
      <c r="N59" s="1">
        <v>310040</v>
      </c>
      <c r="O59" s="1">
        <v>310220</v>
      </c>
      <c r="P59" s="1">
        <v>310430</v>
      </c>
      <c r="Q59" s="1">
        <v>310640</v>
      </c>
      <c r="R59" s="1">
        <v>310790</v>
      </c>
      <c r="S59" s="1">
        <v>311020</v>
      </c>
      <c r="T59" s="1">
        <v>311170</v>
      </c>
      <c r="U59" s="1">
        <v>311390</v>
      </c>
      <c r="V59" s="1">
        <v>311590</v>
      </c>
      <c r="W59" s="1">
        <v>311730</v>
      </c>
      <c r="X59" s="1">
        <v>311960</v>
      </c>
      <c r="Y59" s="1">
        <v>312170</v>
      </c>
      <c r="Z59" s="1">
        <v>312580</v>
      </c>
      <c r="AA59" s="5">
        <f>AVERAGE(B59:Y59)</f>
        <v>309932.08333333331</v>
      </c>
      <c r="AB59" s="5">
        <f>(AA60-AA58)/2</f>
        <v>4862.291666666657</v>
      </c>
      <c r="AC59" s="14">
        <f>AB59/(23+AB151)</f>
        <v>194.92789759088453</v>
      </c>
      <c r="AD59" s="5">
        <f>AA59-AA58</f>
        <v>4859.5833333333139</v>
      </c>
      <c r="AE59" s="1">
        <f>AD59-AD58</f>
        <v>-19.166666666686069</v>
      </c>
      <c r="AG59" s="5">
        <f>Z59-Y59</f>
        <v>410</v>
      </c>
      <c r="AI59" s="1">
        <f>C59-B59</f>
        <v>220</v>
      </c>
      <c r="AJ59" s="1">
        <f>D59-C59</f>
        <v>200</v>
      </c>
      <c r="AK59" s="1">
        <f>E59-D59</f>
        <v>190</v>
      </c>
      <c r="AL59" s="1">
        <f>F59-E59</f>
        <v>150</v>
      </c>
      <c r="AM59" s="1">
        <f>G59-F59</f>
        <v>210</v>
      </c>
      <c r="AN59" s="1">
        <f>H59-G59</f>
        <v>200</v>
      </c>
      <c r="AO59" s="1">
        <f>I59-H59</f>
        <v>220</v>
      </c>
      <c r="AP59" s="1">
        <f>J59-I59</f>
        <v>190</v>
      </c>
      <c r="AQ59" s="1">
        <f>K59-J59</f>
        <v>170</v>
      </c>
      <c r="AR59" s="1">
        <f>L59-K59</f>
        <v>180</v>
      </c>
      <c r="AS59" s="1">
        <f>M59-L59</f>
        <v>210</v>
      </c>
      <c r="AT59" s="1">
        <f>N59-M59</f>
        <v>210</v>
      </c>
      <c r="AU59" s="1">
        <f>O59-N59</f>
        <v>180</v>
      </c>
      <c r="AV59" s="1">
        <f>P59-O59</f>
        <v>210</v>
      </c>
      <c r="AW59" s="1">
        <f>Q59-P59</f>
        <v>210</v>
      </c>
      <c r="AX59" s="1">
        <f>R59-Q59</f>
        <v>150</v>
      </c>
      <c r="AY59" s="1">
        <f>S59-R59</f>
        <v>230</v>
      </c>
      <c r="AZ59" s="1">
        <f>T59-S59</f>
        <v>150</v>
      </c>
      <c r="BA59" s="1">
        <f>U59-T59</f>
        <v>220</v>
      </c>
      <c r="BB59" s="1">
        <f>V59-U59</f>
        <v>200</v>
      </c>
      <c r="BC59" s="1">
        <f>W59-V59</f>
        <v>140</v>
      </c>
      <c r="BD59" s="1">
        <f>X59-W59</f>
        <v>230</v>
      </c>
      <c r="BE59" s="1">
        <f>Y59-X59</f>
        <v>210</v>
      </c>
      <c r="BF59" s="1">
        <f>Z59-Y59</f>
        <v>410</v>
      </c>
    </row>
    <row r="60" spans="1:58">
      <c r="A60" s="1">
        <v>58</v>
      </c>
      <c r="B60" s="1">
        <v>312580</v>
      </c>
      <c r="C60" s="1">
        <v>312800</v>
      </c>
      <c r="D60" s="1">
        <v>312980</v>
      </c>
      <c r="E60" s="1">
        <v>313120</v>
      </c>
      <c r="F60" s="1">
        <v>313340</v>
      </c>
      <c r="G60" s="1">
        <v>313560</v>
      </c>
      <c r="H60" s="1">
        <v>313710</v>
      </c>
      <c r="I60" s="1">
        <v>313930</v>
      </c>
      <c r="J60" s="1">
        <v>314090</v>
      </c>
      <c r="K60" s="1">
        <v>314300</v>
      </c>
      <c r="L60" s="1">
        <v>314470</v>
      </c>
      <c r="M60" s="1">
        <v>314720</v>
      </c>
      <c r="N60" s="1">
        <v>314860</v>
      </c>
      <c r="O60" s="1">
        <v>315100</v>
      </c>
      <c r="P60" s="1">
        <v>315300</v>
      </c>
      <c r="Q60" s="1">
        <v>315490</v>
      </c>
      <c r="R60" s="1">
        <v>315670</v>
      </c>
      <c r="S60" s="1">
        <v>315840</v>
      </c>
      <c r="T60" s="1">
        <v>316050</v>
      </c>
      <c r="U60" s="1">
        <v>316240</v>
      </c>
      <c r="V60" s="1">
        <v>316470</v>
      </c>
      <c r="W60" s="1">
        <v>316630</v>
      </c>
      <c r="X60" s="1">
        <v>316830</v>
      </c>
      <c r="Y60" s="1">
        <v>317050</v>
      </c>
      <c r="Z60" s="1">
        <v>317430</v>
      </c>
      <c r="AA60" s="5">
        <f>AVERAGE(B60:Y60)</f>
        <v>314797.08333333331</v>
      </c>
      <c r="AB60" s="5">
        <f>(AA61-AA59)/2</f>
        <v>4868.5416666666861</v>
      </c>
      <c r="AC60" s="14">
        <f>AB60/(23+AB151)</f>
        <v>195.17845832303902</v>
      </c>
      <c r="AD60" s="5">
        <f>AA60-AA59</f>
        <v>4865</v>
      </c>
      <c r="AE60" s="1">
        <f>AD60-AD59</f>
        <v>5.4166666666860692</v>
      </c>
      <c r="AG60" s="5">
        <f>Z60-Y60</f>
        <v>380</v>
      </c>
      <c r="AI60" s="1">
        <f>C60-B60</f>
        <v>220</v>
      </c>
      <c r="AJ60" s="1">
        <f>D60-C60</f>
        <v>180</v>
      </c>
      <c r="AK60" s="1">
        <f>E60-D60</f>
        <v>140</v>
      </c>
      <c r="AL60" s="1">
        <f>F60-E60</f>
        <v>220</v>
      </c>
      <c r="AM60" s="1">
        <f>G60-F60</f>
        <v>220</v>
      </c>
      <c r="AN60" s="1">
        <f>H60-G60</f>
        <v>150</v>
      </c>
      <c r="AO60" s="1">
        <f>I60-H60</f>
        <v>220</v>
      </c>
      <c r="AP60" s="1">
        <f>J60-I60</f>
        <v>160</v>
      </c>
      <c r="AQ60" s="1">
        <f>K60-J60</f>
        <v>210</v>
      </c>
      <c r="AR60" s="1">
        <f>L60-K60</f>
        <v>170</v>
      </c>
      <c r="AS60" s="1">
        <f>M60-L60</f>
        <v>250</v>
      </c>
      <c r="AT60" s="1">
        <f>N60-M60</f>
        <v>140</v>
      </c>
      <c r="AU60" s="1">
        <f>O60-N60</f>
        <v>240</v>
      </c>
      <c r="AV60" s="1">
        <f>P60-O60</f>
        <v>200</v>
      </c>
      <c r="AW60" s="1">
        <f>Q60-P60</f>
        <v>190</v>
      </c>
      <c r="AX60" s="1">
        <f>R60-Q60</f>
        <v>180</v>
      </c>
      <c r="AY60" s="1">
        <f>S60-R60</f>
        <v>170</v>
      </c>
      <c r="AZ60" s="1">
        <f>T60-S60</f>
        <v>210</v>
      </c>
      <c r="BA60" s="1">
        <f>U60-T60</f>
        <v>190</v>
      </c>
      <c r="BB60" s="1">
        <f>V60-U60</f>
        <v>230</v>
      </c>
      <c r="BC60" s="1">
        <f>W60-V60</f>
        <v>160</v>
      </c>
      <c r="BD60" s="1">
        <f>X60-W60</f>
        <v>200</v>
      </c>
      <c r="BE60" s="1">
        <f>Y60-X60</f>
        <v>220</v>
      </c>
      <c r="BF60" s="1">
        <f>Z60-Y60</f>
        <v>380</v>
      </c>
    </row>
    <row r="61" spans="1:58">
      <c r="A61" s="1">
        <v>59</v>
      </c>
      <c r="B61" s="1">
        <v>317430</v>
      </c>
      <c r="C61" s="1">
        <v>317660</v>
      </c>
      <c r="D61" s="1">
        <v>317820</v>
      </c>
      <c r="E61" s="1">
        <v>318030</v>
      </c>
      <c r="F61" s="1">
        <v>318250</v>
      </c>
      <c r="G61" s="1">
        <v>318420</v>
      </c>
      <c r="H61" s="1">
        <v>318590</v>
      </c>
      <c r="I61" s="1">
        <v>318800</v>
      </c>
      <c r="J61" s="1">
        <v>318990</v>
      </c>
      <c r="K61" s="1">
        <v>319170</v>
      </c>
      <c r="L61" s="1">
        <v>319350</v>
      </c>
      <c r="M61" s="1">
        <v>319560</v>
      </c>
      <c r="N61" s="1">
        <v>319770</v>
      </c>
      <c r="O61" s="1">
        <v>319970</v>
      </c>
      <c r="P61" s="1">
        <v>320190</v>
      </c>
      <c r="Q61" s="1">
        <v>320370</v>
      </c>
      <c r="R61" s="1">
        <v>320550</v>
      </c>
      <c r="S61" s="1">
        <v>320730</v>
      </c>
      <c r="T61" s="1">
        <v>320910</v>
      </c>
      <c r="U61" s="1">
        <v>321100</v>
      </c>
      <c r="V61" s="1">
        <v>321280</v>
      </c>
      <c r="W61" s="1">
        <v>321520</v>
      </c>
      <c r="X61" s="1">
        <v>321700</v>
      </c>
      <c r="Y61" s="1">
        <v>321900</v>
      </c>
      <c r="Z61" s="1">
        <v>322330</v>
      </c>
      <c r="AA61" s="5">
        <f>AVERAGE(B61:Y61)</f>
        <v>319669.16666666669</v>
      </c>
      <c r="AB61" s="5">
        <f>(AA62-AA60)/2</f>
        <v>4879.583333333343</v>
      </c>
      <c r="AC61" s="14">
        <f>AB61/(23+AB151)</f>
        <v>195.62111561650951</v>
      </c>
      <c r="AD61" s="5">
        <f>AA61-AA60</f>
        <v>4872.0833333333721</v>
      </c>
      <c r="AE61" s="1">
        <f>AD61-AD60</f>
        <v>7.0833333333721384</v>
      </c>
      <c r="AG61" s="5">
        <f>Z61-Y61</f>
        <v>430</v>
      </c>
      <c r="AI61" s="1">
        <f>C61-B61</f>
        <v>230</v>
      </c>
      <c r="AJ61" s="1">
        <f>D61-C61</f>
        <v>160</v>
      </c>
      <c r="AK61" s="1">
        <f>E61-D61</f>
        <v>210</v>
      </c>
      <c r="AL61" s="1">
        <f>F61-E61</f>
        <v>220</v>
      </c>
      <c r="AM61" s="1">
        <f>G61-F61</f>
        <v>170</v>
      </c>
      <c r="AN61" s="1">
        <f>H61-G61</f>
        <v>170</v>
      </c>
      <c r="AO61" s="1">
        <f>I61-H61</f>
        <v>210</v>
      </c>
      <c r="AP61" s="1">
        <f>J61-I61</f>
        <v>190</v>
      </c>
      <c r="AQ61" s="1">
        <f>K61-J61</f>
        <v>180</v>
      </c>
      <c r="AR61" s="1">
        <f>L61-K61</f>
        <v>180</v>
      </c>
      <c r="AS61" s="1">
        <f>M61-L61</f>
        <v>210</v>
      </c>
      <c r="AT61" s="1">
        <f>N61-M61</f>
        <v>210</v>
      </c>
      <c r="AU61" s="1">
        <f>O61-N61</f>
        <v>200</v>
      </c>
      <c r="AV61" s="1">
        <f>P61-O61</f>
        <v>220</v>
      </c>
      <c r="AW61" s="1">
        <f>Q61-P61</f>
        <v>180</v>
      </c>
      <c r="AX61" s="1">
        <f>R61-Q61</f>
        <v>180</v>
      </c>
      <c r="AY61" s="1">
        <f>S61-R61</f>
        <v>180</v>
      </c>
      <c r="AZ61" s="1">
        <f>T61-S61</f>
        <v>180</v>
      </c>
      <c r="BA61" s="1">
        <f>U61-T61</f>
        <v>190</v>
      </c>
      <c r="BB61" s="1">
        <f>V61-U61</f>
        <v>180</v>
      </c>
      <c r="BC61" s="1">
        <f>W61-V61</f>
        <v>240</v>
      </c>
      <c r="BD61" s="1">
        <f>X61-W61</f>
        <v>180</v>
      </c>
      <c r="BE61" s="1">
        <f>Y61-X61</f>
        <v>200</v>
      </c>
      <c r="BF61" s="1">
        <f>Z61-Y61</f>
        <v>430</v>
      </c>
    </row>
    <row r="62" spans="1:58">
      <c r="A62" s="1">
        <v>60</v>
      </c>
      <c r="B62" s="1">
        <v>322330</v>
      </c>
      <c r="C62" s="1">
        <v>322530</v>
      </c>
      <c r="D62" s="1">
        <v>322700</v>
      </c>
      <c r="E62" s="1">
        <v>322910</v>
      </c>
      <c r="F62" s="1">
        <v>323130</v>
      </c>
      <c r="G62" s="1">
        <v>323300</v>
      </c>
      <c r="H62" s="1">
        <v>323500</v>
      </c>
      <c r="I62" s="1">
        <v>323650</v>
      </c>
      <c r="J62" s="1">
        <v>323880</v>
      </c>
      <c r="K62" s="1">
        <v>324030</v>
      </c>
      <c r="L62" s="1">
        <v>324230</v>
      </c>
      <c r="M62" s="1">
        <v>324460</v>
      </c>
      <c r="N62" s="1">
        <v>324650</v>
      </c>
      <c r="O62" s="1">
        <v>324850</v>
      </c>
      <c r="P62" s="1">
        <v>325040</v>
      </c>
      <c r="Q62" s="1">
        <v>325240</v>
      </c>
      <c r="R62" s="1">
        <v>325450</v>
      </c>
      <c r="S62" s="1">
        <v>325630</v>
      </c>
      <c r="T62" s="1">
        <v>325820</v>
      </c>
      <c r="U62" s="1">
        <v>326050</v>
      </c>
      <c r="V62" s="1">
        <v>326240</v>
      </c>
      <c r="W62" s="1">
        <v>326340</v>
      </c>
      <c r="X62" s="1">
        <v>326590</v>
      </c>
      <c r="Y62" s="1">
        <v>326800</v>
      </c>
      <c r="Z62" s="1">
        <v>327210</v>
      </c>
      <c r="AA62" s="5">
        <f>AVERAGE(B62:Y62)</f>
        <v>324556.25</v>
      </c>
      <c r="AB62" s="5">
        <f>(AA63-AA61)/2</f>
        <v>4896.666666666657</v>
      </c>
      <c r="AC62" s="14">
        <f>AB62/(23+AB151)</f>
        <v>196.30598161772784</v>
      </c>
      <c r="AD62" s="5">
        <f>AA62-AA61</f>
        <v>4887.0833333333139</v>
      </c>
      <c r="AE62" s="1">
        <f>AD62-AD61</f>
        <v>14.999999999941792</v>
      </c>
      <c r="AG62" s="5">
        <f>Z62-Y62</f>
        <v>410</v>
      </c>
      <c r="AI62" s="1">
        <f>C62-B62</f>
        <v>200</v>
      </c>
      <c r="AJ62" s="1">
        <f>D62-C62</f>
        <v>170</v>
      </c>
      <c r="AK62" s="1">
        <f>E62-D62</f>
        <v>210</v>
      </c>
      <c r="AL62" s="1">
        <f>F62-E62</f>
        <v>220</v>
      </c>
      <c r="AM62" s="1">
        <f>G62-F62</f>
        <v>170</v>
      </c>
      <c r="AN62" s="1">
        <f>H62-G62</f>
        <v>200</v>
      </c>
      <c r="AO62" s="1">
        <f>I62-H62</f>
        <v>150</v>
      </c>
      <c r="AP62" s="1">
        <f>J62-I62</f>
        <v>230</v>
      </c>
      <c r="AQ62" s="1">
        <f>K62-J62</f>
        <v>150</v>
      </c>
      <c r="AR62" s="1">
        <f>L62-K62</f>
        <v>200</v>
      </c>
      <c r="AS62" s="1">
        <f>M62-L62</f>
        <v>230</v>
      </c>
      <c r="AT62" s="1">
        <f>N62-M62</f>
        <v>190</v>
      </c>
      <c r="AU62" s="1">
        <f>O62-N62</f>
        <v>200</v>
      </c>
      <c r="AV62" s="1">
        <f>P62-O62</f>
        <v>190</v>
      </c>
      <c r="AW62" s="1">
        <f>Q62-P62</f>
        <v>200</v>
      </c>
      <c r="AX62" s="1">
        <f>R62-Q62</f>
        <v>210</v>
      </c>
      <c r="AY62" s="1">
        <f>S62-R62</f>
        <v>180</v>
      </c>
      <c r="AZ62" s="1">
        <f>T62-S62</f>
        <v>190</v>
      </c>
      <c r="BA62" s="1">
        <f>U62-T62</f>
        <v>230</v>
      </c>
      <c r="BB62" s="1">
        <f>V62-U62</f>
        <v>190</v>
      </c>
      <c r="BC62" s="1">
        <f>W62-V62</f>
        <v>100</v>
      </c>
      <c r="BD62" s="1">
        <f>X62-W62</f>
        <v>250</v>
      </c>
      <c r="BE62" s="1">
        <f>Y62-X62</f>
        <v>210</v>
      </c>
      <c r="BF62" s="1">
        <f>Z62-Y62</f>
        <v>410</v>
      </c>
    </row>
    <row r="63" spans="1:58">
      <c r="A63" s="1">
        <v>61</v>
      </c>
      <c r="B63" s="1">
        <v>327210</v>
      </c>
      <c r="C63" s="1">
        <v>327420</v>
      </c>
      <c r="D63" s="1">
        <v>327670</v>
      </c>
      <c r="E63" s="1">
        <v>327870</v>
      </c>
      <c r="F63" s="1">
        <v>328020</v>
      </c>
      <c r="G63" s="1">
        <v>328170</v>
      </c>
      <c r="H63" s="1">
        <v>328390</v>
      </c>
      <c r="I63" s="1">
        <v>328590</v>
      </c>
      <c r="J63" s="1">
        <v>328770</v>
      </c>
      <c r="K63" s="1">
        <v>328960</v>
      </c>
      <c r="L63" s="1">
        <v>329130</v>
      </c>
      <c r="M63" s="1">
        <v>329390</v>
      </c>
      <c r="N63" s="1">
        <v>329540</v>
      </c>
      <c r="O63" s="1">
        <v>329750</v>
      </c>
      <c r="P63" s="1">
        <v>329970</v>
      </c>
      <c r="Q63" s="1">
        <v>330140</v>
      </c>
      <c r="R63" s="1">
        <v>330340</v>
      </c>
      <c r="S63" s="1">
        <v>330570</v>
      </c>
      <c r="T63" s="1">
        <v>330730</v>
      </c>
      <c r="U63" s="1">
        <v>330920</v>
      </c>
      <c r="V63" s="1">
        <v>331080</v>
      </c>
      <c r="W63" s="1">
        <v>331270</v>
      </c>
      <c r="X63" s="1">
        <v>331490</v>
      </c>
      <c r="Y63" s="1">
        <v>331710</v>
      </c>
      <c r="Z63" s="1">
        <v>332130</v>
      </c>
      <c r="AA63" s="5">
        <f>AVERAGE(B63:Y63)</f>
        <v>329462.5</v>
      </c>
      <c r="AB63" s="5">
        <f>(AA64-AA62)/2</f>
        <v>4896.666666666657</v>
      </c>
      <c r="AC63" s="14">
        <f>AB63/(23+AB151)</f>
        <v>196.30598161772784</v>
      </c>
      <c r="AD63" s="5">
        <f>AA63-AA62</f>
        <v>4906.25</v>
      </c>
      <c r="AE63" s="1">
        <f>AD63-AD62</f>
        <v>19.166666666686069</v>
      </c>
      <c r="AG63" s="5">
        <f>Z63-Y63</f>
        <v>420</v>
      </c>
      <c r="AI63" s="1">
        <f>C63-B63</f>
        <v>210</v>
      </c>
      <c r="AJ63" s="1">
        <f>D63-C63</f>
        <v>250</v>
      </c>
      <c r="AK63" s="1">
        <f>E63-D63</f>
        <v>200</v>
      </c>
      <c r="AL63" s="1">
        <f>F63-E63</f>
        <v>150</v>
      </c>
      <c r="AM63" s="1">
        <f>G63-F63</f>
        <v>150</v>
      </c>
      <c r="AN63" s="1">
        <f>H63-G63</f>
        <v>220</v>
      </c>
      <c r="AO63" s="1">
        <f>I63-H63</f>
        <v>200</v>
      </c>
      <c r="AP63" s="1">
        <f>J63-I63</f>
        <v>180</v>
      </c>
      <c r="AQ63" s="1">
        <f>K63-J63</f>
        <v>190</v>
      </c>
      <c r="AR63" s="1">
        <f>L63-K63</f>
        <v>170</v>
      </c>
      <c r="AS63" s="1">
        <f>M63-L63</f>
        <v>260</v>
      </c>
      <c r="AT63" s="1">
        <f>N63-M63</f>
        <v>150</v>
      </c>
      <c r="AU63" s="1">
        <f>O63-N63</f>
        <v>210</v>
      </c>
      <c r="AV63" s="1">
        <f>P63-O63</f>
        <v>220</v>
      </c>
      <c r="AW63" s="1">
        <f>Q63-P63</f>
        <v>170</v>
      </c>
      <c r="AX63" s="1">
        <f>R63-Q63</f>
        <v>200</v>
      </c>
      <c r="AY63" s="1">
        <f>S63-R63</f>
        <v>230</v>
      </c>
      <c r="AZ63" s="1">
        <f>T63-S63</f>
        <v>160</v>
      </c>
      <c r="BA63" s="1">
        <f>U63-T63</f>
        <v>190</v>
      </c>
      <c r="BB63" s="1">
        <f>V63-U63</f>
        <v>160</v>
      </c>
      <c r="BC63" s="1">
        <f>W63-V63</f>
        <v>190</v>
      </c>
      <c r="BD63" s="1">
        <f>X63-W63</f>
        <v>220</v>
      </c>
      <c r="BE63" s="1">
        <f>Y63-X63</f>
        <v>220</v>
      </c>
      <c r="BF63" s="1">
        <f>Z63-Y63</f>
        <v>420</v>
      </c>
    </row>
    <row r="64" spans="1:58">
      <c r="A64" s="1">
        <v>62</v>
      </c>
      <c r="B64" s="1">
        <v>332130</v>
      </c>
      <c r="C64" s="1">
        <v>332310</v>
      </c>
      <c r="D64" s="1">
        <v>332490</v>
      </c>
      <c r="E64" s="1">
        <v>332740</v>
      </c>
      <c r="F64" s="1">
        <v>332950</v>
      </c>
      <c r="G64" s="1">
        <v>333120</v>
      </c>
      <c r="H64" s="1">
        <v>333270</v>
      </c>
      <c r="I64" s="1">
        <v>333480</v>
      </c>
      <c r="J64" s="1">
        <v>333650</v>
      </c>
      <c r="K64" s="1">
        <v>333840</v>
      </c>
      <c r="L64" s="1">
        <v>334070</v>
      </c>
      <c r="M64" s="1">
        <v>334230</v>
      </c>
      <c r="N64" s="1">
        <v>334440</v>
      </c>
      <c r="O64" s="1">
        <v>334630</v>
      </c>
      <c r="P64" s="1">
        <v>334840</v>
      </c>
      <c r="Q64" s="1">
        <v>335020</v>
      </c>
      <c r="R64" s="1">
        <v>335240</v>
      </c>
      <c r="S64" s="1">
        <v>335430</v>
      </c>
      <c r="T64" s="1">
        <v>335640</v>
      </c>
      <c r="U64" s="1">
        <v>335790</v>
      </c>
      <c r="V64" s="1">
        <v>335960</v>
      </c>
      <c r="W64" s="1">
        <v>336150</v>
      </c>
      <c r="X64" s="1">
        <v>336360</v>
      </c>
      <c r="Y64" s="1">
        <v>336610</v>
      </c>
      <c r="Z64" s="1">
        <v>336970</v>
      </c>
      <c r="AA64" s="5">
        <f>AVERAGE(B64:Y64)</f>
        <v>334349.58333333331</v>
      </c>
      <c r="AB64" s="5">
        <f>(AA65-AA63)/2</f>
        <v>4875.208333333343</v>
      </c>
      <c r="AC64" s="14">
        <f>AB64/(23+AB151)</f>
        <v>195.44572310400218</v>
      </c>
      <c r="AD64" s="5">
        <f>AA64-AA63</f>
        <v>4887.0833333333139</v>
      </c>
      <c r="AE64" s="1">
        <f>AD64-AD63</f>
        <v>-19.166666666686069</v>
      </c>
      <c r="AG64" s="5">
        <f>Z64-Y64</f>
        <v>360</v>
      </c>
      <c r="AI64" s="1">
        <f>C64-B64</f>
        <v>180</v>
      </c>
      <c r="AJ64" s="1">
        <f>D64-C64</f>
        <v>180</v>
      </c>
      <c r="AK64" s="1">
        <f>E64-D64</f>
        <v>250</v>
      </c>
      <c r="AL64" s="1">
        <f>F64-E64</f>
        <v>210</v>
      </c>
      <c r="AM64" s="1">
        <f>G64-F64</f>
        <v>170</v>
      </c>
      <c r="AN64" s="1">
        <f>H64-G64</f>
        <v>150</v>
      </c>
      <c r="AO64" s="1">
        <f>I64-H64</f>
        <v>210</v>
      </c>
      <c r="AP64" s="1">
        <f>J64-I64</f>
        <v>170</v>
      </c>
      <c r="AQ64" s="1">
        <f>K64-J64</f>
        <v>190</v>
      </c>
      <c r="AR64" s="1">
        <f>L64-K64</f>
        <v>230</v>
      </c>
      <c r="AS64" s="1">
        <f>M64-L64</f>
        <v>160</v>
      </c>
      <c r="AT64" s="1">
        <f>N64-M64</f>
        <v>210</v>
      </c>
      <c r="AU64" s="1">
        <f>O64-N64</f>
        <v>190</v>
      </c>
      <c r="AV64" s="1">
        <f>P64-O64</f>
        <v>210</v>
      </c>
      <c r="AW64" s="1">
        <f>Q64-P64</f>
        <v>180</v>
      </c>
      <c r="AX64" s="1">
        <f>R64-Q64</f>
        <v>220</v>
      </c>
      <c r="AY64" s="1">
        <f>S64-R64</f>
        <v>190</v>
      </c>
      <c r="AZ64" s="1">
        <f>T64-S64</f>
        <v>210</v>
      </c>
      <c r="BA64" s="1">
        <f>U64-T64</f>
        <v>150</v>
      </c>
      <c r="BB64" s="1">
        <f>V64-U64</f>
        <v>170</v>
      </c>
      <c r="BC64" s="1">
        <f>W64-V64</f>
        <v>190</v>
      </c>
      <c r="BD64" s="1">
        <f>X64-W64</f>
        <v>210</v>
      </c>
      <c r="BE64" s="1">
        <f>Y64-X64</f>
        <v>250</v>
      </c>
      <c r="BF64" s="1">
        <f>Z64-Y64</f>
        <v>360</v>
      </c>
    </row>
    <row r="65" spans="1:58">
      <c r="A65" s="1">
        <v>63</v>
      </c>
      <c r="B65" s="1">
        <v>336970</v>
      </c>
      <c r="C65" s="1">
        <v>337160</v>
      </c>
      <c r="D65" s="1">
        <v>337380</v>
      </c>
      <c r="E65" s="1">
        <v>337570</v>
      </c>
      <c r="F65" s="1">
        <v>337800</v>
      </c>
      <c r="G65" s="1">
        <v>338010</v>
      </c>
      <c r="H65" s="1">
        <v>338140</v>
      </c>
      <c r="I65" s="1">
        <v>338370</v>
      </c>
      <c r="J65" s="1">
        <v>338520</v>
      </c>
      <c r="K65" s="1">
        <v>338660</v>
      </c>
      <c r="L65" s="1">
        <v>338940</v>
      </c>
      <c r="M65" s="1">
        <v>339130</v>
      </c>
      <c r="N65" s="1">
        <v>339300</v>
      </c>
      <c r="O65" s="1">
        <v>339470</v>
      </c>
      <c r="P65" s="1">
        <v>339690</v>
      </c>
      <c r="Q65" s="1">
        <v>339850</v>
      </c>
      <c r="R65" s="1">
        <v>340100</v>
      </c>
      <c r="S65" s="1">
        <v>340300</v>
      </c>
      <c r="T65" s="1">
        <v>340510</v>
      </c>
      <c r="U65" s="1">
        <v>340660</v>
      </c>
      <c r="V65" s="1">
        <v>340840</v>
      </c>
      <c r="W65" s="1">
        <v>341070</v>
      </c>
      <c r="X65" s="1">
        <v>341230</v>
      </c>
      <c r="Y65" s="1">
        <v>341440</v>
      </c>
      <c r="Z65" s="1">
        <v>341840</v>
      </c>
      <c r="AA65" s="5">
        <f>AVERAGE(B65:Y65)</f>
        <v>339212.91666666669</v>
      </c>
      <c r="AB65" s="5">
        <f>(AA66-AA64)/2</f>
        <v>4865.4166666666861</v>
      </c>
      <c r="AC65" s="14">
        <f>AB65/(23+AB151)</f>
        <v>195.05317795696237</v>
      </c>
      <c r="AD65" s="5">
        <f>AA65-AA64</f>
        <v>4863.3333333333721</v>
      </c>
      <c r="AE65" s="1">
        <f>AD65-AD64</f>
        <v>-23.749999999941792</v>
      </c>
      <c r="AG65" s="5">
        <f>Z65-Y65</f>
        <v>400</v>
      </c>
      <c r="AI65" s="1">
        <f>C65-B65</f>
        <v>190</v>
      </c>
      <c r="AJ65" s="1">
        <f>D65-C65</f>
        <v>220</v>
      </c>
      <c r="AK65" s="1">
        <f>E65-D65</f>
        <v>190</v>
      </c>
      <c r="AL65" s="1">
        <f>F65-E65</f>
        <v>230</v>
      </c>
      <c r="AM65" s="1">
        <f>G65-F65</f>
        <v>210</v>
      </c>
      <c r="AN65" s="1">
        <f>H65-G65</f>
        <v>130</v>
      </c>
      <c r="AO65" s="1">
        <f>I65-H65</f>
        <v>230</v>
      </c>
      <c r="AP65" s="1">
        <f>J65-I65</f>
        <v>150</v>
      </c>
      <c r="AQ65" s="1">
        <f>K65-J65</f>
        <v>140</v>
      </c>
      <c r="AR65" s="1">
        <f>L65-K65</f>
        <v>280</v>
      </c>
      <c r="AS65" s="1">
        <f>M65-L65</f>
        <v>190</v>
      </c>
      <c r="AT65" s="1">
        <f>N65-M65</f>
        <v>170</v>
      </c>
      <c r="AU65" s="1">
        <f>O65-N65</f>
        <v>170</v>
      </c>
      <c r="AV65" s="1">
        <f>P65-O65</f>
        <v>220</v>
      </c>
      <c r="AW65" s="1">
        <f>Q65-P65</f>
        <v>160</v>
      </c>
      <c r="AX65" s="1">
        <f>R65-Q65</f>
        <v>250</v>
      </c>
      <c r="AY65" s="1">
        <f>S65-R65</f>
        <v>200</v>
      </c>
      <c r="AZ65" s="1">
        <f>T65-S65</f>
        <v>210</v>
      </c>
      <c r="BA65" s="1">
        <f>U65-T65</f>
        <v>150</v>
      </c>
      <c r="BB65" s="1">
        <f>V65-U65</f>
        <v>180</v>
      </c>
      <c r="BC65" s="1">
        <f>W65-V65</f>
        <v>230</v>
      </c>
      <c r="BD65" s="1">
        <f>X65-W65</f>
        <v>160</v>
      </c>
      <c r="BE65" s="1">
        <f>Y65-X65</f>
        <v>210</v>
      </c>
      <c r="BF65" s="1">
        <f>Z65-Y65</f>
        <v>400</v>
      </c>
    </row>
    <row r="66" spans="1:58">
      <c r="A66" s="1">
        <v>64</v>
      </c>
      <c r="B66" s="1">
        <v>341840</v>
      </c>
      <c r="C66" s="1">
        <v>342030</v>
      </c>
      <c r="D66" s="1">
        <v>342280</v>
      </c>
      <c r="E66" s="1">
        <v>342440</v>
      </c>
      <c r="F66" s="1">
        <v>342640</v>
      </c>
      <c r="G66" s="1">
        <v>342840</v>
      </c>
      <c r="H66" s="1">
        <v>343040</v>
      </c>
      <c r="I66" s="1">
        <v>343250</v>
      </c>
      <c r="J66" s="1">
        <v>343420</v>
      </c>
      <c r="K66" s="1">
        <v>343600</v>
      </c>
      <c r="L66" s="1">
        <v>343730</v>
      </c>
      <c r="M66" s="1">
        <v>343950</v>
      </c>
      <c r="N66" s="1">
        <v>344140</v>
      </c>
      <c r="O66" s="1">
        <v>344310</v>
      </c>
      <c r="P66" s="1">
        <v>344550</v>
      </c>
      <c r="Q66" s="1">
        <v>344780</v>
      </c>
      <c r="R66" s="1">
        <v>344960</v>
      </c>
      <c r="S66" s="1">
        <v>345150</v>
      </c>
      <c r="T66" s="1">
        <v>345300</v>
      </c>
      <c r="U66" s="1">
        <v>345540</v>
      </c>
      <c r="V66" s="1">
        <v>345730</v>
      </c>
      <c r="W66" s="1">
        <v>345960</v>
      </c>
      <c r="X66" s="1">
        <v>346120</v>
      </c>
      <c r="Y66" s="1">
        <v>346330</v>
      </c>
      <c r="Z66" s="1">
        <v>346700</v>
      </c>
      <c r="AA66" s="5">
        <f>AVERAGE(B66:Y66)</f>
        <v>344080.41666666669</v>
      </c>
      <c r="AB66" s="5">
        <f>(AA67-AA65)/2</f>
        <v>4865</v>
      </c>
      <c r="AC66" s="14">
        <f>AB66/(23+AB151)</f>
        <v>195.03647390815135</v>
      </c>
      <c r="AD66" s="5">
        <f>AA66-AA65</f>
        <v>4867.5</v>
      </c>
      <c r="AE66" s="1">
        <f>AD66-AD65</f>
        <v>4.1666666666278616</v>
      </c>
      <c r="AG66" s="5">
        <f>Z66-Y66</f>
        <v>370</v>
      </c>
      <c r="AI66" s="1">
        <f>C66-B66</f>
        <v>190</v>
      </c>
      <c r="AJ66" s="1">
        <f>D66-C66</f>
        <v>250</v>
      </c>
      <c r="AK66" s="1">
        <f>E66-D66</f>
        <v>160</v>
      </c>
      <c r="AL66" s="1">
        <f>F66-E66</f>
        <v>200</v>
      </c>
      <c r="AM66" s="1">
        <f>G66-F66</f>
        <v>200</v>
      </c>
      <c r="AN66" s="1">
        <f>H66-G66</f>
        <v>200</v>
      </c>
      <c r="AO66" s="1">
        <f>I66-H66</f>
        <v>210</v>
      </c>
      <c r="AP66" s="1">
        <f>J66-I66</f>
        <v>170</v>
      </c>
      <c r="AQ66" s="1">
        <f>K66-J66</f>
        <v>180</v>
      </c>
      <c r="AR66" s="1">
        <f>L66-K66</f>
        <v>130</v>
      </c>
      <c r="AS66" s="1">
        <f>M66-L66</f>
        <v>220</v>
      </c>
      <c r="AT66" s="1">
        <f>N66-M66</f>
        <v>190</v>
      </c>
      <c r="AU66" s="1">
        <f>O66-N66</f>
        <v>170</v>
      </c>
      <c r="AV66" s="1">
        <f>P66-O66</f>
        <v>240</v>
      </c>
      <c r="AW66" s="1">
        <f>Q66-P66</f>
        <v>230</v>
      </c>
      <c r="AX66" s="1">
        <f>R66-Q66</f>
        <v>180</v>
      </c>
      <c r="AY66" s="1">
        <f>S66-R66</f>
        <v>190</v>
      </c>
      <c r="AZ66" s="1">
        <f>T66-S66</f>
        <v>150</v>
      </c>
      <c r="BA66" s="1">
        <f>U66-T66</f>
        <v>240</v>
      </c>
      <c r="BB66" s="1">
        <f>V66-U66</f>
        <v>190</v>
      </c>
      <c r="BC66" s="1">
        <f>W66-V66</f>
        <v>230</v>
      </c>
      <c r="BD66" s="1">
        <f>X66-W66</f>
        <v>160</v>
      </c>
      <c r="BE66" s="1">
        <f>Y66-X66</f>
        <v>210</v>
      </c>
      <c r="BF66" s="1">
        <f>Z66-Y66</f>
        <v>370</v>
      </c>
    </row>
    <row r="67" spans="1:58">
      <c r="A67" s="1">
        <v>65</v>
      </c>
      <c r="B67" s="1">
        <v>346700</v>
      </c>
      <c r="C67" s="1">
        <v>346910</v>
      </c>
      <c r="D67" s="1">
        <v>347120</v>
      </c>
      <c r="E67" s="1">
        <v>347300</v>
      </c>
      <c r="F67" s="1">
        <v>347480</v>
      </c>
      <c r="G67" s="1">
        <v>347670</v>
      </c>
      <c r="H67" s="1">
        <v>347870</v>
      </c>
      <c r="I67" s="1">
        <v>348100</v>
      </c>
      <c r="J67" s="1">
        <v>348250</v>
      </c>
      <c r="K67" s="1">
        <v>348420</v>
      </c>
      <c r="L67" s="1">
        <v>348660</v>
      </c>
      <c r="M67" s="1">
        <v>348840</v>
      </c>
      <c r="N67" s="1">
        <v>349030</v>
      </c>
      <c r="O67" s="1">
        <v>349200</v>
      </c>
      <c r="P67" s="1">
        <v>349450</v>
      </c>
      <c r="Q67" s="1">
        <v>349650</v>
      </c>
      <c r="R67" s="1">
        <v>349810</v>
      </c>
      <c r="S67" s="1">
        <v>349960</v>
      </c>
      <c r="T67" s="1">
        <v>350220</v>
      </c>
      <c r="U67" s="1">
        <v>350440</v>
      </c>
      <c r="V67" s="1">
        <v>350620</v>
      </c>
      <c r="W67" s="1">
        <v>350770</v>
      </c>
      <c r="X67" s="1">
        <v>350960</v>
      </c>
      <c r="Y67" s="1">
        <v>351200</v>
      </c>
      <c r="Z67" s="1">
        <v>351560</v>
      </c>
      <c r="AA67" s="5">
        <f>AVERAGE(B67:Y67)</f>
        <v>348942.91666666669</v>
      </c>
      <c r="AB67" s="5">
        <f>(AA68-AA66)/2</f>
        <v>4858.125</v>
      </c>
      <c r="AC67" s="14">
        <f>AB67/(23+AB151)</f>
        <v>194.76085710278269</v>
      </c>
      <c r="AD67" s="5">
        <f>AA67-AA66</f>
        <v>4862.5</v>
      </c>
      <c r="AE67" s="1">
        <f>AD67-AD66</f>
        <v>-5</v>
      </c>
      <c r="AG67" s="5">
        <f>Z67-Y67</f>
        <v>360</v>
      </c>
      <c r="AI67" s="1">
        <f>C67-B67</f>
        <v>210</v>
      </c>
      <c r="AJ67" s="1">
        <f>D67-C67</f>
        <v>210</v>
      </c>
      <c r="AK67" s="1">
        <f>E67-D67</f>
        <v>180</v>
      </c>
      <c r="AL67" s="1">
        <f>F67-E67</f>
        <v>180</v>
      </c>
      <c r="AM67" s="1">
        <f>G67-F67</f>
        <v>190</v>
      </c>
      <c r="AN67" s="1">
        <f>H67-G67</f>
        <v>200</v>
      </c>
      <c r="AO67" s="1">
        <f>I67-H67</f>
        <v>230</v>
      </c>
      <c r="AP67" s="1">
        <f>J67-I67</f>
        <v>150</v>
      </c>
      <c r="AQ67" s="1">
        <f>K67-J67</f>
        <v>170</v>
      </c>
      <c r="AR67" s="1">
        <f>L67-K67</f>
        <v>240</v>
      </c>
      <c r="AS67" s="1">
        <f>M67-L67</f>
        <v>180</v>
      </c>
      <c r="AT67" s="1">
        <f>N67-M67</f>
        <v>190</v>
      </c>
      <c r="AU67" s="1">
        <f>O67-N67</f>
        <v>170</v>
      </c>
      <c r="AV67" s="1">
        <f>P67-O67</f>
        <v>250</v>
      </c>
      <c r="AW67" s="1">
        <f>Q67-P67</f>
        <v>200</v>
      </c>
      <c r="AX67" s="1">
        <f>R67-Q67</f>
        <v>160</v>
      </c>
      <c r="AY67" s="1">
        <f>S67-R67</f>
        <v>150</v>
      </c>
      <c r="AZ67" s="1">
        <f>T67-S67</f>
        <v>260</v>
      </c>
      <c r="BA67" s="1">
        <f>U67-T67</f>
        <v>220</v>
      </c>
      <c r="BB67" s="1">
        <f>V67-U67</f>
        <v>180</v>
      </c>
      <c r="BC67" s="1">
        <f>W67-V67</f>
        <v>150</v>
      </c>
      <c r="BD67" s="1">
        <f>X67-W67</f>
        <v>190</v>
      </c>
      <c r="BE67" s="1">
        <f>Y67-X67</f>
        <v>240</v>
      </c>
      <c r="BF67" s="1">
        <f>Z67-Y67</f>
        <v>360</v>
      </c>
    </row>
    <row r="68" spans="1:58">
      <c r="A68" s="1">
        <v>66</v>
      </c>
      <c r="B68" s="1">
        <v>351560</v>
      </c>
      <c r="C68" s="1">
        <v>351770</v>
      </c>
      <c r="D68" s="1">
        <v>351990</v>
      </c>
      <c r="E68" s="1">
        <v>352160</v>
      </c>
      <c r="F68" s="1">
        <v>352320</v>
      </c>
      <c r="G68" s="1">
        <v>352550</v>
      </c>
      <c r="H68" s="1">
        <v>352710</v>
      </c>
      <c r="I68" s="1">
        <v>352920</v>
      </c>
      <c r="J68" s="1">
        <v>353080</v>
      </c>
      <c r="K68" s="1">
        <v>353300</v>
      </c>
      <c r="L68" s="1">
        <v>353500</v>
      </c>
      <c r="M68" s="1">
        <v>353700</v>
      </c>
      <c r="N68" s="1">
        <v>353860</v>
      </c>
      <c r="O68" s="1">
        <v>354090</v>
      </c>
      <c r="P68" s="1">
        <v>354270</v>
      </c>
      <c r="Q68" s="1">
        <v>354510</v>
      </c>
      <c r="R68" s="1">
        <v>354660</v>
      </c>
      <c r="S68" s="1">
        <v>354870</v>
      </c>
      <c r="T68" s="1">
        <v>355070</v>
      </c>
      <c r="U68" s="1">
        <v>355320</v>
      </c>
      <c r="V68" s="1">
        <v>355460</v>
      </c>
      <c r="W68" s="1">
        <v>355650</v>
      </c>
      <c r="X68" s="1">
        <v>355790</v>
      </c>
      <c r="Y68" s="1">
        <v>356010</v>
      </c>
      <c r="Z68" s="1">
        <v>356450</v>
      </c>
      <c r="AA68" s="5">
        <f>AVERAGE(B68:Y68)</f>
        <v>353796.66666666669</v>
      </c>
      <c r="AB68" s="5">
        <f>(AA69-AA67)/2</f>
        <v>4868.3333333333139</v>
      </c>
      <c r="AC68" s="14">
        <f>AB68/(23+AB151)</f>
        <v>195.17010629863236</v>
      </c>
      <c r="AD68" s="5">
        <f>AA68-AA67</f>
        <v>4853.75</v>
      </c>
      <c r="AE68" s="1">
        <f>AD68-AD67</f>
        <v>-8.75</v>
      </c>
      <c r="AG68" s="5">
        <f>Z68-Y68</f>
        <v>440</v>
      </c>
      <c r="AI68" s="1">
        <f>C68-B68</f>
        <v>210</v>
      </c>
      <c r="AJ68" s="1">
        <f>D68-C68</f>
        <v>220</v>
      </c>
      <c r="AK68" s="1">
        <f>E68-D68</f>
        <v>170</v>
      </c>
      <c r="AL68" s="1">
        <f>F68-E68</f>
        <v>160</v>
      </c>
      <c r="AM68" s="1">
        <f>G68-F68</f>
        <v>230</v>
      </c>
      <c r="AN68" s="1">
        <f>H68-G68</f>
        <v>160</v>
      </c>
      <c r="AO68" s="1">
        <f>I68-H68</f>
        <v>210</v>
      </c>
      <c r="AP68" s="1">
        <f>J68-I68</f>
        <v>160</v>
      </c>
      <c r="AQ68" s="1">
        <f>K68-J68</f>
        <v>220</v>
      </c>
      <c r="AR68" s="1">
        <f>L68-K68</f>
        <v>200</v>
      </c>
      <c r="AS68" s="1">
        <f>M68-L68</f>
        <v>200</v>
      </c>
      <c r="AT68" s="1">
        <f>N68-M68</f>
        <v>160</v>
      </c>
      <c r="AU68" s="1">
        <f>O68-N68</f>
        <v>230</v>
      </c>
      <c r="AV68" s="1">
        <f>P68-O68</f>
        <v>180</v>
      </c>
      <c r="AW68" s="1">
        <f>Q68-P68</f>
        <v>240</v>
      </c>
      <c r="AX68" s="1">
        <f>R68-Q68</f>
        <v>150</v>
      </c>
      <c r="AY68" s="1">
        <f>S68-R68</f>
        <v>210</v>
      </c>
      <c r="AZ68" s="1">
        <f>T68-S68</f>
        <v>200</v>
      </c>
      <c r="BA68" s="1">
        <f>U68-T68</f>
        <v>250</v>
      </c>
      <c r="BB68" s="1">
        <f>V68-U68</f>
        <v>140</v>
      </c>
      <c r="BC68" s="1">
        <f>W68-V68</f>
        <v>190</v>
      </c>
      <c r="BD68" s="1">
        <f>X68-W68</f>
        <v>140</v>
      </c>
      <c r="BE68" s="1">
        <f>Y68-X68</f>
        <v>220</v>
      </c>
      <c r="BF68" s="1">
        <f>Z68-Y68</f>
        <v>440</v>
      </c>
    </row>
    <row r="69" spans="1:58">
      <c r="A69" s="1">
        <v>67</v>
      </c>
      <c r="B69" s="1">
        <v>356450</v>
      </c>
      <c r="C69" s="1">
        <v>356680</v>
      </c>
      <c r="D69" s="1">
        <v>356800</v>
      </c>
      <c r="E69" s="1">
        <v>357020</v>
      </c>
      <c r="F69" s="1">
        <v>357240</v>
      </c>
      <c r="G69" s="1">
        <v>357390</v>
      </c>
      <c r="H69" s="1">
        <v>357620</v>
      </c>
      <c r="I69" s="1">
        <v>357790</v>
      </c>
      <c r="J69" s="1">
        <v>357980</v>
      </c>
      <c r="K69" s="1">
        <v>358200</v>
      </c>
      <c r="L69" s="1">
        <v>358380</v>
      </c>
      <c r="M69" s="1">
        <v>358630</v>
      </c>
      <c r="N69" s="1">
        <v>358790</v>
      </c>
      <c r="O69" s="1">
        <v>358980</v>
      </c>
      <c r="P69" s="1">
        <v>359160</v>
      </c>
      <c r="Q69" s="1">
        <v>359310</v>
      </c>
      <c r="R69" s="1">
        <v>359540</v>
      </c>
      <c r="S69" s="1">
        <v>359770</v>
      </c>
      <c r="T69" s="1">
        <v>359970</v>
      </c>
      <c r="U69" s="1">
        <v>360120</v>
      </c>
      <c r="V69" s="1">
        <v>360340</v>
      </c>
      <c r="W69" s="1">
        <v>360520</v>
      </c>
      <c r="X69" s="1">
        <v>360700</v>
      </c>
      <c r="Y69" s="1">
        <v>360930</v>
      </c>
      <c r="Z69" s="1">
        <v>361310</v>
      </c>
      <c r="AA69" s="5">
        <f>AVERAGE(B69:Y69)</f>
        <v>358679.58333333331</v>
      </c>
      <c r="AB69" s="5">
        <f>(AA70-AA68)/2</f>
        <v>4873.9583333333139</v>
      </c>
      <c r="AC69" s="14">
        <f>AB69/(23+AB151)</f>
        <v>195.39561095757037</v>
      </c>
      <c r="AD69" s="5">
        <f>AA69-AA68</f>
        <v>4882.9166666666279</v>
      </c>
      <c r="AE69" s="1">
        <f>AD69-AD68</f>
        <v>29.166666666627862</v>
      </c>
      <c r="AG69" s="5">
        <f>Z69-Y69</f>
        <v>380</v>
      </c>
      <c r="AI69" s="1">
        <f>C69-B69</f>
        <v>230</v>
      </c>
      <c r="AJ69" s="1">
        <f>D69-C69</f>
        <v>120</v>
      </c>
      <c r="AK69" s="1">
        <f>E69-D69</f>
        <v>220</v>
      </c>
      <c r="AL69" s="1">
        <f>F69-E69</f>
        <v>220</v>
      </c>
      <c r="AM69" s="1">
        <f>G69-F69</f>
        <v>150</v>
      </c>
      <c r="AN69" s="1">
        <f>H69-G69</f>
        <v>230</v>
      </c>
      <c r="AO69" s="1">
        <f>I69-H69</f>
        <v>170</v>
      </c>
      <c r="AP69" s="1">
        <f>J69-I69</f>
        <v>190</v>
      </c>
      <c r="AQ69" s="1">
        <f>K69-J69</f>
        <v>220</v>
      </c>
      <c r="AR69" s="1">
        <f>L69-K69</f>
        <v>180</v>
      </c>
      <c r="AS69" s="1">
        <f>M69-L69</f>
        <v>250</v>
      </c>
      <c r="AT69" s="1">
        <f>N69-M69</f>
        <v>160</v>
      </c>
      <c r="AU69" s="1">
        <f>O69-N69</f>
        <v>190</v>
      </c>
      <c r="AV69" s="1">
        <f>P69-O69</f>
        <v>180</v>
      </c>
      <c r="AW69" s="1">
        <f>Q69-P69</f>
        <v>150</v>
      </c>
      <c r="AX69" s="1">
        <f>R69-Q69</f>
        <v>230</v>
      </c>
      <c r="AY69" s="1">
        <f>S69-R69</f>
        <v>230</v>
      </c>
      <c r="AZ69" s="1">
        <f>T69-S69</f>
        <v>200</v>
      </c>
      <c r="BA69" s="1">
        <f>U69-T69</f>
        <v>150</v>
      </c>
      <c r="BB69" s="1">
        <f>V69-U69</f>
        <v>220</v>
      </c>
      <c r="BC69" s="1">
        <f>W69-V69</f>
        <v>180</v>
      </c>
      <c r="BD69" s="1">
        <f>X69-W69</f>
        <v>180</v>
      </c>
      <c r="BE69" s="1">
        <f>Y69-X69</f>
        <v>230</v>
      </c>
      <c r="BF69" s="1">
        <f>Z69-Y69</f>
        <v>380</v>
      </c>
    </row>
    <row r="70" spans="1:58">
      <c r="A70" s="1">
        <v>68</v>
      </c>
      <c r="B70" s="1">
        <v>361310</v>
      </c>
      <c r="C70" s="1">
        <v>361560</v>
      </c>
      <c r="D70" s="1">
        <v>361670</v>
      </c>
      <c r="E70" s="1">
        <v>361900</v>
      </c>
      <c r="F70" s="1">
        <v>362120</v>
      </c>
      <c r="G70" s="1">
        <v>362300</v>
      </c>
      <c r="H70" s="1">
        <v>362460</v>
      </c>
      <c r="I70" s="1">
        <v>362670</v>
      </c>
      <c r="J70" s="1">
        <v>362870</v>
      </c>
      <c r="K70" s="1">
        <v>363020</v>
      </c>
      <c r="L70" s="1">
        <v>363210</v>
      </c>
      <c r="M70" s="1">
        <v>363470</v>
      </c>
      <c r="N70" s="1">
        <v>363600</v>
      </c>
      <c r="O70" s="1">
        <v>363790</v>
      </c>
      <c r="P70" s="1">
        <v>364000</v>
      </c>
      <c r="Q70" s="1">
        <v>364220</v>
      </c>
      <c r="R70" s="1">
        <v>364430</v>
      </c>
      <c r="S70" s="1">
        <v>364680</v>
      </c>
      <c r="T70" s="1">
        <v>364860</v>
      </c>
      <c r="U70" s="1">
        <v>365040</v>
      </c>
      <c r="V70" s="1">
        <v>365180</v>
      </c>
      <c r="W70" s="1">
        <v>365360</v>
      </c>
      <c r="X70" s="1">
        <v>365550</v>
      </c>
      <c r="Y70" s="1">
        <v>365800</v>
      </c>
      <c r="Z70" s="1">
        <v>366150</v>
      </c>
      <c r="AA70" s="5">
        <f>AVERAGE(B70:Y70)</f>
        <v>363544.58333333331</v>
      </c>
      <c r="AB70" s="5">
        <f>(AA71-AA69)/2</f>
        <v>4860.4166666666861</v>
      </c>
      <c r="AC70" s="14">
        <f>AB70/(23+AB151)</f>
        <v>194.85272937123969</v>
      </c>
      <c r="AD70" s="5">
        <f>AA70-AA69</f>
        <v>4865</v>
      </c>
      <c r="AE70" s="1">
        <f>AD70-AD69</f>
        <v>-17.916666666627862</v>
      </c>
      <c r="AG70" s="5">
        <f>Z70-Y70</f>
        <v>350</v>
      </c>
      <c r="AI70" s="1">
        <f>C70-B70</f>
        <v>250</v>
      </c>
      <c r="AJ70" s="1">
        <f>D70-C70</f>
        <v>110</v>
      </c>
      <c r="AK70" s="1">
        <f>E70-D70</f>
        <v>230</v>
      </c>
      <c r="AL70" s="1">
        <f>F70-E70</f>
        <v>220</v>
      </c>
      <c r="AM70" s="1">
        <f>G70-F70</f>
        <v>180</v>
      </c>
      <c r="AN70" s="1">
        <f>H70-G70</f>
        <v>160</v>
      </c>
      <c r="AO70" s="1">
        <f>I70-H70</f>
        <v>210</v>
      </c>
      <c r="AP70" s="1">
        <f>J70-I70</f>
        <v>200</v>
      </c>
      <c r="AQ70" s="1">
        <f>K70-J70</f>
        <v>150</v>
      </c>
      <c r="AR70" s="1">
        <f>L70-K70</f>
        <v>190</v>
      </c>
      <c r="AS70" s="1">
        <f>M70-L70</f>
        <v>260</v>
      </c>
      <c r="AT70" s="1">
        <f>N70-M70</f>
        <v>130</v>
      </c>
      <c r="AU70" s="1">
        <f>O70-N70</f>
        <v>190</v>
      </c>
      <c r="AV70" s="1">
        <f>P70-O70</f>
        <v>210</v>
      </c>
      <c r="AW70" s="1">
        <f>Q70-P70</f>
        <v>220</v>
      </c>
      <c r="AX70" s="1">
        <f>R70-Q70</f>
        <v>210</v>
      </c>
      <c r="AY70" s="1">
        <f>S70-R70</f>
        <v>250</v>
      </c>
      <c r="AZ70" s="1">
        <f>T70-S70</f>
        <v>180</v>
      </c>
      <c r="BA70" s="1">
        <f>U70-T70</f>
        <v>180</v>
      </c>
      <c r="BB70" s="1">
        <f>V70-U70</f>
        <v>140</v>
      </c>
      <c r="BC70" s="1">
        <f>W70-V70</f>
        <v>180</v>
      </c>
      <c r="BD70" s="1">
        <f>X70-W70</f>
        <v>190</v>
      </c>
      <c r="BE70" s="1">
        <f>Y70-X70</f>
        <v>250</v>
      </c>
      <c r="BF70" s="1">
        <f>Z70-Y70</f>
        <v>350</v>
      </c>
    </row>
    <row r="71" spans="1:58">
      <c r="A71" s="1">
        <v>69</v>
      </c>
      <c r="B71" s="1">
        <v>366150</v>
      </c>
      <c r="C71" s="1">
        <v>366340</v>
      </c>
      <c r="D71" s="1">
        <v>366550</v>
      </c>
      <c r="E71" s="1">
        <v>366720</v>
      </c>
      <c r="F71" s="1">
        <v>366990</v>
      </c>
      <c r="G71" s="1">
        <v>367180</v>
      </c>
      <c r="H71" s="1">
        <v>367350</v>
      </c>
      <c r="I71" s="1">
        <v>367570</v>
      </c>
      <c r="J71" s="1">
        <v>367710</v>
      </c>
      <c r="K71" s="1">
        <v>367900</v>
      </c>
      <c r="L71" s="1">
        <v>368120</v>
      </c>
      <c r="M71" s="1">
        <v>368310</v>
      </c>
      <c r="N71" s="1">
        <v>368480</v>
      </c>
      <c r="O71" s="1">
        <v>368650</v>
      </c>
      <c r="P71" s="1">
        <v>368840</v>
      </c>
      <c r="Q71" s="1">
        <v>369080</v>
      </c>
      <c r="R71" s="1">
        <v>369240</v>
      </c>
      <c r="S71" s="1">
        <v>369440</v>
      </c>
      <c r="T71" s="1">
        <v>369690</v>
      </c>
      <c r="U71" s="1">
        <v>369860</v>
      </c>
      <c r="V71" s="1">
        <v>370070</v>
      </c>
      <c r="W71" s="1">
        <v>370260</v>
      </c>
      <c r="X71" s="1">
        <v>370430</v>
      </c>
      <c r="Y71" s="1">
        <v>370680</v>
      </c>
      <c r="Z71" s="1">
        <v>371060</v>
      </c>
      <c r="AA71" s="5">
        <f>AVERAGE(B71:Y71)</f>
        <v>368400.41666666669</v>
      </c>
      <c r="AB71" s="5">
        <f>(AA72-AA70)/2</f>
        <v>4861.458333333343</v>
      </c>
      <c r="AC71" s="14">
        <f>AB71/(23+AB151)</f>
        <v>194.89448949326487</v>
      </c>
      <c r="AD71" s="5">
        <f>AA71-AA70</f>
        <v>4855.8333333333721</v>
      </c>
      <c r="AE71" s="1">
        <f>AD71-AD70</f>
        <v>-9.1666666666278616</v>
      </c>
      <c r="AG71" s="5">
        <f>Z71-Y71</f>
        <v>380</v>
      </c>
      <c r="AI71" s="1">
        <f>C71-B71</f>
        <v>190</v>
      </c>
      <c r="AJ71" s="1">
        <f>D71-C71</f>
        <v>210</v>
      </c>
      <c r="AK71" s="1">
        <f>E71-D71</f>
        <v>170</v>
      </c>
      <c r="AL71" s="1">
        <f>F71-E71</f>
        <v>270</v>
      </c>
      <c r="AM71" s="1">
        <f>G71-F71</f>
        <v>190</v>
      </c>
      <c r="AN71" s="1">
        <f>H71-G71</f>
        <v>170</v>
      </c>
      <c r="AO71" s="1">
        <f>I71-H71</f>
        <v>220</v>
      </c>
      <c r="AP71" s="1">
        <f>J71-I71</f>
        <v>140</v>
      </c>
      <c r="AQ71" s="1">
        <f>K71-J71</f>
        <v>190</v>
      </c>
      <c r="AR71" s="1">
        <f>L71-K71</f>
        <v>220</v>
      </c>
      <c r="AS71" s="1">
        <f>M71-L71</f>
        <v>190</v>
      </c>
      <c r="AT71" s="1">
        <f>N71-M71</f>
        <v>170</v>
      </c>
      <c r="AU71" s="1">
        <f>O71-N71</f>
        <v>170</v>
      </c>
      <c r="AV71" s="1">
        <f>P71-O71</f>
        <v>190</v>
      </c>
      <c r="AW71" s="1">
        <f>Q71-P71</f>
        <v>240</v>
      </c>
      <c r="AX71" s="1">
        <f>R71-Q71</f>
        <v>160</v>
      </c>
      <c r="AY71" s="1">
        <f>S71-R71</f>
        <v>200</v>
      </c>
      <c r="AZ71" s="1">
        <f>T71-S71</f>
        <v>250</v>
      </c>
      <c r="BA71" s="1">
        <f>U71-T71</f>
        <v>170</v>
      </c>
      <c r="BB71" s="1">
        <f>V71-U71</f>
        <v>210</v>
      </c>
      <c r="BC71" s="1">
        <f>W71-V71</f>
        <v>190</v>
      </c>
      <c r="BD71" s="1">
        <f>X71-W71</f>
        <v>170</v>
      </c>
      <c r="BE71" s="1">
        <f>Y71-X71</f>
        <v>250</v>
      </c>
      <c r="BF71" s="1">
        <f>Z71-Y71</f>
        <v>380</v>
      </c>
    </row>
    <row r="72" spans="1:58">
      <c r="A72" s="1">
        <v>70</v>
      </c>
      <c r="B72" s="1">
        <v>371060</v>
      </c>
      <c r="C72" s="1">
        <v>371220</v>
      </c>
      <c r="D72" s="1">
        <v>371430</v>
      </c>
      <c r="E72" s="1">
        <v>371630</v>
      </c>
      <c r="F72" s="1">
        <v>371820</v>
      </c>
      <c r="G72" s="1">
        <v>372010</v>
      </c>
      <c r="H72" s="1">
        <v>372170</v>
      </c>
      <c r="I72" s="1">
        <v>372400</v>
      </c>
      <c r="J72" s="1">
        <v>372560</v>
      </c>
      <c r="K72" s="1">
        <v>372790</v>
      </c>
      <c r="L72" s="1">
        <v>372980</v>
      </c>
      <c r="M72" s="1">
        <v>373170</v>
      </c>
      <c r="N72" s="1">
        <v>373370</v>
      </c>
      <c r="O72" s="1">
        <v>373550</v>
      </c>
      <c r="P72" s="1">
        <v>373740</v>
      </c>
      <c r="Q72" s="1">
        <v>373960</v>
      </c>
      <c r="R72" s="1">
        <v>374150</v>
      </c>
      <c r="S72" s="1">
        <v>374360</v>
      </c>
      <c r="T72" s="1">
        <v>374520</v>
      </c>
      <c r="U72" s="1">
        <v>374700</v>
      </c>
      <c r="V72" s="1">
        <v>374920</v>
      </c>
      <c r="W72" s="1">
        <v>375140</v>
      </c>
      <c r="X72" s="1">
        <v>375290</v>
      </c>
      <c r="Y72" s="1">
        <v>375480</v>
      </c>
      <c r="Z72" s="1">
        <v>375880</v>
      </c>
      <c r="AA72" s="5">
        <f>AVERAGE(B72:Y72)</f>
        <v>373267.5</v>
      </c>
      <c r="AB72" s="5">
        <f>(AA73-AA71)/2</f>
        <v>4861.666666666657</v>
      </c>
      <c r="AC72" s="14">
        <f>AB72/(23+AB151)</f>
        <v>194.9028415176692</v>
      </c>
      <c r="AD72" s="5">
        <f>AA72-AA71</f>
        <v>4867.0833333333139</v>
      </c>
      <c r="AE72" s="1">
        <f>AD72-AD71</f>
        <v>11.249999999941792</v>
      </c>
      <c r="AG72" s="5">
        <f>Z72-Y72</f>
        <v>400</v>
      </c>
      <c r="AI72" s="1">
        <f>C72-B72</f>
        <v>160</v>
      </c>
      <c r="AJ72" s="1">
        <f>D72-C72</f>
        <v>210</v>
      </c>
      <c r="AK72" s="1">
        <f>E72-D72</f>
        <v>200</v>
      </c>
      <c r="AL72" s="1">
        <f>F72-E72</f>
        <v>190</v>
      </c>
      <c r="AM72" s="1">
        <f>G72-F72</f>
        <v>190</v>
      </c>
      <c r="AN72" s="1">
        <f>H72-G72</f>
        <v>160</v>
      </c>
      <c r="AO72" s="1">
        <f>I72-H72</f>
        <v>230</v>
      </c>
      <c r="AP72" s="1">
        <f>J72-I72</f>
        <v>160</v>
      </c>
      <c r="AQ72" s="1">
        <f>K72-J72</f>
        <v>230</v>
      </c>
      <c r="AR72" s="1">
        <f>L72-K72</f>
        <v>190</v>
      </c>
      <c r="AS72" s="1">
        <f>M72-L72</f>
        <v>190</v>
      </c>
      <c r="AT72" s="1">
        <f>N72-M72</f>
        <v>200</v>
      </c>
      <c r="AU72" s="1">
        <f>O72-N72</f>
        <v>180</v>
      </c>
      <c r="AV72" s="1">
        <f>P72-O72</f>
        <v>190</v>
      </c>
      <c r="AW72" s="1">
        <f>Q72-P72</f>
        <v>220</v>
      </c>
      <c r="AX72" s="1">
        <f>R72-Q72</f>
        <v>190</v>
      </c>
      <c r="AY72" s="1">
        <f>S72-R72</f>
        <v>210</v>
      </c>
      <c r="AZ72" s="1">
        <f>T72-S72</f>
        <v>160</v>
      </c>
      <c r="BA72" s="1">
        <f>U72-T72</f>
        <v>180</v>
      </c>
      <c r="BB72" s="1">
        <f>V72-U72</f>
        <v>220</v>
      </c>
      <c r="BC72" s="1">
        <f>W72-V72</f>
        <v>220</v>
      </c>
      <c r="BD72" s="1">
        <f>X72-W72</f>
        <v>150</v>
      </c>
      <c r="BE72" s="1">
        <f>Y72-X72</f>
        <v>190</v>
      </c>
      <c r="BF72" s="1">
        <f>Z72-Y72</f>
        <v>400</v>
      </c>
    </row>
    <row r="73" spans="1:58">
      <c r="A73" s="1">
        <v>71</v>
      </c>
      <c r="B73" s="1">
        <v>375880</v>
      </c>
      <c r="C73" s="1">
        <v>376070</v>
      </c>
      <c r="D73" s="1">
        <v>376320</v>
      </c>
      <c r="E73" s="1">
        <v>376520</v>
      </c>
      <c r="F73" s="1">
        <v>376730</v>
      </c>
      <c r="G73" s="1">
        <v>376880</v>
      </c>
      <c r="H73" s="1">
        <v>377050</v>
      </c>
      <c r="I73" s="1">
        <v>377230</v>
      </c>
      <c r="J73" s="1">
        <v>377440</v>
      </c>
      <c r="K73" s="1">
        <v>377610</v>
      </c>
      <c r="L73" s="1">
        <v>377820</v>
      </c>
      <c r="M73" s="1">
        <v>378010</v>
      </c>
      <c r="N73" s="1">
        <v>378190</v>
      </c>
      <c r="O73" s="1">
        <v>378440</v>
      </c>
      <c r="P73" s="1">
        <v>378600</v>
      </c>
      <c r="Q73" s="1">
        <v>378800</v>
      </c>
      <c r="R73" s="1">
        <v>379020</v>
      </c>
      <c r="S73" s="1">
        <v>379200</v>
      </c>
      <c r="T73" s="1">
        <v>379350</v>
      </c>
      <c r="U73" s="1">
        <v>379560</v>
      </c>
      <c r="V73" s="1">
        <v>379760</v>
      </c>
      <c r="W73" s="1">
        <v>379960</v>
      </c>
      <c r="X73" s="1">
        <v>380160</v>
      </c>
      <c r="Y73" s="1">
        <v>380370</v>
      </c>
      <c r="Z73" s="1">
        <v>380730</v>
      </c>
      <c r="AA73" s="5">
        <f>AVERAGE(B73:Y73)</f>
        <v>378123.75</v>
      </c>
      <c r="AB73" s="5">
        <f>(AA74-AA72)/2</f>
        <v>4852.416666666657</v>
      </c>
      <c r="AC73" s="14">
        <f>AB73/(23+AB151)</f>
        <v>194.53201163408227</v>
      </c>
      <c r="AD73" s="5">
        <f>AA73-AA72</f>
        <v>4856.25</v>
      </c>
      <c r="AE73" s="1">
        <f>AD73-AD72</f>
        <v>-10.833333333313931</v>
      </c>
      <c r="AG73" s="5">
        <f>Z73-Y73</f>
        <v>360</v>
      </c>
      <c r="AI73" s="1">
        <f>C73-B73</f>
        <v>190</v>
      </c>
      <c r="AJ73" s="1">
        <f>D73-C73</f>
        <v>250</v>
      </c>
      <c r="AK73" s="1">
        <f>E73-D73</f>
        <v>200</v>
      </c>
      <c r="AL73" s="1">
        <f>F73-E73</f>
        <v>210</v>
      </c>
      <c r="AM73" s="1">
        <f>G73-F73</f>
        <v>150</v>
      </c>
      <c r="AN73" s="1">
        <f>H73-G73</f>
        <v>170</v>
      </c>
      <c r="AO73" s="1">
        <f>I73-H73</f>
        <v>180</v>
      </c>
      <c r="AP73" s="1">
        <f>J73-I73</f>
        <v>210</v>
      </c>
      <c r="AQ73" s="1">
        <f>K73-J73</f>
        <v>170</v>
      </c>
      <c r="AR73" s="1">
        <f>L73-K73</f>
        <v>210</v>
      </c>
      <c r="AS73" s="1">
        <f>M73-L73</f>
        <v>190</v>
      </c>
      <c r="AT73" s="1">
        <f>N73-M73</f>
        <v>180</v>
      </c>
      <c r="AU73" s="1">
        <f>O73-N73</f>
        <v>250</v>
      </c>
      <c r="AV73" s="1">
        <f>P73-O73</f>
        <v>160</v>
      </c>
      <c r="AW73" s="1">
        <f>Q73-P73</f>
        <v>200</v>
      </c>
      <c r="AX73" s="1">
        <f>R73-Q73</f>
        <v>220</v>
      </c>
      <c r="AY73" s="1">
        <f>S73-R73</f>
        <v>180</v>
      </c>
      <c r="AZ73" s="1">
        <f>T73-S73</f>
        <v>150</v>
      </c>
      <c r="BA73" s="1">
        <f>U73-T73</f>
        <v>210</v>
      </c>
      <c r="BB73" s="1">
        <f>V73-U73</f>
        <v>200</v>
      </c>
      <c r="BC73" s="1">
        <f>W73-V73</f>
        <v>200</v>
      </c>
      <c r="BD73" s="1">
        <f>X73-W73</f>
        <v>200</v>
      </c>
      <c r="BE73" s="1">
        <f>Y73-X73</f>
        <v>210</v>
      </c>
      <c r="BF73" s="1">
        <f>Z73-Y73</f>
        <v>360</v>
      </c>
    </row>
    <row r="74" spans="1:58">
      <c r="A74" s="1">
        <v>72</v>
      </c>
      <c r="B74" s="1">
        <v>380730</v>
      </c>
      <c r="C74" s="1">
        <v>380940</v>
      </c>
      <c r="D74" s="1">
        <v>381140</v>
      </c>
      <c r="E74" s="1">
        <v>381310</v>
      </c>
      <c r="F74" s="1">
        <v>381520</v>
      </c>
      <c r="G74" s="1">
        <v>381760</v>
      </c>
      <c r="H74" s="1">
        <v>381890</v>
      </c>
      <c r="I74" s="1">
        <v>382086</v>
      </c>
      <c r="J74" s="1">
        <v>382280</v>
      </c>
      <c r="K74" s="1">
        <v>382510</v>
      </c>
      <c r="L74" s="1">
        <v>382700</v>
      </c>
      <c r="M74" s="1">
        <v>382870</v>
      </c>
      <c r="N74" s="1">
        <v>383070</v>
      </c>
      <c r="O74" s="1">
        <v>383270</v>
      </c>
      <c r="P74" s="1">
        <v>383440</v>
      </c>
      <c r="Q74" s="1">
        <v>383680</v>
      </c>
      <c r="R74" s="1">
        <v>383830</v>
      </c>
      <c r="S74" s="1">
        <v>384030</v>
      </c>
      <c r="T74" s="1">
        <v>384240</v>
      </c>
      <c r="U74" s="1">
        <v>384450</v>
      </c>
      <c r="V74" s="1">
        <v>384580</v>
      </c>
      <c r="W74" s="1">
        <v>384770</v>
      </c>
      <c r="X74" s="1">
        <v>385020</v>
      </c>
      <c r="Y74" s="1">
        <v>385220</v>
      </c>
      <c r="Z74" s="1">
        <v>385580</v>
      </c>
      <c r="AA74" s="5">
        <f>AVERAGE(B74:Y74)</f>
        <v>382972.33333333331</v>
      </c>
      <c r="AB74" s="5">
        <f>(AA75-AA73)/2</f>
        <v>4843.958333333343</v>
      </c>
      <c r="AC74" s="14">
        <f>AB74/(23+AB151)</f>
        <v>194.19291944323555</v>
      </c>
      <c r="AD74" s="5">
        <f>AA74-AA73</f>
        <v>4848.5833333333139</v>
      </c>
      <c r="AE74" s="1">
        <f>AD74-AD73</f>
        <v>-7.6666666666860692</v>
      </c>
      <c r="AG74" s="5">
        <f>Z74-Y74</f>
        <v>360</v>
      </c>
      <c r="AI74" s="1">
        <f>C74-B74</f>
        <v>210</v>
      </c>
      <c r="AJ74" s="1">
        <f>D74-C74</f>
        <v>200</v>
      </c>
      <c r="AK74" s="1">
        <f>E74-D74</f>
        <v>170</v>
      </c>
      <c r="AL74" s="1">
        <f>F74-E74</f>
        <v>210</v>
      </c>
      <c r="AM74" s="1">
        <f>G74-F74</f>
        <v>240</v>
      </c>
      <c r="AN74" s="1">
        <f>H74-G74</f>
        <v>130</v>
      </c>
      <c r="AO74" s="1">
        <f>I74-H74</f>
        <v>196</v>
      </c>
      <c r="AP74" s="1">
        <f>J74-I74</f>
        <v>194</v>
      </c>
      <c r="AQ74" s="1">
        <f>K74-J74</f>
        <v>230</v>
      </c>
      <c r="AR74" s="1">
        <f>L74-K74</f>
        <v>190</v>
      </c>
      <c r="AS74" s="1">
        <f>M74-L74</f>
        <v>170</v>
      </c>
      <c r="AT74" s="1">
        <f>N74-M74</f>
        <v>200</v>
      </c>
      <c r="AU74" s="1">
        <f>O74-N74</f>
        <v>200</v>
      </c>
      <c r="AV74" s="1">
        <f>P74-O74</f>
        <v>170</v>
      </c>
      <c r="AW74" s="1">
        <f>Q74-P74</f>
        <v>240</v>
      </c>
      <c r="AX74" s="1">
        <f>R74-Q74</f>
        <v>150</v>
      </c>
      <c r="AY74" s="1">
        <f>S74-R74</f>
        <v>200</v>
      </c>
      <c r="AZ74" s="1">
        <f>T74-S74</f>
        <v>210</v>
      </c>
      <c r="BA74" s="1">
        <f>U74-T74</f>
        <v>210</v>
      </c>
      <c r="BB74" s="1">
        <f>V74-U74</f>
        <v>130</v>
      </c>
      <c r="BC74" s="1">
        <f>W74-V74</f>
        <v>190</v>
      </c>
      <c r="BD74" s="1">
        <f>X74-W74</f>
        <v>250</v>
      </c>
      <c r="BE74" s="1">
        <f>Y74-X74</f>
        <v>200</v>
      </c>
      <c r="BF74" s="1">
        <f>Z74-Y74</f>
        <v>360</v>
      </c>
    </row>
    <row r="75" spans="1:58">
      <c r="A75" s="1">
        <v>73</v>
      </c>
      <c r="B75" s="1">
        <v>385580</v>
      </c>
      <c r="C75" s="1">
        <v>385800</v>
      </c>
      <c r="D75" s="1">
        <v>386000</v>
      </c>
      <c r="E75" s="1">
        <v>386170</v>
      </c>
      <c r="F75" s="1">
        <v>386330</v>
      </c>
      <c r="G75" s="1">
        <v>386520</v>
      </c>
      <c r="H75" s="1">
        <v>386760</v>
      </c>
      <c r="I75" s="1">
        <v>386960</v>
      </c>
      <c r="J75" s="1">
        <v>387140</v>
      </c>
      <c r="K75" s="1">
        <v>387300</v>
      </c>
      <c r="L75" s="1">
        <v>387530</v>
      </c>
      <c r="M75" s="1">
        <v>387710</v>
      </c>
      <c r="N75" s="1">
        <v>387920</v>
      </c>
      <c r="O75" s="1">
        <v>388110</v>
      </c>
      <c r="P75" s="1">
        <v>388270</v>
      </c>
      <c r="Q75" s="1">
        <v>388480</v>
      </c>
      <c r="R75" s="1">
        <v>388690</v>
      </c>
      <c r="S75" s="1">
        <v>388890</v>
      </c>
      <c r="T75" s="1">
        <v>389100</v>
      </c>
      <c r="U75" s="1">
        <v>389280</v>
      </c>
      <c r="V75" s="1">
        <v>389420</v>
      </c>
      <c r="W75" s="1">
        <v>389620</v>
      </c>
      <c r="X75" s="1">
        <v>389850</v>
      </c>
      <c r="Y75" s="1">
        <v>390050</v>
      </c>
      <c r="Z75" s="1">
        <v>390450</v>
      </c>
      <c r="AA75" s="5">
        <f>AVERAGE(B75:Y75)</f>
        <v>387811.66666666669</v>
      </c>
      <c r="AB75" s="5">
        <f>(AA76-AA74)/2</f>
        <v>4836.75</v>
      </c>
      <c r="AC75" s="14">
        <f>AB75/(23+AB151)</f>
        <v>193.90393939881832</v>
      </c>
      <c r="AD75" s="5">
        <f>AA75-AA74</f>
        <v>4839.3333333333721</v>
      </c>
      <c r="AE75" s="1">
        <f>AD75-AD74</f>
        <v>-9.2499999999417923</v>
      </c>
      <c r="AG75" s="5">
        <f>Z75-Y75</f>
        <v>400</v>
      </c>
      <c r="AI75" s="1">
        <f>C75-B75</f>
        <v>220</v>
      </c>
      <c r="AJ75" s="1">
        <f>D75-C75</f>
        <v>200</v>
      </c>
      <c r="AK75" s="1">
        <f>E75-D75</f>
        <v>170</v>
      </c>
      <c r="AL75" s="1">
        <f>F75-E75</f>
        <v>160</v>
      </c>
      <c r="AM75" s="1">
        <f>G75-F75</f>
        <v>190</v>
      </c>
      <c r="AN75" s="1">
        <f>H75-G75</f>
        <v>240</v>
      </c>
      <c r="AO75" s="1">
        <f>I75-H75</f>
        <v>200</v>
      </c>
      <c r="AP75" s="1">
        <f>J75-I75</f>
        <v>180</v>
      </c>
      <c r="AQ75" s="1">
        <f>K75-J75</f>
        <v>160</v>
      </c>
      <c r="AR75" s="1">
        <f>L75-K75</f>
        <v>230</v>
      </c>
      <c r="AS75" s="1">
        <f>M75-L75</f>
        <v>180</v>
      </c>
      <c r="AT75" s="1">
        <f>N75-M75</f>
        <v>210</v>
      </c>
      <c r="AU75" s="1">
        <f>O75-N75</f>
        <v>190</v>
      </c>
      <c r="AV75" s="1">
        <f>P75-O75</f>
        <v>160</v>
      </c>
      <c r="AW75" s="1">
        <f>Q75-P75</f>
        <v>210</v>
      </c>
      <c r="AX75" s="1">
        <f>R75-Q75</f>
        <v>210</v>
      </c>
      <c r="AY75" s="1">
        <f>S75-R75</f>
        <v>200</v>
      </c>
      <c r="AZ75" s="1">
        <f>T75-S75</f>
        <v>210</v>
      </c>
      <c r="BA75" s="1">
        <f>U75-T75</f>
        <v>180</v>
      </c>
      <c r="BB75" s="1">
        <f>V75-U75</f>
        <v>140</v>
      </c>
      <c r="BC75" s="1">
        <f>W75-V75</f>
        <v>200</v>
      </c>
      <c r="BD75" s="1">
        <f>X75-W75</f>
        <v>230</v>
      </c>
      <c r="BE75" s="1">
        <f>Y75-X75</f>
        <v>200</v>
      </c>
      <c r="BF75" s="1">
        <f>Z75-Y75</f>
        <v>400</v>
      </c>
    </row>
    <row r="76" spans="1:58">
      <c r="A76" s="1">
        <v>74</v>
      </c>
      <c r="B76" s="1">
        <v>390450</v>
      </c>
      <c r="C76" s="1">
        <v>390660</v>
      </c>
      <c r="D76" s="1">
        <v>390780</v>
      </c>
      <c r="E76" s="1">
        <v>390980</v>
      </c>
      <c r="F76" s="1">
        <v>391190</v>
      </c>
      <c r="G76" s="1">
        <v>391380</v>
      </c>
      <c r="H76" s="1">
        <v>391640</v>
      </c>
      <c r="I76" s="1">
        <v>391810</v>
      </c>
      <c r="J76" s="1">
        <v>391960</v>
      </c>
      <c r="K76" s="1">
        <v>392150</v>
      </c>
      <c r="L76" s="1">
        <v>392340</v>
      </c>
      <c r="M76" s="1">
        <v>392520</v>
      </c>
      <c r="N76" s="1">
        <v>392760</v>
      </c>
      <c r="O76" s="1">
        <v>392900</v>
      </c>
      <c r="P76" s="1">
        <v>393120</v>
      </c>
      <c r="Q76" s="1">
        <v>393290</v>
      </c>
      <c r="R76" s="1">
        <v>393490</v>
      </c>
      <c r="S76" s="1">
        <v>393750</v>
      </c>
      <c r="T76" s="1">
        <v>393910</v>
      </c>
      <c r="U76" s="1">
        <v>394060</v>
      </c>
      <c r="V76" s="1">
        <v>394290</v>
      </c>
      <c r="W76" s="1">
        <v>394490</v>
      </c>
      <c r="X76" s="1">
        <v>394680</v>
      </c>
      <c r="Y76" s="1">
        <v>394900</v>
      </c>
      <c r="Z76" s="1">
        <v>395250</v>
      </c>
      <c r="AA76" s="5">
        <f>AVERAGE(B76:Y76)</f>
        <v>392645.83333333331</v>
      </c>
      <c r="AB76" s="5">
        <f>(AA77-AA75)/2</f>
        <v>4840.8333333333139</v>
      </c>
      <c r="AC76" s="14">
        <f>AB76/(23+AB151)</f>
        <v>194.06763907715771</v>
      </c>
      <c r="AD76" s="5">
        <f>AA76-AA75</f>
        <v>4834.1666666666279</v>
      </c>
      <c r="AE76" s="1">
        <f>AD76-AD75</f>
        <v>-5.1666666667442769</v>
      </c>
      <c r="AG76" s="5">
        <f>Z76-Y76</f>
        <v>350</v>
      </c>
      <c r="AI76" s="1">
        <f>C76-B76</f>
        <v>210</v>
      </c>
      <c r="AJ76" s="1">
        <f>D76-C76</f>
        <v>120</v>
      </c>
      <c r="AK76" s="1">
        <f>E76-D76</f>
        <v>200</v>
      </c>
      <c r="AL76" s="1">
        <f>F76-E76</f>
        <v>210</v>
      </c>
      <c r="AM76" s="1">
        <f>G76-F76</f>
        <v>190</v>
      </c>
      <c r="AN76" s="1">
        <f>H76-G76</f>
        <v>260</v>
      </c>
      <c r="AO76" s="1">
        <f>I76-H76</f>
        <v>170</v>
      </c>
      <c r="AP76" s="1">
        <f>J76-I76</f>
        <v>150</v>
      </c>
      <c r="AQ76" s="1">
        <f>K76-J76</f>
        <v>190</v>
      </c>
      <c r="AR76" s="1">
        <f>L76-K76</f>
        <v>190</v>
      </c>
      <c r="AS76" s="1">
        <f>M76-L76</f>
        <v>180</v>
      </c>
      <c r="AT76" s="1">
        <f>N76-M76</f>
        <v>240</v>
      </c>
      <c r="AU76" s="1">
        <f>O76-N76</f>
        <v>140</v>
      </c>
      <c r="AV76" s="1">
        <f>P76-O76</f>
        <v>220</v>
      </c>
      <c r="AW76" s="1">
        <f>Q76-P76</f>
        <v>170</v>
      </c>
      <c r="AX76" s="1">
        <f>R76-Q76</f>
        <v>200</v>
      </c>
      <c r="AY76" s="1">
        <f>S76-R76</f>
        <v>260</v>
      </c>
      <c r="AZ76" s="1">
        <f>T76-S76</f>
        <v>160</v>
      </c>
      <c r="BA76" s="1">
        <f>U76-T76</f>
        <v>150</v>
      </c>
      <c r="BB76" s="1">
        <f>V76-U76</f>
        <v>230</v>
      </c>
      <c r="BC76" s="1">
        <f>W76-V76</f>
        <v>200</v>
      </c>
      <c r="BD76" s="1">
        <f>X76-W76</f>
        <v>190</v>
      </c>
      <c r="BE76" s="1">
        <f>Y76-X76</f>
        <v>220</v>
      </c>
      <c r="BF76" s="1">
        <f>Z76-Y76</f>
        <v>350</v>
      </c>
    </row>
    <row r="77" spans="1:58">
      <c r="A77" s="1">
        <v>75</v>
      </c>
      <c r="B77" s="1">
        <v>395250</v>
      </c>
      <c r="C77" s="1">
        <v>395500</v>
      </c>
      <c r="D77" s="1">
        <v>395670</v>
      </c>
      <c r="E77" s="1">
        <v>395870</v>
      </c>
      <c r="F77" s="1">
        <v>396070</v>
      </c>
      <c r="G77" s="1">
        <v>396280</v>
      </c>
      <c r="H77" s="1">
        <v>396420</v>
      </c>
      <c r="I77" s="1">
        <v>396590</v>
      </c>
      <c r="J77" s="1">
        <v>396790</v>
      </c>
      <c r="K77" s="1">
        <v>396970</v>
      </c>
      <c r="L77" s="1">
        <v>397180</v>
      </c>
      <c r="M77" s="1">
        <v>397390</v>
      </c>
      <c r="N77" s="1">
        <v>397550</v>
      </c>
      <c r="O77" s="1">
        <v>397770</v>
      </c>
      <c r="P77" s="1">
        <v>397980</v>
      </c>
      <c r="Q77" s="1">
        <v>398170</v>
      </c>
      <c r="R77" s="1">
        <v>398400</v>
      </c>
      <c r="S77" s="1">
        <v>398590</v>
      </c>
      <c r="T77" s="1">
        <v>398790</v>
      </c>
      <c r="U77" s="1">
        <v>398920</v>
      </c>
      <c r="V77" s="1">
        <v>399130</v>
      </c>
      <c r="W77" s="1">
        <v>399330</v>
      </c>
      <c r="X77" s="1">
        <v>399520</v>
      </c>
      <c r="Y77" s="1">
        <v>399710</v>
      </c>
      <c r="Z77" s="1">
        <v>400040</v>
      </c>
      <c r="AA77" s="5">
        <f>AVERAGE(B77:Y77)</f>
        <v>397493.33333333331</v>
      </c>
      <c r="AB77" s="5">
        <f>(AA78-AA76)/2</f>
        <v>4845.4166666666861</v>
      </c>
      <c r="AC77" s="14">
        <f>AB77/(23+AB151)</f>
        <v>194.2513836140717</v>
      </c>
      <c r="AD77" s="5">
        <f>AA77-AA76</f>
        <v>4847.5</v>
      </c>
      <c r="AE77" s="1">
        <f>AD77-AD76</f>
        <v>13.333333333372138</v>
      </c>
      <c r="AG77" s="5">
        <f>Z77-Y77</f>
        <v>330</v>
      </c>
      <c r="AI77" s="1">
        <f>C77-B77</f>
        <v>250</v>
      </c>
      <c r="AJ77" s="1">
        <f>D77-C77</f>
        <v>170</v>
      </c>
      <c r="AK77" s="1">
        <f>E77-D77</f>
        <v>200</v>
      </c>
      <c r="AL77" s="1">
        <f>F77-E77</f>
        <v>200</v>
      </c>
      <c r="AM77" s="1">
        <f>G77-F77</f>
        <v>210</v>
      </c>
      <c r="AN77" s="1">
        <f>H77-G77</f>
        <v>140</v>
      </c>
      <c r="AO77" s="1">
        <f>I77-H77</f>
        <v>170</v>
      </c>
      <c r="AP77" s="1">
        <f>J77-I77</f>
        <v>200</v>
      </c>
      <c r="AQ77" s="1">
        <f>K77-J77</f>
        <v>180</v>
      </c>
      <c r="AR77" s="1">
        <f>L77-K77</f>
        <v>210</v>
      </c>
      <c r="AS77" s="1">
        <f>M77-L77</f>
        <v>210</v>
      </c>
      <c r="AT77" s="1">
        <f>N77-M77</f>
        <v>160</v>
      </c>
      <c r="AU77" s="1">
        <f>O77-N77</f>
        <v>220</v>
      </c>
      <c r="AV77" s="1">
        <f>P77-O77</f>
        <v>210</v>
      </c>
      <c r="AW77" s="1">
        <f>Q77-P77</f>
        <v>190</v>
      </c>
      <c r="AX77" s="1">
        <f>R77-Q77</f>
        <v>230</v>
      </c>
      <c r="AY77" s="1">
        <f>S77-R77</f>
        <v>190</v>
      </c>
      <c r="AZ77" s="1">
        <f>T77-S77</f>
        <v>200</v>
      </c>
      <c r="BA77" s="1">
        <f>U77-T77</f>
        <v>130</v>
      </c>
      <c r="BB77" s="1">
        <f>V77-U77</f>
        <v>210</v>
      </c>
      <c r="BC77" s="1">
        <f>W77-V77</f>
        <v>200</v>
      </c>
      <c r="BD77" s="1">
        <f>X77-W77</f>
        <v>190</v>
      </c>
      <c r="BE77" s="1">
        <f>Y77-X77</f>
        <v>190</v>
      </c>
      <c r="BF77" s="1">
        <f>Z77-Y77</f>
        <v>330</v>
      </c>
    </row>
    <row r="78" spans="1:58">
      <c r="A78" s="1">
        <v>76</v>
      </c>
      <c r="B78" s="1">
        <v>400040</v>
      </c>
      <c r="C78" s="1">
        <v>400280</v>
      </c>
      <c r="D78" s="1">
        <v>400490</v>
      </c>
      <c r="E78" s="1">
        <v>400690</v>
      </c>
      <c r="F78" s="1">
        <v>400940</v>
      </c>
      <c r="G78" s="1">
        <v>401130</v>
      </c>
      <c r="H78" s="1">
        <v>401290</v>
      </c>
      <c r="I78" s="1">
        <v>401430</v>
      </c>
      <c r="J78" s="1">
        <v>401660</v>
      </c>
      <c r="K78" s="1">
        <v>401860</v>
      </c>
      <c r="L78" s="1">
        <v>402040</v>
      </c>
      <c r="M78" s="1">
        <v>402280</v>
      </c>
      <c r="N78" s="1">
        <v>402410</v>
      </c>
      <c r="O78" s="1">
        <v>402610</v>
      </c>
      <c r="P78" s="1">
        <v>402810</v>
      </c>
      <c r="Q78" s="1">
        <v>402980</v>
      </c>
      <c r="R78" s="1">
        <v>403210</v>
      </c>
      <c r="S78" s="1">
        <v>403410</v>
      </c>
      <c r="T78" s="1">
        <v>403570</v>
      </c>
      <c r="U78" s="1">
        <v>403800</v>
      </c>
      <c r="V78" s="1">
        <v>403990</v>
      </c>
      <c r="W78" s="1">
        <v>404200</v>
      </c>
      <c r="X78" s="1">
        <v>404390</v>
      </c>
      <c r="Y78" s="1">
        <v>404570</v>
      </c>
      <c r="Z78" s="1">
        <v>404940</v>
      </c>
      <c r="AA78" s="5">
        <f>AVERAGE(B78:Y78)</f>
        <v>402336.66666666669</v>
      </c>
      <c r="AB78" s="5">
        <f>(AA79-AA77)/2</f>
        <v>4852.5</v>
      </c>
      <c r="AC78" s="14">
        <f>AB78/(23+AB151)</f>
        <v>194.53535244384472</v>
      </c>
      <c r="AD78" s="5">
        <f>AA78-AA77</f>
        <v>4843.3333333333721</v>
      </c>
      <c r="AE78" s="1">
        <f>AD78-AD77</f>
        <v>-4.1666666666278616</v>
      </c>
      <c r="AG78" s="5">
        <f>Z78-Y78</f>
        <v>370</v>
      </c>
      <c r="AI78" s="1">
        <f>C78-B78</f>
        <v>240</v>
      </c>
      <c r="AJ78" s="1">
        <f>D78-C78</f>
        <v>210</v>
      </c>
      <c r="AK78" s="1">
        <f>E78-D78</f>
        <v>200</v>
      </c>
      <c r="AL78" s="1">
        <f>F78-E78</f>
        <v>250</v>
      </c>
      <c r="AM78" s="1">
        <f>G78-F78</f>
        <v>190</v>
      </c>
      <c r="AN78" s="1">
        <f>H78-G78</f>
        <v>160</v>
      </c>
      <c r="AO78" s="1">
        <f>I78-H78</f>
        <v>140</v>
      </c>
      <c r="AP78" s="1">
        <f>J78-I78</f>
        <v>230</v>
      </c>
      <c r="AQ78" s="1">
        <f>K78-J78</f>
        <v>200</v>
      </c>
      <c r="AR78" s="1">
        <f>L78-K78</f>
        <v>180</v>
      </c>
      <c r="AS78" s="1">
        <f>M78-L78</f>
        <v>240</v>
      </c>
      <c r="AT78" s="1">
        <f>N78-M78</f>
        <v>130</v>
      </c>
      <c r="AU78" s="1">
        <f>O78-N78</f>
        <v>200</v>
      </c>
      <c r="AV78" s="1">
        <f>P78-O78</f>
        <v>200</v>
      </c>
      <c r="AW78" s="1">
        <f>Q78-P78</f>
        <v>170</v>
      </c>
      <c r="AX78" s="1">
        <f>R78-Q78</f>
        <v>230</v>
      </c>
      <c r="AY78" s="1">
        <f>S78-R78</f>
        <v>200</v>
      </c>
      <c r="AZ78" s="1">
        <f>T78-S78</f>
        <v>160</v>
      </c>
      <c r="BA78" s="1">
        <f>U78-T78</f>
        <v>230</v>
      </c>
      <c r="BB78" s="1">
        <f>V78-U78</f>
        <v>190</v>
      </c>
      <c r="BC78" s="1">
        <f>W78-V78</f>
        <v>210</v>
      </c>
      <c r="BD78" s="1">
        <f>X78-W78</f>
        <v>190</v>
      </c>
      <c r="BE78" s="1">
        <f>Y78-X78</f>
        <v>180</v>
      </c>
      <c r="BF78" s="1">
        <f>Z78-Y78</f>
        <v>370</v>
      </c>
    </row>
    <row r="79" spans="1:58">
      <c r="A79" s="1">
        <v>77</v>
      </c>
      <c r="B79" s="1">
        <v>404940</v>
      </c>
      <c r="C79" s="1">
        <v>405120</v>
      </c>
      <c r="D79" s="1">
        <v>405330</v>
      </c>
      <c r="E79" s="1">
        <v>405560</v>
      </c>
      <c r="F79" s="1">
        <v>405760</v>
      </c>
      <c r="G79" s="1">
        <v>405950</v>
      </c>
      <c r="H79" s="1">
        <v>406140</v>
      </c>
      <c r="I79" s="1">
        <v>406320</v>
      </c>
      <c r="J79" s="1">
        <v>406530</v>
      </c>
      <c r="K79" s="1">
        <v>406690</v>
      </c>
      <c r="L79" s="1">
        <v>406900</v>
      </c>
      <c r="M79" s="1">
        <v>407110</v>
      </c>
      <c r="N79" s="1">
        <v>407280</v>
      </c>
      <c r="O79" s="1">
        <v>407480</v>
      </c>
      <c r="P79" s="1">
        <v>407670</v>
      </c>
      <c r="Q79" s="1">
        <v>407850</v>
      </c>
      <c r="R79" s="1">
        <v>408090</v>
      </c>
      <c r="S79" s="1">
        <v>408290</v>
      </c>
      <c r="T79" s="1">
        <v>408470</v>
      </c>
      <c r="U79" s="1">
        <v>408670</v>
      </c>
      <c r="V79" s="1">
        <v>408850</v>
      </c>
      <c r="W79" s="1">
        <v>409090</v>
      </c>
      <c r="X79" s="1">
        <v>409240</v>
      </c>
      <c r="Y79" s="1">
        <v>409430</v>
      </c>
      <c r="Z79" s="1">
        <v>409830</v>
      </c>
      <c r="AA79" s="5">
        <f>AVERAGE(B79:Y79)</f>
        <v>407198.33333333331</v>
      </c>
      <c r="AB79" s="5">
        <f>(AA80-AA78)/2</f>
        <v>4874.375</v>
      </c>
      <c r="AC79" s="14">
        <f>AB79/(23+AB151)</f>
        <v>195.41231500638136</v>
      </c>
      <c r="AD79" s="5">
        <f>AA79-AA78</f>
        <v>4861.6666666666279</v>
      </c>
      <c r="AE79" s="1">
        <f>AD79-AD78</f>
        <v>18.333333333255723</v>
      </c>
      <c r="AG79" s="5">
        <f>Z79-Y79</f>
        <v>400</v>
      </c>
      <c r="AI79" s="1">
        <f>C79-B79</f>
        <v>180</v>
      </c>
      <c r="AJ79" s="1">
        <f>D79-C79</f>
        <v>210</v>
      </c>
      <c r="AK79" s="1">
        <f>E79-D79</f>
        <v>230</v>
      </c>
      <c r="AL79" s="1">
        <f>F79-E79</f>
        <v>200</v>
      </c>
      <c r="AM79" s="1">
        <f>G79-F79</f>
        <v>190</v>
      </c>
      <c r="AN79" s="1">
        <f>H79-G79</f>
        <v>190</v>
      </c>
      <c r="AO79" s="1">
        <f>I79-H79</f>
        <v>180</v>
      </c>
      <c r="AP79" s="1">
        <f>J79-I79</f>
        <v>210</v>
      </c>
      <c r="AQ79" s="1">
        <f>K79-J79</f>
        <v>160</v>
      </c>
      <c r="AR79" s="1">
        <f>L79-K79</f>
        <v>210</v>
      </c>
      <c r="AS79" s="1">
        <f>M79-L79</f>
        <v>210</v>
      </c>
      <c r="AT79" s="1">
        <f>N79-M79</f>
        <v>170</v>
      </c>
      <c r="AU79" s="1">
        <f>O79-N79</f>
        <v>200</v>
      </c>
      <c r="AV79" s="1">
        <f>P79-O79</f>
        <v>190</v>
      </c>
      <c r="AW79" s="1">
        <f>Q79-P79</f>
        <v>180</v>
      </c>
      <c r="AX79" s="1">
        <f>R79-Q79</f>
        <v>240</v>
      </c>
      <c r="AY79" s="1">
        <f>S79-R79</f>
        <v>200</v>
      </c>
      <c r="AZ79" s="1">
        <f>T79-S79</f>
        <v>180</v>
      </c>
      <c r="BA79" s="1">
        <f>U79-T79</f>
        <v>200</v>
      </c>
      <c r="BB79" s="1">
        <f>V79-U79</f>
        <v>180</v>
      </c>
      <c r="BC79" s="1">
        <f>W79-V79</f>
        <v>240</v>
      </c>
      <c r="BD79" s="1">
        <f>X79-W79</f>
        <v>150</v>
      </c>
      <c r="BE79" s="1">
        <f>Y79-X79</f>
        <v>190</v>
      </c>
      <c r="BF79" s="1">
        <f>Z79-Y79</f>
        <v>400</v>
      </c>
    </row>
    <row r="80" spans="1:58">
      <c r="A80" s="1">
        <v>78</v>
      </c>
      <c r="B80" s="1">
        <v>409830</v>
      </c>
      <c r="C80" s="1">
        <v>410030</v>
      </c>
      <c r="D80" s="1">
        <v>410250</v>
      </c>
      <c r="E80" s="1">
        <v>410370</v>
      </c>
      <c r="F80" s="1">
        <v>410650</v>
      </c>
      <c r="G80" s="1">
        <v>410860</v>
      </c>
      <c r="H80" s="1">
        <v>410990</v>
      </c>
      <c r="I80" s="1">
        <v>411210</v>
      </c>
      <c r="J80" s="1">
        <v>411420</v>
      </c>
      <c r="K80" s="1">
        <v>411590</v>
      </c>
      <c r="L80" s="1">
        <v>411810</v>
      </c>
      <c r="M80" s="1">
        <v>411980</v>
      </c>
      <c r="N80" s="1">
        <v>412170</v>
      </c>
      <c r="O80" s="1">
        <v>412370</v>
      </c>
      <c r="P80" s="1">
        <v>412550</v>
      </c>
      <c r="Q80" s="1">
        <v>412750</v>
      </c>
      <c r="R80" s="1">
        <v>412970</v>
      </c>
      <c r="S80" s="1">
        <v>413190</v>
      </c>
      <c r="T80" s="1">
        <v>413380</v>
      </c>
      <c r="U80" s="1">
        <v>413560</v>
      </c>
      <c r="V80" s="1">
        <v>413740</v>
      </c>
      <c r="W80" s="1">
        <v>413940</v>
      </c>
      <c r="X80" s="1">
        <v>414100</v>
      </c>
      <c r="Y80" s="1">
        <v>414340</v>
      </c>
      <c r="Z80" s="1">
        <v>414700</v>
      </c>
      <c r="AA80" s="5">
        <f>AVERAGE(B80:Y80)</f>
        <v>412085.41666666669</v>
      </c>
      <c r="AB80" s="5">
        <f>(AA81-AA79)/2</f>
        <v>4883.125</v>
      </c>
      <c r="AC80" s="14">
        <f>AB80/(23+AB151)</f>
        <v>195.76310003139602</v>
      </c>
      <c r="AD80" s="5">
        <f>AA80-AA79</f>
        <v>4887.0833333333721</v>
      </c>
      <c r="AE80" s="1">
        <f>AD80-AD79</f>
        <v>25.416666666744277</v>
      </c>
      <c r="AG80" s="5">
        <f>Z80-Y80</f>
        <v>360</v>
      </c>
      <c r="AI80" s="1">
        <f>C80-B80</f>
        <v>200</v>
      </c>
      <c r="AJ80" s="1">
        <f>D80-C80</f>
        <v>220</v>
      </c>
      <c r="AK80" s="1">
        <f>E80-D80</f>
        <v>120</v>
      </c>
      <c r="AL80" s="1">
        <f>F80-E80</f>
        <v>280</v>
      </c>
      <c r="AM80" s="1">
        <f>G80-F80</f>
        <v>210</v>
      </c>
      <c r="AN80" s="1">
        <f>H80-G80</f>
        <v>130</v>
      </c>
      <c r="AO80" s="1">
        <f>I80-H80</f>
        <v>220</v>
      </c>
      <c r="AP80" s="1">
        <f>J80-I80</f>
        <v>210</v>
      </c>
      <c r="AQ80" s="1">
        <f>K80-J80</f>
        <v>170</v>
      </c>
      <c r="AR80" s="1">
        <f>L80-K80</f>
        <v>220</v>
      </c>
      <c r="AS80" s="1">
        <f>M80-L80</f>
        <v>170</v>
      </c>
      <c r="AT80" s="1">
        <f>N80-M80</f>
        <v>190</v>
      </c>
      <c r="AU80" s="1">
        <f>O80-N80</f>
        <v>200</v>
      </c>
      <c r="AV80" s="1">
        <f>P80-O80</f>
        <v>180</v>
      </c>
      <c r="AW80" s="1">
        <f>Q80-P80</f>
        <v>200</v>
      </c>
      <c r="AX80" s="1">
        <f>R80-Q80</f>
        <v>220</v>
      </c>
      <c r="AY80" s="1">
        <f>S80-R80</f>
        <v>220</v>
      </c>
      <c r="AZ80" s="1">
        <f>T80-S80</f>
        <v>190</v>
      </c>
      <c r="BA80" s="1">
        <f>U80-T80</f>
        <v>180</v>
      </c>
      <c r="BB80" s="1">
        <f>V80-U80</f>
        <v>180</v>
      </c>
      <c r="BC80" s="1">
        <f>W80-V80</f>
        <v>200</v>
      </c>
      <c r="BD80" s="1">
        <f>X80-W80</f>
        <v>160</v>
      </c>
      <c r="BE80" s="1">
        <f>Y80-X80</f>
        <v>240</v>
      </c>
      <c r="BF80" s="1">
        <f>Z80-Y80</f>
        <v>360</v>
      </c>
    </row>
    <row r="81" spans="1:58">
      <c r="A81" s="1">
        <v>79</v>
      </c>
      <c r="B81" s="1">
        <v>414700</v>
      </c>
      <c r="C81" s="1">
        <v>414930</v>
      </c>
      <c r="D81" s="1">
        <v>415090</v>
      </c>
      <c r="E81" s="1">
        <v>415290</v>
      </c>
      <c r="F81" s="1">
        <v>415540</v>
      </c>
      <c r="G81" s="1">
        <v>415710</v>
      </c>
      <c r="H81" s="1">
        <v>415900</v>
      </c>
      <c r="I81" s="1">
        <v>416110</v>
      </c>
      <c r="J81" s="1">
        <v>416300</v>
      </c>
      <c r="K81" s="1">
        <v>416520</v>
      </c>
      <c r="L81" s="1">
        <v>416660</v>
      </c>
      <c r="M81" s="1">
        <v>416820</v>
      </c>
      <c r="N81" s="1">
        <v>417090</v>
      </c>
      <c r="O81" s="1">
        <v>417250</v>
      </c>
      <c r="P81" s="1">
        <v>417420</v>
      </c>
      <c r="Q81" s="1">
        <v>417620</v>
      </c>
      <c r="R81" s="1">
        <v>417800</v>
      </c>
      <c r="S81" s="1">
        <v>418050</v>
      </c>
      <c r="T81" s="1">
        <v>418240</v>
      </c>
      <c r="U81" s="1">
        <v>418440</v>
      </c>
      <c r="V81" s="1">
        <v>418630</v>
      </c>
      <c r="W81" s="1">
        <v>418830</v>
      </c>
      <c r="X81" s="1">
        <v>418990</v>
      </c>
      <c r="Y81" s="1">
        <v>419220</v>
      </c>
      <c r="Z81" s="1">
        <v>419610</v>
      </c>
      <c r="AA81" s="5">
        <f>AVERAGE(B81:Y81)</f>
        <v>416964.58333333331</v>
      </c>
      <c r="AB81" s="5">
        <f>(AA82-AA80)/2</f>
        <v>4866.875</v>
      </c>
      <c r="AC81" s="14">
        <f>AB81/(23+AB151)</f>
        <v>195.11164212779735</v>
      </c>
      <c r="AD81" s="5">
        <f>AA81-AA80</f>
        <v>4879.1666666666279</v>
      </c>
      <c r="AE81" s="1">
        <f>AD81-AD80</f>
        <v>-7.9166666667442769</v>
      </c>
      <c r="AG81" s="5">
        <f>Z81-Y81</f>
        <v>390</v>
      </c>
      <c r="AI81" s="1">
        <f>C81-B81</f>
        <v>230</v>
      </c>
      <c r="AJ81" s="1">
        <f>D81-C81</f>
        <v>160</v>
      </c>
      <c r="AK81" s="1">
        <f>E81-D81</f>
        <v>200</v>
      </c>
      <c r="AL81" s="1">
        <f>F81-E81</f>
        <v>250</v>
      </c>
      <c r="AM81" s="1">
        <f>G81-F81</f>
        <v>170</v>
      </c>
      <c r="AN81" s="1">
        <f>H81-G81</f>
        <v>190</v>
      </c>
      <c r="AO81" s="1">
        <f>I81-H81</f>
        <v>210</v>
      </c>
      <c r="AP81" s="1">
        <f>J81-I81</f>
        <v>190</v>
      </c>
      <c r="AQ81" s="1">
        <f>K81-J81</f>
        <v>220</v>
      </c>
      <c r="AR81" s="1">
        <f>L81-K81</f>
        <v>140</v>
      </c>
      <c r="AS81" s="1">
        <f>M81-L81</f>
        <v>160</v>
      </c>
      <c r="AT81" s="1">
        <f>N81-M81</f>
        <v>270</v>
      </c>
      <c r="AU81" s="1">
        <f>O81-N81</f>
        <v>160</v>
      </c>
      <c r="AV81" s="1">
        <f>P81-O81</f>
        <v>170</v>
      </c>
      <c r="AW81" s="1">
        <f>Q81-P81</f>
        <v>200</v>
      </c>
      <c r="AX81" s="1">
        <f>R81-Q81</f>
        <v>180</v>
      </c>
      <c r="AY81" s="1">
        <f>S81-R81</f>
        <v>250</v>
      </c>
      <c r="AZ81" s="1">
        <f>T81-S81</f>
        <v>190</v>
      </c>
      <c r="BA81" s="1">
        <f>U81-T81</f>
        <v>200</v>
      </c>
      <c r="BB81" s="1">
        <f>V81-U81</f>
        <v>190</v>
      </c>
      <c r="BC81" s="1">
        <f>W81-V81</f>
        <v>200</v>
      </c>
      <c r="BD81" s="1">
        <f>X81-W81</f>
        <v>160</v>
      </c>
      <c r="BE81" s="1">
        <f>Y81-X81</f>
        <v>230</v>
      </c>
      <c r="BF81" s="1">
        <f>Z81-Y81</f>
        <v>390</v>
      </c>
    </row>
    <row r="82" spans="1:58">
      <c r="A82" s="1">
        <v>80</v>
      </c>
      <c r="B82" s="1">
        <v>419610</v>
      </c>
      <c r="C82" s="1">
        <v>419770</v>
      </c>
      <c r="D82" s="1">
        <v>419950</v>
      </c>
      <c r="E82" s="1">
        <v>420150</v>
      </c>
      <c r="F82" s="1">
        <v>420360</v>
      </c>
      <c r="G82" s="1">
        <v>420560</v>
      </c>
      <c r="H82" s="1">
        <v>420780</v>
      </c>
      <c r="I82" s="1">
        <v>421000</v>
      </c>
      <c r="J82" s="1">
        <v>421150</v>
      </c>
      <c r="K82" s="1">
        <v>421340</v>
      </c>
      <c r="L82" s="1">
        <v>421490</v>
      </c>
      <c r="M82" s="1">
        <v>421690</v>
      </c>
      <c r="N82" s="1">
        <v>421920</v>
      </c>
      <c r="O82" s="1">
        <v>422080</v>
      </c>
      <c r="P82" s="1">
        <v>422280</v>
      </c>
      <c r="Q82" s="1">
        <v>422510</v>
      </c>
      <c r="R82" s="1">
        <v>422700</v>
      </c>
      <c r="S82" s="1">
        <v>422890</v>
      </c>
      <c r="T82" s="1">
        <v>423110</v>
      </c>
      <c r="U82" s="1">
        <v>423300</v>
      </c>
      <c r="V82" s="1">
        <v>423480</v>
      </c>
      <c r="W82" s="1">
        <v>423650</v>
      </c>
      <c r="X82" s="1">
        <v>423840</v>
      </c>
      <c r="Y82" s="1">
        <v>424050</v>
      </c>
      <c r="Z82" s="1">
        <v>424410</v>
      </c>
      <c r="AA82" s="5">
        <f>AVERAGE(B82:Y82)</f>
        <v>421819.16666666669</v>
      </c>
      <c r="AB82" s="5">
        <f>(AA83-AA81)/2</f>
        <v>4853.958333333343</v>
      </c>
      <c r="AC82" s="14">
        <f>AB82/(23+AB151)</f>
        <v>194.59381661468086</v>
      </c>
      <c r="AD82" s="5">
        <f>AA82-AA81</f>
        <v>4854.5833333333721</v>
      </c>
      <c r="AE82" s="1">
        <f>AD82-AD81</f>
        <v>-24.583333333255723</v>
      </c>
      <c r="AG82" s="5">
        <f>Z82-Y82</f>
        <v>360</v>
      </c>
      <c r="AI82" s="1">
        <f>C82-B82</f>
        <v>160</v>
      </c>
      <c r="AJ82" s="1">
        <f>D82-C82</f>
        <v>180</v>
      </c>
      <c r="AK82" s="1">
        <f>E82-D82</f>
        <v>200</v>
      </c>
      <c r="AL82" s="1">
        <f>F82-E82</f>
        <v>210</v>
      </c>
      <c r="AM82" s="1">
        <f>G82-F82</f>
        <v>200</v>
      </c>
      <c r="AN82" s="1">
        <f>H82-G82</f>
        <v>220</v>
      </c>
      <c r="AO82" s="1">
        <f>I82-H82</f>
        <v>220</v>
      </c>
      <c r="AP82" s="1">
        <f>J82-I82</f>
        <v>150</v>
      </c>
      <c r="AQ82" s="1">
        <f>K82-J82</f>
        <v>190</v>
      </c>
      <c r="AR82" s="1">
        <f>L82-K82</f>
        <v>150</v>
      </c>
      <c r="AS82" s="1">
        <f>M82-L82</f>
        <v>200</v>
      </c>
      <c r="AT82" s="1">
        <f>N82-M82</f>
        <v>230</v>
      </c>
      <c r="AU82" s="1">
        <f>O82-N82</f>
        <v>160</v>
      </c>
      <c r="AV82" s="1">
        <f>P82-O82</f>
        <v>200</v>
      </c>
      <c r="AW82" s="1">
        <f>Q82-P82</f>
        <v>230</v>
      </c>
      <c r="AX82" s="1">
        <f>R82-Q82</f>
        <v>190</v>
      </c>
      <c r="AY82" s="1">
        <f>S82-R82</f>
        <v>190</v>
      </c>
      <c r="AZ82" s="1">
        <f>T82-S82</f>
        <v>220</v>
      </c>
      <c r="BA82" s="1">
        <f>U82-T82</f>
        <v>190</v>
      </c>
      <c r="BB82" s="1">
        <f>V82-U82</f>
        <v>180</v>
      </c>
      <c r="BC82" s="1">
        <f>W82-V82</f>
        <v>170</v>
      </c>
      <c r="BD82" s="1">
        <f>X82-W82</f>
        <v>190</v>
      </c>
      <c r="BE82" s="1">
        <f>Y82-X82</f>
        <v>210</v>
      </c>
      <c r="BF82" s="1">
        <f>Z82-Y82</f>
        <v>360</v>
      </c>
    </row>
    <row r="83" spans="1:58">
      <c r="A83" s="1">
        <v>81</v>
      </c>
      <c r="B83" s="1">
        <v>424410</v>
      </c>
      <c r="C83" s="1">
        <v>424600</v>
      </c>
      <c r="D83" s="1">
        <v>424820</v>
      </c>
      <c r="E83" s="1">
        <v>425050</v>
      </c>
      <c r="F83" s="1">
        <v>425260</v>
      </c>
      <c r="G83" s="1">
        <v>425410</v>
      </c>
      <c r="H83" s="1">
        <v>425630</v>
      </c>
      <c r="I83" s="1">
        <v>425850</v>
      </c>
      <c r="J83" s="1">
        <v>425990</v>
      </c>
      <c r="K83" s="1">
        <v>426200</v>
      </c>
      <c r="L83" s="1">
        <v>426370</v>
      </c>
      <c r="M83" s="1">
        <v>426600</v>
      </c>
      <c r="N83" s="1">
        <v>426740</v>
      </c>
      <c r="O83" s="1">
        <v>426950</v>
      </c>
      <c r="P83" s="1">
        <v>427170</v>
      </c>
      <c r="Q83" s="1">
        <v>427390</v>
      </c>
      <c r="R83" s="1">
        <v>427540</v>
      </c>
      <c r="S83" s="1">
        <v>427740</v>
      </c>
      <c r="T83" s="1">
        <v>427900</v>
      </c>
      <c r="U83" s="1">
        <v>428120</v>
      </c>
      <c r="V83" s="1">
        <v>428330</v>
      </c>
      <c r="W83" s="1">
        <v>428500</v>
      </c>
      <c r="X83" s="1">
        <v>428690</v>
      </c>
      <c r="Y83" s="1">
        <v>428880</v>
      </c>
      <c r="Z83" s="1">
        <v>429250</v>
      </c>
      <c r="AA83" s="5">
        <f>AVERAGE(B83:Y83)</f>
        <v>426672.5</v>
      </c>
      <c r="AB83" s="5">
        <f>(AA84-AA82)/2</f>
        <v>4855.625</v>
      </c>
      <c r="AC83" s="14">
        <f>AB83/(23+AB151)</f>
        <v>194.66063280992137</v>
      </c>
      <c r="AD83" s="5">
        <f>AA83-AA82</f>
        <v>4853.3333333333139</v>
      </c>
      <c r="AE83" s="1">
        <f>AD83-AD82</f>
        <v>-1.2500000000582077</v>
      </c>
      <c r="AG83" s="5">
        <f>Z83-Y83</f>
        <v>370</v>
      </c>
      <c r="AI83" s="1">
        <f>C83-B83</f>
        <v>190</v>
      </c>
      <c r="AJ83" s="1">
        <f>D83-C83</f>
        <v>220</v>
      </c>
      <c r="AK83" s="1">
        <f>E83-D83</f>
        <v>230</v>
      </c>
      <c r="AL83" s="1">
        <f>F83-E83</f>
        <v>210</v>
      </c>
      <c r="AM83" s="1">
        <f>G83-F83</f>
        <v>150</v>
      </c>
      <c r="AN83" s="1">
        <f>H83-G83</f>
        <v>220</v>
      </c>
      <c r="AO83" s="1">
        <f>I83-H83</f>
        <v>220</v>
      </c>
      <c r="AP83" s="1">
        <f>J83-I83</f>
        <v>140</v>
      </c>
      <c r="AQ83" s="1">
        <f>K83-J83</f>
        <v>210</v>
      </c>
      <c r="AR83" s="1">
        <f>L83-K83</f>
        <v>170</v>
      </c>
      <c r="AS83" s="1">
        <f>M83-L83</f>
        <v>230</v>
      </c>
      <c r="AT83" s="1">
        <f>N83-M83</f>
        <v>140</v>
      </c>
      <c r="AU83" s="1">
        <f>O83-N83</f>
        <v>210</v>
      </c>
      <c r="AV83" s="1">
        <f>P83-O83</f>
        <v>220</v>
      </c>
      <c r="AW83" s="1">
        <f>Q83-P83</f>
        <v>220</v>
      </c>
      <c r="AX83" s="1">
        <f>R83-Q83</f>
        <v>150</v>
      </c>
      <c r="AY83" s="1">
        <f>S83-R83</f>
        <v>200</v>
      </c>
      <c r="AZ83" s="1">
        <f>T83-S83</f>
        <v>160</v>
      </c>
      <c r="BA83" s="1">
        <f>U83-T83</f>
        <v>220</v>
      </c>
      <c r="BB83" s="1">
        <f>V83-U83</f>
        <v>210</v>
      </c>
      <c r="BC83" s="1">
        <f>W83-V83</f>
        <v>170</v>
      </c>
      <c r="BD83" s="1">
        <f>X83-W83</f>
        <v>190</v>
      </c>
      <c r="BE83" s="1">
        <f>Y83-X83</f>
        <v>190</v>
      </c>
      <c r="BF83" s="1">
        <f>Z83-Y83</f>
        <v>370</v>
      </c>
    </row>
    <row r="84" spans="1:58">
      <c r="A84" s="1">
        <v>82</v>
      </c>
      <c r="B84" s="1">
        <v>429250</v>
      </c>
      <c r="C84" s="1">
        <v>429480</v>
      </c>
      <c r="D84" s="1">
        <v>429660</v>
      </c>
      <c r="E84" s="1">
        <v>429910</v>
      </c>
      <c r="F84" s="1">
        <v>430080</v>
      </c>
      <c r="G84" s="1">
        <v>430290</v>
      </c>
      <c r="H84" s="1">
        <v>430470</v>
      </c>
      <c r="I84" s="1">
        <v>430650</v>
      </c>
      <c r="J84" s="1">
        <v>430860</v>
      </c>
      <c r="K84" s="1">
        <v>431070</v>
      </c>
      <c r="L84" s="1">
        <v>431220</v>
      </c>
      <c r="M84" s="1">
        <v>431410</v>
      </c>
      <c r="N84" s="1">
        <v>431640</v>
      </c>
      <c r="O84" s="1">
        <v>431830</v>
      </c>
      <c r="P84" s="1">
        <v>431980</v>
      </c>
      <c r="Q84" s="1">
        <v>432210</v>
      </c>
      <c r="R84" s="1">
        <v>432380</v>
      </c>
      <c r="S84" s="1">
        <v>432620</v>
      </c>
      <c r="T84" s="1">
        <v>432810</v>
      </c>
      <c r="U84" s="1">
        <v>433000</v>
      </c>
      <c r="V84" s="1">
        <v>433220</v>
      </c>
      <c r="W84" s="1">
        <v>433390</v>
      </c>
      <c r="X84" s="1">
        <v>433540</v>
      </c>
      <c r="Y84" s="1">
        <v>433760</v>
      </c>
      <c r="Z84" s="1">
        <v>434150</v>
      </c>
      <c r="AA84" s="5">
        <f>AVERAGE(B84:Y84)</f>
        <v>431530.41666666669</v>
      </c>
      <c r="AB84" s="5">
        <f>(AA85-AA83)/2</f>
        <v>4866.458333333343</v>
      </c>
      <c r="AC84" s="14">
        <f>AB84/(23+AB151)</f>
        <v>195.09493807898752</v>
      </c>
      <c r="AD84" s="5">
        <f>AA84-AA83</f>
        <v>4857.9166666666861</v>
      </c>
      <c r="AE84" s="1">
        <f>AD84-AD83</f>
        <v>4.5833333333721384</v>
      </c>
      <c r="AG84" s="5">
        <f>Z84-Y84</f>
        <v>390</v>
      </c>
      <c r="AI84" s="1">
        <f>C84-B84</f>
        <v>230</v>
      </c>
      <c r="AJ84" s="1">
        <f>D84-C84</f>
        <v>180</v>
      </c>
      <c r="AK84" s="1">
        <f>E84-D84</f>
        <v>250</v>
      </c>
      <c r="AL84" s="1">
        <f>F84-E84</f>
        <v>170</v>
      </c>
      <c r="AM84" s="1">
        <f>G84-F84</f>
        <v>210</v>
      </c>
      <c r="AN84" s="1">
        <f>H84-G84</f>
        <v>180</v>
      </c>
      <c r="AO84" s="1">
        <f>I84-H84</f>
        <v>180</v>
      </c>
      <c r="AP84" s="1">
        <f>J84-I84</f>
        <v>210</v>
      </c>
      <c r="AQ84" s="1">
        <f>K84-J84</f>
        <v>210</v>
      </c>
      <c r="AR84" s="1">
        <f>L84-K84</f>
        <v>150</v>
      </c>
      <c r="AS84" s="1">
        <f>M84-L84</f>
        <v>190</v>
      </c>
      <c r="AT84" s="1">
        <f>N84-M84</f>
        <v>230</v>
      </c>
      <c r="AU84" s="1">
        <f>O84-N84</f>
        <v>190</v>
      </c>
      <c r="AV84" s="1">
        <f>P84-O84</f>
        <v>150</v>
      </c>
      <c r="AW84" s="1">
        <f>Q84-P84</f>
        <v>230</v>
      </c>
      <c r="AX84" s="1">
        <f>R84-Q84</f>
        <v>170</v>
      </c>
      <c r="AY84" s="1">
        <f>S84-R84</f>
        <v>240</v>
      </c>
      <c r="AZ84" s="1">
        <f>T84-S84</f>
        <v>190</v>
      </c>
      <c r="BA84" s="1">
        <f>U84-T84</f>
        <v>190</v>
      </c>
      <c r="BB84" s="1">
        <f>V84-U84</f>
        <v>220</v>
      </c>
      <c r="BC84" s="1">
        <f>W84-V84</f>
        <v>170</v>
      </c>
      <c r="BD84" s="1">
        <f>X84-W84</f>
        <v>150</v>
      </c>
      <c r="BE84" s="1">
        <f>Y84-X84</f>
        <v>220</v>
      </c>
      <c r="BF84" s="1">
        <f>Z84-Y84</f>
        <v>390</v>
      </c>
    </row>
    <row r="85" spans="1:58">
      <c r="A85" s="1">
        <v>83</v>
      </c>
      <c r="B85" s="1">
        <v>434150</v>
      </c>
      <c r="C85" s="1">
        <v>434360</v>
      </c>
      <c r="D85" s="1">
        <v>434560</v>
      </c>
      <c r="E85" s="1">
        <v>434790</v>
      </c>
      <c r="F85" s="1">
        <v>434960</v>
      </c>
      <c r="G85" s="1">
        <v>435110</v>
      </c>
      <c r="H85" s="1">
        <v>435340</v>
      </c>
      <c r="I85" s="1">
        <v>435510</v>
      </c>
      <c r="J85" s="1">
        <v>435740</v>
      </c>
      <c r="K85" s="1">
        <v>435940</v>
      </c>
      <c r="L85" s="1">
        <v>436080</v>
      </c>
      <c r="M85" s="1">
        <v>436300</v>
      </c>
      <c r="N85" s="1">
        <v>436520</v>
      </c>
      <c r="O85" s="1">
        <v>436740</v>
      </c>
      <c r="P85" s="1">
        <v>436900</v>
      </c>
      <c r="Q85" s="1">
        <v>437090</v>
      </c>
      <c r="R85" s="1">
        <v>437280</v>
      </c>
      <c r="S85" s="1">
        <v>437480</v>
      </c>
      <c r="T85" s="1">
        <v>437630</v>
      </c>
      <c r="U85" s="1">
        <v>437850</v>
      </c>
      <c r="V85" s="1">
        <v>438030</v>
      </c>
      <c r="W85" s="1">
        <v>438260</v>
      </c>
      <c r="X85" s="1">
        <v>438460</v>
      </c>
      <c r="Y85" s="1">
        <v>438650</v>
      </c>
      <c r="Z85" s="1">
        <v>439030</v>
      </c>
      <c r="AA85" s="5">
        <f>AVERAGE(B85:Y85)</f>
        <v>436405.41666666669</v>
      </c>
      <c r="AB85" s="5">
        <f>(AA86-AA84)/2</f>
        <v>4875</v>
      </c>
      <c r="AC85" s="14">
        <f>AB85/(23+AB151)</f>
        <v>195.43737107959669</v>
      </c>
      <c r="AD85" s="5">
        <f>AA85-AA84</f>
        <v>4875</v>
      </c>
      <c r="AE85" s="1">
        <f>AD85-AD84</f>
        <v>17.083333333313931</v>
      </c>
      <c r="AG85" s="5">
        <f>Z85-Y85</f>
        <v>380</v>
      </c>
      <c r="AI85" s="1">
        <f>C85-B85</f>
        <v>210</v>
      </c>
      <c r="AJ85" s="1">
        <f>D85-C85</f>
        <v>200</v>
      </c>
      <c r="AK85" s="1">
        <f>E85-D85</f>
        <v>230</v>
      </c>
      <c r="AL85" s="1">
        <f>F85-E85</f>
        <v>170</v>
      </c>
      <c r="AM85" s="1">
        <f>G85-F85</f>
        <v>150</v>
      </c>
      <c r="AN85" s="1">
        <f>H85-G85</f>
        <v>230</v>
      </c>
      <c r="AO85" s="1">
        <f>I85-H85</f>
        <v>170</v>
      </c>
      <c r="AP85" s="1">
        <f>J85-I85</f>
        <v>230</v>
      </c>
      <c r="AQ85" s="1">
        <f>K85-J85</f>
        <v>200</v>
      </c>
      <c r="AR85" s="1">
        <f>L85-K85</f>
        <v>140</v>
      </c>
      <c r="AS85" s="1">
        <f>M85-L85</f>
        <v>220</v>
      </c>
      <c r="AT85" s="1">
        <f>N85-M85</f>
        <v>220</v>
      </c>
      <c r="AU85" s="1">
        <f>O85-N85</f>
        <v>220</v>
      </c>
      <c r="AV85" s="1">
        <f>P85-O85</f>
        <v>160</v>
      </c>
      <c r="AW85" s="1">
        <f>Q85-P85</f>
        <v>190</v>
      </c>
      <c r="AX85" s="1">
        <f>R85-Q85</f>
        <v>190</v>
      </c>
      <c r="AY85" s="1">
        <f>S85-R85</f>
        <v>200</v>
      </c>
      <c r="AZ85" s="1">
        <f>T85-S85</f>
        <v>150</v>
      </c>
      <c r="BA85" s="1">
        <f>U85-T85</f>
        <v>220</v>
      </c>
      <c r="BB85" s="1">
        <f>V85-U85</f>
        <v>180</v>
      </c>
      <c r="BC85" s="1">
        <f>W85-V85</f>
        <v>230</v>
      </c>
      <c r="BD85" s="1">
        <f>X85-W85</f>
        <v>200</v>
      </c>
      <c r="BE85" s="1">
        <f>Y85-X85</f>
        <v>190</v>
      </c>
      <c r="BF85" s="1">
        <f>Z85-Y85</f>
        <v>380</v>
      </c>
    </row>
    <row r="86" spans="1:58">
      <c r="A86" s="1">
        <v>84</v>
      </c>
      <c r="B86" s="1">
        <v>439030</v>
      </c>
      <c r="C86" s="1">
        <v>439220</v>
      </c>
      <c r="D86" s="1">
        <v>439450</v>
      </c>
      <c r="E86" s="1">
        <v>439640</v>
      </c>
      <c r="F86" s="1">
        <v>439800</v>
      </c>
      <c r="G86" s="1">
        <v>440030</v>
      </c>
      <c r="H86" s="1">
        <v>440200</v>
      </c>
      <c r="I86" s="1">
        <v>440380</v>
      </c>
      <c r="J86" s="1">
        <v>440620</v>
      </c>
      <c r="K86" s="1">
        <v>440820</v>
      </c>
      <c r="L86" s="1">
        <v>441000</v>
      </c>
      <c r="M86" s="1">
        <v>441190</v>
      </c>
      <c r="N86" s="1">
        <v>441380</v>
      </c>
      <c r="O86" s="1">
        <v>441580</v>
      </c>
      <c r="P86" s="1">
        <v>441770</v>
      </c>
      <c r="Q86" s="1">
        <v>441940</v>
      </c>
      <c r="R86" s="1">
        <v>442130</v>
      </c>
      <c r="S86" s="1">
        <v>442350</v>
      </c>
      <c r="T86" s="1">
        <v>442560</v>
      </c>
      <c r="U86" s="1">
        <v>442710</v>
      </c>
      <c r="V86" s="1">
        <v>442910</v>
      </c>
      <c r="W86" s="1">
        <v>443120</v>
      </c>
      <c r="X86" s="1">
        <v>443340</v>
      </c>
      <c r="Y86" s="1">
        <v>443560</v>
      </c>
      <c r="Z86" s="1">
        <v>443920</v>
      </c>
      <c r="AA86" s="5">
        <f>AVERAGE(B86:Y86)</f>
        <v>441280.41666666669</v>
      </c>
      <c r="AB86" s="5">
        <f>(AA87-AA85)/2</f>
        <v>4867.0833333333139</v>
      </c>
      <c r="AC86" s="14">
        <f>AB86/(23+AB151)</f>
        <v>195.11999415220168</v>
      </c>
      <c r="AD86" s="5">
        <f>AA86-AA85</f>
        <v>4875</v>
      </c>
      <c r="AE86" s="1">
        <f>AD86-AD85</f>
        <v>0</v>
      </c>
      <c r="AG86" s="5">
        <f>Z86-Y86</f>
        <v>360</v>
      </c>
      <c r="AI86" s="1">
        <f>C86-B86</f>
        <v>190</v>
      </c>
      <c r="AJ86" s="1">
        <f>D86-C86</f>
        <v>230</v>
      </c>
      <c r="AK86" s="1">
        <f>E86-D86</f>
        <v>190</v>
      </c>
      <c r="AL86" s="1">
        <f>F86-E86</f>
        <v>160</v>
      </c>
      <c r="AM86" s="1">
        <f>G86-F86</f>
        <v>230</v>
      </c>
      <c r="AN86" s="1">
        <f>H86-G86</f>
        <v>170</v>
      </c>
      <c r="AO86" s="1">
        <f>I86-H86</f>
        <v>180</v>
      </c>
      <c r="AP86" s="1">
        <f>J86-I86</f>
        <v>240</v>
      </c>
      <c r="AQ86" s="1">
        <f>K86-J86</f>
        <v>200</v>
      </c>
      <c r="AR86" s="1">
        <f>L86-K86</f>
        <v>180</v>
      </c>
      <c r="AS86" s="1">
        <f>M86-L86</f>
        <v>190</v>
      </c>
      <c r="AT86" s="1">
        <f>N86-M86</f>
        <v>190</v>
      </c>
      <c r="AU86" s="1">
        <f>O86-N86</f>
        <v>200</v>
      </c>
      <c r="AV86" s="1">
        <f>P86-O86</f>
        <v>190</v>
      </c>
      <c r="AW86" s="1">
        <f>Q86-P86</f>
        <v>170</v>
      </c>
      <c r="AX86" s="1">
        <f>R86-Q86</f>
        <v>190</v>
      </c>
      <c r="AY86" s="1">
        <f>S86-R86</f>
        <v>220</v>
      </c>
      <c r="AZ86" s="1">
        <f>T86-S86</f>
        <v>210</v>
      </c>
      <c r="BA86" s="1">
        <f>U86-T86</f>
        <v>150</v>
      </c>
      <c r="BB86" s="1">
        <f>V86-U86</f>
        <v>200</v>
      </c>
      <c r="BC86" s="1">
        <f>W86-V86</f>
        <v>210</v>
      </c>
      <c r="BD86" s="1">
        <f>X86-W86</f>
        <v>220</v>
      </c>
      <c r="BE86" s="1">
        <f>Y86-X86</f>
        <v>220</v>
      </c>
      <c r="BF86" s="1">
        <f>Z86-Y86</f>
        <v>360</v>
      </c>
    </row>
    <row r="87" spans="1:58">
      <c r="A87" s="1">
        <v>85</v>
      </c>
      <c r="B87" s="1">
        <v>443920</v>
      </c>
      <c r="C87" s="1">
        <v>444080</v>
      </c>
      <c r="D87" s="1">
        <v>444270</v>
      </c>
      <c r="E87" s="1">
        <v>444490</v>
      </c>
      <c r="F87" s="1">
        <v>444680</v>
      </c>
      <c r="G87" s="1">
        <v>444890</v>
      </c>
      <c r="H87" s="1">
        <v>445080</v>
      </c>
      <c r="I87" s="1">
        <v>445290</v>
      </c>
      <c r="J87" s="1">
        <v>445460</v>
      </c>
      <c r="K87" s="1">
        <v>445630</v>
      </c>
      <c r="L87" s="1">
        <v>445860</v>
      </c>
      <c r="M87" s="1">
        <v>446030</v>
      </c>
      <c r="N87" s="1">
        <v>446260</v>
      </c>
      <c r="O87" s="1">
        <v>446430</v>
      </c>
      <c r="P87" s="1">
        <v>446650</v>
      </c>
      <c r="Q87" s="1">
        <v>446810</v>
      </c>
      <c r="R87" s="1">
        <v>446970</v>
      </c>
      <c r="S87" s="1">
        <v>447200</v>
      </c>
      <c r="T87" s="1">
        <v>447420</v>
      </c>
      <c r="U87" s="1">
        <v>447620</v>
      </c>
      <c r="V87" s="1">
        <v>447790</v>
      </c>
      <c r="W87" s="1">
        <v>447970</v>
      </c>
      <c r="X87" s="1">
        <v>448160</v>
      </c>
      <c r="Y87" s="1">
        <v>448390</v>
      </c>
      <c r="Z87" s="1">
        <v>448800</v>
      </c>
      <c r="AA87" s="5">
        <f>AVERAGE(B87:Y87)</f>
        <v>446139.58333333331</v>
      </c>
      <c r="AB87" s="5">
        <f>(AA88-AA86)/2</f>
        <v>4866.4583333333139</v>
      </c>
      <c r="AC87" s="14">
        <f>AB87/(23+AB151)</f>
        <v>195.09493807898636</v>
      </c>
      <c r="AD87" s="5">
        <f>AA87-AA86</f>
        <v>4859.1666666666279</v>
      </c>
      <c r="AE87" s="1">
        <f>AD87-AD86</f>
        <v>-15.833333333372138</v>
      </c>
      <c r="AG87" s="5">
        <f>Z87-Y87</f>
        <v>410</v>
      </c>
      <c r="AI87" s="1">
        <f>C87-B87</f>
        <v>160</v>
      </c>
      <c r="AJ87" s="1">
        <f>D87-C87</f>
        <v>190</v>
      </c>
      <c r="AK87" s="1">
        <f>E87-D87</f>
        <v>220</v>
      </c>
      <c r="AL87" s="1">
        <f>F87-E87</f>
        <v>190</v>
      </c>
      <c r="AM87" s="1">
        <f>G87-F87</f>
        <v>210</v>
      </c>
      <c r="AN87" s="1">
        <f>H87-G87</f>
        <v>190</v>
      </c>
      <c r="AO87" s="1">
        <f>I87-H87</f>
        <v>210</v>
      </c>
      <c r="AP87" s="1">
        <f>J87-I87</f>
        <v>170</v>
      </c>
      <c r="AQ87" s="1">
        <f>K87-J87</f>
        <v>170</v>
      </c>
      <c r="AR87" s="1">
        <f>L87-K87</f>
        <v>230</v>
      </c>
      <c r="AS87" s="1">
        <f>M87-L87</f>
        <v>170</v>
      </c>
      <c r="AT87" s="1">
        <f>N87-M87</f>
        <v>230</v>
      </c>
      <c r="AU87" s="1">
        <f>O87-N87</f>
        <v>170</v>
      </c>
      <c r="AV87" s="1">
        <f>P87-O87</f>
        <v>220</v>
      </c>
      <c r="AW87" s="1">
        <f>Q87-P87</f>
        <v>160</v>
      </c>
      <c r="AX87" s="1">
        <f>R87-Q87</f>
        <v>160</v>
      </c>
      <c r="AY87" s="1">
        <f>S87-R87</f>
        <v>230</v>
      </c>
      <c r="AZ87" s="1">
        <f>T87-S87</f>
        <v>220</v>
      </c>
      <c r="BA87" s="1">
        <f>U87-T87</f>
        <v>200</v>
      </c>
      <c r="BB87" s="1">
        <f>V87-U87</f>
        <v>170</v>
      </c>
      <c r="BC87" s="1">
        <f>W87-V87</f>
        <v>180</v>
      </c>
      <c r="BD87" s="1">
        <f>X87-W87</f>
        <v>190</v>
      </c>
      <c r="BE87" s="1">
        <f>Y87-X87</f>
        <v>230</v>
      </c>
      <c r="BF87" s="1">
        <f>Z87-Y87</f>
        <v>410</v>
      </c>
    </row>
    <row r="88" spans="1:58">
      <c r="A88" s="1">
        <v>86</v>
      </c>
      <c r="B88" s="1">
        <v>448800</v>
      </c>
      <c r="C88" s="1">
        <v>449010</v>
      </c>
      <c r="D88" s="1">
        <v>449180</v>
      </c>
      <c r="E88" s="1">
        <v>449340</v>
      </c>
      <c r="F88" s="1">
        <v>449520</v>
      </c>
      <c r="G88" s="1">
        <v>449770</v>
      </c>
      <c r="H88" s="1">
        <v>449940</v>
      </c>
      <c r="I88" s="1">
        <v>450160</v>
      </c>
      <c r="J88" s="1">
        <v>450340</v>
      </c>
      <c r="K88" s="1">
        <v>450520</v>
      </c>
      <c r="L88" s="1">
        <v>450700</v>
      </c>
      <c r="M88" s="1">
        <v>450910</v>
      </c>
      <c r="N88" s="1">
        <v>451100</v>
      </c>
      <c r="O88" s="1">
        <v>451320</v>
      </c>
      <c r="P88" s="1">
        <v>451510</v>
      </c>
      <c r="Q88" s="1">
        <v>451710</v>
      </c>
      <c r="R88" s="1">
        <v>451870</v>
      </c>
      <c r="S88" s="1">
        <v>452070</v>
      </c>
      <c r="T88" s="1">
        <v>452270</v>
      </c>
      <c r="U88" s="1">
        <v>452450</v>
      </c>
      <c r="V88" s="1">
        <v>452660</v>
      </c>
      <c r="W88" s="1">
        <v>452860</v>
      </c>
      <c r="X88" s="1">
        <v>453040</v>
      </c>
      <c r="Y88" s="1">
        <v>453270</v>
      </c>
      <c r="Z88" s="1">
        <v>453670</v>
      </c>
      <c r="AA88" s="5">
        <f>AVERAGE(B88:Y88)</f>
        <v>451013.33333333331</v>
      </c>
      <c r="AB88" s="5">
        <f>(AA89-AA87)/2</f>
        <v>4871.458333333343</v>
      </c>
      <c r="AC88" s="14">
        <f>AB88/(23+AB151)</f>
        <v>195.29538666471018</v>
      </c>
      <c r="AD88" s="5">
        <f>AA88-AA87</f>
        <v>4873.75</v>
      </c>
      <c r="AE88" s="1">
        <f>AD88-AD87</f>
        <v>14.583333333372138</v>
      </c>
      <c r="AG88" s="5">
        <f>Z88-Y88</f>
        <v>400</v>
      </c>
      <c r="AI88" s="1">
        <f>C88-B88</f>
        <v>210</v>
      </c>
      <c r="AJ88" s="1">
        <f>D88-C88</f>
        <v>170</v>
      </c>
      <c r="AK88" s="1">
        <f>E88-D88</f>
        <v>160</v>
      </c>
      <c r="AL88" s="1">
        <f>F88-E88</f>
        <v>180</v>
      </c>
      <c r="AM88" s="1">
        <f>G88-F88</f>
        <v>250</v>
      </c>
      <c r="AN88" s="1">
        <f>H88-G88</f>
        <v>170</v>
      </c>
      <c r="AO88" s="1">
        <f>I88-H88</f>
        <v>220</v>
      </c>
      <c r="AP88" s="1">
        <f>J88-I88</f>
        <v>180</v>
      </c>
      <c r="AQ88" s="1">
        <f>K88-J88</f>
        <v>180</v>
      </c>
      <c r="AR88" s="1">
        <f>L88-K88</f>
        <v>180</v>
      </c>
      <c r="AS88" s="1">
        <f>M88-L88</f>
        <v>210</v>
      </c>
      <c r="AT88" s="1">
        <f>N88-M88</f>
        <v>190</v>
      </c>
      <c r="AU88" s="1">
        <f>O88-N88</f>
        <v>220</v>
      </c>
      <c r="AV88" s="1">
        <f>P88-O88</f>
        <v>190</v>
      </c>
      <c r="AW88" s="1">
        <f>Q88-P88</f>
        <v>200</v>
      </c>
      <c r="AX88" s="1">
        <f>R88-Q88</f>
        <v>160</v>
      </c>
      <c r="AY88" s="1">
        <f>S88-R88</f>
        <v>200</v>
      </c>
      <c r="AZ88" s="1">
        <f>T88-S88</f>
        <v>200</v>
      </c>
      <c r="BA88" s="1">
        <f>U88-T88</f>
        <v>180</v>
      </c>
      <c r="BB88" s="1">
        <f>V88-U88</f>
        <v>210</v>
      </c>
      <c r="BC88" s="1">
        <f>W88-V88</f>
        <v>200</v>
      </c>
      <c r="BD88" s="1">
        <f>X88-W88</f>
        <v>180</v>
      </c>
      <c r="BE88" s="1">
        <f>Y88-X88</f>
        <v>230</v>
      </c>
      <c r="BF88" s="1">
        <f>Z88-Y88</f>
        <v>400</v>
      </c>
    </row>
    <row r="89" spans="1:58">
      <c r="A89" s="1">
        <v>87</v>
      </c>
      <c r="B89" s="1">
        <v>453670</v>
      </c>
      <c r="C89" s="1">
        <v>453870</v>
      </c>
      <c r="D89" s="1">
        <v>454080</v>
      </c>
      <c r="E89" s="1">
        <v>454240</v>
      </c>
      <c r="F89" s="1">
        <v>454440</v>
      </c>
      <c r="G89" s="1">
        <v>454620</v>
      </c>
      <c r="H89" s="1">
        <v>454790</v>
      </c>
      <c r="I89" s="1">
        <v>454980</v>
      </c>
      <c r="J89" s="1">
        <v>455160</v>
      </c>
      <c r="K89" s="1">
        <v>455380</v>
      </c>
      <c r="L89" s="1">
        <v>455600</v>
      </c>
      <c r="M89" s="1">
        <v>455800</v>
      </c>
      <c r="N89" s="1">
        <v>455980</v>
      </c>
      <c r="O89" s="1">
        <v>456180</v>
      </c>
      <c r="P89" s="1">
        <v>456390</v>
      </c>
      <c r="Q89" s="1">
        <v>456550</v>
      </c>
      <c r="R89" s="1">
        <v>456740</v>
      </c>
      <c r="S89" s="1">
        <v>456960</v>
      </c>
      <c r="T89" s="1">
        <v>457130</v>
      </c>
      <c r="U89" s="1">
        <v>457320</v>
      </c>
      <c r="V89" s="1">
        <v>457510</v>
      </c>
      <c r="W89" s="1">
        <v>457760</v>
      </c>
      <c r="X89" s="1">
        <v>457900</v>
      </c>
      <c r="Y89" s="1">
        <v>458130</v>
      </c>
      <c r="Z89" s="1">
        <v>458520</v>
      </c>
      <c r="AA89" s="5">
        <f>AVERAGE(B89:Y89)</f>
        <v>455882.5</v>
      </c>
      <c r="AB89" s="5">
        <f>(AA90-AA88)/2</f>
        <v>4872.5</v>
      </c>
      <c r="AC89" s="14">
        <f>AB89/(23+AB151)</f>
        <v>195.33714678673536</v>
      </c>
      <c r="AD89" s="5">
        <f>AA89-AA88</f>
        <v>4869.1666666666861</v>
      </c>
      <c r="AE89" s="1">
        <f>AD89-AD88</f>
        <v>-4.5833333333139308</v>
      </c>
      <c r="AG89" s="5">
        <f>Z89-Y89</f>
        <v>390</v>
      </c>
      <c r="AI89" s="1">
        <f>C89-B89</f>
        <v>200</v>
      </c>
      <c r="AJ89" s="1">
        <f>D89-C89</f>
        <v>210</v>
      </c>
      <c r="AK89" s="1">
        <f>E89-D89</f>
        <v>160</v>
      </c>
      <c r="AL89" s="1">
        <f>F89-E89</f>
        <v>200</v>
      </c>
      <c r="AM89" s="1">
        <f>G89-F89</f>
        <v>180</v>
      </c>
      <c r="AN89" s="1">
        <f>H89-G89</f>
        <v>170</v>
      </c>
      <c r="AO89" s="1">
        <f>I89-H89</f>
        <v>190</v>
      </c>
      <c r="AP89" s="1">
        <f>J89-I89</f>
        <v>180</v>
      </c>
      <c r="AQ89" s="1">
        <f>K89-J89</f>
        <v>220</v>
      </c>
      <c r="AR89" s="1">
        <f>L89-K89</f>
        <v>220</v>
      </c>
      <c r="AS89" s="1">
        <f>M89-L89</f>
        <v>200</v>
      </c>
      <c r="AT89" s="1">
        <f>N89-M89</f>
        <v>180</v>
      </c>
      <c r="AU89" s="1">
        <f>O89-N89</f>
        <v>200</v>
      </c>
      <c r="AV89" s="1">
        <f>P89-O89</f>
        <v>210</v>
      </c>
      <c r="AW89" s="1">
        <f>Q89-P89</f>
        <v>160</v>
      </c>
      <c r="AX89" s="1">
        <f>R89-Q89</f>
        <v>190</v>
      </c>
      <c r="AY89" s="1">
        <f>S89-R89</f>
        <v>220</v>
      </c>
      <c r="AZ89" s="1">
        <f>T89-S89</f>
        <v>170</v>
      </c>
      <c r="BA89" s="1">
        <f>U89-T89</f>
        <v>190</v>
      </c>
      <c r="BB89" s="1">
        <f>V89-U89</f>
        <v>190</v>
      </c>
      <c r="BC89" s="1">
        <f>W89-V89</f>
        <v>250</v>
      </c>
      <c r="BD89" s="1">
        <f>X89-W89</f>
        <v>140</v>
      </c>
      <c r="BE89" s="1">
        <f>Y89-X89</f>
        <v>230</v>
      </c>
      <c r="BF89" s="1">
        <f>Z89-Y89</f>
        <v>390</v>
      </c>
    </row>
    <row r="90" spans="1:58">
      <c r="A90" s="1">
        <v>88</v>
      </c>
      <c r="B90" s="1">
        <v>458520</v>
      </c>
      <c r="C90" s="1">
        <v>458720</v>
      </c>
      <c r="D90" s="1">
        <v>458920</v>
      </c>
      <c r="E90" s="1">
        <v>459130</v>
      </c>
      <c r="F90" s="1">
        <v>459330</v>
      </c>
      <c r="G90" s="1">
        <v>459470</v>
      </c>
      <c r="H90" s="1">
        <v>459680</v>
      </c>
      <c r="I90" s="1">
        <v>459900</v>
      </c>
      <c r="J90" s="1">
        <v>460090</v>
      </c>
      <c r="K90" s="1">
        <v>460250</v>
      </c>
      <c r="L90" s="1">
        <v>460450</v>
      </c>
      <c r="M90" s="1">
        <v>460660</v>
      </c>
      <c r="N90" s="1">
        <v>460840</v>
      </c>
      <c r="O90" s="1">
        <v>461070</v>
      </c>
      <c r="P90" s="1">
        <v>461250</v>
      </c>
      <c r="Q90" s="1">
        <v>461460</v>
      </c>
      <c r="R90" s="1">
        <v>461670</v>
      </c>
      <c r="S90" s="1">
        <v>461840</v>
      </c>
      <c r="T90" s="1">
        <v>461990</v>
      </c>
      <c r="U90" s="1">
        <v>462190</v>
      </c>
      <c r="V90" s="1">
        <v>462360</v>
      </c>
      <c r="W90" s="1">
        <v>462640</v>
      </c>
      <c r="X90" s="1">
        <v>462780</v>
      </c>
      <c r="Y90" s="1">
        <v>462990</v>
      </c>
      <c r="Z90" s="1">
        <v>463400</v>
      </c>
      <c r="AA90" s="5">
        <f>AVERAGE(B90:Y90)</f>
        <v>460758.33333333331</v>
      </c>
      <c r="AB90" s="5">
        <f>(AA91-AA89)/2</f>
        <v>4885.208333333343</v>
      </c>
      <c r="AC90" s="14">
        <f>AB90/(23+AB151)</f>
        <v>195.84662027544752</v>
      </c>
      <c r="AD90" s="5">
        <f>AA90-AA89</f>
        <v>4875.8333333333139</v>
      </c>
      <c r="AE90" s="1">
        <f>AD90-AD89</f>
        <v>6.6666666666278616</v>
      </c>
      <c r="AG90" s="5">
        <f>Z90-Y90</f>
        <v>410</v>
      </c>
      <c r="AI90" s="1">
        <f>C90-B90</f>
        <v>200</v>
      </c>
      <c r="AJ90" s="1">
        <f>D90-C90</f>
        <v>200</v>
      </c>
      <c r="AK90" s="1">
        <f>E90-D90</f>
        <v>210</v>
      </c>
      <c r="AL90" s="1">
        <f>F90-E90</f>
        <v>200</v>
      </c>
      <c r="AM90" s="1">
        <f>G90-F90</f>
        <v>140</v>
      </c>
      <c r="AN90" s="1">
        <f>H90-G90</f>
        <v>210</v>
      </c>
      <c r="AO90" s="1">
        <f>I90-H90</f>
        <v>220</v>
      </c>
      <c r="AP90" s="1">
        <f>J90-I90</f>
        <v>190</v>
      </c>
      <c r="AQ90" s="1">
        <f>K90-J90</f>
        <v>160</v>
      </c>
      <c r="AR90" s="1">
        <f>L90-K90</f>
        <v>200</v>
      </c>
      <c r="AS90" s="1">
        <f>M90-L90</f>
        <v>210</v>
      </c>
      <c r="AT90" s="1">
        <f>N90-M90</f>
        <v>180</v>
      </c>
      <c r="AU90" s="1">
        <f>O90-N90</f>
        <v>230</v>
      </c>
      <c r="AV90" s="1">
        <f>P90-O90</f>
        <v>180</v>
      </c>
      <c r="AW90" s="1">
        <f>Q90-P90</f>
        <v>210</v>
      </c>
      <c r="AX90" s="1">
        <f>R90-Q90</f>
        <v>210</v>
      </c>
      <c r="AY90" s="1">
        <f>S90-R90</f>
        <v>170</v>
      </c>
      <c r="AZ90" s="1">
        <f>T90-S90</f>
        <v>150</v>
      </c>
      <c r="BA90" s="1">
        <f>U90-T90</f>
        <v>200</v>
      </c>
      <c r="BB90" s="1">
        <f>V90-U90</f>
        <v>170</v>
      </c>
      <c r="BC90" s="1">
        <f>W90-V90</f>
        <v>280</v>
      </c>
      <c r="BD90" s="1">
        <f>X90-W90</f>
        <v>140</v>
      </c>
      <c r="BE90" s="1">
        <f>Y90-X90</f>
        <v>210</v>
      </c>
      <c r="BF90" s="1">
        <f>Z90-Y90</f>
        <v>410</v>
      </c>
    </row>
    <row r="91" spans="1:58">
      <c r="A91" s="1">
        <v>89</v>
      </c>
      <c r="B91" s="1">
        <v>463400</v>
      </c>
      <c r="C91" s="1">
        <v>463600</v>
      </c>
      <c r="D91" s="1">
        <v>463810</v>
      </c>
      <c r="E91" s="1">
        <v>464050</v>
      </c>
      <c r="F91" s="1">
        <v>464240</v>
      </c>
      <c r="G91" s="1">
        <v>464410</v>
      </c>
      <c r="H91" s="1">
        <v>464550</v>
      </c>
      <c r="I91" s="1">
        <v>464780</v>
      </c>
      <c r="J91" s="1">
        <v>464940</v>
      </c>
      <c r="K91" s="1">
        <v>465150</v>
      </c>
      <c r="L91" s="1">
        <v>465300</v>
      </c>
      <c r="M91" s="1">
        <v>465550</v>
      </c>
      <c r="N91" s="1">
        <v>465780</v>
      </c>
      <c r="O91" s="1">
        <v>465940</v>
      </c>
      <c r="P91" s="1">
        <v>466160</v>
      </c>
      <c r="Q91" s="1">
        <v>466350</v>
      </c>
      <c r="R91" s="1">
        <v>466550</v>
      </c>
      <c r="S91" s="1">
        <v>466740</v>
      </c>
      <c r="T91" s="1">
        <v>466920</v>
      </c>
      <c r="U91" s="1">
        <v>467110</v>
      </c>
      <c r="V91" s="1">
        <v>467330</v>
      </c>
      <c r="W91" s="1">
        <v>467450</v>
      </c>
      <c r="X91" s="1">
        <v>467670</v>
      </c>
      <c r="Y91" s="1">
        <v>467890</v>
      </c>
      <c r="Z91" s="1">
        <v>468270</v>
      </c>
      <c r="AA91" s="5">
        <f>AVERAGE(B91:Y91)</f>
        <v>465652.91666666669</v>
      </c>
      <c r="AB91" s="5">
        <f>(AA92-AA90)/2</f>
        <v>4891.458333333343</v>
      </c>
      <c r="AC91" s="14">
        <f>AB91/(23+AB151)</f>
        <v>196.09718100760085</v>
      </c>
      <c r="AD91" s="5">
        <f>AA91-AA90</f>
        <v>4894.5833333333721</v>
      </c>
      <c r="AE91" s="1">
        <f>AD91-AD90</f>
        <v>18.750000000058208</v>
      </c>
      <c r="AG91" s="5">
        <f>Z91-Y91</f>
        <v>380</v>
      </c>
      <c r="AI91" s="1">
        <f>C91-B91</f>
        <v>200</v>
      </c>
      <c r="AJ91" s="1">
        <f>D91-C91</f>
        <v>210</v>
      </c>
      <c r="AK91" s="1">
        <f>E91-D91</f>
        <v>240</v>
      </c>
      <c r="AL91" s="1">
        <f>F91-E91</f>
        <v>190</v>
      </c>
      <c r="AM91" s="1">
        <f>G91-F91</f>
        <v>170</v>
      </c>
      <c r="AN91" s="1">
        <f>H91-G91</f>
        <v>140</v>
      </c>
      <c r="AO91" s="1">
        <f>I91-H91</f>
        <v>230</v>
      </c>
      <c r="AP91" s="1">
        <f>J91-I91</f>
        <v>160</v>
      </c>
      <c r="AQ91" s="1">
        <f>K91-J91</f>
        <v>210</v>
      </c>
      <c r="AR91" s="1">
        <f>L91-K91</f>
        <v>150</v>
      </c>
      <c r="AS91" s="1">
        <f>M91-L91</f>
        <v>250</v>
      </c>
      <c r="AT91" s="1">
        <f>N91-M91</f>
        <v>230</v>
      </c>
      <c r="AU91" s="1">
        <f>O91-N91</f>
        <v>160</v>
      </c>
      <c r="AV91" s="1">
        <f>P91-O91</f>
        <v>220</v>
      </c>
      <c r="AW91" s="1">
        <f>Q91-P91</f>
        <v>190</v>
      </c>
      <c r="AX91" s="1">
        <f>R91-Q91</f>
        <v>200</v>
      </c>
      <c r="AY91" s="1">
        <f>S91-R91</f>
        <v>190</v>
      </c>
      <c r="AZ91" s="1">
        <f>T91-S91</f>
        <v>180</v>
      </c>
      <c r="BA91" s="1">
        <f>U91-T91</f>
        <v>190</v>
      </c>
      <c r="BB91" s="1">
        <f>V91-U91</f>
        <v>220</v>
      </c>
      <c r="BC91" s="1">
        <f>W91-V91</f>
        <v>120</v>
      </c>
      <c r="BD91" s="1">
        <f>X91-W91</f>
        <v>220</v>
      </c>
      <c r="BE91" s="1">
        <f>Y91-X91</f>
        <v>220</v>
      </c>
      <c r="BF91" s="1">
        <f>Z91-Y91</f>
        <v>380</v>
      </c>
    </row>
    <row r="92" spans="1:58">
      <c r="A92" s="1">
        <v>90</v>
      </c>
      <c r="B92" s="1">
        <v>468270</v>
      </c>
      <c r="C92" s="1">
        <v>468490</v>
      </c>
      <c r="D92" s="1">
        <v>468680</v>
      </c>
      <c r="E92" s="1">
        <v>468940</v>
      </c>
      <c r="F92" s="1">
        <v>469120</v>
      </c>
      <c r="G92" s="1">
        <v>469280</v>
      </c>
      <c r="H92" s="1">
        <v>469460</v>
      </c>
      <c r="I92" s="1">
        <v>469690</v>
      </c>
      <c r="J92" s="1">
        <v>469820</v>
      </c>
      <c r="K92" s="1">
        <v>470020</v>
      </c>
      <c r="L92" s="1">
        <v>470240</v>
      </c>
      <c r="M92" s="1">
        <v>470450</v>
      </c>
      <c r="N92" s="1">
        <v>470610</v>
      </c>
      <c r="O92" s="1">
        <v>470820</v>
      </c>
      <c r="P92" s="1">
        <v>471000</v>
      </c>
      <c r="Q92" s="1">
        <v>471240</v>
      </c>
      <c r="R92" s="1">
        <v>471420</v>
      </c>
      <c r="S92" s="1">
        <v>471640</v>
      </c>
      <c r="T92" s="1">
        <v>471810</v>
      </c>
      <c r="U92" s="1">
        <v>472020</v>
      </c>
      <c r="V92" s="1">
        <v>472220</v>
      </c>
      <c r="W92" s="1">
        <v>472390</v>
      </c>
      <c r="X92" s="1">
        <v>472570</v>
      </c>
      <c r="Y92" s="1">
        <v>472790</v>
      </c>
      <c r="Z92" s="1">
        <v>473160</v>
      </c>
      <c r="AA92" s="5">
        <f>AVERAGE(B92:Y92)</f>
        <v>470541.25</v>
      </c>
      <c r="AB92" s="5">
        <f>(AA93-AA91)/2</f>
        <v>4879.166666666657</v>
      </c>
      <c r="AC92" s="14">
        <f>AB92/(23+AB151)</f>
        <v>195.60441156769852</v>
      </c>
      <c r="AD92" s="5">
        <f>AA92-AA91</f>
        <v>4888.3333333333139</v>
      </c>
      <c r="AE92" s="1">
        <f>AD92-AD91</f>
        <v>-6.2500000000582077</v>
      </c>
      <c r="AG92" s="5">
        <f>Z92-Y92</f>
        <v>370</v>
      </c>
      <c r="AI92" s="1">
        <f>C92-B92</f>
        <v>220</v>
      </c>
      <c r="AJ92" s="1">
        <f>D92-C92</f>
        <v>190</v>
      </c>
      <c r="AK92" s="1">
        <f>E92-D92</f>
        <v>260</v>
      </c>
      <c r="AL92" s="1">
        <f>F92-E92</f>
        <v>180</v>
      </c>
      <c r="AM92" s="1">
        <f>G92-F92</f>
        <v>160</v>
      </c>
      <c r="AN92" s="1">
        <f>H92-G92</f>
        <v>180</v>
      </c>
      <c r="AO92" s="1">
        <f>I92-H92</f>
        <v>230</v>
      </c>
      <c r="AP92" s="1">
        <f>J92-I92</f>
        <v>130</v>
      </c>
      <c r="AQ92" s="1">
        <f>K92-J92</f>
        <v>200</v>
      </c>
      <c r="AR92" s="1">
        <f>L92-K92</f>
        <v>220</v>
      </c>
      <c r="AS92" s="1">
        <f>M92-L92</f>
        <v>210</v>
      </c>
      <c r="AT92" s="1">
        <f>N92-M92</f>
        <v>160</v>
      </c>
      <c r="AU92" s="1">
        <f>O92-N92</f>
        <v>210</v>
      </c>
      <c r="AV92" s="1">
        <f>P92-O92</f>
        <v>180</v>
      </c>
      <c r="AW92" s="1">
        <f>Q92-P92</f>
        <v>240</v>
      </c>
      <c r="AX92" s="1">
        <f>R92-Q92</f>
        <v>180</v>
      </c>
      <c r="AY92" s="1">
        <f>S92-R92</f>
        <v>220</v>
      </c>
      <c r="AZ92" s="1">
        <f>T92-S92</f>
        <v>170</v>
      </c>
      <c r="BA92" s="1">
        <f>U92-T92</f>
        <v>210</v>
      </c>
      <c r="BB92" s="1">
        <f>V92-U92</f>
        <v>200</v>
      </c>
      <c r="BC92" s="1">
        <f>W92-V92</f>
        <v>170</v>
      </c>
      <c r="BD92" s="1">
        <f>X92-W92</f>
        <v>180</v>
      </c>
      <c r="BE92" s="1">
        <f>Y92-X92</f>
        <v>220</v>
      </c>
      <c r="BF92" s="1">
        <f>Z92-Y92</f>
        <v>370</v>
      </c>
    </row>
    <row r="93" spans="1:58">
      <c r="A93" s="1">
        <v>91</v>
      </c>
      <c r="B93" s="1">
        <v>473160</v>
      </c>
      <c r="C93" s="1">
        <v>473370</v>
      </c>
      <c r="D93" s="1">
        <v>473590</v>
      </c>
      <c r="E93" s="1">
        <v>473790</v>
      </c>
      <c r="F93" s="1">
        <v>473970</v>
      </c>
      <c r="G93" s="1">
        <v>474180</v>
      </c>
      <c r="H93" s="1">
        <v>474350</v>
      </c>
      <c r="I93" s="1">
        <v>474550</v>
      </c>
      <c r="J93" s="1">
        <v>474750</v>
      </c>
      <c r="K93" s="1">
        <v>474890</v>
      </c>
      <c r="L93" s="1">
        <v>475080</v>
      </c>
      <c r="M93" s="1">
        <v>475290</v>
      </c>
      <c r="N93" s="1">
        <v>475500</v>
      </c>
      <c r="O93" s="1">
        <v>475690</v>
      </c>
      <c r="P93" s="1">
        <v>475920</v>
      </c>
      <c r="Q93" s="1">
        <v>476080</v>
      </c>
      <c r="R93" s="1">
        <v>476310</v>
      </c>
      <c r="S93" s="1">
        <v>476510</v>
      </c>
      <c r="T93" s="1">
        <v>476660</v>
      </c>
      <c r="U93" s="1">
        <v>476850</v>
      </c>
      <c r="V93" s="1">
        <v>477030</v>
      </c>
      <c r="W93" s="1">
        <v>477240</v>
      </c>
      <c r="X93" s="1">
        <v>477450</v>
      </c>
      <c r="Y93" s="1">
        <v>477660</v>
      </c>
      <c r="Z93" s="1">
        <v>478040</v>
      </c>
      <c r="AA93" s="5">
        <f>AVERAGE(B93:Y93)</f>
        <v>475411.25</v>
      </c>
      <c r="AB93" s="5">
        <f>(AA94-AA92)/2</f>
        <v>4874.375</v>
      </c>
      <c r="AC93" s="14">
        <f>AB93/(23+AB151)</f>
        <v>195.41231500638136</v>
      </c>
      <c r="AD93" s="5">
        <f>AA93-AA92</f>
        <v>4870</v>
      </c>
      <c r="AE93" s="1">
        <f>AD93-AD92</f>
        <v>-18.333333333313931</v>
      </c>
      <c r="AG93" s="5">
        <f>Z93-Y93</f>
        <v>380</v>
      </c>
      <c r="AI93" s="1">
        <f>C93-B93</f>
        <v>210</v>
      </c>
      <c r="AJ93" s="1">
        <f>D93-C93</f>
        <v>220</v>
      </c>
      <c r="AK93" s="1">
        <f>E93-D93</f>
        <v>200</v>
      </c>
      <c r="AL93" s="1">
        <f>F93-E93</f>
        <v>180</v>
      </c>
      <c r="AM93" s="1">
        <f>G93-F93</f>
        <v>210</v>
      </c>
      <c r="AN93" s="1">
        <f>H93-G93</f>
        <v>170</v>
      </c>
      <c r="AO93" s="1">
        <f>I93-H93</f>
        <v>200</v>
      </c>
      <c r="AP93" s="1">
        <f>J93-I93</f>
        <v>200</v>
      </c>
      <c r="AQ93" s="1">
        <f>K93-J93</f>
        <v>140</v>
      </c>
      <c r="AR93" s="1">
        <f>L93-K93</f>
        <v>190</v>
      </c>
      <c r="AS93" s="1">
        <f>M93-L93</f>
        <v>210</v>
      </c>
      <c r="AT93" s="1">
        <f>N93-M93</f>
        <v>210</v>
      </c>
      <c r="AU93" s="1">
        <f>O93-N93</f>
        <v>190</v>
      </c>
      <c r="AV93" s="1">
        <f>P93-O93</f>
        <v>230</v>
      </c>
      <c r="AW93" s="1">
        <f>Q93-P93</f>
        <v>160</v>
      </c>
      <c r="AX93" s="1">
        <f>R93-Q93</f>
        <v>230</v>
      </c>
      <c r="AY93" s="1">
        <f>S93-R93</f>
        <v>200</v>
      </c>
      <c r="AZ93" s="1">
        <f>T93-S93</f>
        <v>150</v>
      </c>
      <c r="BA93" s="1">
        <f>U93-T93</f>
        <v>190</v>
      </c>
      <c r="BB93" s="1">
        <f>V93-U93</f>
        <v>180</v>
      </c>
      <c r="BC93" s="1">
        <f>W93-V93</f>
        <v>210</v>
      </c>
      <c r="BD93" s="1">
        <f>X93-W93</f>
        <v>210</v>
      </c>
      <c r="BE93" s="1">
        <f>Y93-X93</f>
        <v>210</v>
      </c>
      <c r="BF93" s="1">
        <f>Z93-Y93</f>
        <v>380</v>
      </c>
    </row>
    <row r="94" spans="1:58">
      <c r="A94" s="1">
        <v>92</v>
      </c>
      <c r="B94" s="1">
        <v>478040</v>
      </c>
      <c r="C94" s="1">
        <v>478250</v>
      </c>
      <c r="D94" s="1">
        <v>478430</v>
      </c>
      <c r="E94" s="1">
        <v>478630</v>
      </c>
      <c r="F94" s="1">
        <v>478870</v>
      </c>
      <c r="G94" s="1">
        <v>479040</v>
      </c>
      <c r="H94" s="1">
        <v>479200</v>
      </c>
      <c r="I94" s="1">
        <v>479450</v>
      </c>
      <c r="J94" s="1">
        <v>479620</v>
      </c>
      <c r="K94" s="1">
        <v>479760</v>
      </c>
      <c r="L94" s="1">
        <v>479940</v>
      </c>
      <c r="M94" s="1">
        <v>480190</v>
      </c>
      <c r="N94" s="1">
        <v>480410</v>
      </c>
      <c r="O94" s="1">
        <v>480560</v>
      </c>
      <c r="P94" s="1">
        <v>480780</v>
      </c>
      <c r="Q94" s="1">
        <v>481000</v>
      </c>
      <c r="R94" s="1">
        <v>481160</v>
      </c>
      <c r="S94" s="1">
        <v>481390</v>
      </c>
      <c r="T94" s="1">
        <v>481520</v>
      </c>
      <c r="U94" s="1">
        <v>481730</v>
      </c>
      <c r="V94" s="1">
        <v>481970</v>
      </c>
      <c r="W94" s="1">
        <v>482170</v>
      </c>
      <c r="X94" s="1">
        <v>482310</v>
      </c>
      <c r="Y94" s="1">
        <v>482540</v>
      </c>
      <c r="Z94" s="1">
        <v>482920</v>
      </c>
      <c r="AA94" s="5">
        <f>AVERAGE(B94:Y94)</f>
        <v>480290</v>
      </c>
      <c r="AB94" s="5">
        <f>(AA95-AA93)/2</f>
        <v>4874.583333333343</v>
      </c>
      <c r="AC94" s="14">
        <f>AB94/(23+AB151)</f>
        <v>195.42066703078686</v>
      </c>
      <c r="AD94" s="5">
        <f>AA94-AA93</f>
        <v>4878.75</v>
      </c>
      <c r="AE94" s="1">
        <f>AD94-AD93</f>
        <v>8.75</v>
      </c>
      <c r="AG94" s="5">
        <f>Z94-Y94</f>
        <v>380</v>
      </c>
      <c r="AI94" s="1">
        <f>C94-B94</f>
        <v>210</v>
      </c>
      <c r="AJ94" s="1">
        <f>D94-C94</f>
        <v>180</v>
      </c>
      <c r="AK94" s="1">
        <f>E94-D94</f>
        <v>200</v>
      </c>
      <c r="AL94" s="1">
        <f>F94-E94</f>
        <v>240</v>
      </c>
      <c r="AM94" s="1">
        <f>G94-F94</f>
        <v>170</v>
      </c>
      <c r="AN94" s="1">
        <f>H94-G94</f>
        <v>160</v>
      </c>
      <c r="AO94" s="1">
        <f>I94-H94</f>
        <v>250</v>
      </c>
      <c r="AP94" s="1">
        <f>J94-I94</f>
        <v>170</v>
      </c>
      <c r="AQ94" s="1">
        <f>K94-J94</f>
        <v>140</v>
      </c>
      <c r="AR94" s="1">
        <f>L94-K94</f>
        <v>180</v>
      </c>
      <c r="AS94" s="1">
        <f>M94-L94</f>
        <v>250</v>
      </c>
      <c r="AT94" s="1">
        <f>N94-M94</f>
        <v>220</v>
      </c>
      <c r="AU94" s="1">
        <f>O94-N94</f>
        <v>150</v>
      </c>
      <c r="AV94" s="1">
        <f>P94-O94</f>
        <v>220</v>
      </c>
      <c r="AW94" s="1">
        <f>Q94-P94</f>
        <v>220</v>
      </c>
      <c r="AX94" s="1">
        <f>R94-Q94</f>
        <v>160</v>
      </c>
      <c r="AY94" s="1">
        <f>S94-R94</f>
        <v>230</v>
      </c>
      <c r="AZ94" s="1">
        <f>T94-S94</f>
        <v>130</v>
      </c>
      <c r="BA94" s="1">
        <f>U94-T94</f>
        <v>210</v>
      </c>
      <c r="BB94" s="1">
        <f>V94-U94</f>
        <v>240</v>
      </c>
      <c r="BC94" s="1">
        <f>W94-V94</f>
        <v>200</v>
      </c>
      <c r="BD94" s="1">
        <f>X94-W94</f>
        <v>140</v>
      </c>
      <c r="BE94" s="1">
        <f>Y94-X94</f>
        <v>230</v>
      </c>
      <c r="BF94" s="1">
        <f>Z94-Y94</f>
        <v>380</v>
      </c>
    </row>
    <row r="95" spans="1:58">
      <c r="A95" s="1">
        <v>93</v>
      </c>
      <c r="B95" s="1">
        <v>482920</v>
      </c>
      <c r="C95" s="1">
        <v>483090</v>
      </c>
      <c r="D95" s="1">
        <v>483350</v>
      </c>
      <c r="E95" s="1">
        <v>483510</v>
      </c>
      <c r="F95" s="1">
        <v>483720</v>
      </c>
      <c r="G95" s="1">
        <v>483880</v>
      </c>
      <c r="H95" s="1">
        <v>484090</v>
      </c>
      <c r="I95" s="1">
        <v>484290</v>
      </c>
      <c r="J95" s="1">
        <v>484490</v>
      </c>
      <c r="K95" s="1">
        <v>484690</v>
      </c>
      <c r="L95" s="1">
        <v>484840</v>
      </c>
      <c r="M95" s="1">
        <v>485060</v>
      </c>
      <c r="N95" s="1">
        <v>485230</v>
      </c>
      <c r="O95" s="1">
        <v>485420</v>
      </c>
      <c r="P95" s="1">
        <v>485620</v>
      </c>
      <c r="Q95" s="1">
        <v>485850</v>
      </c>
      <c r="R95" s="1">
        <v>486070</v>
      </c>
      <c r="S95" s="1">
        <v>486240</v>
      </c>
      <c r="T95" s="1">
        <v>486450</v>
      </c>
      <c r="U95" s="1">
        <v>486590</v>
      </c>
      <c r="V95" s="1">
        <v>486840</v>
      </c>
      <c r="W95" s="1">
        <v>487020</v>
      </c>
      <c r="X95" s="1">
        <v>487180</v>
      </c>
      <c r="Y95" s="1">
        <v>487410</v>
      </c>
      <c r="Z95" s="1">
        <v>487790</v>
      </c>
      <c r="AA95" s="5">
        <f>AVERAGE(B95:Y95)</f>
        <v>485160.41666666669</v>
      </c>
      <c r="AB95" s="5">
        <f>(AA96-AA94)/2</f>
        <v>4869.791666666657</v>
      </c>
      <c r="AC95" s="14">
        <f>AB95/(23+AB151)</f>
        <v>195.22857046946854</v>
      </c>
      <c r="AD95" s="5">
        <f>AA95-AA94</f>
        <v>4870.4166666666861</v>
      </c>
      <c r="AE95" s="1">
        <f>AD95-AD94</f>
        <v>-8.3333333333139308</v>
      </c>
      <c r="AG95" s="5">
        <f>Z95-Y95</f>
        <v>380</v>
      </c>
      <c r="AI95" s="1">
        <f>C95-B95</f>
        <v>170</v>
      </c>
      <c r="AJ95" s="1">
        <f>D95-C95</f>
        <v>260</v>
      </c>
      <c r="AK95" s="1">
        <f>E95-D95</f>
        <v>160</v>
      </c>
      <c r="AL95" s="1">
        <f>F95-E95</f>
        <v>210</v>
      </c>
      <c r="AM95" s="1">
        <f>G95-F95</f>
        <v>160</v>
      </c>
      <c r="AN95" s="1">
        <f>H95-G95</f>
        <v>210</v>
      </c>
      <c r="AO95" s="1">
        <f>I95-H95</f>
        <v>200</v>
      </c>
      <c r="AP95" s="1">
        <f>J95-I95</f>
        <v>200</v>
      </c>
      <c r="AQ95" s="1">
        <f>K95-J95</f>
        <v>200</v>
      </c>
      <c r="AR95" s="1">
        <f>L95-K95</f>
        <v>150</v>
      </c>
      <c r="AS95" s="1">
        <f>M95-L95</f>
        <v>220</v>
      </c>
      <c r="AT95" s="1">
        <f>N95-M95</f>
        <v>170</v>
      </c>
      <c r="AU95" s="1">
        <f>O95-N95</f>
        <v>190</v>
      </c>
      <c r="AV95" s="1">
        <f>P95-O95</f>
        <v>200</v>
      </c>
      <c r="AW95" s="1">
        <f>Q95-P95</f>
        <v>230</v>
      </c>
      <c r="AX95" s="1">
        <f>R95-Q95</f>
        <v>220</v>
      </c>
      <c r="AY95" s="1">
        <f>S95-R95</f>
        <v>170</v>
      </c>
      <c r="AZ95" s="1">
        <f>T95-S95</f>
        <v>210</v>
      </c>
      <c r="BA95" s="1">
        <f>U95-T95</f>
        <v>140</v>
      </c>
      <c r="BB95" s="1">
        <f>V95-U95</f>
        <v>250</v>
      </c>
      <c r="BC95" s="1">
        <f>W95-V95</f>
        <v>180</v>
      </c>
      <c r="BD95" s="1">
        <f>X95-W95</f>
        <v>160</v>
      </c>
      <c r="BE95" s="1">
        <f>Y95-X95</f>
        <v>230</v>
      </c>
      <c r="BF95" s="1">
        <f>Z95-Y95</f>
        <v>380</v>
      </c>
    </row>
    <row r="96" spans="1:58">
      <c r="A96" s="1">
        <v>94</v>
      </c>
      <c r="B96" s="1">
        <v>487790</v>
      </c>
      <c r="C96" s="1">
        <v>487970</v>
      </c>
      <c r="D96" s="1">
        <v>488200</v>
      </c>
      <c r="E96" s="1">
        <v>488350</v>
      </c>
      <c r="F96" s="1">
        <v>488550</v>
      </c>
      <c r="G96" s="1">
        <v>488780</v>
      </c>
      <c r="H96" s="1">
        <v>488980</v>
      </c>
      <c r="I96" s="1">
        <v>489180</v>
      </c>
      <c r="J96" s="1">
        <v>489370</v>
      </c>
      <c r="K96" s="1">
        <v>489540</v>
      </c>
      <c r="L96" s="1">
        <v>489740</v>
      </c>
      <c r="M96" s="1">
        <v>489930</v>
      </c>
      <c r="N96" s="1">
        <v>490100</v>
      </c>
      <c r="O96" s="1">
        <v>490300</v>
      </c>
      <c r="P96" s="1">
        <v>490500</v>
      </c>
      <c r="Q96" s="1">
        <v>490730</v>
      </c>
      <c r="R96" s="1">
        <v>490920</v>
      </c>
      <c r="S96" s="1">
        <v>491100</v>
      </c>
      <c r="T96" s="1">
        <v>491290</v>
      </c>
      <c r="U96" s="1">
        <v>491500</v>
      </c>
      <c r="V96" s="1">
        <v>491690</v>
      </c>
      <c r="W96" s="1">
        <v>491890</v>
      </c>
      <c r="X96" s="1">
        <v>492050</v>
      </c>
      <c r="Y96" s="1">
        <v>492260</v>
      </c>
      <c r="Z96" s="1">
        <v>492680</v>
      </c>
      <c r="AA96" s="5">
        <f>AVERAGE(B96:Y96)</f>
        <v>490029.58333333331</v>
      </c>
      <c r="AB96" s="5">
        <f>(AA97-AA95)/2</f>
        <v>4871.041666666657</v>
      </c>
      <c r="AC96" s="14">
        <f>AB96/(23+AB151)</f>
        <v>195.27868261589919</v>
      </c>
      <c r="AD96" s="5">
        <f>AA96-AA95</f>
        <v>4869.1666666666279</v>
      </c>
      <c r="AE96" s="1">
        <f>AD96-AD95</f>
        <v>-1.2500000000582077</v>
      </c>
      <c r="AG96" s="5">
        <f>Z96-Y96</f>
        <v>420</v>
      </c>
      <c r="AI96" s="1">
        <f>C96-B96</f>
        <v>180</v>
      </c>
      <c r="AJ96" s="1">
        <f>D96-C96</f>
        <v>230</v>
      </c>
      <c r="AK96" s="1">
        <f>E96-D96</f>
        <v>150</v>
      </c>
      <c r="AL96" s="1">
        <f>F96-E96</f>
        <v>200</v>
      </c>
      <c r="AM96" s="1">
        <f>G96-F96</f>
        <v>230</v>
      </c>
      <c r="AN96" s="1">
        <f>H96-G96</f>
        <v>200</v>
      </c>
      <c r="AO96" s="1">
        <f>I96-H96</f>
        <v>200</v>
      </c>
      <c r="AP96" s="1">
        <f>J96-I96</f>
        <v>190</v>
      </c>
      <c r="AQ96" s="1">
        <f>K96-J96</f>
        <v>170</v>
      </c>
      <c r="AR96" s="1">
        <f>L96-K96</f>
        <v>200</v>
      </c>
      <c r="AS96" s="1">
        <f>M96-L96</f>
        <v>190</v>
      </c>
      <c r="AT96" s="1">
        <f>N96-M96</f>
        <v>170</v>
      </c>
      <c r="AU96" s="1">
        <f>O96-N96</f>
        <v>200</v>
      </c>
      <c r="AV96" s="1">
        <f>P96-O96</f>
        <v>200</v>
      </c>
      <c r="AW96" s="1">
        <f>Q96-P96</f>
        <v>230</v>
      </c>
      <c r="AX96" s="1">
        <f>R96-Q96</f>
        <v>190</v>
      </c>
      <c r="AY96" s="1">
        <f>S96-R96</f>
        <v>180</v>
      </c>
      <c r="AZ96" s="1">
        <f>T96-S96</f>
        <v>190</v>
      </c>
      <c r="BA96" s="1">
        <f>U96-T96</f>
        <v>210</v>
      </c>
      <c r="BB96" s="1">
        <f>V96-U96</f>
        <v>190</v>
      </c>
      <c r="BC96" s="1">
        <f>W96-V96</f>
        <v>200</v>
      </c>
      <c r="BD96" s="1">
        <f>X96-W96</f>
        <v>160</v>
      </c>
      <c r="BE96" s="1">
        <f>Y96-X96</f>
        <v>210</v>
      </c>
      <c r="BF96" s="1">
        <f>Z96-Y96</f>
        <v>420</v>
      </c>
    </row>
    <row r="97" spans="1:58">
      <c r="A97" s="1">
        <v>95</v>
      </c>
      <c r="B97" s="1">
        <v>492680</v>
      </c>
      <c r="C97" s="1">
        <v>492880</v>
      </c>
      <c r="D97" s="1">
        <v>493120</v>
      </c>
      <c r="E97" s="1">
        <v>493230</v>
      </c>
      <c r="F97" s="1">
        <v>493430</v>
      </c>
      <c r="G97" s="1">
        <v>493650</v>
      </c>
      <c r="H97" s="1">
        <v>493840</v>
      </c>
      <c r="I97" s="1">
        <v>494010</v>
      </c>
      <c r="J97" s="1">
        <v>494200</v>
      </c>
      <c r="K97" s="1">
        <v>494400</v>
      </c>
      <c r="L97" s="1">
        <v>494580</v>
      </c>
      <c r="M97" s="1">
        <v>494840</v>
      </c>
      <c r="N97" s="1">
        <v>495020</v>
      </c>
      <c r="O97" s="1">
        <v>495220</v>
      </c>
      <c r="P97" s="1">
        <v>495340</v>
      </c>
      <c r="Q97" s="1">
        <v>495550</v>
      </c>
      <c r="R97" s="1">
        <v>495780</v>
      </c>
      <c r="S97" s="1">
        <v>495990</v>
      </c>
      <c r="T97" s="1">
        <v>496190</v>
      </c>
      <c r="U97" s="1">
        <v>496350</v>
      </c>
      <c r="V97" s="1">
        <v>496520</v>
      </c>
      <c r="W97" s="1">
        <v>496720</v>
      </c>
      <c r="X97" s="1">
        <v>496970</v>
      </c>
      <c r="Y97" s="1">
        <v>497150</v>
      </c>
      <c r="Z97" s="1">
        <v>497540</v>
      </c>
      <c r="AA97" s="5">
        <f>AVERAGE(B97:Y97)</f>
        <v>494902.5</v>
      </c>
      <c r="AB97" s="5">
        <f>(AA98-AA96)/2</f>
        <v>4876.458333333343</v>
      </c>
      <c r="AC97" s="14">
        <f>AB97/(23+AB151)</f>
        <v>195.49583525043286</v>
      </c>
      <c r="AD97" s="5">
        <f>AA97-AA96</f>
        <v>4872.9166666666861</v>
      </c>
      <c r="AE97" s="1">
        <f>AD97-AD96</f>
        <v>3.7500000000582077</v>
      </c>
      <c r="AG97" s="5">
        <f>Z97-Y97</f>
        <v>390</v>
      </c>
      <c r="AI97" s="1">
        <f>C97-B97</f>
        <v>200</v>
      </c>
      <c r="AJ97" s="1">
        <f>D97-C97</f>
        <v>240</v>
      </c>
      <c r="AK97" s="1">
        <f>E97-D97</f>
        <v>110</v>
      </c>
      <c r="AL97" s="1">
        <f>F97-E97</f>
        <v>200</v>
      </c>
      <c r="AM97" s="1">
        <f>G97-F97</f>
        <v>220</v>
      </c>
      <c r="AN97" s="1">
        <f>H97-G97</f>
        <v>190</v>
      </c>
      <c r="AO97" s="1">
        <f>I97-H97</f>
        <v>170</v>
      </c>
      <c r="AP97" s="1">
        <f>J97-I97</f>
        <v>190</v>
      </c>
      <c r="AQ97" s="1">
        <f>K97-J97</f>
        <v>200</v>
      </c>
      <c r="AR97" s="1">
        <f>L97-K97</f>
        <v>180</v>
      </c>
      <c r="AS97" s="1">
        <f>M97-L97</f>
        <v>260</v>
      </c>
      <c r="AT97" s="1">
        <f>N97-M97</f>
        <v>180</v>
      </c>
      <c r="AU97" s="1">
        <f>O97-N97</f>
        <v>200</v>
      </c>
      <c r="AV97" s="1">
        <f>P97-O97</f>
        <v>120</v>
      </c>
      <c r="AW97" s="1">
        <f>Q97-P97</f>
        <v>210</v>
      </c>
      <c r="AX97" s="1">
        <f>R97-Q97</f>
        <v>230</v>
      </c>
      <c r="AY97" s="1">
        <f>S97-R97</f>
        <v>210</v>
      </c>
      <c r="AZ97" s="1">
        <f>T97-S97</f>
        <v>200</v>
      </c>
      <c r="BA97" s="1">
        <f>U97-T97</f>
        <v>160</v>
      </c>
      <c r="BB97" s="1">
        <f>V97-U97</f>
        <v>170</v>
      </c>
      <c r="BC97" s="1">
        <f>W97-V97</f>
        <v>200</v>
      </c>
      <c r="BD97" s="1">
        <f>X97-W97</f>
        <v>250</v>
      </c>
      <c r="BE97" s="1">
        <f>Y97-X97</f>
        <v>180</v>
      </c>
      <c r="BF97" s="1">
        <f>Z97-Y97</f>
        <v>390</v>
      </c>
    </row>
    <row r="98" spans="1:58">
      <c r="A98" s="1">
        <v>96</v>
      </c>
      <c r="B98" s="1">
        <v>497540</v>
      </c>
      <c r="C98" s="1">
        <v>497740</v>
      </c>
      <c r="D98" s="1">
        <v>497980</v>
      </c>
      <c r="E98" s="1">
        <v>498150</v>
      </c>
      <c r="F98" s="1">
        <v>498330</v>
      </c>
      <c r="G98" s="1">
        <v>498530</v>
      </c>
      <c r="H98" s="1">
        <v>498700</v>
      </c>
      <c r="I98" s="1">
        <v>498890</v>
      </c>
      <c r="J98" s="1">
        <v>499070</v>
      </c>
      <c r="K98" s="1">
        <v>499260</v>
      </c>
      <c r="L98" s="1">
        <v>499440</v>
      </c>
      <c r="M98" s="1">
        <v>499700</v>
      </c>
      <c r="N98" s="1">
        <v>499890</v>
      </c>
      <c r="O98" s="1">
        <v>500110</v>
      </c>
      <c r="P98" s="1">
        <v>500300</v>
      </c>
      <c r="Q98" s="1">
        <v>500500</v>
      </c>
      <c r="R98" s="1">
        <v>500650</v>
      </c>
      <c r="S98" s="1">
        <v>500870</v>
      </c>
      <c r="T98" s="1">
        <v>501090</v>
      </c>
      <c r="U98" s="1">
        <v>501240</v>
      </c>
      <c r="V98" s="1">
        <v>501410</v>
      </c>
      <c r="W98" s="1">
        <v>501600</v>
      </c>
      <c r="X98" s="1">
        <v>501760</v>
      </c>
      <c r="Y98" s="1">
        <v>502030</v>
      </c>
      <c r="Z98" s="1">
        <v>502460</v>
      </c>
      <c r="AA98" s="5">
        <f>AVERAGE(B98:Y98)</f>
        <v>499782.5</v>
      </c>
      <c r="AB98" s="5">
        <f>(AA99-AA97)/2</f>
        <v>4880</v>
      </c>
      <c r="AC98" s="14">
        <f>AB98/(23+AB151)</f>
        <v>195.63781966531934</v>
      </c>
      <c r="AD98" s="5">
        <f>AA98-AA97</f>
        <v>4880</v>
      </c>
      <c r="AE98" s="1">
        <f>AD98-AD97</f>
        <v>7.0833333333139308</v>
      </c>
      <c r="AG98" s="5">
        <f>Z98-Y98</f>
        <v>430</v>
      </c>
      <c r="AI98" s="1">
        <f>C98-B98</f>
        <v>200</v>
      </c>
      <c r="AJ98" s="1">
        <f>D98-C98</f>
        <v>240</v>
      </c>
      <c r="AK98" s="1">
        <f>E98-D98</f>
        <v>170</v>
      </c>
      <c r="AL98" s="1">
        <f>F98-E98</f>
        <v>180</v>
      </c>
      <c r="AM98" s="1">
        <f>G98-F98</f>
        <v>200</v>
      </c>
      <c r="AN98" s="1">
        <f>H98-G98</f>
        <v>170</v>
      </c>
      <c r="AO98" s="1">
        <f>I98-H98</f>
        <v>190</v>
      </c>
      <c r="AP98" s="1">
        <f>J98-I98</f>
        <v>180</v>
      </c>
      <c r="AQ98" s="1">
        <f>K98-J98</f>
        <v>190</v>
      </c>
      <c r="AR98" s="1">
        <f>L98-K98</f>
        <v>180</v>
      </c>
      <c r="AS98" s="1">
        <f>M98-L98</f>
        <v>260</v>
      </c>
      <c r="AT98" s="1">
        <f>N98-M98</f>
        <v>190</v>
      </c>
      <c r="AU98" s="1">
        <f>O98-N98</f>
        <v>220</v>
      </c>
      <c r="AV98" s="1">
        <f>P98-O98</f>
        <v>190</v>
      </c>
      <c r="AW98" s="1">
        <f>Q98-P98</f>
        <v>200</v>
      </c>
      <c r="AX98" s="1">
        <f>R98-Q98</f>
        <v>150</v>
      </c>
      <c r="AY98" s="1">
        <f>S98-R98</f>
        <v>220</v>
      </c>
      <c r="AZ98" s="1">
        <f>T98-S98</f>
        <v>220</v>
      </c>
      <c r="BA98" s="1">
        <f>U98-T98</f>
        <v>150</v>
      </c>
      <c r="BB98" s="1">
        <f>V98-U98</f>
        <v>170</v>
      </c>
      <c r="BC98" s="1">
        <f>W98-V98</f>
        <v>190</v>
      </c>
      <c r="BD98" s="1">
        <f>X98-W98</f>
        <v>160</v>
      </c>
      <c r="BE98" s="1">
        <f>Y98-X98</f>
        <v>270</v>
      </c>
      <c r="BF98" s="1">
        <f>Z98-Y98</f>
        <v>430</v>
      </c>
    </row>
    <row r="99" spans="1:58">
      <c r="A99" s="1">
        <v>97</v>
      </c>
      <c r="B99" s="1">
        <v>502460</v>
      </c>
      <c r="C99" s="1">
        <v>502590</v>
      </c>
      <c r="D99" s="1">
        <v>502840</v>
      </c>
      <c r="E99" s="1">
        <v>503010</v>
      </c>
      <c r="F99" s="1">
        <v>503220</v>
      </c>
      <c r="G99" s="1">
        <v>503400</v>
      </c>
      <c r="H99" s="1">
        <v>503580</v>
      </c>
      <c r="I99" s="1">
        <v>503780</v>
      </c>
      <c r="J99" s="1">
        <v>503940</v>
      </c>
      <c r="K99" s="1">
        <v>504150</v>
      </c>
      <c r="L99" s="1">
        <v>504360</v>
      </c>
      <c r="M99" s="1">
        <v>504560</v>
      </c>
      <c r="N99" s="1">
        <v>504780</v>
      </c>
      <c r="O99" s="1">
        <v>504940</v>
      </c>
      <c r="P99" s="1">
        <v>505150</v>
      </c>
      <c r="Q99" s="1">
        <v>505350</v>
      </c>
      <c r="R99" s="1">
        <v>505530</v>
      </c>
      <c r="S99" s="1">
        <v>505720</v>
      </c>
      <c r="T99" s="1">
        <v>505950</v>
      </c>
      <c r="U99" s="1">
        <v>506140</v>
      </c>
      <c r="V99" s="1">
        <v>506330</v>
      </c>
      <c r="W99" s="1">
        <v>506510</v>
      </c>
      <c r="X99" s="1">
        <v>506690</v>
      </c>
      <c r="Y99" s="1">
        <v>506920</v>
      </c>
      <c r="Z99" s="1">
        <v>507320</v>
      </c>
      <c r="AA99" s="5">
        <f>AVERAGE(B99:Y99)</f>
        <v>504662.5</v>
      </c>
      <c r="AB99" s="5">
        <f>(AA100-AA98)/2</f>
        <v>4887.083333333343</v>
      </c>
      <c r="AC99" s="14">
        <f>AB99/(23+AB151)</f>
        <v>195.92178849509352</v>
      </c>
      <c r="AD99" s="5">
        <f>AA99-AA98</f>
        <v>4880</v>
      </c>
      <c r="AE99" s="1">
        <f>AD99-AD98</f>
        <v>0</v>
      </c>
      <c r="AG99" s="5">
        <f>Z99-Y99</f>
        <v>400</v>
      </c>
      <c r="AI99" s="1">
        <f>C99-B99</f>
        <v>130</v>
      </c>
      <c r="AJ99" s="1">
        <f>D99-C99</f>
        <v>250</v>
      </c>
      <c r="AK99" s="1">
        <f>E99-D99</f>
        <v>170</v>
      </c>
      <c r="AL99" s="1">
        <f>F99-E99</f>
        <v>210</v>
      </c>
      <c r="AM99" s="1">
        <f>G99-F99</f>
        <v>180</v>
      </c>
      <c r="AN99" s="1">
        <f>H99-G99</f>
        <v>180</v>
      </c>
      <c r="AO99" s="1">
        <f>I99-H99</f>
        <v>200</v>
      </c>
      <c r="AP99" s="1">
        <f>J99-I99</f>
        <v>160</v>
      </c>
      <c r="AQ99" s="1">
        <f>K99-J99</f>
        <v>210</v>
      </c>
      <c r="AR99" s="1">
        <f>L99-K99</f>
        <v>210</v>
      </c>
      <c r="AS99" s="1">
        <f>M99-L99</f>
        <v>200</v>
      </c>
      <c r="AT99" s="1">
        <f>N99-M99</f>
        <v>220</v>
      </c>
      <c r="AU99" s="1">
        <f>O99-N99</f>
        <v>160</v>
      </c>
      <c r="AV99" s="1">
        <f>P99-O99</f>
        <v>210</v>
      </c>
      <c r="AW99" s="1">
        <f>Q99-P99</f>
        <v>200</v>
      </c>
      <c r="AX99" s="1">
        <f>R99-Q99</f>
        <v>180</v>
      </c>
      <c r="AY99" s="1">
        <f>S99-R99</f>
        <v>190</v>
      </c>
      <c r="AZ99" s="1">
        <f>T99-S99</f>
        <v>230</v>
      </c>
      <c r="BA99" s="1">
        <f>U99-T99</f>
        <v>190</v>
      </c>
      <c r="BB99" s="1">
        <f>V99-U99</f>
        <v>190</v>
      </c>
      <c r="BC99" s="1">
        <f>W99-V99</f>
        <v>180</v>
      </c>
      <c r="BD99" s="1">
        <f>X99-W99</f>
        <v>180</v>
      </c>
      <c r="BE99" s="1">
        <f>Y99-X99</f>
        <v>230</v>
      </c>
      <c r="BF99" s="1">
        <f>Z99-Y99</f>
        <v>400</v>
      </c>
    </row>
    <row r="100" spans="1:58">
      <c r="A100" s="1">
        <v>98</v>
      </c>
      <c r="B100" s="1">
        <v>507320</v>
      </c>
      <c r="C100" s="1">
        <v>507540</v>
      </c>
      <c r="D100" s="1">
        <v>507710</v>
      </c>
      <c r="E100" s="1">
        <v>507920</v>
      </c>
      <c r="F100" s="1">
        <v>508100</v>
      </c>
      <c r="G100" s="1">
        <v>508320</v>
      </c>
      <c r="H100" s="1">
        <v>508470</v>
      </c>
      <c r="I100" s="1">
        <v>508670</v>
      </c>
      <c r="J100" s="1">
        <v>508840</v>
      </c>
      <c r="K100" s="1">
        <v>509050</v>
      </c>
      <c r="L100" s="1">
        <v>509220</v>
      </c>
      <c r="M100" s="1">
        <v>509480</v>
      </c>
      <c r="N100" s="1">
        <v>509670</v>
      </c>
      <c r="O100" s="1">
        <v>509850</v>
      </c>
      <c r="P100" s="1">
        <v>509990</v>
      </c>
      <c r="Q100" s="1">
        <v>510220</v>
      </c>
      <c r="R100" s="1">
        <v>510440</v>
      </c>
      <c r="S100" s="1">
        <v>510640</v>
      </c>
      <c r="T100" s="1">
        <v>510810</v>
      </c>
      <c r="U100" s="1">
        <v>511030</v>
      </c>
      <c r="V100" s="1">
        <v>511210</v>
      </c>
      <c r="W100" s="1">
        <v>511440</v>
      </c>
      <c r="X100" s="1">
        <v>511620</v>
      </c>
      <c r="Y100" s="1">
        <v>511800</v>
      </c>
      <c r="Z100" s="1">
        <v>512210</v>
      </c>
      <c r="AA100" s="5">
        <f>AVERAGE(B100:Y100)</f>
        <v>509556.66666666669</v>
      </c>
      <c r="AB100" s="5">
        <f>(AA101-AA99)/2</f>
        <v>4893.541666666657</v>
      </c>
      <c r="AC100" s="14">
        <f>AB100/(23+AB151)</f>
        <v>196.18070125165119</v>
      </c>
      <c r="AD100" s="5">
        <f>AA100-AA99</f>
        <v>4894.1666666666861</v>
      </c>
      <c r="AE100" s="1">
        <f>AD100-AD99</f>
        <v>14.166666666686069</v>
      </c>
      <c r="AG100" s="5">
        <f>Z100-Y100</f>
        <v>410</v>
      </c>
      <c r="AI100" s="1">
        <f>C100-B100</f>
        <v>220</v>
      </c>
      <c r="AJ100" s="1">
        <f>D100-C100</f>
        <v>170</v>
      </c>
      <c r="AK100" s="1">
        <f>E100-D100</f>
        <v>210</v>
      </c>
      <c r="AL100" s="1">
        <f>F100-E100</f>
        <v>180</v>
      </c>
      <c r="AM100" s="1">
        <f>G100-F100</f>
        <v>220</v>
      </c>
      <c r="AN100" s="1">
        <f>H100-G100</f>
        <v>150</v>
      </c>
      <c r="AO100" s="1">
        <f>I100-H100</f>
        <v>200</v>
      </c>
      <c r="AP100" s="1">
        <f>J100-I100</f>
        <v>170</v>
      </c>
      <c r="AQ100" s="1">
        <f>K100-J100</f>
        <v>210</v>
      </c>
      <c r="AR100" s="1">
        <f>L100-K100</f>
        <v>170</v>
      </c>
      <c r="AS100" s="1">
        <f>M100-L100</f>
        <v>260</v>
      </c>
      <c r="AT100" s="1">
        <f>N100-M100</f>
        <v>190</v>
      </c>
      <c r="AU100" s="1">
        <f>O100-N100</f>
        <v>180</v>
      </c>
      <c r="AV100" s="1">
        <f>P100-O100</f>
        <v>140</v>
      </c>
      <c r="AW100" s="1">
        <f>Q100-P100</f>
        <v>230</v>
      </c>
      <c r="AX100" s="1">
        <f>R100-Q100</f>
        <v>220</v>
      </c>
      <c r="AY100" s="1">
        <f>S100-R100</f>
        <v>200</v>
      </c>
      <c r="AZ100" s="1">
        <f>T100-S100</f>
        <v>170</v>
      </c>
      <c r="BA100" s="1">
        <f>U100-T100</f>
        <v>220</v>
      </c>
      <c r="BB100" s="1">
        <f>V100-U100</f>
        <v>180</v>
      </c>
      <c r="BC100" s="1">
        <f>W100-V100</f>
        <v>230</v>
      </c>
      <c r="BD100" s="1">
        <f>X100-W100</f>
        <v>180</v>
      </c>
      <c r="BE100" s="1">
        <f>Y100-X100</f>
        <v>180</v>
      </c>
      <c r="BF100" s="1">
        <f>Z100-Y100</f>
        <v>410</v>
      </c>
    </row>
    <row r="101" spans="1:58">
      <c r="A101" s="1">
        <v>99</v>
      </c>
      <c r="B101" s="1">
        <v>512210</v>
      </c>
      <c r="C101" s="1">
        <v>512480</v>
      </c>
      <c r="D101" s="1">
        <v>512560</v>
      </c>
      <c r="E101" s="1">
        <v>512800</v>
      </c>
      <c r="F101" s="1">
        <v>512990</v>
      </c>
      <c r="G101" s="1">
        <v>513170</v>
      </c>
      <c r="H101" s="1">
        <v>513360</v>
      </c>
      <c r="I101" s="1">
        <v>513570</v>
      </c>
      <c r="J101" s="1">
        <v>513750</v>
      </c>
      <c r="K101" s="1">
        <v>513940</v>
      </c>
      <c r="L101" s="1">
        <v>514130</v>
      </c>
      <c r="M101" s="1">
        <v>514330</v>
      </c>
      <c r="N101" s="1">
        <v>514550</v>
      </c>
      <c r="O101" s="1">
        <v>514740</v>
      </c>
      <c r="P101" s="1">
        <v>514960</v>
      </c>
      <c r="Q101" s="1">
        <v>515110</v>
      </c>
      <c r="R101" s="1">
        <v>515360</v>
      </c>
      <c r="S101" s="1">
        <v>515500</v>
      </c>
      <c r="T101" s="1">
        <v>515690</v>
      </c>
      <c r="U101" s="1">
        <v>515890</v>
      </c>
      <c r="V101" s="1">
        <v>516120</v>
      </c>
      <c r="W101" s="1">
        <v>516340</v>
      </c>
      <c r="X101" s="1">
        <v>516520</v>
      </c>
      <c r="Y101" s="1">
        <v>516720</v>
      </c>
      <c r="Z101" s="1">
        <v>517070</v>
      </c>
      <c r="AA101" s="5">
        <f>AVERAGE(B101:Y101)</f>
        <v>514449.58333333331</v>
      </c>
      <c r="AB101" s="5">
        <f>(AA102-AA100)/2</f>
        <v>4875.2083333333139</v>
      </c>
      <c r="AC101" s="14">
        <f>AB101/(23+AB151)</f>
        <v>195.44572310400102</v>
      </c>
      <c r="AD101" s="5">
        <f>AA101-AA100</f>
        <v>4892.9166666666279</v>
      </c>
      <c r="AE101" s="1">
        <f>AD101-AD100</f>
        <v>-1.2500000000582077</v>
      </c>
      <c r="AG101" s="5">
        <f>Z101-Y101</f>
        <v>350</v>
      </c>
      <c r="AI101" s="1">
        <f>C101-B101</f>
        <v>270</v>
      </c>
      <c r="AJ101" s="1">
        <f>D101-C101</f>
        <v>80</v>
      </c>
      <c r="AK101" s="1">
        <f>E101-D101</f>
        <v>240</v>
      </c>
      <c r="AL101" s="1">
        <f>F101-E101</f>
        <v>190</v>
      </c>
      <c r="AM101" s="1">
        <f>G101-F101</f>
        <v>180</v>
      </c>
      <c r="AN101" s="1">
        <f>H101-G101</f>
        <v>190</v>
      </c>
      <c r="AO101" s="1">
        <f>I101-H101</f>
        <v>210</v>
      </c>
      <c r="AP101" s="1">
        <f>J101-I101</f>
        <v>180</v>
      </c>
      <c r="AQ101" s="1">
        <f>K101-J101</f>
        <v>190</v>
      </c>
      <c r="AR101" s="1">
        <f>L101-K101</f>
        <v>190</v>
      </c>
      <c r="AS101" s="1">
        <f>M101-L101</f>
        <v>200</v>
      </c>
      <c r="AT101" s="1">
        <f>N101-M101</f>
        <v>220</v>
      </c>
      <c r="AU101" s="1">
        <f>O101-N101</f>
        <v>190</v>
      </c>
      <c r="AV101" s="1">
        <f>P101-O101</f>
        <v>220</v>
      </c>
      <c r="AW101" s="1">
        <f>Q101-P101</f>
        <v>150</v>
      </c>
      <c r="AX101" s="1">
        <f>R101-Q101</f>
        <v>250</v>
      </c>
      <c r="AY101" s="1">
        <f>S101-R101</f>
        <v>140</v>
      </c>
      <c r="AZ101" s="1">
        <f>T101-S101</f>
        <v>190</v>
      </c>
      <c r="BA101" s="1">
        <f>U101-T101</f>
        <v>200</v>
      </c>
      <c r="BB101" s="1">
        <f>V101-U101</f>
        <v>230</v>
      </c>
      <c r="BC101" s="1">
        <f>W101-V101</f>
        <v>220</v>
      </c>
      <c r="BD101" s="1">
        <f>X101-W101</f>
        <v>180</v>
      </c>
      <c r="BE101" s="1">
        <f>Y101-X101</f>
        <v>200</v>
      </c>
      <c r="BF101" s="1">
        <f>Z101-Y101</f>
        <v>350</v>
      </c>
    </row>
    <row r="102" spans="1:58">
      <c r="A102" s="1">
        <v>100</v>
      </c>
      <c r="B102" s="1">
        <v>517070</v>
      </c>
      <c r="C102" s="1">
        <v>517270</v>
      </c>
      <c r="D102" s="1">
        <v>517410</v>
      </c>
      <c r="E102" s="1">
        <v>517660</v>
      </c>
      <c r="F102" s="1">
        <v>517860</v>
      </c>
      <c r="G102" s="1">
        <v>518070</v>
      </c>
      <c r="H102" s="1">
        <v>518260</v>
      </c>
      <c r="I102" s="1">
        <v>518410</v>
      </c>
      <c r="J102" s="1">
        <v>518620</v>
      </c>
      <c r="K102" s="1">
        <v>518850</v>
      </c>
      <c r="L102" s="1">
        <v>519030</v>
      </c>
      <c r="M102" s="1">
        <v>519230</v>
      </c>
      <c r="N102" s="1">
        <v>519400</v>
      </c>
      <c r="O102" s="1">
        <v>519560</v>
      </c>
      <c r="P102" s="1">
        <v>519780</v>
      </c>
      <c r="Q102" s="1">
        <v>519940</v>
      </c>
      <c r="R102" s="1">
        <v>520200</v>
      </c>
      <c r="S102" s="1">
        <v>520400</v>
      </c>
      <c r="T102" s="1">
        <v>520570</v>
      </c>
      <c r="U102" s="1">
        <v>520800</v>
      </c>
      <c r="V102" s="1">
        <v>520940</v>
      </c>
      <c r="W102" s="1">
        <v>521140</v>
      </c>
      <c r="X102" s="1">
        <v>521370</v>
      </c>
      <c r="Y102" s="1">
        <v>521530</v>
      </c>
      <c r="Z102" s="1">
        <v>521920</v>
      </c>
      <c r="AA102" s="5">
        <f>AVERAGE(B102:Y102)</f>
        <v>519307.08333333331</v>
      </c>
      <c r="AB102" s="5">
        <f>(AA103-AA101)/2</f>
        <v>4854.583333333343</v>
      </c>
      <c r="AC102" s="14">
        <f>AB102/(23+AB151)</f>
        <v>194.61887268789621</v>
      </c>
      <c r="AD102" s="5">
        <f>AA102-AA101</f>
        <v>4857.5</v>
      </c>
      <c r="AE102" s="1">
        <f>AD102-AD101</f>
        <v>-35.416666666627862</v>
      </c>
      <c r="AG102" s="5">
        <f>Z102-Y102</f>
        <v>390</v>
      </c>
      <c r="AI102" s="1">
        <f>C102-B102</f>
        <v>200</v>
      </c>
      <c r="AJ102" s="1">
        <f>D102-C102</f>
        <v>140</v>
      </c>
      <c r="AK102" s="1">
        <f>E102-D102</f>
        <v>250</v>
      </c>
      <c r="AL102" s="1">
        <f>F102-E102</f>
        <v>200</v>
      </c>
      <c r="AM102" s="1">
        <f>G102-F102</f>
        <v>210</v>
      </c>
      <c r="AN102" s="1">
        <f>H102-G102</f>
        <v>190</v>
      </c>
      <c r="AO102" s="1">
        <f>I102-H102</f>
        <v>150</v>
      </c>
      <c r="AP102" s="1">
        <f>J102-I102</f>
        <v>210</v>
      </c>
      <c r="AQ102" s="1">
        <f>K102-J102</f>
        <v>230</v>
      </c>
      <c r="AR102" s="1">
        <f>L102-K102</f>
        <v>180</v>
      </c>
      <c r="AS102" s="1">
        <f>M102-L102</f>
        <v>200</v>
      </c>
      <c r="AT102" s="1">
        <f>N102-M102</f>
        <v>170</v>
      </c>
      <c r="AU102" s="1">
        <f>O102-N102</f>
        <v>160</v>
      </c>
      <c r="AV102" s="1">
        <f>P102-O102</f>
        <v>220</v>
      </c>
      <c r="AW102" s="1">
        <f>Q102-P102</f>
        <v>160</v>
      </c>
      <c r="AX102" s="1">
        <f>R102-Q102</f>
        <v>260</v>
      </c>
      <c r="AY102" s="1">
        <f>S102-R102</f>
        <v>200</v>
      </c>
      <c r="AZ102" s="1">
        <f>T102-S102</f>
        <v>170</v>
      </c>
      <c r="BA102" s="1">
        <f>U102-T102</f>
        <v>230</v>
      </c>
      <c r="BB102" s="1">
        <f>V102-U102</f>
        <v>140</v>
      </c>
      <c r="BC102" s="1">
        <f>W102-V102</f>
        <v>200</v>
      </c>
      <c r="BD102" s="1">
        <f>X102-W102</f>
        <v>230</v>
      </c>
      <c r="BE102" s="1">
        <f>Y102-X102</f>
        <v>160</v>
      </c>
      <c r="BF102" s="1">
        <f>Z102-Y102</f>
        <v>390</v>
      </c>
    </row>
    <row r="103" spans="1:58">
      <c r="A103" s="1">
        <v>101</v>
      </c>
      <c r="B103" s="1">
        <v>521920</v>
      </c>
      <c r="C103" s="1">
        <v>522110</v>
      </c>
      <c r="D103" s="1">
        <v>522290</v>
      </c>
      <c r="E103" s="1">
        <v>522540</v>
      </c>
      <c r="F103" s="1">
        <v>522700</v>
      </c>
      <c r="G103" s="1">
        <v>522930</v>
      </c>
      <c r="H103" s="1">
        <v>523110</v>
      </c>
      <c r="I103" s="1">
        <v>523270</v>
      </c>
      <c r="J103" s="1">
        <v>523480</v>
      </c>
      <c r="K103" s="1">
        <v>523670</v>
      </c>
      <c r="L103" s="1">
        <v>523840</v>
      </c>
      <c r="M103" s="1">
        <v>524040</v>
      </c>
      <c r="N103" s="1">
        <v>524230</v>
      </c>
      <c r="O103" s="1">
        <v>524480</v>
      </c>
      <c r="P103" s="1">
        <v>524640</v>
      </c>
      <c r="Q103" s="1">
        <v>524850</v>
      </c>
      <c r="R103" s="1">
        <v>525040</v>
      </c>
      <c r="S103" s="1">
        <v>525220</v>
      </c>
      <c r="T103" s="1">
        <v>525400</v>
      </c>
      <c r="U103" s="1">
        <v>525640</v>
      </c>
      <c r="V103" s="1">
        <v>525790</v>
      </c>
      <c r="W103" s="1">
        <v>526020</v>
      </c>
      <c r="X103" s="1">
        <v>526210</v>
      </c>
      <c r="Y103" s="1">
        <v>526390</v>
      </c>
      <c r="Z103" s="1">
        <v>526770</v>
      </c>
      <c r="AA103" s="5">
        <f>AVERAGE(B103:Y103)</f>
        <v>524158.75</v>
      </c>
      <c r="AB103" s="5">
        <f>(AA104-AA102)/2</f>
        <v>4860.6250000000291</v>
      </c>
      <c r="AC103" s="14">
        <f>AB103/(23+AB151)</f>
        <v>194.86108139564519</v>
      </c>
      <c r="AD103" s="5">
        <f>AA103-AA102</f>
        <v>4851.6666666666861</v>
      </c>
      <c r="AE103" s="1">
        <f>AD103-AD102</f>
        <v>-5.8333333333139308</v>
      </c>
      <c r="AG103" s="5">
        <f>Z103-Y103</f>
        <v>380</v>
      </c>
      <c r="AI103" s="1">
        <f>C103-B103</f>
        <v>190</v>
      </c>
      <c r="AJ103" s="1">
        <f>D103-C103</f>
        <v>180</v>
      </c>
      <c r="AK103" s="1">
        <f>E103-D103</f>
        <v>250</v>
      </c>
      <c r="AL103" s="1">
        <f>F103-E103</f>
        <v>160</v>
      </c>
      <c r="AM103" s="1">
        <f>G103-F103</f>
        <v>230</v>
      </c>
      <c r="AN103" s="1">
        <f>H103-G103</f>
        <v>180</v>
      </c>
      <c r="AO103" s="1">
        <f>I103-H103</f>
        <v>160</v>
      </c>
      <c r="AP103" s="1">
        <f>J103-I103</f>
        <v>210</v>
      </c>
      <c r="AQ103" s="1">
        <f>K103-J103</f>
        <v>190</v>
      </c>
      <c r="AR103" s="1">
        <f>L103-K103</f>
        <v>170</v>
      </c>
      <c r="AS103" s="1">
        <f>M103-L103</f>
        <v>200</v>
      </c>
      <c r="AT103" s="1">
        <f>N103-M103</f>
        <v>190</v>
      </c>
      <c r="AU103" s="1">
        <f>O103-N103</f>
        <v>250</v>
      </c>
      <c r="AV103" s="1">
        <f>P103-O103</f>
        <v>160</v>
      </c>
      <c r="AW103" s="1">
        <f>Q103-P103</f>
        <v>210</v>
      </c>
      <c r="AX103" s="1">
        <f>R103-Q103</f>
        <v>190</v>
      </c>
      <c r="AY103" s="1">
        <f>S103-R103</f>
        <v>180</v>
      </c>
      <c r="AZ103" s="1">
        <f>T103-S103</f>
        <v>180</v>
      </c>
      <c r="BA103" s="1">
        <f>U103-T103</f>
        <v>240</v>
      </c>
      <c r="BB103" s="1">
        <f>V103-U103</f>
        <v>150</v>
      </c>
      <c r="BC103" s="1">
        <f>W103-V103</f>
        <v>230</v>
      </c>
      <c r="BD103" s="1">
        <f>X103-W103</f>
        <v>190</v>
      </c>
      <c r="BE103" s="1">
        <f>Y103-X103</f>
        <v>180</v>
      </c>
      <c r="BF103" s="1">
        <f>Z103-Y103</f>
        <v>380</v>
      </c>
    </row>
    <row r="104" spans="1:58">
      <c r="A104" s="1">
        <v>102</v>
      </c>
      <c r="B104" s="1">
        <v>526770</v>
      </c>
      <c r="C104" s="1">
        <v>526960</v>
      </c>
      <c r="D104" s="1">
        <v>527200</v>
      </c>
      <c r="E104" s="1">
        <v>527400</v>
      </c>
      <c r="F104" s="1">
        <v>527580</v>
      </c>
      <c r="G104" s="1">
        <v>527820</v>
      </c>
      <c r="H104" s="1">
        <v>527960</v>
      </c>
      <c r="I104" s="1">
        <v>528140</v>
      </c>
      <c r="J104" s="1">
        <v>528340</v>
      </c>
      <c r="K104" s="1">
        <v>528530</v>
      </c>
      <c r="L104" s="1">
        <v>528730</v>
      </c>
      <c r="M104" s="1">
        <v>528940</v>
      </c>
      <c r="N104" s="1">
        <v>529080</v>
      </c>
      <c r="O104" s="1">
        <v>529270</v>
      </c>
      <c r="P104" s="1">
        <v>529510</v>
      </c>
      <c r="Q104" s="1">
        <v>529740</v>
      </c>
      <c r="R104" s="1">
        <v>529910</v>
      </c>
      <c r="S104" s="1">
        <v>530090</v>
      </c>
      <c r="T104" s="1">
        <v>530300</v>
      </c>
      <c r="U104" s="1">
        <v>530470</v>
      </c>
      <c r="V104" s="1">
        <v>530690</v>
      </c>
      <c r="W104" s="1">
        <v>530870</v>
      </c>
      <c r="X104" s="1">
        <v>531080</v>
      </c>
      <c r="Y104" s="1">
        <v>531300</v>
      </c>
      <c r="Z104" s="1">
        <v>531600</v>
      </c>
      <c r="AA104" s="5">
        <f>AVERAGE(B104:Y104)</f>
        <v>529028.33333333337</v>
      </c>
      <c r="AB104" s="5">
        <f>(AA105-AA103)/2</f>
        <v>4860.4166666666861</v>
      </c>
      <c r="AC104" s="14">
        <f>AB104/(23+AB151)</f>
        <v>194.85272937123969</v>
      </c>
      <c r="AD104" s="5">
        <f>AA104-AA103</f>
        <v>4869.5833333333721</v>
      </c>
      <c r="AE104" s="1">
        <f>AD104-AD103</f>
        <v>17.916666666686069</v>
      </c>
      <c r="AG104" s="5">
        <f>Z104-Y104</f>
        <v>300</v>
      </c>
      <c r="AI104" s="1">
        <f>C104-B104</f>
        <v>190</v>
      </c>
      <c r="AJ104" s="1">
        <f>D104-C104</f>
        <v>240</v>
      </c>
      <c r="AK104" s="1">
        <f>E104-D104</f>
        <v>200</v>
      </c>
      <c r="AL104" s="1">
        <f>F104-E104</f>
        <v>180</v>
      </c>
      <c r="AM104" s="1">
        <f>G104-F104</f>
        <v>240</v>
      </c>
      <c r="AN104" s="1">
        <f>H104-G104</f>
        <v>140</v>
      </c>
      <c r="AO104" s="1">
        <f>I104-H104</f>
        <v>180</v>
      </c>
      <c r="AP104" s="1">
        <f>J104-I104</f>
        <v>200</v>
      </c>
      <c r="AQ104" s="1">
        <f>K104-J104</f>
        <v>190</v>
      </c>
      <c r="AR104" s="1">
        <f>L104-K104</f>
        <v>200</v>
      </c>
      <c r="AS104" s="1">
        <f>M104-L104</f>
        <v>210</v>
      </c>
      <c r="AT104" s="1">
        <f>N104-M104</f>
        <v>140</v>
      </c>
      <c r="AU104" s="1">
        <f>O104-N104</f>
        <v>190</v>
      </c>
      <c r="AV104" s="1">
        <f>P104-O104</f>
        <v>240</v>
      </c>
      <c r="AW104" s="1">
        <f>Q104-P104</f>
        <v>230</v>
      </c>
      <c r="AX104" s="1">
        <f>R104-Q104</f>
        <v>170</v>
      </c>
      <c r="AY104" s="1">
        <f>S104-R104</f>
        <v>180</v>
      </c>
      <c r="AZ104" s="1">
        <f>T104-S104</f>
        <v>210</v>
      </c>
      <c r="BA104" s="1">
        <f>U104-T104</f>
        <v>170</v>
      </c>
      <c r="BB104" s="1">
        <f>V104-U104</f>
        <v>220</v>
      </c>
      <c r="BC104" s="1">
        <f>W104-V104</f>
        <v>180</v>
      </c>
      <c r="BD104" s="1">
        <f>X104-W104</f>
        <v>210</v>
      </c>
      <c r="BE104" s="1">
        <f>Y104-X104</f>
        <v>220</v>
      </c>
      <c r="BF104" s="1">
        <f>Z104-Y104</f>
        <v>300</v>
      </c>
    </row>
    <row r="105" spans="1:58">
      <c r="A105" s="1">
        <v>103</v>
      </c>
      <c r="B105" s="1">
        <v>531600</v>
      </c>
      <c r="C105" s="1">
        <v>531820</v>
      </c>
      <c r="D105" s="1">
        <v>532020</v>
      </c>
      <c r="E105" s="1">
        <v>532240</v>
      </c>
      <c r="F105" s="1">
        <v>532420</v>
      </c>
      <c r="G105" s="1">
        <v>532640</v>
      </c>
      <c r="H105" s="1">
        <v>532810</v>
      </c>
      <c r="I105" s="1">
        <v>533000</v>
      </c>
      <c r="J105" s="1">
        <v>533220</v>
      </c>
      <c r="K105" s="1">
        <v>533440</v>
      </c>
      <c r="L105" s="1">
        <v>533590</v>
      </c>
      <c r="M105" s="1">
        <v>533780</v>
      </c>
      <c r="N105" s="1">
        <v>533980</v>
      </c>
      <c r="O105" s="1">
        <v>534150</v>
      </c>
      <c r="P105" s="1">
        <v>534350</v>
      </c>
      <c r="Q105" s="1">
        <v>534550</v>
      </c>
      <c r="R105" s="1">
        <v>534750</v>
      </c>
      <c r="S105" s="1">
        <v>534910</v>
      </c>
      <c r="T105" s="1">
        <v>535130</v>
      </c>
      <c r="U105" s="1">
        <v>535360</v>
      </c>
      <c r="V105" s="1">
        <v>535550</v>
      </c>
      <c r="W105" s="1">
        <v>535760</v>
      </c>
      <c r="X105" s="1">
        <v>535930</v>
      </c>
      <c r="Y105" s="1">
        <v>536110</v>
      </c>
      <c r="Z105" s="1">
        <v>536500</v>
      </c>
      <c r="AA105" s="5">
        <f>AVERAGE(B105:Y105)</f>
        <v>533879.58333333337</v>
      </c>
      <c r="AB105" s="5">
        <f>(AA106-AA104)/2</f>
        <v>4857.0833333333139</v>
      </c>
      <c r="AC105" s="14">
        <f>AB105/(23+AB151)</f>
        <v>194.71909698075638</v>
      </c>
      <c r="AD105" s="5">
        <f>AA105-AA104</f>
        <v>4851.25</v>
      </c>
      <c r="AE105" s="1">
        <f>AD105-AD104</f>
        <v>-18.333333333372138</v>
      </c>
      <c r="AG105" s="5">
        <f>Z105-Y105</f>
        <v>390</v>
      </c>
      <c r="AI105" s="1">
        <f>C105-B105</f>
        <v>220</v>
      </c>
      <c r="AJ105" s="1">
        <f>D105-C105</f>
        <v>200</v>
      </c>
      <c r="AK105" s="1">
        <f>E105-D105</f>
        <v>220</v>
      </c>
      <c r="AL105" s="1">
        <f>F105-E105</f>
        <v>180</v>
      </c>
      <c r="AM105" s="1">
        <f>G105-F105</f>
        <v>220</v>
      </c>
      <c r="AN105" s="1">
        <f>H105-G105</f>
        <v>170</v>
      </c>
      <c r="AO105" s="1">
        <f>I105-H105</f>
        <v>190</v>
      </c>
      <c r="AP105" s="1">
        <f>J105-I105</f>
        <v>220</v>
      </c>
      <c r="AQ105" s="1">
        <f>K105-J105</f>
        <v>220</v>
      </c>
      <c r="AR105" s="1">
        <f>L105-K105</f>
        <v>150</v>
      </c>
      <c r="AS105" s="1">
        <f>M105-L105</f>
        <v>190</v>
      </c>
      <c r="AT105" s="1">
        <f>N105-M105</f>
        <v>200</v>
      </c>
      <c r="AU105" s="1">
        <f>O105-N105</f>
        <v>170</v>
      </c>
      <c r="AV105" s="1">
        <f>P105-O105</f>
        <v>200</v>
      </c>
      <c r="AW105" s="1">
        <f>Q105-P105</f>
        <v>200</v>
      </c>
      <c r="AX105" s="1">
        <f>R105-Q105</f>
        <v>200</v>
      </c>
      <c r="AY105" s="1">
        <f>S105-R105</f>
        <v>160</v>
      </c>
      <c r="AZ105" s="1">
        <f>T105-S105</f>
        <v>220</v>
      </c>
      <c r="BA105" s="1">
        <f>U105-T105</f>
        <v>230</v>
      </c>
      <c r="BB105" s="1">
        <f>V105-U105</f>
        <v>190</v>
      </c>
      <c r="BC105" s="1">
        <f>W105-V105</f>
        <v>210</v>
      </c>
      <c r="BD105" s="1">
        <f>X105-W105</f>
        <v>170</v>
      </c>
      <c r="BE105" s="1">
        <f>Y105-X105</f>
        <v>180</v>
      </c>
      <c r="BF105" s="1">
        <f>Z105-Y105</f>
        <v>390</v>
      </c>
    </row>
    <row r="106" spans="1:58">
      <c r="A106" s="1">
        <v>104</v>
      </c>
      <c r="B106" s="1">
        <v>536500</v>
      </c>
      <c r="C106" s="1">
        <v>536710</v>
      </c>
      <c r="D106" s="1">
        <v>536920</v>
      </c>
      <c r="E106" s="1">
        <v>537100</v>
      </c>
      <c r="F106" s="1">
        <v>537300</v>
      </c>
      <c r="G106" s="1">
        <v>537470</v>
      </c>
      <c r="H106" s="1">
        <v>537630</v>
      </c>
      <c r="I106" s="1">
        <v>537860</v>
      </c>
      <c r="J106" s="1">
        <v>538050</v>
      </c>
      <c r="K106" s="1">
        <v>538270</v>
      </c>
      <c r="L106" s="1">
        <v>538440</v>
      </c>
      <c r="M106" s="1">
        <v>538630</v>
      </c>
      <c r="N106" s="1">
        <v>538840</v>
      </c>
      <c r="O106" s="1">
        <v>539050</v>
      </c>
      <c r="P106" s="1">
        <v>539220</v>
      </c>
      <c r="Q106" s="1">
        <v>539450</v>
      </c>
      <c r="R106" s="1">
        <v>539570</v>
      </c>
      <c r="S106" s="1">
        <v>539780</v>
      </c>
      <c r="T106" s="1">
        <v>540010</v>
      </c>
      <c r="U106" s="1">
        <v>540260</v>
      </c>
      <c r="V106" s="1">
        <v>540380</v>
      </c>
      <c r="W106" s="1">
        <v>540600</v>
      </c>
      <c r="X106" s="1">
        <v>540810</v>
      </c>
      <c r="Y106" s="1">
        <v>540970</v>
      </c>
      <c r="Z106" s="1">
        <v>541350</v>
      </c>
      <c r="AA106" s="5">
        <f>AVERAGE(B106:Y106)</f>
        <v>538742.5</v>
      </c>
      <c r="AB106" s="5">
        <f>(AA107-AA105)/2</f>
        <v>4866.25</v>
      </c>
      <c r="AC106" s="14">
        <f>AB106/(23+AB151)</f>
        <v>195.08658605458203</v>
      </c>
      <c r="AD106" s="5">
        <f>AA106-AA105</f>
        <v>4862.9166666666279</v>
      </c>
      <c r="AE106" s="1">
        <f>AD106-AD105</f>
        <v>11.666666666627862</v>
      </c>
      <c r="AG106" s="5">
        <f>Z106-Y106</f>
        <v>380</v>
      </c>
      <c r="AI106" s="1">
        <f>C106-B106</f>
        <v>210</v>
      </c>
      <c r="AJ106" s="1">
        <f>D106-C106</f>
        <v>210</v>
      </c>
      <c r="AK106" s="1">
        <f>E106-D106</f>
        <v>180</v>
      </c>
      <c r="AL106" s="1">
        <f>F106-E106</f>
        <v>200</v>
      </c>
      <c r="AM106" s="1">
        <f>G106-F106</f>
        <v>170</v>
      </c>
      <c r="AN106" s="1">
        <f>H106-G106</f>
        <v>160</v>
      </c>
      <c r="AO106" s="1">
        <f>I106-H106</f>
        <v>230</v>
      </c>
      <c r="AP106" s="1">
        <f>J106-I106</f>
        <v>190</v>
      </c>
      <c r="AQ106" s="1">
        <f>K106-J106</f>
        <v>220</v>
      </c>
      <c r="AR106" s="1">
        <f>L106-K106</f>
        <v>170</v>
      </c>
      <c r="AS106" s="1">
        <f>M106-L106</f>
        <v>190</v>
      </c>
      <c r="AT106" s="1">
        <f>N106-M106</f>
        <v>210</v>
      </c>
      <c r="AU106" s="1">
        <f>O106-N106</f>
        <v>210</v>
      </c>
      <c r="AV106" s="1">
        <f>P106-O106</f>
        <v>170</v>
      </c>
      <c r="AW106" s="1">
        <f>Q106-P106</f>
        <v>230</v>
      </c>
      <c r="AX106" s="1">
        <f>R106-Q106</f>
        <v>120</v>
      </c>
      <c r="AY106" s="1">
        <f>S106-R106</f>
        <v>210</v>
      </c>
      <c r="AZ106" s="1">
        <f>T106-S106</f>
        <v>230</v>
      </c>
      <c r="BA106" s="1">
        <f>U106-T106</f>
        <v>250</v>
      </c>
      <c r="BB106" s="1">
        <f>V106-U106</f>
        <v>120</v>
      </c>
      <c r="BC106" s="1">
        <f>W106-V106</f>
        <v>220</v>
      </c>
      <c r="BD106" s="1">
        <f>X106-W106</f>
        <v>210</v>
      </c>
      <c r="BE106" s="1">
        <f>Y106-X106</f>
        <v>160</v>
      </c>
      <c r="BF106" s="1">
        <f>Z106-Y106</f>
        <v>380</v>
      </c>
    </row>
    <row r="107" spans="1:58">
      <c r="A107" s="1">
        <v>105</v>
      </c>
      <c r="B107" s="1">
        <v>541350</v>
      </c>
      <c r="C107" s="1">
        <v>541530</v>
      </c>
      <c r="D107" s="1">
        <v>541750</v>
      </c>
      <c r="E107" s="1">
        <v>541960</v>
      </c>
      <c r="F107" s="1">
        <v>542120</v>
      </c>
      <c r="G107" s="1">
        <v>542360</v>
      </c>
      <c r="H107" s="1">
        <v>542560</v>
      </c>
      <c r="I107" s="1">
        <v>542750</v>
      </c>
      <c r="J107" s="1">
        <v>542950</v>
      </c>
      <c r="K107" s="1">
        <v>543100</v>
      </c>
      <c r="L107" s="1">
        <v>543310</v>
      </c>
      <c r="M107" s="1">
        <v>543520</v>
      </c>
      <c r="N107" s="1">
        <v>543680</v>
      </c>
      <c r="O107" s="1">
        <v>543880</v>
      </c>
      <c r="P107" s="1">
        <v>544080</v>
      </c>
      <c r="Q107" s="1">
        <v>544290</v>
      </c>
      <c r="R107" s="1">
        <v>544480</v>
      </c>
      <c r="S107" s="1">
        <v>544700</v>
      </c>
      <c r="T107" s="1">
        <v>544880</v>
      </c>
      <c r="U107" s="1">
        <v>545110</v>
      </c>
      <c r="V107" s="1">
        <v>545320</v>
      </c>
      <c r="W107" s="1">
        <v>545480</v>
      </c>
      <c r="X107" s="1">
        <v>545660</v>
      </c>
      <c r="Y107" s="1">
        <v>545870</v>
      </c>
      <c r="Z107" s="1">
        <v>546210</v>
      </c>
      <c r="AA107" s="5">
        <f>AVERAGE(B107:Y107)</f>
        <v>543612.08333333337</v>
      </c>
      <c r="AB107" s="5">
        <f>(AA108-AA106)/2</f>
        <v>4872.9166666666861</v>
      </c>
      <c r="AC107" s="14">
        <f>AB107/(23+AB151)</f>
        <v>195.35385083554635</v>
      </c>
      <c r="AD107" s="5">
        <f>AA107-AA106</f>
        <v>4869.5833333333721</v>
      </c>
      <c r="AE107" s="1">
        <f>AD107-AD106</f>
        <v>6.6666666667442769</v>
      </c>
      <c r="AG107" s="5">
        <f>Z107-Y107</f>
        <v>340</v>
      </c>
      <c r="AI107" s="1">
        <f>C107-B107</f>
        <v>180</v>
      </c>
      <c r="AJ107" s="1">
        <f>D107-C107</f>
        <v>220</v>
      </c>
      <c r="AK107" s="1">
        <f>E107-D107</f>
        <v>210</v>
      </c>
      <c r="AL107" s="1">
        <f>F107-E107</f>
        <v>160</v>
      </c>
      <c r="AM107" s="1">
        <f>G107-F107</f>
        <v>240</v>
      </c>
      <c r="AN107" s="1">
        <f>H107-G107</f>
        <v>200</v>
      </c>
      <c r="AO107" s="1">
        <f>I107-H107</f>
        <v>190</v>
      </c>
      <c r="AP107" s="1">
        <f>J107-I107</f>
        <v>200</v>
      </c>
      <c r="AQ107" s="1">
        <f>K107-J107</f>
        <v>150</v>
      </c>
      <c r="AR107" s="1">
        <f>L107-K107</f>
        <v>210</v>
      </c>
      <c r="AS107" s="1">
        <f>M107-L107</f>
        <v>210</v>
      </c>
      <c r="AT107" s="1">
        <f>N107-M107</f>
        <v>160</v>
      </c>
      <c r="AU107" s="1">
        <f>O107-N107</f>
        <v>200</v>
      </c>
      <c r="AV107" s="1">
        <f>P107-O107</f>
        <v>200</v>
      </c>
      <c r="AW107" s="1">
        <f>Q107-P107</f>
        <v>210</v>
      </c>
      <c r="AX107" s="1">
        <f>R107-Q107</f>
        <v>190</v>
      </c>
      <c r="AY107" s="1">
        <f>S107-R107</f>
        <v>220</v>
      </c>
      <c r="AZ107" s="1">
        <f>T107-S107</f>
        <v>180</v>
      </c>
      <c r="BA107" s="1">
        <f>U107-T107</f>
        <v>230</v>
      </c>
      <c r="BB107" s="1">
        <f>V107-U107</f>
        <v>210</v>
      </c>
      <c r="BC107" s="1">
        <f>W107-V107</f>
        <v>160</v>
      </c>
      <c r="BD107" s="1">
        <f>X107-W107</f>
        <v>180</v>
      </c>
      <c r="BE107" s="1">
        <f>Y107-X107</f>
        <v>210</v>
      </c>
      <c r="BF107" s="1">
        <f>Z107-Y107</f>
        <v>340</v>
      </c>
    </row>
    <row r="108" spans="1:58">
      <c r="A108" s="1">
        <v>106</v>
      </c>
      <c r="B108" s="1">
        <v>546210</v>
      </c>
      <c r="C108" s="1">
        <v>546410</v>
      </c>
      <c r="D108" s="1">
        <v>546640</v>
      </c>
      <c r="E108" s="1">
        <v>546810</v>
      </c>
      <c r="F108" s="1">
        <v>546990</v>
      </c>
      <c r="G108" s="1">
        <v>547250</v>
      </c>
      <c r="H108" s="1">
        <v>547450</v>
      </c>
      <c r="I108" s="1">
        <v>547610</v>
      </c>
      <c r="J108" s="1">
        <v>547810</v>
      </c>
      <c r="K108" s="1">
        <v>548050</v>
      </c>
      <c r="L108" s="1">
        <v>548190</v>
      </c>
      <c r="M108" s="1">
        <v>548400</v>
      </c>
      <c r="N108" s="1">
        <v>548590</v>
      </c>
      <c r="O108" s="1">
        <v>548800</v>
      </c>
      <c r="P108" s="1">
        <v>548970</v>
      </c>
      <c r="Q108" s="1">
        <v>549150</v>
      </c>
      <c r="R108" s="1">
        <v>549360</v>
      </c>
      <c r="S108" s="1">
        <v>549550</v>
      </c>
      <c r="T108" s="1">
        <v>549760</v>
      </c>
      <c r="U108" s="1">
        <v>549950</v>
      </c>
      <c r="V108" s="1">
        <v>550170</v>
      </c>
      <c r="W108" s="1">
        <v>550360</v>
      </c>
      <c r="X108" s="1">
        <v>550530</v>
      </c>
      <c r="Y108" s="1">
        <v>550710</v>
      </c>
      <c r="Z108" s="1">
        <v>551100</v>
      </c>
      <c r="AA108" s="5">
        <f>AVERAGE(B108:Y108)</f>
        <v>548488.33333333337</v>
      </c>
      <c r="AB108" s="5">
        <f>(AA109-AA107)/2</f>
        <v>4880.625</v>
      </c>
      <c r="AC108" s="14">
        <f>AB108/(23+AB151)</f>
        <v>195.66287573853469</v>
      </c>
      <c r="AD108" s="5">
        <f>AA108-AA107</f>
        <v>4876.25</v>
      </c>
      <c r="AE108" s="1">
        <f>AD108-AD107</f>
        <v>6.6666666666278616</v>
      </c>
      <c r="AG108" s="5">
        <f>Z108-Y108</f>
        <v>390</v>
      </c>
      <c r="AI108" s="1">
        <f>C108-B108</f>
        <v>200</v>
      </c>
      <c r="AJ108" s="1">
        <f>D108-C108</f>
        <v>230</v>
      </c>
      <c r="AK108" s="1">
        <f>E108-D108</f>
        <v>170</v>
      </c>
      <c r="AL108" s="1">
        <f>F108-E108</f>
        <v>180</v>
      </c>
      <c r="AM108" s="1">
        <f>G108-F108</f>
        <v>260</v>
      </c>
      <c r="AN108" s="1">
        <f>H108-G108</f>
        <v>200</v>
      </c>
      <c r="AO108" s="1">
        <f>I108-H108</f>
        <v>160</v>
      </c>
      <c r="AP108" s="1">
        <f>J108-I108</f>
        <v>200</v>
      </c>
      <c r="AQ108" s="1">
        <f>K108-J108</f>
        <v>240</v>
      </c>
      <c r="AR108" s="1">
        <f>L108-K108</f>
        <v>140</v>
      </c>
      <c r="AS108" s="1">
        <f>M108-L108</f>
        <v>210</v>
      </c>
      <c r="AT108" s="1">
        <f>N108-M108</f>
        <v>190</v>
      </c>
      <c r="AU108" s="1">
        <f>O108-N108</f>
        <v>210</v>
      </c>
      <c r="AV108" s="1">
        <f>P108-O108</f>
        <v>170</v>
      </c>
      <c r="AW108" s="1">
        <f>Q108-P108</f>
        <v>180</v>
      </c>
      <c r="AX108" s="1">
        <f>R108-Q108</f>
        <v>210</v>
      </c>
      <c r="AY108" s="1">
        <f>S108-R108</f>
        <v>190</v>
      </c>
      <c r="AZ108" s="1">
        <f>T108-S108</f>
        <v>210</v>
      </c>
      <c r="BA108" s="1">
        <f>U108-T108</f>
        <v>190</v>
      </c>
      <c r="BB108" s="1">
        <f>V108-U108</f>
        <v>220</v>
      </c>
      <c r="BC108" s="1">
        <f>W108-V108</f>
        <v>190</v>
      </c>
      <c r="BD108" s="1">
        <f>X108-W108</f>
        <v>170</v>
      </c>
      <c r="BE108" s="1">
        <f>Y108-X108</f>
        <v>180</v>
      </c>
      <c r="BF108" s="1">
        <f>Z108-Y108</f>
        <v>390</v>
      </c>
    </row>
    <row r="109" spans="1:58">
      <c r="A109" s="1">
        <v>107</v>
      </c>
      <c r="B109" s="1">
        <v>551100</v>
      </c>
      <c r="C109" s="1">
        <v>551330</v>
      </c>
      <c r="D109" s="1">
        <v>551530</v>
      </c>
      <c r="E109" s="1">
        <v>551720</v>
      </c>
      <c r="F109" s="1">
        <v>551900</v>
      </c>
      <c r="G109" s="1">
        <v>552090</v>
      </c>
      <c r="H109" s="1">
        <v>552310</v>
      </c>
      <c r="I109" s="1">
        <v>552540</v>
      </c>
      <c r="J109" s="1">
        <v>552660</v>
      </c>
      <c r="K109" s="1">
        <v>552900</v>
      </c>
      <c r="L109" s="1">
        <v>553090</v>
      </c>
      <c r="M109" s="1">
        <v>553260</v>
      </c>
      <c r="N109" s="1">
        <v>553450</v>
      </c>
      <c r="O109" s="1">
        <v>553680</v>
      </c>
      <c r="P109" s="1">
        <v>553830</v>
      </c>
      <c r="Q109" s="1">
        <v>554030</v>
      </c>
      <c r="R109" s="1">
        <v>554240</v>
      </c>
      <c r="S109" s="1">
        <v>554460</v>
      </c>
      <c r="T109" s="1">
        <v>554650</v>
      </c>
      <c r="U109" s="1">
        <v>554860</v>
      </c>
      <c r="V109" s="1">
        <v>555040</v>
      </c>
      <c r="W109" s="1">
        <v>555220</v>
      </c>
      <c r="X109" s="1">
        <v>555430</v>
      </c>
      <c r="Y109" s="1">
        <v>555640</v>
      </c>
      <c r="Z109" s="1">
        <v>555980</v>
      </c>
      <c r="AA109" s="5">
        <f>AVERAGE(B109:Y109)</f>
        <v>553373.33333333337</v>
      </c>
      <c r="AB109" s="5">
        <f>(AA110-AA108)/2</f>
        <v>4889.1666666666279</v>
      </c>
      <c r="AC109" s="14">
        <f>AB109/(23+AB151)</f>
        <v>196.00530873914269</v>
      </c>
      <c r="AD109" s="5">
        <f>AA109-AA108</f>
        <v>4885</v>
      </c>
      <c r="AE109" s="1">
        <f>AD109-AD108</f>
        <v>8.75</v>
      </c>
      <c r="AG109" s="5">
        <f>Z109-Y109</f>
        <v>340</v>
      </c>
      <c r="AI109" s="1">
        <f>C109-B109</f>
        <v>230</v>
      </c>
      <c r="AJ109" s="1">
        <f>D109-C109</f>
        <v>200</v>
      </c>
      <c r="AK109" s="1">
        <f>E109-D109</f>
        <v>190</v>
      </c>
      <c r="AL109" s="1">
        <f>F109-E109</f>
        <v>180</v>
      </c>
      <c r="AM109" s="1">
        <f>G109-F109</f>
        <v>190</v>
      </c>
      <c r="AN109" s="1">
        <f>H109-G109</f>
        <v>220</v>
      </c>
      <c r="AO109" s="1">
        <f>I109-H109</f>
        <v>230</v>
      </c>
      <c r="AP109" s="1">
        <f>J109-I109</f>
        <v>120</v>
      </c>
      <c r="AQ109" s="1">
        <f>K109-J109</f>
        <v>240</v>
      </c>
      <c r="AR109" s="1">
        <f>L109-K109</f>
        <v>190</v>
      </c>
      <c r="AS109" s="1">
        <f>M109-L109</f>
        <v>170</v>
      </c>
      <c r="AT109" s="1">
        <f>N109-M109</f>
        <v>190</v>
      </c>
      <c r="AU109" s="1">
        <f>O109-N109</f>
        <v>230</v>
      </c>
      <c r="AV109" s="1">
        <f>P109-O109</f>
        <v>150</v>
      </c>
      <c r="AW109" s="1">
        <f>Q109-P109</f>
        <v>200</v>
      </c>
      <c r="AX109" s="1">
        <f>R109-Q109</f>
        <v>210</v>
      </c>
      <c r="AY109" s="1">
        <f>S109-R109</f>
        <v>220</v>
      </c>
      <c r="AZ109" s="1">
        <f>T109-S109</f>
        <v>190</v>
      </c>
      <c r="BA109" s="1">
        <f>U109-T109</f>
        <v>210</v>
      </c>
      <c r="BB109" s="1">
        <f>V109-U109</f>
        <v>180</v>
      </c>
      <c r="BC109" s="1">
        <f>W109-V109</f>
        <v>180</v>
      </c>
      <c r="BD109" s="1">
        <f>X109-W109</f>
        <v>210</v>
      </c>
      <c r="BE109" s="1">
        <f>Y109-X109</f>
        <v>210</v>
      </c>
      <c r="BF109" s="1">
        <f>Z109-Y109</f>
        <v>340</v>
      </c>
    </row>
    <row r="110" spans="1:58">
      <c r="A110" s="1">
        <v>108</v>
      </c>
      <c r="B110" s="1">
        <v>555980</v>
      </c>
      <c r="C110" s="1">
        <v>556190</v>
      </c>
      <c r="D110" s="1">
        <v>556400</v>
      </c>
      <c r="E110" s="1">
        <v>556590</v>
      </c>
      <c r="F110" s="1">
        <v>556780</v>
      </c>
      <c r="G110" s="1">
        <v>556970</v>
      </c>
      <c r="H110" s="1">
        <v>557190</v>
      </c>
      <c r="I110" s="1">
        <v>557420</v>
      </c>
      <c r="J110" s="1">
        <v>557600</v>
      </c>
      <c r="K110" s="1">
        <v>557790</v>
      </c>
      <c r="L110" s="1">
        <v>557960</v>
      </c>
      <c r="M110" s="1">
        <v>558190</v>
      </c>
      <c r="N110" s="1">
        <v>558360</v>
      </c>
      <c r="O110" s="1">
        <v>558530</v>
      </c>
      <c r="P110" s="1">
        <v>558720</v>
      </c>
      <c r="Q110" s="1">
        <v>558970</v>
      </c>
      <c r="R110" s="1">
        <v>559140</v>
      </c>
      <c r="S110" s="1">
        <v>559340</v>
      </c>
      <c r="T110" s="1">
        <v>559530</v>
      </c>
      <c r="U110" s="1">
        <v>559730</v>
      </c>
      <c r="V110" s="1">
        <v>559940</v>
      </c>
      <c r="W110" s="1">
        <v>560150</v>
      </c>
      <c r="X110" s="1">
        <v>560360</v>
      </c>
      <c r="Y110" s="1">
        <v>560570</v>
      </c>
      <c r="Z110" s="1">
        <v>560880</v>
      </c>
      <c r="AA110" s="5">
        <f>AVERAGE(B110:Y110)</f>
        <v>558266.66666666663</v>
      </c>
      <c r="AB110" s="5">
        <f>(AA111-AA109)/2</f>
        <v>4894.375</v>
      </c>
      <c r="AC110" s="14">
        <f>AB110/(23+AB151)</f>
        <v>196.21410934927201</v>
      </c>
      <c r="AD110" s="5">
        <f>AA110-AA109</f>
        <v>4893.3333333332557</v>
      </c>
      <c r="AE110" s="1">
        <f>AD110-AD109</f>
        <v>8.3333333332557231</v>
      </c>
      <c r="AG110" s="5">
        <f>Z110-Y110</f>
        <v>310</v>
      </c>
      <c r="AI110" s="1">
        <f>C110-B110</f>
        <v>210</v>
      </c>
      <c r="AJ110" s="1">
        <f>D110-C110</f>
        <v>210</v>
      </c>
      <c r="AK110" s="1">
        <f>E110-D110</f>
        <v>190</v>
      </c>
      <c r="AL110" s="1">
        <f>F110-E110</f>
        <v>190</v>
      </c>
      <c r="AM110" s="1">
        <f>G110-F110</f>
        <v>190</v>
      </c>
      <c r="AN110" s="1">
        <f>H110-G110</f>
        <v>220</v>
      </c>
      <c r="AO110" s="1">
        <f>I110-H110</f>
        <v>230</v>
      </c>
      <c r="AP110" s="1">
        <f>J110-I110</f>
        <v>180</v>
      </c>
      <c r="AQ110" s="1">
        <f>K110-J110</f>
        <v>190</v>
      </c>
      <c r="AR110" s="1">
        <f>L110-K110</f>
        <v>170</v>
      </c>
      <c r="AS110" s="1">
        <f>M110-L110</f>
        <v>230</v>
      </c>
      <c r="AT110" s="1">
        <f>N110-M110</f>
        <v>170</v>
      </c>
      <c r="AU110" s="1">
        <f>O110-N110</f>
        <v>170</v>
      </c>
      <c r="AV110" s="1">
        <f>P110-O110</f>
        <v>190</v>
      </c>
      <c r="AW110" s="1">
        <f>Q110-P110</f>
        <v>250</v>
      </c>
      <c r="AX110" s="1">
        <f>R110-Q110</f>
        <v>170</v>
      </c>
      <c r="AY110" s="1">
        <f>S110-R110</f>
        <v>200</v>
      </c>
      <c r="AZ110" s="1">
        <f>T110-S110</f>
        <v>190</v>
      </c>
      <c r="BA110" s="1">
        <f>U110-T110</f>
        <v>200</v>
      </c>
      <c r="BB110" s="1">
        <f>V110-U110</f>
        <v>210</v>
      </c>
      <c r="BC110" s="1">
        <f>W110-V110</f>
        <v>210</v>
      </c>
      <c r="BD110" s="1">
        <f>X110-W110</f>
        <v>210</v>
      </c>
      <c r="BE110" s="1">
        <f>Y110-X110</f>
        <v>210</v>
      </c>
      <c r="BF110" s="1">
        <f>Z110-Y110</f>
        <v>310</v>
      </c>
    </row>
    <row r="111" spans="1:58">
      <c r="A111" s="1">
        <v>109</v>
      </c>
      <c r="B111" s="1">
        <v>560880</v>
      </c>
      <c r="C111" s="1">
        <v>561130</v>
      </c>
      <c r="D111" s="1">
        <v>561310</v>
      </c>
      <c r="E111" s="1">
        <v>561490</v>
      </c>
      <c r="F111" s="1">
        <v>561680</v>
      </c>
      <c r="G111" s="1">
        <v>561890</v>
      </c>
      <c r="H111" s="1">
        <v>562010</v>
      </c>
      <c r="I111" s="1">
        <v>562240</v>
      </c>
      <c r="J111" s="1">
        <v>562470</v>
      </c>
      <c r="K111" s="1">
        <v>562680</v>
      </c>
      <c r="L111" s="1">
        <v>562860</v>
      </c>
      <c r="M111" s="1">
        <v>563090</v>
      </c>
      <c r="N111" s="1">
        <v>563290</v>
      </c>
      <c r="O111" s="1">
        <v>563460</v>
      </c>
      <c r="P111" s="1">
        <v>563650</v>
      </c>
      <c r="Q111" s="1">
        <v>563870</v>
      </c>
      <c r="R111" s="1">
        <v>564040</v>
      </c>
      <c r="S111" s="1">
        <v>564250</v>
      </c>
      <c r="T111" s="1">
        <v>564430</v>
      </c>
      <c r="U111" s="1">
        <v>564620</v>
      </c>
      <c r="V111" s="1">
        <v>564820</v>
      </c>
      <c r="W111" s="1">
        <v>565040</v>
      </c>
      <c r="X111" s="1">
        <v>565240</v>
      </c>
      <c r="Y111" s="1">
        <v>565450</v>
      </c>
      <c r="Z111" s="1">
        <v>565730</v>
      </c>
      <c r="AA111" s="5">
        <f>AVERAGE(B111:Y111)</f>
        <v>563162.08333333337</v>
      </c>
      <c r="AB111" s="5">
        <f>(AA112-AA110)/2</f>
        <v>4893.3333333333721</v>
      </c>
      <c r="AC111" s="14">
        <f>AB111/(23+AB151)</f>
        <v>196.17234922724802</v>
      </c>
      <c r="AD111" s="5">
        <f>AA111-AA110</f>
        <v>4895.4166666667443</v>
      </c>
      <c r="AE111" s="1">
        <f>AD111-AD110</f>
        <v>2.0833333334885538</v>
      </c>
      <c r="AG111" s="5">
        <f>Z111-Y111</f>
        <v>280</v>
      </c>
      <c r="AI111" s="1">
        <f>C111-B111</f>
        <v>250</v>
      </c>
      <c r="AJ111" s="1">
        <f>D111-C111</f>
        <v>180</v>
      </c>
      <c r="AK111" s="1">
        <f>E111-D111</f>
        <v>180</v>
      </c>
      <c r="AL111" s="1">
        <f>F111-E111</f>
        <v>190</v>
      </c>
      <c r="AM111" s="1">
        <f>G111-F111</f>
        <v>210</v>
      </c>
      <c r="AN111" s="1">
        <f>H111-G111</f>
        <v>120</v>
      </c>
      <c r="AO111" s="1">
        <f>I111-H111</f>
        <v>230</v>
      </c>
      <c r="AP111" s="1">
        <f>J111-I111</f>
        <v>230</v>
      </c>
      <c r="AQ111" s="1">
        <f>K111-J111</f>
        <v>210</v>
      </c>
      <c r="AR111" s="1">
        <f>L111-K111</f>
        <v>180</v>
      </c>
      <c r="AS111" s="1">
        <f>M111-L111</f>
        <v>230</v>
      </c>
      <c r="AT111" s="1">
        <f>N111-M111</f>
        <v>200</v>
      </c>
      <c r="AU111" s="1">
        <f>O111-N111</f>
        <v>170</v>
      </c>
      <c r="AV111" s="1">
        <f>P111-O111</f>
        <v>190</v>
      </c>
      <c r="AW111" s="1">
        <f>Q111-P111</f>
        <v>220</v>
      </c>
      <c r="AX111" s="1">
        <f>R111-Q111</f>
        <v>170</v>
      </c>
      <c r="AY111" s="1">
        <f>S111-R111</f>
        <v>210</v>
      </c>
      <c r="AZ111" s="1">
        <f>T111-S111</f>
        <v>180</v>
      </c>
      <c r="BA111" s="1">
        <f>U111-T111</f>
        <v>190</v>
      </c>
      <c r="BB111" s="1">
        <f>V111-U111</f>
        <v>200</v>
      </c>
      <c r="BC111" s="1">
        <f>W111-V111</f>
        <v>220</v>
      </c>
      <c r="BD111" s="1">
        <f>X111-W111</f>
        <v>200</v>
      </c>
      <c r="BE111" s="1">
        <f>Y111-X111</f>
        <v>210</v>
      </c>
      <c r="BF111" s="1">
        <f>Z111-Y111</f>
        <v>280</v>
      </c>
    </row>
    <row r="112" spans="1:58">
      <c r="A112" s="1">
        <v>110</v>
      </c>
      <c r="B112" s="1">
        <v>565730</v>
      </c>
      <c r="C112" s="1">
        <v>565950</v>
      </c>
      <c r="D112" s="1">
        <v>566170</v>
      </c>
      <c r="E112" s="1">
        <v>566400</v>
      </c>
      <c r="F112" s="1">
        <v>566630</v>
      </c>
      <c r="G112" s="1">
        <v>566810</v>
      </c>
      <c r="H112" s="1">
        <v>566950</v>
      </c>
      <c r="I112" s="1">
        <v>567150</v>
      </c>
      <c r="J112" s="1">
        <v>567380</v>
      </c>
      <c r="K112" s="1">
        <v>567630</v>
      </c>
      <c r="L112" s="1">
        <v>567750</v>
      </c>
      <c r="M112" s="1">
        <v>567950</v>
      </c>
      <c r="N112" s="1">
        <v>568130</v>
      </c>
      <c r="O112" s="1">
        <v>568340</v>
      </c>
      <c r="P112" s="1">
        <v>568500</v>
      </c>
      <c r="Q112" s="1">
        <v>568760</v>
      </c>
      <c r="R112" s="1">
        <v>568930</v>
      </c>
      <c r="S112" s="1">
        <v>569110</v>
      </c>
      <c r="T112" s="1">
        <v>569340</v>
      </c>
      <c r="U112" s="1">
        <v>569510</v>
      </c>
      <c r="V112" s="1">
        <v>569720</v>
      </c>
      <c r="W112" s="1">
        <v>569950</v>
      </c>
      <c r="X112" s="1">
        <v>570150</v>
      </c>
      <c r="Y112" s="1">
        <v>570340</v>
      </c>
      <c r="Z112" s="1">
        <v>570710</v>
      </c>
      <c r="AA112" s="5">
        <f>AVERAGE(B112:Y112)</f>
        <v>568053.33333333337</v>
      </c>
      <c r="AB112" s="5">
        <f>(AA113-AA111)/2</f>
        <v>4896.0416666666279</v>
      </c>
      <c r="AC112" s="14">
        <f>AB112/(23+AB151)</f>
        <v>196.28092554451135</v>
      </c>
      <c r="AD112" s="5">
        <f>AA112-AA111</f>
        <v>4891.25</v>
      </c>
      <c r="AE112" s="1">
        <f>AD112-AD111</f>
        <v>-4.1666666667442769</v>
      </c>
      <c r="AG112" s="5">
        <f>Z112-Y112</f>
        <v>370</v>
      </c>
      <c r="AI112" s="1">
        <f>C112-B112</f>
        <v>220</v>
      </c>
      <c r="AJ112" s="1">
        <f>D112-C112</f>
        <v>220</v>
      </c>
      <c r="AK112" s="1">
        <f>E112-D112</f>
        <v>230</v>
      </c>
      <c r="AL112" s="1">
        <f>F112-E112</f>
        <v>230</v>
      </c>
      <c r="AM112" s="1">
        <f>G112-F112</f>
        <v>180</v>
      </c>
      <c r="AN112" s="1">
        <f>H112-G112</f>
        <v>140</v>
      </c>
      <c r="AO112" s="1">
        <f>I112-H112</f>
        <v>200</v>
      </c>
      <c r="AP112" s="1">
        <f>J112-I112</f>
        <v>230</v>
      </c>
      <c r="AQ112" s="1">
        <f>K112-J112</f>
        <v>250</v>
      </c>
      <c r="AR112" s="1">
        <f>L112-K112</f>
        <v>120</v>
      </c>
      <c r="AS112" s="1">
        <f>M112-L112</f>
        <v>200</v>
      </c>
      <c r="AT112" s="1">
        <f>N112-M112</f>
        <v>180</v>
      </c>
      <c r="AU112" s="1">
        <f>O112-N112</f>
        <v>210</v>
      </c>
      <c r="AV112" s="1">
        <f>P112-O112</f>
        <v>160</v>
      </c>
      <c r="AW112" s="1">
        <f>Q112-P112</f>
        <v>260</v>
      </c>
      <c r="AX112" s="1">
        <f>R112-Q112</f>
        <v>170</v>
      </c>
      <c r="AY112" s="1">
        <f>S112-R112</f>
        <v>180</v>
      </c>
      <c r="AZ112" s="1">
        <f>T112-S112</f>
        <v>230</v>
      </c>
      <c r="BA112" s="1">
        <f>U112-T112</f>
        <v>170</v>
      </c>
      <c r="BB112" s="1">
        <f>V112-U112</f>
        <v>210</v>
      </c>
      <c r="BC112" s="1">
        <f>W112-V112</f>
        <v>230</v>
      </c>
      <c r="BD112" s="1">
        <f>X112-W112</f>
        <v>200</v>
      </c>
      <c r="BE112" s="1">
        <f>Y112-X112</f>
        <v>190</v>
      </c>
      <c r="BF112" s="1">
        <f>Z112-Y112</f>
        <v>370</v>
      </c>
    </row>
    <row r="113" spans="1:58">
      <c r="A113" s="1">
        <v>111</v>
      </c>
      <c r="B113" s="1">
        <v>570710</v>
      </c>
      <c r="C113" s="1">
        <v>570910</v>
      </c>
      <c r="D113" s="1">
        <v>571070</v>
      </c>
      <c r="E113" s="1">
        <v>571300</v>
      </c>
      <c r="F113" s="1">
        <v>571480</v>
      </c>
      <c r="G113" s="1">
        <v>571690</v>
      </c>
      <c r="H113" s="1">
        <v>571880</v>
      </c>
      <c r="I113" s="1">
        <v>572040</v>
      </c>
      <c r="J113" s="1">
        <v>572270</v>
      </c>
      <c r="K113" s="1">
        <v>572450</v>
      </c>
      <c r="L113" s="1">
        <v>572650</v>
      </c>
      <c r="M113" s="1">
        <v>572850</v>
      </c>
      <c r="N113" s="1">
        <v>573060</v>
      </c>
      <c r="O113" s="1">
        <v>573280</v>
      </c>
      <c r="P113" s="1">
        <v>573440</v>
      </c>
      <c r="Q113" s="1">
        <v>573650</v>
      </c>
      <c r="R113" s="1">
        <v>573840</v>
      </c>
      <c r="S113" s="1">
        <v>574020</v>
      </c>
      <c r="T113" s="1">
        <v>574210</v>
      </c>
      <c r="U113" s="1">
        <v>574440</v>
      </c>
      <c r="V113" s="1">
        <v>574600</v>
      </c>
      <c r="W113" s="1">
        <v>574810</v>
      </c>
      <c r="X113" s="1">
        <v>575020</v>
      </c>
      <c r="Y113" s="1">
        <v>575230</v>
      </c>
      <c r="Z113" s="1">
        <v>575620</v>
      </c>
      <c r="AA113" s="5">
        <f>AVERAGE(B113:Y113)</f>
        <v>572954.16666666663</v>
      </c>
      <c r="AB113" s="5">
        <f>(AA114-AA112)/2</f>
        <v>4906.25</v>
      </c>
      <c r="AC113" s="14">
        <f>AB113/(23+AB151)</f>
        <v>196.69017474036335</v>
      </c>
      <c r="AD113" s="5">
        <f>AA113-AA112</f>
        <v>4900.8333333332557</v>
      </c>
      <c r="AE113" s="1">
        <f>AD113-AD112</f>
        <v>9.5833333332557231</v>
      </c>
      <c r="AG113" s="5">
        <f>Z113-Y113</f>
        <v>390</v>
      </c>
      <c r="AI113" s="1">
        <f>C113-B113</f>
        <v>200</v>
      </c>
      <c r="AJ113" s="1">
        <f>D113-C113</f>
        <v>160</v>
      </c>
      <c r="AK113" s="1">
        <f>E113-D113</f>
        <v>230</v>
      </c>
      <c r="AL113" s="1">
        <f>F113-E113</f>
        <v>180</v>
      </c>
      <c r="AM113" s="1">
        <f>G113-F113</f>
        <v>210</v>
      </c>
      <c r="AN113" s="1">
        <f>H113-G113</f>
        <v>190</v>
      </c>
      <c r="AO113" s="1">
        <f>I113-H113</f>
        <v>160</v>
      </c>
      <c r="AP113" s="1">
        <f>J113-I113</f>
        <v>230</v>
      </c>
      <c r="AQ113" s="1">
        <f>K113-J113</f>
        <v>180</v>
      </c>
      <c r="AR113" s="1">
        <f>L113-K113</f>
        <v>200</v>
      </c>
      <c r="AS113" s="1">
        <f>M113-L113</f>
        <v>200</v>
      </c>
      <c r="AT113" s="1">
        <f>N113-M113</f>
        <v>210</v>
      </c>
      <c r="AU113" s="1">
        <f>O113-N113</f>
        <v>220</v>
      </c>
      <c r="AV113" s="1">
        <f>P113-O113</f>
        <v>160</v>
      </c>
      <c r="AW113" s="1">
        <f>Q113-P113</f>
        <v>210</v>
      </c>
      <c r="AX113" s="1">
        <f>R113-Q113</f>
        <v>190</v>
      </c>
      <c r="AY113" s="1">
        <f>S113-R113</f>
        <v>180</v>
      </c>
      <c r="AZ113" s="1">
        <f>T113-S113</f>
        <v>190</v>
      </c>
      <c r="BA113" s="1">
        <f>U113-T113</f>
        <v>230</v>
      </c>
      <c r="BB113" s="1">
        <f>V113-U113</f>
        <v>160</v>
      </c>
      <c r="BC113" s="1">
        <f>W113-V113</f>
        <v>210</v>
      </c>
      <c r="BD113" s="1">
        <f>X113-W113</f>
        <v>210</v>
      </c>
      <c r="BE113" s="1">
        <f>Y113-X113</f>
        <v>210</v>
      </c>
      <c r="BF113" s="1">
        <f>Z113-Y113</f>
        <v>390</v>
      </c>
    </row>
    <row r="114" spans="1:58">
      <c r="A114" s="1">
        <v>112</v>
      </c>
      <c r="B114" s="1">
        <v>575620</v>
      </c>
      <c r="C114" s="1">
        <v>575790</v>
      </c>
      <c r="D114" s="1">
        <v>575990</v>
      </c>
      <c r="E114" s="1">
        <v>576200</v>
      </c>
      <c r="F114" s="1">
        <v>576420</v>
      </c>
      <c r="G114" s="1">
        <v>576600</v>
      </c>
      <c r="H114" s="1">
        <v>576790</v>
      </c>
      <c r="I114" s="1">
        <v>577020</v>
      </c>
      <c r="J114" s="1">
        <v>577190</v>
      </c>
      <c r="K114" s="1">
        <v>577390</v>
      </c>
      <c r="L114" s="1">
        <v>577520</v>
      </c>
      <c r="M114" s="1">
        <v>577700</v>
      </c>
      <c r="N114" s="1">
        <v>577960</v>
      </c>
      <c r="O114" s="1">
        <v>578210</v>
      </c>
      <c r="P114" s="1">
        <v>578350</v>
      </c>
      <c r="Q114" s="1">
        <v>578530</v>
      </c>
      <c r="R114" s="1">
        <v>578760</v>
      </c>
      <c r="S114" s="1">
        <v>578900</v>
      </c>
      <c r="T114" s="1">
        <v>579090</v>
      </c>
      <c r="U114" s="1">
        <v>579330</v>
      </c>
      <c r="V114" s="1">
        <v>579560</v>
      </c>
      <c r="W114" s="1">
        <v>579780</v>
      </c>
      <c r="X114" s="1">
        <v>579950</v>
      </c>
      <c r="Y114" s="1">
        <v>580130</v>
      </c>
      <c r="Z114" s="1">
        <v>580530</v>
      </c>
      <c r="AA114" s="5">
        <f>AVERAGE(B114:Y114)</f>
        <v>577865.83333333337</v>
      </c>
      <c r="AB114" s="5">
        <f>(AA115-AA113)/2</f>
        <v>4891.25</v>
      </c>
      <c r="AC114" s="14">
        <f>AB114/(23+AB151)</f>
        <v>196.08882898319536</v>
      </c>
      <c r="AD114" s="5">
        <f>AA114-AA113</f>
        <v>4911.6666666667443</v>
      </c>
      <c r="AE114" s="1">
        <f>AD114-AD113</f>
        <v>10.833333333488554</v>
      </c>
      <c r="AG114" s="5">
        <f>Z114-Y114</f>
        <v>400</v>
      </c>
      <c r="AI114" s="1">
        <f>C114-B114</f>
        <v>170</v>
      </c>
      <c r="AJ114" s="1">
        <f>D114-C114</f>
        <v>200</v>
      </c>
      <c r="AK114" s="1">
        <f>E114-D114</f>
        <v>210</v>
      </c>
      <c r="AL114" s="1">
        <f>F114-E114</f>
        <v>220</v>
      </c>
      <c r="AM114" s="1">
        <f>G114-F114</f>
        <v>180</v>
      </c>
      <c r="AN114" s="1">
        <f>H114-G114</f>
        <v>190</v>
      </c>
      <c r="AO114" s="1">
        <f>I114-H114</f>
        <v>230</v>
      </c>
      <c r="AP114" s="1">
        <f>J114-I114</f>
        <v>170</v>
      </c>
      <c r="AQ114" s="1">
        <f>K114-J114</f>
        <v>200</v>
      </c>
      <c r="AR114" s="1">
        <f>L114-K114</f>
        <v>130</v>
      </c>
      <c r="AS114" s="1">
        <f>M114-L114</f>
        <v>180</v>
      </c>
      <c r="AT114" s="1">
        <f>N114-M114</f>
        <v>260</v>
      </c>
      <c r="AU114" s="1">
        <f>O114-N114</f>
        <v>250</v>
      </c>
      <c r="AV114" s="1">
        <f>P114-O114</f>
        <v>140</v>
      </c>
      <c r="AW114" s="1">
        <f>Q114-P114</f>
        <v>180</v>
      </c>
      <c r="AX114" s="1">
        <f>R114-Q114</f>
        <v>230</v>
      </c>
      <c r="AY114" s="1">
        <f>S114-R114</f>
        <v>140</v>
      </c>
      <c r="AZ114" s="1">
        <f>T114-S114</f>
        <v>190</v>
      </c>
      <c r="BA114" s="1">
        <f>U114-T114</f>
        <v>240</v>
      </c>
      <c r="BB114" s="1">
        <f>V114-U114</f>
        <v>230</v>
      </c>
      <c r="BC114" s="1">
        <f>W114-V114</f>
        <v>220</v>
      </c>
      <c r="BD114" s="1">
        <f>X114-W114</f>
        <v>170</v>
      </c>
      <c r="BE114" s="1">
        <f>Y114-X114</f>
        <v>180</v>
      </c>
      <c r="BF114" s="1">
        <f>Z114-Y114</f>
        <v>400</v>
      </c>
    </row>
    <row r="115" spans="1:58">
      <c r="A115" s="1">
        <v>113</v>
      </c>
      <c r="B115" s="1">
        <v>580530</v>
      </c>
      <c r="C115" s="1">
        <v>580680</v>
      </c>
      <c r="D115" s="1">
        <v>580890</v>
      </c>
      <c r="E115" s="1">
        <v>581030</v>
      </c>
      <c r="F115" s="1">
        <v>581250</v>
      </c>
      <c r="G115" s="1">
        <v>581490</v>
      </c>
      <c r="H115" s="1">
        <v>581640</v>
      </c>
      <c r="I115" s="1">
        <v>581840</v>
      </c>
      <c r="J115" s="1">
        <v>582050</v>
      </c>
      <c r="K115" s="1">
        <v>582270</v>
      </c>
      <c r="L115" s="1">
        <v>582460</v>
      </c>
      <c r="M115" s="1">
        <v>582660</v>
      </c>
      <c r="N115" s="1">
        <v>582860</v>
      </c>
      <c r="O115" s="1">
        <v>583070</v>
      </c>
      <c r="P115" s="1">
        <v>583230</v>
      </c>
      <c r="Q115" s="1">
        <v>583390</v>
      </c>
      <c r="R115" s="1">
        <v>583600</v>
      </c>
      <c r="S115" s="1">
        <v>583790</v>
      </c>
      <c r="T115" s="1">
        <v>583990</v>
      </c>
      <c r="U115" s="1">
        <v>584190</v>
      </c>
      <c r="V115" s="1">
        <v>584370</v>
      </c>
      <c r="W115" s="1">
        <v>584570</v>
      </c>
      <c r="X115" s="1">
        <v>584800</v>
      </c>
      <c r="Y115" s="1">
        <v>585030</v>
      </c>
      <c r="Z115" s="1">
        <v>585370</v>
      </c>
      <c r="AA115" s="5">
        <f>AVERAGE(B115:Y115)</f>
        <v>582736.66666666663</v>
      </c>
      <c r="AB115" s="5">
        <f>(AA116-AA114)/2</f>
        <v>4872.2916666666279</v>
      </c>
      <c r="AC115" s="14">
        <f>AB115/(23+AB151)</f>
        <v>195.3287947623287</v>
      </c>
      <c r="AD115" s="5">
        <f>AA115-AA114</f>
        <v>4870.8333333332557</v>
      </c>
      <c r="AE115" s="1">
        <f>AD115-AD114</f>
        <v>-40.833333333488554</v>
      </c>
      <c r="AG115" s="5">
        <f>Z115-Y115</f>
        <v>340</v>
      </c>
      <c r="AI115" s="1">
        <f>C115-B115</f>
        <v>150</v>
      </c>
      <c r="AJ115" s="1">
        <f>D115-C115</f>
        <v>210</v>
      </c>
      <c r="AK115" s="1">
        <f>E115-D115</f>
        <v>140</v>
      </c>
      <c r="AL115" s="1">
        <f>F115-E115</f>
        <v>220</v>
      </c>
      <c r="AM115" s="1">
        <f>G115-F115</f>
        <v>240</v>
      </c>
      <c r="AN115" s="1">
        <f>H115-G115</f>
        <v>150</v>
      </c>
      <c r="AO115" s="1">
        <f>I115-H115</f>
        <v>200</v>
      </c>
      <c r="AP115" s="1">
        <f>J115-I115</f>
        <v>210</v>
      </c>
      <c r="AQ115" s="1">
        <f>K115-J115</f>
        <v>220</v>
      </c>
      <c r="AR115" s="1">
        <f>L115-K115</f>
        <v>190</v>
      </c>
      <c r="AS115" s="1">
        <f>M115-L115</f>
        <v>200</v>
      </c>
      <c r="AT115" s="1">
        <f>N115-M115</f>
        <v>200</v>
      </c>
      <c r="AU115" s="1">
        <f>O115-N115</f>
        <v>210</v>
      </c>
      <c r="AV115" s="1">
        <f>P115-O115</f>
        <v>160</v>
      </c>
      <c r="AW115" s="1">
        <f>Q115-P115</f>
        <v>160</v>
      </c>
      <c r="AX115" s="1">
        <f>R115-Q115</f>
        <v>210</v>
      </c>
      <c r="AY115" s="1">
        <f>S115-R115</f>
        <v>190</v>
      </c>
      <c r="AZ115" s="1">
        <f>T115-S115</f>
        <v>200</v>
      </c>
      <c r="BA115" s="1">
        <f>U115-T115</f>
        <v>200</v>
      </c>
      <c r="BB115" s="1">
        <f>V115-U115</f>
        <v>180</v>
      </c>
      <c r="BC115" s="1">
        <f>W115-V115</f>
        <v>200</v>
      </c>
      <c r="BD115" s="1">
        <f>X115-W115</f>
        <v>230</v>
      </c>
      <c r="BE115" s="1">
        <f>Y115-X115</f>
        <v>230</v>
      </c>
      <c r="BF115" s="1">
        <f>Z115-Y115</f>
        <v>340</v>
      </c>
    </row>
    <row r="116" spans="1:58">
      <c r="A116" s="1">
        <v>114</v>
      </c>
      <c r="B116" s="1">
        <v>585370</v>
      </c>
      <c r="C116" s="1">
        <v>585600</v>
      </c>
      <c r="D116" s="1">
        <v>585790</v>
      </c>
      <c r="E116" s="1">
        <v>585920</v>
      </c>
      <c r="F116" s="1">
        <v>586110</v>
      </c>
      <c r="G116" s="1">
        <v>586390</v>
      </c>
      <c r="H116" s="1">
        <v>586550</v>
      </c>
      <c r="I116" s="1">
        <v>586690</v>
      </c>
      <c r="J116" s="1">
        <v>586910</v>
      </c>
      <c r="K116" s="1">
        <v>587120</v>
      </c>
      <c r="L116" s="1">
        <v>587300</v>
      </c>
      <c r="M116" s="1">
        <v>587490</v>
      </c>
      <c r="N116" s="1">
        <v>587680</v>
      </c>
      <c r="O116" s="1">
        <v>587900</v>
      </c>
      <c r="P116" s="1">
        <v>588120</v>
      </c>
      <c r="Q116" s="1">
        <v>588330</v>
      </c>
      <c r="R116" s="1">
        <v>588490</v>
      </c>
      <c r="S116" s="1">
        <v>588660</v>
      </c>
      <c r="T116" s="1">
        <v>588880</v>
      </c>
      <c r="U116" s="1">
        <v>589090</v>
      </c>
      <c r="V116" s="1">
        <v>589260</v>
      </c>
      <c r="W116" s="1">
        <v>589470</v>
      </c>
      <c r="X116" s="1">
        <v>589670</v>
      </c>
      <c r="Y116" s="1">
        <v>589860</v>
      </c>
      <c r="Z116" s="1">
        <v>590250</v>
      </c>
      <c r="AA116" s="5">
        <f>AVERAGE(B116:Y116)</f>
        <v>587610.41666666663</v>
      </c>
      <c r="AB116" s="5">
        <f>(AA117-AA115)/2</f>
        <v>4882.0833333333721</v>
      </c>
      <c r="AC116" s="14">
        <f>AB116/(23+AB151)</f>
        <v>195.72133990937201</v>
      </c>
      <c r="AD116" s="5">
        <f>AA116-AA115</f>
        <v>4873.75</v>
      </c>
      <c r="AE116" s="1">
        <f>AD116-AD115</f>
        <v>2.9166666667442769</v>
      </c>
      <c r="AG116" s="5">
        <f>Z116-Y116</f>
        <v>390</v>
      </c>
      <c r="AI116" s="1">
        <f>C116-B116</f>
        <v>230</v>
      </c>
      <c r="AJ116" s="1">
        <f>D116-C116</f>
        <v>190</v>
      </c>
      <c r="AK116" s="1">
        <f>E116-D116</f>
        <v>130</v>
      </c>
      <c r="AL116" s="1">
        <f>F116-E116</f>
        <v>190</v>
      </c>
      <c r="AM116" s="1">
        <f>G116-F116</f>
        <v>280</v>
      </c>
      <c r="AN116" s="1">
        <f>H116-G116</f>
        <v>160</v>
      </c>
      <c r="AO116" s="1">
        <f>I116-H116</f>
        <v>140</v>
      </c>
      <c r="AP116" s="1">
        <f>J116-I116</f>
        <v>220</v>
      </c>
      <c r="AQ116" s="1">
        <f>K116-J116</f>
        <v>210</v>
      </c>
      <c r="AR116" s="1">
        <f>L116-K116</f>
        <v>180</v>
      </c>
      <c r="AS116" s="1">
        <f>M116-L116</f>
        <v>190</v>
      </c>
      <c r="AT116" s="1">
        <f>N116-M116</f>
        <v>190</v>
      </c>
      <c r="AU116" s="1">
        <f>O116-N116</f>
        <v>220</v>
      </c>
      <c r="AV116" s="1">
        <f>P116-O116</f>
        <v>220</v>
      </c>
      <c r="AW116" s="1">
        <f>Q116-P116</f>
        <v>210</v>
      </c>
      <c r="AX116" s="1">
        <f>R116-Q116</f>
        <v>160</v>
      </c>
      <c r="AY116" s="1">
        <f>S116-R116</f>
        <v>170</v>
      </c>
      <c r="AZ116" s="1">
        <f>T116-S116</f>
        <v>220</v>
      </c>
      <c r="BA116" s="1">
        <f>U116-T116</f>
        <v>210</v>
      </c>
      <c r="BB116" s="1">
        <f>V116-U116</f>
        <v>170</v>
      </c>
      <c r="BC116" s="1">
        <f>W116-V116</f>
        <v>210</v>
      </c>
      <c r="BD116" s="1">
        <f>X116-W116</f>
        <v>200</v>
      </c>
      <c r="BE116" s="1">
        <f>Y116-X116</f>
        <v>190</v>
      </c>
      <c r="BF116" s="1">
        <f>Z116-Y116</f>
        <v>390</v>
      </c>
    </row>
    <row r="117" spans="1:58">
      <c r="A117" s="1">
        <v>115</v>
      </c>
      <c r="B117" s="1">
        <v>590250</v>
      </c>
      <c r="C117" s="1">
        <v>590500</v>
      </c>
      <c r="D117" s="1">
        <v>590680</v>
      </c>
      <c r="E117" s="1">
        <v>590850</v>
      </c>
      <c r="F117" s="1">
        <v>591000</v>
      </c>
      <c r="G117" s="1">
        <v>591210</v>
      </c>
      <c r="H117" s="1">
        <v>591440</v>
      </c>
      <c r="I117" s="1">
        <v>591590</v>
      </c>
      <c r="J117" s="1">
        <v>591820</v>
      </c>
      <c r="K117" s="1">
        <v>591990</v>
      </c>
      <c r="L117" s="1">
        <v>592180</v>
      </c>
      <c r="M117" s="1">
        <v>592430</v>
      </c>
      <c r="N117" s="1">
        <v>592610</v>
      </c>
      <c r="O117" s="1">
        <v>592720</v>
      </c>
      <c r="P117" s="1">
        <v>592990</v>
      </c>
      <c r="Q117" s="1">
        <v>593200</v>
      </c>
      <c r="R117" s="1">
        <v>593370</v>
      </c>
      <c r="S117" s="1">
        <v>593580</v>
      </c>
      <c r="T117" s="1">
        <v>593740</v>
      </c>
      <c r="U117" s="1">
        <v>593940</v>
      </c>
      <c r="V117" s="1">
        <v>594180</v>
      </c>
      <c r="W117" s="1">
        <v>594380</v>
      </c>
      <c r="X117" s="1">
        <v>594560</v>
      </c>
      <c r="Y117" s="1">
        <v>594810</v>
      </c>
      <c r="Z117" s="1">
        <v>595160</v>
      </c>
      <c r="AA117" s="5">
        <f>AVERAGE(B117:Y117)</f>
        <v>592500.83333333337</v>
      </c>
      <c r="AB117" s="5">
        <f>(AA118-AA116)/2</f>
        <v>4891.4583333333721</v>
      </c>
      <c r="AC117" s="14">
        <f>AB117/(23+AB151)</f>
        <v>196.09718100760202</v>
      </c>
      <c r="AD117" s="5">
        <f>AA117-AA116</f>
        <v>4890.4166666667443</v>
      </c>
      <c r="AE117" s="1">
        <f>AD117-AD116</f>
        <v>16.666666666744277</v>
      </c>
      <c r="AG117" s="5">
        <f>Z117-Y117</f>
        <v>350</v>
      </c>
      <c r="AI117" s="1">
        <f>C117-B117</f>
        <v>250</v>
      </c>
      <c r="AJ117" s="1">
        <f>D117-C117</f>
        <v>180</v>
      </c>
      <c r="AK117" s="1">
        <f>E117-D117</f>
        <v>170</v>
      </c>
      <c r="AL117" s="1">
        <f>F117-E117</f>
        <v>150</v>
      </c>
      <c r="AM117" s="1">
        <f>G117-F117</f>
        <v>210</v>
      </c>
      <c r="AN117" s="1">
        <f>H117-G117</f>
        <v>230</v>
      </c>
      <c r="AO117" s="1">
        <f>I117-H117</f>
        <v>150</v>
      </c>
      <c r="AP117" s="1">
        <f>J117-I117</f>
        <v>230</v>
      </c>
      <c r="AQ117" s="1">
        <f>K117-J117</f>
        <v>170</v>
      </c>
      <c r="AR117" s="1">
        <f>L117-K117</f>
        <v>190</v>
      </c>
      <c r="AS117" s="1">
        <f>M117-L117</f>
        <v>250</v>
      </c>
      <c r="AT117" s="1">
        <f>N117-M117</f>
        <v>180</v>
      </c>
      <c r="AU117" s="1">
        <f>O117-N117</f>
        <v>110</v>
      </c>
      <c r="AV117" s="1">
        <f>P117-O117</f>
        <v>270</v>
      </c>
      <c r="AW117" s="1">
        <f>Q117-P117</f>
        <v>210</v>
      </c>
      <c r="AX117" s="1">
        <f>R117-Q117</f>
        <v>170</v>
      </c>
      <c r="AY117" s="1">
        <f>S117-R117</f>
        <v>210</v>
      </c>
      <c r="AZ117" s="1">
        <f>T117-S117</f>
        <v>160</v>
      </c>
      <c r="BA117" s="1">
        <f>U117-T117</f>
        <v>200</v>
      </c>
      <c r="BB117" s="1">
        <f>V117-U117</f>
        <v>240</v>
      </c>
      <c r="BC117" s="1">
        <f>W117-V117</f>
        <v>200</v>
      </c>
      <c r="BD117" s="1">
        <f>X117-W117</f>
        <v>180</v>
      </c>
      <c r="BE117" s="1">
        <f>Y117-X117</f>
        <v>250</v>
      </c>
      <c r="BF117" s="1">
        <f>Z117-Y117</f>
        <v>350</v>
      </c>
    </row>
    <row r="118" spans="1:58">
      <c r="A118" s="1">
        <v>116</v>
      </c>
      <c r="B118" s="1">
        <v>595160</v>
      </c>
      <c r="C118" s="1">
        <v>595370</v>
      </c>
      <c r="D118" s="1">
        <v>595560</v>
      </c>
      <c r="E118" s="1">
        <v>595740</v>
      </c>
      <c r="F118" s="1">
        <v>595940</v>
      </c>
      <c r="G118" s="1">
        <v>596150</v>
      </c>
      <c r="H118" s="1">
        <v>596260</v>
      </c>
      <c r="I118" s="1">
        <v>596500</v>
      </c>
      <c r="J118" s="1">
        <v>596700</v>
      </c>
      <c r="K118" s="1">
        <v>596910</v>
      </c>
      <c r="L118" s="1">
        <v>597110</v>
      </c>
      <c r="M118" s="1">
        <v>597310</v>
      </c>
      <c r="N118" s="1">
        <v>597490</v>
      </c>
      <c r="O118" s="1">
        <v>597680</v>
      </c>
      <c r="P118" s="1">
        <v>597890</v>
      </c>
      <c r="Q118" s="1">
        <v>598090</v>
      </c>
      <c r="R118" s="1">
        <v>598280</v>
      </c>
      <c r="S118" s="1">
        <v>598490</v>
      </c>
      <c r="T118" s="1">
        <v>598660</v>
      </c>
      <c r="U118" s="1">
        <v>598850</v>
      </c>
      <c r="V118" s="1">
        <v>598990</v>
      </c>
      <c r="W118" s="1">
        <v>599250</v>
      </c>
      <c r="X118" s="1">
        <v>599430</v>
      </c>
      <c r="Y118" s="1">
        <v>599630</v>
      </c>
      <c r="Z118" s="1">
        <v>600040</v>
      </c>
      <c r="AA118" s="5">
        <f>AVERAGE(B118:Y118)</f>
        <v>597393.33333333337</v>
      </c>
      <c r="AB118" s="5">
        <f>(AA119-AA117)/2</f>
        <v>4883.125</v>
      </c>
      <c r="AC118" s="14">
        <f>AB118/(23+AB151)</f>
        <v>195.76310003139602</v>
      </c>
      <c r="AD118" s="5">
        <f>AA118-AA117</f>
        <v>4892.5</v>
      </c>
      <c r="AE118" s="1">
        <f>AD118-AD117</f>
        <v>2.0833333332557231</v>
      </c>
      <c r="AG118" s="5">
        <f>Z118-Y118</f>
        <v>410</v>
      </c>
      <c r="AI118" s="1">
        <f>C118-B118</f>
        <v>210</v>
      </c>
      <c r="AJ118" s="1">
        <f>D118-C118</f>
        <v>190</v>
      </c>
      <c r="AK118" s="1">
        <f>E118-D118</f>
        <v>180</v>
      </c>
      <c r="AL118" s="1">
        <f>F118-E118</f>
        <v>200</v>
      </c>
      <c r="AM118" s="1">
        <f>G118-F118</f>
        <v>210</v>
      </c>
      <c r="AN118" s="1">
        <f>H118-G118</f>
        <v>110</v>
      </c>
      <c r="AO118" s="1">
        <f>I118-H118</f>
        <v>240</v>
      </c>
      <c r="AP118" s="1">
        <f>J118-I118</f>
        <v>200</v>
      </c>
      <c r="AQ118" s="1">
        <f>K118-J118</f>
        <v>210</v>
      </c>
      <c r="AR118" s="1">
        <f>L118-K118</f>
        <v>200</v>
      </c>
      <c r="AS118" s="1">
        <f>M118-L118</f>
        <v>200</v>
      </c>
      <c r="AT118" s="1">
        <f>N118-M118</f>
        <v>180</v>
      </c>
      <c r="AU118" s="1">
        <f>O118-N118</f>
        <v>190</v>
      </c>
      <c r="AV118" s="1">
        <f>P118-O118</f>
        <v>210</v>
      </c>
      <c r="AW118" s="1">
        <f>Q118-P118</f>
        <v>200</v>
      </c>
      <c r="AX118" s="1">
        <f>R118-Q118</f>
        <v>190</v>
      </c>
      <c r="AY118" s="1">
        <f>S118-R118</f>
        <v>210</v>
      </c>
      <c r="AZ118" s="1">
        <f>T118-S118</f>
        <v>170</v>
      </c>
      <c r="BA118" s="1">
        <f>U118-T118</f>
        <v>190</v>
      </c>
      <c r="BB118" s="1">
        <f>V118-U118</f>
        <v>140</v>
      </c>
      <c r="BC118" s="1">
        <f>W118-V118</f>
        <v>260</v>
      </c>
      <c r="BD118" s="1">
        <f>X118-W118</f>
        <v>180</v>
      </c>
      <c r="BE118" s="1">
        <f>Y118-X118</f>
        <v>200</v>
      </c>
      <c r="BF118" s="1">
        <f>Z118-Y118</f>
        <v>410</v>
      </c>
    </row>
    <row r="119" spans="1:58">
      <c r="A119" s="1">
        <v>117</v>
      </c>
      <c r="B119" s="1">
        <v>600040</v>
      </c>
      <c r="C119" s="1">
        <v>600240</v>
      </c>
      <c r="D119" s="1">
        <v>600410</v>
      </c>
      <c r="E119" s="1">
        <v>600640</v>
      </c>
      <c r="F119" s="1">
        <v>600810</v>
      </c>
      <c r="G119" s="1">
        <v>601020</v>
      </c>
      <c r="H119" s="1">
        <v>601200</v>
      </c>
      <c r="I119" s="1">
        <v>601380</v>
      </c>
      <c r="J119" s="1">
        <v>601580</v>
      </c>
      <c r="K119" s="1">
        <v>601770</v>
      </c>
      <c r="L119" s="1">
        <v>601960</v>
      </c>
      <c r="M119" s="1">
        <v>602170</v>
      </c>
      <c r="N119" s="1">
        <v>602360</v>
      </c>
      <c r="O119" s="1">
        <v>602580</v>
      </c>
      <c r="P119" s="1">
        <v>602750</v>
      </c>
      <c r="Q119" s="1">
        <v>602970</v>
      </c>
      <c r="R119" s="1">
        <v>603150</v>
      </c>
      <c r="S119" s="1">
        <v>603310</v>
      </c>
      <c r="T119" s="1">
        <v>603510</v>
      </c>
      <c r="U119" s="1">
        <v>603730</v>
      </c>
      <c r="V119" s="1">
        <v>603890</v>
      </c>
      <c r="W119" s="1">
        <v>604120</v>
      </c>
      <c r="X119" s="1">
        <v>604290</v>
      </c>
      <c r="Y119" s="1">
        <v>604530</v>
      </c>
      <c r="Z119" s="1">
        <v>604890</v>
      </c>
      <c r="AA119" s="5">
        <f>AVERAGE(B119:Y119)</f>
        <v>602267.08333333337</v>
      </c>
      <c r="AB119" s="5">
        <f>(AA120-AA118)/2</f>
        <v>4867.2916666666279</v>
      </c>
      <c r="AC119" s="14">
        <f>AB119/(23+AB151)</f>
        <v>195.12834617660602</v>
      </c>
      <c r="AD119" s="5">
        <f>AA119-AA118</f>
        <v>4873.75</v>
      </c>
      <c r="AE119" s="1">
        <f>AD119-AD118</f>
        <v>-18.75</v>
      </c>
      <c r="AG119" s="5">
        <f>Z119-Y119</f>
        <v>360</v>
      </c>
      <c r="AI119" s="1">
        <f>C119-B119</f>
        <v>200</v>
      </c>
      <c r="AJ119" s="1">
        <f>D119-C119</f>
        <v>170</v>
      </c>
      <c r="AK119" s="1">
        <f>E119-D119</f>
        <v>230</v>
      </c>
      <c r="AL119" s="1">
        <f>F119-E119</f>
        <v>170</v>
      </c>
      <c r="AM119" s="1">
        <f>G119-F119</f>
        <v>210</v>
      </c>
      <c r="AN119" s="1">
        <f>H119-G119</f>
        <v>180</v>
      </c>
      <c r="AO119" s="1">
        <f>I119-H119</f>
        <v>180</v>
      </c>
      <c r="AP119" s="1">
        <f>J119-I119</f>
        <v>200</v>
      </c>
      <c r="AQ119" s="1">
        <f>K119-J119</f>
        <v>190</v>
      </c>
      <c r="AR119" s="1">
        <f>L119-K119</f>
        <v>190</v>
      </c>
      <c r="AS119" s="1">
        <f>M119-L119</f>
        <v>210</v>
      </c>
      <c r="AT119" s="1">
        <f>N119-M119</f>
        <v>190</v>
      </c>
      <c r="AU119" s="1">
        <f>O119-N119</f>
        <v>220</v>
      </c>
      <c r="AV119" s="1">
        <f>P119-O119</f>
        <v>170</v>
      </c>
      <c r="AW119" s="1">
        <f>Q119-P119</f>
        <v>220</v>
      </c>
      <c r="AX119" s="1">
        <f>R119-Q119</f>
        <v>180</v>
      </c>
      <c r="AY119" s="1">
        <f>S119-R119</f>
        <v>160</v>
      </c>
      <c r="AZ119" s="1">
        <f>T119-S119</f>
        <v>200</v>
      </c>
      <c r="BA119" s="1">
        <f>U119-T119</f>
        <v>220</v>
      </c>
      <c r="BB119" s="1">
        <f>V119-U119</f>
        <v>160</v>
      </c>
      <c r="BC119" s="1">
        <f>W119-V119</f>
        <v>230</v>
      </c>
      <c r="BD119" s="1">
        <f>X119-W119</f>
        <v>170</v>
      </c>
      <c r="BE119" s="1">
        <f>Y119-X119</f>
        <v>240</v>
      </c>
      <c r="BF119" s="1">
        <f>Z119-Y119</f>
        <v>360</v>
      </c>
    </row>
    <row r="120" spans="1:58">
      <c r="A120" s="1">
        <v>118</v>
      </c>
      <c r="B120" s="1">
        <v>604890</v>
      </c>
      <c r="C120" s="1">
        <v>605130</v>
      </c>
      <c r="D120" s="1">
        <v>605300</v>
      </c>
      <c r="E120" s="1">
        <v>605460</v>
      </c>
      <c r="F120" s="1">
        <v>605680</v>
      </c>
      <c r="G120" s="1">
        <v>605860</v>
      </c>
      <c r="H120" s="1">
        <v>606070</v>
      </c>
      <c r="I120" s="1">
        <v>606250</v>
      </c>
      <c r="J120" s="1">
        <v>606450</v>
      </c>
      <c r="K120" s="1">
        <v>606620</v>
      </c>
      <c r="L120" s="1">
        <v>606830</v>
      </c>
      <c r="M120" s="1">
        <v>607010</v>
      </c>
      <c r="N120" s="1">
        <v>607250</v>
      </c>
      <c r="O120" s="1">
        <v>607420</v>
      </c>
      <c r="P120" s="1">
        <v>607630</v>
      </c>
      <c r="Q120" s="1">
        <v>607840</v>
      </c>
      <c r="R120" s="1">
        <v>607990</v>
      </c>
      <c r="S120" s="1">
        <v>608190</v>
      </c>
      <c r="T120" s="1">
        <v>608380</v>
      </c>
      <c r="U120" s="1">
        <v>608560</v>
      </c>
      <c r="V120" s="1">
        <v>608740</v>
      </c>
      <c r="W120" s="1">
        <v>608960</v>
      </c>
      <c r="X120" s="1">
        <v>609170</v>
      </c>
      <c r="Y120" s="1">
        <v>609390</v>
      </c>
      <c r="Z120" s="1">
        <v>609770</v>
      </c>
      <c r="AA120" s="5">
        <f>AVERAGE(B120:Y120)</f>
        <v>607127.91666666663</v>
      </c>
      <c r="AB120" s="5">
        <f>(AA121-AA119)/2</f>
        <v>4864.1666666666279</v>
      </c>
      <c r="AC120" s="14">
        <f>AB120/(23+AB151)</f>
        <v>195.00306581052936</v>
      </c>
      <c r="AD120" s="5">
        <f>AA120-AA119</f>
        <v>4860.8333333332557</v>
      </c>
      <c r="AE120" s="1">
        <f>AD120-AD119</f>
        <v>-12.916666666744277</v>
      </c>
      <c r="AG120" s="5">
        <f>Z120-Y120</f>
        <v>380</v>
      </c>
      <c r="AI120" s="1">
        <f>C120-B120</f>
        <v>240</v>
      </c>
      <c r="AJ120" s="1">
        <f>D120-C120</f>
        <v>170</v>
      </c>
      <c r="AK120" s="1">
        <f>E120-D120</f>
        <v>160</v>
      </c>
      <c r="AL120" s="1">
        <f>F120-E120</f>
        <v>220</v>
      </c>
      <c r="AM120" s="1">
        <f>G120-F120</f>
        <v>180</v>
      </c>
      <c r="AN120" s="1">
        <f>H120-G120</f>
        <v>210</v>
      </c>
      <c r="AO120" s="1">
        <f>I120-H120</f>
        <v>180</v>
      </c>
      <c r="AP120" s="1">
        <f>J120-I120</f>
        <v>200</v>
      </c>
      <c r="AQ120" s="1">
        <f>K120-J120</f>
        <v>170</v>
      </c>
      <c r="AR120" s="1">
        <f>L120-K120</f>
        <v>210</v>
      </c>
      <c r="AS120" s="1">
        <f>M120-L120</f>
        <v>180</v>
      </c>
      <c r="AT120" s="1">
        <f>N120-M120</f>
        <v>240</v>
      </c>
      <c r="AU120" s="1">
        <f>O120-N120</f>
        <v>170</v>
      </c>
      <c r="AV120" s="1">
        <f>P120-O120</f>
        <v>210</v>
      </c>
      <c r="AW120" s="1">
        <f>Q120-P120</f>
        <v>210</v>
      </c>
      <c r="AX120" s="1">
        <f>R120-Q120</f>
        <v>150</v>
      </c>
      <c r="AY120" s="1">
        <f>S120-R120</f>
        <v>200</v>
      </c>
      <c r="AZ120" s="1">
        <f>T120-S120</f>
        <v>190</v>
      </c>
      <c r="BA120" s="1">
        <f>U120-T120</f>
        <v>180</v>
      </c>
      <c r="BB120" s="1">
        <f>V120-U120</f>
        <v>180</v>
      </c>
      <c r="BC120" s="1">
        <f>W120-V120</f>
        <v>220</v>
      </c>
      <c r="BD120" s="1">
        <f>X120-W120</f>
        <v>210</v>
      </c>
      <c r="BE120" s="1">
        <f>Y120-X120</f>
        <v>220</v>
      </c>
      <c r="BF120" s="1">
        <f>Z120-Y120</f>
        <v>380</v>
      </c>
    </row>
    <row r="121" spans="1:58">
      <c r="A121" s="1">
        <v>119</v>
      </c>
      <c r="B121" s="1">
        <v>609770</v>
      </c>
      <c r="C121" s="1">
        <v>609990</v>
      </c>
      <c r="D121" s="1">
        <v>610180</v>
      </c>
      <c r="E121" s="1">
        <v>610340</v>
      </c>
      <c r="F121" s="1">
        <v>610540</v>
      </c>
      <c r="G121" s="1">
        <v>610750</v>
      </c>
      <c r="H121" s="1">
        <v>610910</v>
      </c>
      <c r="I121" s="1">
        <v>611160</v>
      </c>
      <c r="J121" s="1">
        <v>611320</v>
      </c>
      <c r="K121" s="1">
        <v>611460</v>
      </c>
      <c r="L121" s="1">
        <v>611670</v>
      </c>
      <c r="M121" s="1">
        <v>611880</v>
      </c>
      <c r="N121" s="1">
        <v>612090</v>
      </c>
      <c r="O121" s="1">
        <v>612310</v>
      </c>
      <c r="P121" s="1">
        <v>612500</v>
      </c>
      <c r="Q121" s="1">
        <v>612670</v>
      </c>
      <c r="R121" s="1">
        <v>612870</v>
      </c>
      <c r="S121" s="1">
        <v>613060</v>
      </c>
      <c r="T121" s="1">
        <v>613260</v>
      </c>
      <c r="U121" s="1">
        <v>613450</v>
      </c>
      <c r="V121" s="1">
        <v>613600</v>
      </c>
      <c r="W121" s="1">
        <v>613830</v>
      </c>
      <c r="X121" s="1">
        <v>614020</v>
      </c>
      <c r="Y121" s="1">
        <v>614260</v>
      </c>
      <c r="Z121" s="1">
        <v>614600</v>
      </c>
      <c r="AA121" s="5">
        <f>AVERAGE(B121:Y121)</f>
        <v>611995.41666666663</v>
      </c>
      <c r="AB121" s="5">
        <f>(AA122-AA120)/2</f>
        <v>4861.6666666666861</v>
      </c>
      <c r="AC121" s="14">
        <f>AB121/(23+AB151)</f>
        <v>194.90284151767037</v>
      </c>
      <c r="AD121" s="5">
        <f>AA121-AA120</f>
        <v>4867.5</v>
      </c>
      <c r="AE121" s="1">
        <f>AD121-AD120</f>
        <v>6.6666666667442769</v>
      </c>
      <c r="AG121" s="5">
        <f>Z121-Y121</f>
        <v>340</v>
      </c>
      <c r="AI121" s="1">
        <f>C121-B121</f>
        <v>220</v>
      </c>
      <c r="AJ121" s="1">
        <f>D121-C121</f>
        <v>190</v>
      </c>
      <c r="AK121" s="1">
        <f>E121-D121</f>
        <v>160</v>
      </c>
      <c r="AL121" s="1">
        <f>F121-E121</f>
        <v>200</v>
      </c>
      <c r="AM121" s="1">
        <f>G121-F121</f>
        <v>210</v>
      </c>
      <c r="AN121" s="1">
        <f>H121-G121</f>
        <v>160</v>
      </c>
      <c r="AO121" s="1">
        <f>I121-H121</f>
        <v>250</v>
      </c>
      <c r="AP121" s="1">
        <f>J121-I121</f>
        <v>160</v>
      </c>
      <c r="AQ121" s="1">
        <f>K121-J121</f>
        <v>140</v>
      </c>
      <c r="AR121" s="1">
        <f>L121-K121</f>
        <v>210</v>
      </c>
      <c r="AS121" s="1">
        <f>M121-L121</f>
        <v>210</v>
      </c>
      <c r="AT121" s="1">
        <f>N121-M121</f>
        <v>210</v>
      </c>
      <c r="AU121" s="1">
        <f>O121-N121</f>
        <v>220</v>
      </c>
      <c r="AV121" s="1">
        <f>P121-O121</f>
        <v>190</v>
      </c>
      <c r="AW121" s="1">
        <f>Q121-P121</f>
        <v>170</v>
      </c>
      <c r="AX121" s="1">
        <f>R121-Q121</f>
        <v>200</v>
      </c>
      <c r="AY121" s="1">
        <f>S121-R121</f>
        <v>190</v>
      </c>
      <c r="AZ121" s="1">
        <f>T121-S121</f>
        <v>200</v>
      </c>
      <c r="BA121" s="1">
        <f>U121-T121</f>
        <v>190</v>
      </c>
      <c r="BB121" s="1">
        <f>V121-U121</f>
        <v>150</v>
      </c>
      <c r="BC121" s="1">
        <f>W121-V121</f>
        <v>230</v>
      </c>
      <c r="BD121" s="1">
        <f>X121-W121</f>
        <v>190</v>
      </c>
      <c r="BE121" s="1">
        <f>Y121-X121</f>
        <v>240</v>
      </c>
      <c r="BF121" s="1">
        <f>Z121-Y121</f>
        <v>340</v>
      </c>
    </row>
    <row r="122" spans="1:58">
      <c r="A122" s="1">
        <v>120</v>
      </c>
      <c r="B122" s="1">
        <v>614600</v>
      </c>
      <c r="C122" s="1">
        <v>614810</v>
      </c>
      <c r="D122" s="1">
        <v>615000</v>
      </c>
      <c r="E122" s="1">
        <v>615170</v>
      </c>
      <c r="F122" s="1">
        <v>615390</v>
      </c>
      <c r="G122" s="1">
        <v>615630</v>
      </c>
      <c r="H122" s="1">
        <v>615780</v>
      </c>
      <c r="I122" s="1">
        <v>616000</v>
      </c>
      <c r="J122" s="1">
        <v>616170</v>
      </c>
      <c r="K122" s="1">
        <v>616330</v>
      </c>
      <c r="L122" s="1">
        <v>616490</v>
      </c>
      <c r="M122" s="1">
        <v>616710</v>
      </c>
      <c r="N122" s="1">
        <v>616950</v>
      </c>
      <c r="O122" s="1">
        <v>617170</v>
      </c>
      <c r="P122" s="1">
        <v>617350</v>
      </c>
      <c r="Q122" s="1">
        <v>617550</v>
      </c>
      <c r="R122" s="1">
        <v>617760</v>
      </c>
      <c r="S122" s="1">
        <v>617930</v>
      </c>
      <c r="T122" s="1">
        <v>618090</v>
      </c>
      <c r="U122" s="1">
        <v>618260</v>
      </c>
      <c r="V122" s="1">
        <v>618540</v>
      </c>
      <c r="W122" s="1">
        <v>618730</v>
      </c>
      <c r="X122" s="1">
        <v>618910</v>
      </c>
      <c r="Y122" s="1">
        <v>619110</v>
      </c>
      <c r="Z122" s="1">
        <v>619510</v>
      </c>
      <c r="AA122" s="5">
        <f>AVERAGE(B122:Y122)</f>
        <v>616851.25</v>
      </c>
      <c r="AB122" s="5">
        <f>(AA123-AA121)/2</f>
        <v>4868.3333333333721</v>
      </c>
      <c r="AC122" s="14">
        <f>AB122/(23+AB151)</f>
        <v>195.17010629863469</v>
      </c>
      <c r="AD122" s="5">
        <f>AA122-AA121</f>
        <v>4855.8333333333721</v>
      </c>
      <c r="AE122" s="1">
        <f>AD122-AD121</f>
        <v>-11.666666666627862</v>
      </c>
      <c r="AG122" s="5">
        <f>Z122-Y122</f>
        <v>400</v>
      </c>
      <c r="AI122" s="1">
        <f>C122-B122</f>
        <v>210</v>
      </c>
      <c r="AJ122" s="1">
        <f>D122-C122</f>
        <v>190</v>
      </c>
      <c r="AK122" s="1">
        <f>E122-D122</f>
        <v>170</v>
      </c>
      <c r="AL122" s="1">
        <f>F122-E122</f>
        <v>220</v>
      </c>
      <c r="AM122" s="1">
        <f>G122-F122</f>
        <v>240</v>
      </c>
      <c r="AN122" s="1">
        <f>H122-G122</f>
        <v>150</v>
      </c>
      <c r="AO122" s="1">
        <f>I122-H122</f>
        <v>220</v>
      </c>
      <c r="AP122" s="1">
        <f>J122-I122</f>
        <v>170</v>
      </c>
      <c r="AQ122" s="1">
        <f>K122-J122</f>
        <v>160</v>
      </c>
      <c r="AR122" s="1">
        <f>L122-K122</f>
        <v>160</v>
      </c>
      <c r="AS122" s="1">
        <f>M122-L122</f>
        <v>220</v>
      </c>
      <c r="AT122" s="1">
        <f>N122-M122</f>
        <v>240</v>
      </c>
      <c r="AU122" s="1">
        <f>O122-N122</f>
        <v>220</v>
      </c>
      <c r="AV122" s="1">
        <f>P122-O122</f>
        <v>180</v>
      </c>
      <c r="AW122" s="1">
        <f>Q122-P122</f>
        <v>200</v>
      </c>
      <c r="AX122" s="1">
        <f>R122-Q122</f>
        <v>210</v>
      </c>
      <c r="AY122" s="1">
        <f>S122-R122</f>
        <v>170</v>
      </c>
      <c r="AZ122" s="1">
        <f>T122-S122</f>
        <v>160</v>
      </c>
      <c r="BA122" s="1">
        <f>U122-T122</f>
        <v>170</v>
      </c>
      <c r="BB122" s="1">
        <f>V122-U122</f>
        <v>280</v>
      </c>
      <c r="BC122" s="1">
        <f>W122-V122</f>
        <v>190</v>
      </c>
      <c r="BD122" s="1">
        <f>X122-W122</f>
        <v>180</v>
      </c>
      <c r="BE122" s="1">
        <f>Y122-X122</f>
        <v>200</v>
      </c>
      <c r="BF122" s="1">
        <f>Z122-Y122</f>
        <v>400</v>
      </c>
    </row>
    <row r="123" spans="1:58">
      <c r="A123" s="1">
        <v>121</v>
      </c>
      <c r="B123" s="1">
        <v>619510</v>
      </c>
      <c r="C123" s="1">
        <v>619690</v>
      </c>
      <c r="D123" s="1">
        <v>619910</v>
      </c>
      <c r="E123" s="1">
        <v>620060</v>
      </c>
      <c r="F123" s="1">
        <v>620340</v>
      </c>
      <c r="G123" s="1">
        <v>620470</v>
      </c>
      <c r="H123" s="1">
        <v>620640</v>
      </c>
      <c r="I123" s="1">
        <v>620880</v>
      </c>
      <c r="J123" s="1">
        <v>621050</v>
      </c>
      <c r="K123" s="1">
        <v>621240</v>
      </c>
      <c r="L123" s="1">
        <v>621430</v>
      </c>
      <c r="M123" s="1">
        <v>621620</v>
      </c>
      <c r="N123" s="1">
        <v>621840</v>
      </c>
      <c r="O123" s="1">
        <v>621960</v>
      </c>
      <c r="P123" s="1">
        <v>622220</v>
      </c>
      <c r="Q123" s="1">
        <v>622410</v>
      </c>
      <c r="R123" s="1">
        <v>622620</v>
      </c>
      <c r="S123" s="1">
        <v>622820</v>
      </c>
      <c r="T123" s="1">
        <v>622990</v>
      </c>
      <c r="U123" s="1">
        <v>623140</v>
      </c>
      <c r="V123" s="1">
        <v>623390</v>
      </c>
      <c r="W123" s="1">
        <v>623570</v>
      </c>
      <c r="X123" s="1">
        <v>623780</v>
      </c>
      <c r="Y123" s="1">
        <v>623990</v>
      </c>
      <c r="Z123" s="1">
        <v>624380</v>
      </c>
      <c r="AA123" s="5">
        <f>AVERAGE(B123:Y123)</f>
        <v>621732.08333333337</v>
      </c>
      <c r="AB123" s="5">
        <f>(AA124-AA122)/2</f>
        <v>4880</v>
      </c>
      <c r="AC123" s="14">
        <f>AB123/(23+AB151)</f>
        <v>195.63781966531934</v>
      </c>
      <c r="AD123" s="5">
        <f>AA123-AA122</f>
        <v>4880.8333333333721</v>
      </c>
      <c r="AE123" s="1">
        <f>AD123-AD122</f>
        <v>25</v>
      </c>
      <c r="AG123" s="5">
        <f>Z123-Y123</f>
        <v>390</v>
      </c>
      <c r="AI123" s="1">
        <f>C123-B123</f>
        <v>180</v>
      </c>
      <c r="AJ123" s="1">
        <f>D123-C123</f>
        <v>220</v>
      </c>
      <c r="AK123" s="1">
        <f>E123-D123</f>
        <v>150</v>
      </c>
      <c r="AL123" s="1">
        <f>F123-E123</f>
        <v>280</v>
      </c>
      <c r="AM123" s="1">
        <f>G123-F123</f>
        <v>130</v>
      </c>
      <c r="AN123" s="1">
        <f>H123-G123</f>
        <v>170</v>
      </c>
      <c r="AO123" s="1">
        <f>I123-H123</f>
        <v>240</v>
      </c>
      <c r="AP123" s="1">
        <f>J123-I123</f>
        <v>170</v>
      </c>
      <c r="AQ123" s="1">
        <f>K123-J123</f>
        <v>190</v>
      </c>
      <c r="AR123" s="1">
        <f>L123-K123</f>
        <v>190</v>
      </c>
      <c r="AS123" s="1">
        <f>M123-L123</f>
        <v>190</v>
      </c>
      <c r="AT123" s="1">
        <f>N123-M123</f>
        <v>220</v>
      </c>
      <c r="AU123" s="1">
        <f>O123-N123</f>
        <v>120</v>
      </c>
      <c r="AV123" s="1">
        <f>P123-O123</f>
        <v>260</v>
      </c>
      <c r="AW123" s="1">
        <f>Q123-P123</f>
        <v>190</v>
      </c>
      <c r="AX123" s="1">
        <f>R123-Q123</f>
        <v>210</v>
      </c>
      <c r="AY123" s="1">
        <f>S123-R123</f>
        <v>200</v>
      </c>
      <c r="AZ123" s="1">
        <f>T123-S123</f>
        <v>170</v>
      </c>
      <c r="BA123" s="1">
        <f>U123-T123</f>
        <v>150</v>
      </c>
      <c r="BB123" s="1">
        <f>V123-U123</f>
        <v>250</v>
      </c>
      <c r="BC123" s="1">
        <f>W123-V123</f>
        <v>180</v>
      </c>
      <c r="BD123" s="1">
        <f>X123-W123</f>
        <v>210</v>
      </c>
      <c r="BE123" s="1">
        <f>Y123-X123</f>
        <v>210</v>
      </c>
      <c r="BF123" s="1">
        <f>Z123-Y123</f>
        <v>390</v>
      </c>
    </row>
    <row r="124" spans="1:58">
      <c r="A124" s="1">
        <v>122</v>
      </c>
      <c r="B124" s="1">
        <v>624380</v>
      </c>
      <c r="C124" s="1">
        <v>624600</v>
      </c>
      <c r="D124" s="1">
        <v>624790</v>
      </c>
      <c r="E124" s="1">
        <v>624960</v>
      </c>
      <c r="F124" s="1">
        <v>625170</v>
      </c>
      <c r="G124" s="1">
        <v>625350</v>
      </c>
      <c r="H124" s="1">
        <v>625520</v>
      </c>
      <c r="I124" s="1">
        <v>625750</v>
      </c>
      <c r="J124" s="1">
        <v>625920</v>
      </c>
      <c r="K124" s="1">
        <v>626120</v>
      </c>
      <c r="L124" s="1">
        <v>626300</v>
      </c>
      <c r="M124" s="1">
        <v>626490</v>
      </c>
      <c r="N124" s="1">
        <v>626750</v>
      </c>
      <c r="O124" s="1">
        <v>626870</v>
      </c>
      <c r="P124" s="1">
        <v>627080</v>
      </c>
      <c r="Q124" s="1">
        <v>627280</v>
      </c>
      <c r="R124" s="1">
        <v>627500</v>
      </c>
      <c r="S124" s="1">
        <v>627660</v>
      </c>
      <c r="T124" s="1">
        <v>627870</v>
      </c>
      <c r="U124" s="1">
        <v>628100</v>
      </c>
      <c r="V124" s="1">
        <v>628290</v>
      </c>
      <c r="W124" s="1">
        <v>628460</v>
      </c>
      <c r="X124" s="1">
        <v>628620</v>
      </c>
      <c r="Y124" s="1">
        <v>628840</v>
      </c>
      <c r="Z124" s="1">
        <v>629270</v>
      </c>
      <c r="AA124" s="5">
        <f>AVERAGE(B124:Y124)</f>
        <v>626611.25</v>
      </c>
      <c r="AB124" s="5">
        <f>(AA125-AA123)/2</f>
        <v>4866.25</v>
      </c>
      <c r="AC124" s="14">
        <f>AB124/(23+AB151)</f>
        <v>195.08658605458203</v>
      </c>
      <c r="AD124" s="5">
        <f>AA124-AA123</f>
        <v>4879.1666666666279</v>
      </c>
      <c r="AE124" s="1">
        <f>AD124-AD123</f>
        <v>-1.6666666667442769</v>
      </c>
      <c r="AG124" s="5">
        <f>Z124-Y124</f>
        <v>430</v>
      </c>
      <c r="AI124" s="1">
        <f>C124-B124</f>
        <v>220</v>
      </c>
      <c r="AJ124" s="1">
        <f>D124-C124</f>
        <v>190</v>
      </c>
      <c r="AK124" s="1">
        <f>E124-D124</f>
        <v>170</v>
      </c>
      <c r="AL124" s="1">
        <f>F124-E124</f>
        <v>210</v>
      </c>
      <c r="AM124" s="1">
        <f>G124-F124</f>
        <v>180</v>
      </c>
      <c r="AN124" s="1">
        <f>H124-G124</f>
        <v>170</v>
      </c>
      <c r="AO124" s="1">
        <f>I124-H124</f>
        <v>230</v>
      </c>
      <c r="AP124" s="1">
        <f>J124-I124</f>
        <v>170</v>
      </c>
      <c r="AQ124" s="1">
        <f>K124-J124</f>
        <v>200</v>
      </c>
      <c r="AR124" s="1">
        <f>L124-K124</f>
        <v>180</v>
      </c>
      <c r="AS124" s="1">
        <f>M124-L124</f>
        <v>190</v>
      </c>
      <c r="AT124" s="1">
        <f>N124-M124</f>
        <v>260</v>
      </c>
      <c r="AU124" s="1">
        <f>O124-N124</f>
        <v>120</v>
      </c>
      <c r="AV124" s="1">
        <f>P124-O124</f>
        <v>210</v>
      </c>
      <c r="AW124" s="1">
        <f>Q124-P124</f>
        <v>200</v>
      </c>
      <c r="AX124" s="1">
        <f>R124-Q124</f>
        <v>220</v>
      </c>
      <c r="AY124" s="1">
        <f>S124-R124</f>
        <v>160</v>
      </c>
      <c r="AZ124" s="1">
        <f>T124-S124</f>
        <v>210</v>
      </c>
      <c r="BA124" s="1">
        <f>U124-T124</f>
        <v>230</v>
      </c>
      <c r="BB124" s="1">
        <f>V124-U124</f>
        <v>190</v>
      </c>
      <c r="BC124" s="1">
        <f>W124-V124</f>
        <v>170</v>
      </c>
      <c r="BD124" s="1">
        <f>X124-W124</f>
        <v>160</v>
      </c>
      <c r="BE124" s="1">
        <f>Y124-X124</f>
        <v>220</v>
      </c>
      <c r="BF124" s="1">
        <f>Z124-Y124</f>
        <v>430</v>
      </c>
    </row>
    <row r="125" spans="1:58">
      <c r="A125" s="1">
        <v>123</v>
      </c>
      <c r="B125" s="1">
        <v>629270</v>
      </c>
      <c r="C125" s="1">
        <v>629480</v>
      </c>
      <c r="D125" s="1">
        <v>629590</v>
      </c>
      <c r="E125" s="1">
        <v>629820</v>
      </c>
      <c r="F125" s="1">
        <v>629990</v>
      </c>
      <c r="G125" s="1">
        <v>630210</v>
      </c>
      <c r="H125" s="1">
        <v>630410</v>
      </c>
      <c r="I125" s="1">
        <v>630580</v>
      </c>
      <c r="J125" s="1">
        <v>630770</v>
      </c>
      <c r="K125" s="1">
        <v>630920</v>
      </c>
      <c r="L125" s="1">
        <v>631160</v>
      </c>
      <c r="M125" s="1">
        <v>631390</v>
      </c>
      <c r="N125" s="1">
        <v>631570</v>
      </c>
      <c r="O125" s="1">
        <v>631770</v>
      </c>
      <c r="P125" s="1">
        <v>631950</v>
      </c>
      <c r="Q125" s="1">
        <v>632130</v>
      </c>
      <c r="R125" s="1">
        <v>632350</v>
      </c>
      <c r="S125" s="1">
        <v>632500</v>
      </c>
      <c r="T125" s="1">
        <v>632680</v>
      </c>
      <c r="U125" s="1">
        <v>632930</v>
      </c>
      <c r="V125" s="1">
        <v>633100</v>
      </c>
      <c r="W125" s="1">
        <v>633310</v>
      </c>
      <c r="X125" s="1">
        <v>633530</v>
      </c>
      <c r="Y125" s="1">
        <v>633740</v>
      </c>
      <c r="Z125" s="1">
        <v>634190</v>
      </c>
      <c r="AA125" s="5">
        <f>AVERAGE(B125:Y125)</f>
        <v>631464.58333333337</v>
      </c>
      <c r="AB125" s="5">
        <f>(AA126-AA124)/2</f>
        <v>4871.25</v>
      </c>
      <c r="AC125" s="14">
        <f>AB125/(23+AB151)</f>
        <v>195.28703464030468</v>
      </c>
      <c r="AD125" s="5">
        <f>AA125-AA124</f>
        <v>4853.3333333333721</v>
      </c>
      <c r="AE125" s="1">
        <f>AD125-AD124</f>
        <v>-25.833333333255723</v>
      </c>
      <c r="AG125" s="5">
        <f>Z125-Y125</f>
        <v>450</v>
      </c>
      <c r="AI125" s="1">
        <f>C125-B125</f>
        <v>210</v>
      </c>
      <c r="AJ125" s="1">
        <f>D125-C125</f>
        <v>110</v>
      </c>
      <c r="AK125" s="1">
        <f>E125-D125</f>
        <v>230</v>
      </c>
      <c r="AL125" s="1">
        <f>F125-E125</f>
        <v>170</v>
      </c>
      <c r="AM125" s="1">
        <f>G125-F125</f>
        <v>220</v>
      </c>
      <c r="AN125" s="1">
        <f>H125-G125</f>
        <v>200</v>
      </c>
      <c r="AO125" s="1">
        <f>I125-H125</f>
        <v>170</v>
      </c>
      <c r="AP125" s="1">
        <f>J125-I125</f>
        <v>190</v>
      </c>
      <c r="AQ125" s="1">
        <f>K125-J125</f>
        <v>150</v>
      </c>
      <c r="AR125" s="1">
        <f>L125-K125</f>
        <v>240</v>
      </c>
      <c r="AS125" s="1">
        <f>M125-L125</f>
        <v>230</v>
      </c>
      <c r="AT125" s="1">
        <f>N125-M125</f>
        <v>180</v>
      </c>
      <c r="AU125" s="1">
        <f>O125-N125</f>
        <v>200</v>
      </c>
      <c r="AV125" s="1">
        <f>P125-O125</f>
        <v>180</v>
      </c>
      <c r="AW125" s="1">
        <f>Q125-P125</f>
        <v>180</v>
      </c>
      <c r="AX125" s="1">
        <f>R125-Q125</f>
        <v>220</v>
      </c>
      <c r="AY125" s="1">
        <f>S125-R125</f>
        <v>150</v>
      </c>
      <c r="AZ125" s="1">
        <f>T125-S125</f>
        <v>180</v>
      </c>
      <c r="BA125" s="1">
        <f>U125-T125</f>
        <v>250</v>
      </c>
      <c r="BB125" s="1">
        <f>V125-U125</f>
        <v>170</v>
      </c>
      <c r="BC125" s="1">
        <f>W125-V125</f>
        <v>210</v>
      </c>
      <c r="BD125" s="1">
        <f>X125-W125</f>
        <v>220</v>
      </c>
      <c r="BE125" s="1">
        <f>Y125-X125</f>
        <v>210</v>
      </c>
      <c r="BF125" s="1">
        <f>Z125-Y125</f>
        <v>450</v>
      </c>
    </row>
    <row r="126" spans="1:58">
      <c r="A126" s="1">
        <v>124</v>
      </c>
      <c r="B126" s="1">
        <v>634190</v>
      </c>
      <c r="C126" s="1">
        <v>634380</v>
      </c>
      <c r="D126" s="1">
        <v>634530</v>
      </c>
      <c r="E126" s="1">
        <v>634690</v>
      </c>
      <c r="F126" s="1">
        <v>634890</v>
      </c>
      <c r="G126" s="1">
        <v>635070</v>
      </c>
      <c r="H126" s="1">
        <v>635280</v>
      </c>
      <c r="I126" s="1">
        <v>635450</v>
      </c>
      <c r="J126" s="1">
        <v>635620</v>
      </c>
      <c r="K126" s="1">
        <v>635810</v>
      </c>
      <c r="L126" s="1">
        <v>636010</v>
      </c>
      <c r="M126" s="1">
        <v>636280</v>
      </c>
      <c r="N126" s="1">
        <v>636510</v>
      </c>
      <c r="O126" s="1">
        <v>636660</v>
      </c>
      <c r="P126" s="1">
        <v>636850</v>
      </c>
      <c r="Q126" s="1">
        <v>637040</v>
      </c>
      <c r="R126" s="1">
        <v>637230</v>
      </c>
      <c r="S126" s="1">
        <v>637440</v>
      </c>
      <c r="T126" s="1">
        <v>637640</v>
      </c>
      <c r="U126" s="1">
        <v>637770</v>
      </c>
      <c r="V126" s="1">
        <v>638010</v>
      </c>
      <c r="W126" s="1">
        <v>638180</v>
      </c>
      <c r="X126" s="1">
        <v>638360</v>
      </c>
      <c r="Y126" s="1">
        <v>638600</v>
      </c>
      <c r="Z126" s="1">
        <v>639000</v>
      </c>
      <c r="AA126" s="5">
        <f>AVERAGE(B126:Y126)</f>
        <v>636353.75</v>
      </c>
      <c r="AB126" s="5">
        <f>(AA127-AA125)/2</f>
        <v>4881.0416666666279</v>
      </c>
      <c r="AC126" s="14">
        <f>AB126/(23+AB151)</f>
        <v>195.67957978734336</v>
      </c>
      <c r="AD126" s="5">
        <f>AA126-AA125</f>
        <v>4889.1666666666279</v>
      </c>
      <c r="AE126" s="1">
        <f>AD126-AD125</f>
        <v>35.833333333255723</v>
      </c>
      <c r="AG126" s="5">
        <f>Z126-Y126</f>
        <v>400</v>
      </c>
      <c r="AI126" s="1">
        <f>C126-B126</f>
        <v>190</v>
      </c>
      <c r="AJ126" s="1">
        <f>D126-C126</f>
        <v>150</v>
      </c>
      <c r="AK126" s="1">
        <f>E126-D126</f>
        <v>160</v>
      </c>
      <c r="AL126" s="1">
        <f>F126-E126</f>
        <v>200</v>
      </c>
      <c r="AM126" s="1">
        <f>G126-F126</f>
        <v>180</v>
      </c>
      <c r="AN126" s="1">
        <f>H126-G126</f>
        <v>210</v>
      </c>
      <c r="AO126" s="1">
        <f>I126-H126</f>
        <v>170</v>
      </c>
      <c r="AP126" s="1">
        <f>J126-I126</f>
        <v>170</v>
      </c>
      <c r="AQ126" s="1">
        <f>K126-J126</f>
        <v>190</v>
      </c>
      <c r="AR126" s="1">
        <f>L126-K126</f>
        <v>200</v>
      </c>
      <c r="AS126" s="1">
        <f>M126-L126</f>
        <v>270</v>
      </c>
      <c r="AT126" s="1">
        <f>N126-M126</f>
        <v>230</v>
      </c>
      <c r="AU126" s="1">
        <f>O126-N126</f>
        <v>150</v>
      </c>
      <c r="AV126" s="1">
        <f>P126-O126</f>
        <v>190</v>
      </c>
      <c r="AW126" s="1">
        <f>Q126-P126</f>
        <v>190</v>
      </c>
      <c r="AX126" s="1">
        <f>R126-Q126</f>
        <v>190</v>
      </c>
      <c r="AY126" s="1">
        <f>S126-R126</f>
        <v>210</v>
      </c>
      <c r="AZ126" s="1">
        <f>T126-S126</f>
        <v>200</v>
      </c>
      <c r="BA126" s="1">
        <f>U126-T126</f>
        <v>130</v>
      </c>
      <c r="BB126" s="1">
        <f>V126-U126</f>
        <v>240</v>
      </c>
      <c r="BC126" s="1">
        <f>W126-V126</f>
        <v>170</v>
      </c>
      <c r="BD126" s="1">
        <f>X126-W126</f>
        <v>180</v>
      </c>
      <c r="BE126" s="1">
        <f>Y126-X126</f>
        <v>240</v>
      </c>
      <c r="BF126" s="1">
        <f>Z126-Y126</f>
        <v>400</v>
      </c>
    </row>
    <row r="127" spans="1:58">
      <c r="A127" s="1">
        <v>125</v>
      </c>
      <c r="B127" s="1">
        <v>639000</v>
      </c>
      <c r="C127" s="1">
        <v>639200</v>
      </c>
      <c r="D127" s="1">
        <v>639400</v>
      </c>
      <c r="E127" s="1">
        <v>639600</v>
      </c>
      <c r="F127" s="1">
        <v>639750</v>
      </c>
      <c r="G127" s="1">
        <v>639960</v>
      </c>
      <c r="H127" s="1">
        <v>640180</v>
      </c>
      <c r="I127" s="1">
        <v>640370</v>
      </c>
      <c r="J127" s="1">
        <v>640510</v>
      </c>
      <c r="K127" s="1">
        <v>640710</v>
      </c>
      <c r="L127" s="1">
        <v>640950</v>
      </c>
      <c r="M127" s="1">
        <v>641100</v>
      </c>
      <c r="N127" s="1">
        <v>641300</v>
      </c>
      <c r="O127" s="1">
        <v>641460</v>
      </c>
      <c r="P127" s="1">
        <v>641720</v>
      </c>
      <c r="Q127" s="1">
        <v>641920</v>
      </c>
      <c r="R127" s="1">
        <v>642110</v>
      </c>
      <c r="S127" s="1">
        <v>642310</v>
      </c>
      <c r="T127" s="1">
        <v>642520</v>
      </c>
      <c r="U127" s="1">
        <v>642690</v>
      </c>
      <c r="V127" s="1">
        <v>642840</v>
      </c>
      <c r="W127" s="1">
        <v>643060</v>
      </c>
      <c r="X127" s="1">
        <v>643270</v>
      </c>
      <c r="Y127" s="1">
        <v>643510</v>
      </c>
      <c r="Z127" s="1">
        <v>643900</v>
      </c>
      <c r="AA127" s="5">
        <f>AVERAGE(B127:Y127)</f>
        <v>641226.66666666663</v>
      </c>
      <c r="AB127" s="5">
        <f>(AA128-AA126)/2</f>
        <v>4880.2083333333139</v>
      </c>
      <c r="AC127" s="14">
        <f>AB127/(23+AB151)</f>
        <v>195.64617168972367</v>
      </c>
      <c r="AD127" s="5">
        <f>AA127-AA126</f>
        <v>4872.9166666666279</v>
      </c>
      <c r="AE127" s="1">
        <f>AD127-AD126</f>
        <v>-16.25</v>
      </c>
      <c r="AG127" s="5">
        <f>Z127-Y127</f>
        <v>390</v>
      </c>
      <c r="AI127" s="1">
        <f>C127-B127</f>
        <v>200</v>
      </c>
      <c r="AJ127" s="1">
        <f>D127-C127</f>
        <v>200</v>
      </c>
      <c r="AK127" s="1">
        <f>E127-D127</f>
        <v>200</v>
      </c>
      <c r="AL127" s="1">
        <f>F127-E127</f>
        <v>150</v>
      </c>
      <c r="AM127" s="1">
        <f>G127-F127</f>
        <v>210</v>
      </c>
      <c r="AN127" s="1">
        <f>H127-G127</f>
        <v>220</v>
      </c>
      <c r="AO127" s="1">
        <f>I127-H127</f>
        <v>190</v>
      </c>
      <c r="AP127" s="1">
        <f>J127-I127</f>
        <v>140</v>
      </c>
      <c r="AQ127" s="1">
        <f>K127-J127</f>
        <v>200</v>
      </c>
      <c r="AR127" s="1">
        <f>L127-K127</f>
        <v>240</v>
      </c>
      <c r="AS127" s="1">
        <f>M127-L127</f>
        <v>150</v>
      </c>
      <c r="AT127" s="1">
        <f>N127-M127</f>
        <v>200</v>
      </c>
      <c r="AU127" s="1">
        <f>O127-N127</f>
        <v>160</v>
      </c>
      <c r="AV127" s="1">
        <f>P127-O127</f>
        <v>260</v>
      </c>
      <c r="AW127" s="1">
        <f>Q127-P127</f>
        <v>200</v>
      </c>
      <c r="AX127" s="1">
        <f>R127-Q127</f>
        <v>190</v>
      </c>
      <c r="AY127" s="1">
        <f>S127-R127</f>
        <v>200</v>
      </c>
      <c r="AZ127" s="1">
        <f>T127-S127</f>
        <v>210</v>
      </c>
      <c r="BA127" s="1">
        <f>U127-T127</f>
        <v>170</v>
      </c>
      <c r="BB127" s="1">
        <f>V127-U127</f>
        <v>150</v>
      </c>
      <c r="BC127" s="1">
        <f>W127-V127</f>
        <v>220</v>
      </c>
      <c r="BD127" s="1">
        <f>X127-W127</f>
        <v>210</v>
      </c>
      <c r="BE127" s="1">
        <f>Y127-X127</f>
        <v>240</v>
      </c>
      <c r="BF127" s="1">
        <f>Z127-Y127</f>
        <v>390</v>
      </c>
    </row>
    <row r="128" spans="1:58">
      <c r="A128" s="1">
        <v>126</v>
      </c>
      <c r="B128" s="1">
        <v>643900</v>
      </c>
      <c r="C128" s="1">
        <v>644050</v>
      </c>
      <c r="D128" s="1">
        <v>644240</v>
      </c>
      <c r="E128" s="1">
        <v>644440</v>
      </c>
      <c r="F128" s="1">
        <v>644660</v>
      </c>
      <c r="G128" s="1">
        <v>644840</v>
      </c>
      <c r="H128" s="1">
        <v>645040</v>
      </c>
      <c r="I128" s="1">
        <v>645250</v>
      </c>
      <c r="J128" s="1">
        <v>645400</v>
      </c>
      <c r="K128" s="1">
        <v>645610</v>
      </c>
      <c r="L128" s="1">
        <v>645820</v>
      </c>
      <c r="M128" s="1">
        <v>646010</v>
      </c>
      <c r="N128" s="1">
        <v>646230</v>
      </c>
      <c r="O128" s="1">
        <v>646390</v>
      </c>
      <c r="P128" s="1">
        <v>646610</v>
      </c>
      <c r="Q128" s="1">
        <v>646750</v>
      </c>
      <c r="R128" s="1">
        <v>647000</v>
      </c>
      <c r="S128" s="1">
        <v>647180</v>
      </c>
      <c r="T128" s="1">
        <v>647420</v>
      </c>
      <c r="U128" s="1">
        <v>647590</v>
      </c>
      <c r="V128" s="1">
        <v>647790</v>
      </c>
      <c r="W128" s="1">
        <v>648020</v>
      </c>
      <c r="X128" s="1">
        <v>648140</v>
      </c>
      <c r="Y128" s="1">
        <v>648360</v>
      </c>
      <c r="Z128" s="1">
        <v>648750</v>
      </c>
      <c r="AA128" s="5">
        <f>AVERAGE(B128:Y128)</f>
        <v>646114.16666666663</v>
      </c>
      <c r="AB128" s="5">
        <f>(AA129-AA127)/2</f>
        <v>4881.25</v>
      </c>
      <c r="AC128" s="14">
        <f>AB128/(23+AB151)</f>
        <v>195.68793181175002</v>
      </c>
      <c r="AD128" s="5">
        <f>AA128-AA127</f>
        <v>4887.5</v>
      </c>
      <c r="AE128" s="1">
        <f>AD128-AD127</f>
        <v>14.583333333372138</v>
      </c>
      <c r="AG128" s="5">
        <f>Z128-Y128</f>
        <v>390</v>
      </c>
      <c r="AI128" s="1">
        <f>C128-B128</f>
        <v>150</v>
      </c>
      <c r="AJ128" s="1">
        <f>D128-C128</f>
        <v>190</v>
      </c>
      <c r="AK128" s="1">
        <f>E128-D128</f>
        <v>200</v>
      </c>
      <c r="AL128" s="1">
        <f>F128-E128</f>
        <v>220</v>
      </c>
      <c r="AM128" s="1">
        <f>G128-F128</f>
        <v>180</v>
      </c>
      <c r="AN128" s="1">
        <f>H128-G128</f>
        <v>200</v>
      </c>
      <c r="AO128" s="1">
        <f>I128-H128</f>
        <v>210</v>
      </c>
      <c r="AP128" s="1">
        <f>J128-I128</f>
        <v>150</v>
      </c>
      <c r="AQ128" s="1">
        <f>K128-J128</f>
        <v>210</v>
      </c>
      <c r="AR128" s="1">
        <f>L128-K128</f>
        <v>210</v>
      </c>
      <c r="AS128" s="1">
        <f>M128-L128</f>
        <v>190</v>
      </c>
      <c r="AT128" s="1">
        <f>N128-M128</f>
        <v>220</v>
      </c>
      <c r="AU128" s="1">
        <f>O128-N128</f>
        <v>160</v>
      </c>
      <c r="AV128" s="1">
        <f>P128-O128</f>
        <v>220</v>
      </c>
      <c r="AW128" s="1">
        <f>Q128-P128</f>
        <v>140</v>
      </c>
      <c r="AX128" s="1">
        <f>R128-Q128</f>
        <v>250</v>
      </c>
      <c r="AY128" s="1">
        <f>S128-R128</f>
        <v>180</v>
      </c>
      <c r="AZ128" s="1">
        <f>T128-S128</f>
        <v>240</v>
      </c>
      <c r="BA128" s="1">
        <f>U128-T128</f>
        <v>170</v>
      </c>
      <c r="BB128" s="1">
        <f>V128-U128</f>
        <v>200</v>
      </c>
      <c r="BC128" s="1">
        <f>W128-V128</f>
        <v>230</v>
      </c>
      <c r="BD128" s="1">
        <f>X128-W128</f>
        <v>120</v>
      </c>
      <c r="BE128" s="1">
        <f>Y128-X128</f>
        <v>220</v>
      </c>
      <c r="BF128" s="1">
        <f>Z128-Y128</f>
        <v>390</v>
      </c>
    </row>
    <row r="129" spans="1:58">
      <c r="A129" s="1">
        <v>127</v>
      </c>
      <c r="B129" s="1">
        <v>648750</v>
      </c>
      <c r="C129" s="1">
        <v>648960</v>
      </c>
      <c r="D129" s="1">
        <v>649130</v>
      </c>
      <c r="E129" s="1">
        <v>649300</v>
      </c>
      <c r="F129" s="1">
        <v>649540</v>
      </c>
      <c r="G129" s="1">
        <v>649750</v>
      </c>
      <c r="H129" s="1">
        <v>649880</v>
      </c>
      <c r="I129" s="1">
        <v>650120</v>
      </c>
      <c r="J129" s="1">
        <v>650300</v>
      </c>
      <c r="K129" s="1">
        <v>650510</v>
      </c>
      <c r="L129" s="1">
        <v>650690</v>
      </c>
      <c r="M129" s="1">
        <v>650910</v>
      </c>
      <c r="N129" s="1">
        <v>651100</v>
      </c>
      <c r="O129" s="1">
        <v>651270</v>
      </c>
      <c r="P129" s="1">
        <v>651450</v>
      </c>
      <c r="Q129" s="1">
        <v>651640</v>
      </c>
      <c r="R129" s="1">
        <v>651860</v>
      </c>
      <c r="S129" s="1">
        <v>652050</v>
      </c>
      <c r="T129" s="1">
        <v>652260</v>
      </c>
      <c r="U129" s="1">
        <v>652440</v>
      </c>
      <c r="V129" s="1">
        <v>652650</v>
      </c>
      <c r="W129" s="1">
        <v>652860</v>
      </c>
      <c r="X129" s="1">
        <v>653060</v>
      </c>
      <c r="Y129" s="1">
        <v>653260</v>
      </c>
      <c r="Z129" s="1">
        <v>653590</v>
      </c>
      <c r="AA129" s="5">
        <f>AVERAGE(B129:Y129)</f>
        <v>650989.16666666663</v>
      </c>
      <c r="AB129" s="5">
        <f>(AA130-AA128)/2</f>
        <v>4866.25</v>
      </c>
      <c r="AC129" s="14">
        <f>AB129/(23+AB151)</f>
        <v>195.08658605458203</v>
      </c>
      <c r="AD129" s="5">
        <f>AA129-AA128</f>
        <v>4875</v>
      </c>
      <c r="AE129" s="1">
        <f>AD129-AD128</f>
        <v>-12.5</v>
      </c>
      <c r="AG129" s="5">
        <f>Z129-Y129</f>
        <v>330</v>
      </c>
      <c r="AI129" s="1">
        <f>C129-B129</f>
        <v>210</v>
      </c>
      <c r="AJ129" s="1">
        <f>D129-C129</f>
        <v>170</v>
      </c>
      <c r="AK129" s="1">
        <f>E129-D129</f>
        <v>170</v>
      </c>
      <c r="AL129" s="1">
        <f>F129-E129</f>
        <v>240</v>
      </c>
      <c r="AM129" s="1">
        <f>G129-F129</f>
        <v>210</v>
      </c>
      <c r="AN129" s="1">
        <f>H129-G129</f>
        <v>130</v>
      </c>
      <c r="AO129" s="1">
        <f>I129-H129</f>
        <v>240</v>
      </c>
      <c r="AP129" s="1">
        <f>J129-I129</f>
        <v>180</v>
      </c>
      <c r="AQ129" s="1">
        <f>K129-J129</f>
        <v>210</v>
      </c>
      <c r="AR129" s="1">
        <f>L129-K129</f>
        <v>180</v>
      </c>
      <c r="AS129" s="1">
        <f>M129-L129</f>
        <v>220</v>
      </c>
      <c r="AT129" s="1">
        <f>N129-M129</f>
        <v>190</v>
      </c>
      <c r="AU129" s="1">
        <f>O129-N129</f>
        <v>170</v>
      </c>
      <c r="AV129" s="1">
        <f>P129-O129</f>
        <v>180</v>
      </c>
      <c r="AW129" s="1">
        <f>Q129-P129</f>
        <v>190</v>
      </c>
      <c r="AX129" s="1">
        <f>R129-Q129</f>
        <v>220</v>
      </c>
      <c r="AY129" s="1">
        <f>S129-R129</f>
        <v>190</v>
      </c>
      <c r="AZ129" s="1">
        <f>T129-S129</f>
        <v>210</v>
      </c>
      <c r="BA129" s="1">
        <f>U129-T129</f>
        <v>180</v>
      </c>
      <c r="BB129" s="1">
        <f>V129-U129</f>
        <v>210</v>
      </c>
      <c r="BC129" s="1">
        <f>W129-V129</f>
        <v>210</v>
      </c>
      <c r="BD129" s="1">
        <f>X129-W129</f>
        <v>200</v>
      </c>
      <c r="BE129" s="1">
        <f>Y129-X129</f>
        <v>200</v>
      </c>
      <c r="BF129" s="1">
        <f>Z129-Y129</f>
        <v>330</v>
      </c>
    </row>
    <row r="130" spans="1:58">
      <c r="A130" s="1">
        <v>128</v>
      </c>
      <c r="B130" s="1">
        <v>653590</v>
      </c>
      <c r="C130" s="1">
        <v>653810</v>
      </c>
      <c r="D130" s="1">
        <v>654020</v>
      </c>
      <c r="E130" s="1">
        <v>654210</v>
      </c>
      <c r="F130" s="1">
        <v>654390</v>
      </c>
      <c r="G130" s="1">
        <v>654610</v>
      </c>
      <c r="H130" s="1">
        <v>654790</v>
      </c>
      <c r="I130" s="1">
        <v>655010</v>
      </c>
      <c r="J130" s="1">
        <v>655170</v>
      </c>
      <c r="K130" s="1">
        <v>655360</v>
      </c>
      <c r="L130" s="1">
        <v>655560</v>
      </c>
      <c r="M130" s="1">
        <v>655760</v>
      </c>
      <c r="N130" s="1">
        <v>655880</v>
      </c>
      <c r="O130" s="1">
        <v>656130</v>
      </c>
      <c r="P130" s="1">
        <v>656290</v>
      </c>
      <c r="Q130" s="1">
        <v>656500</v>
      </c>
      <c r="R130" s="1">
        <v>656730</v>
      </c>
      <c r="S130" s="1">
        <v>656920</v>
      </c>
      <c r="T130" s="1">
        <v>657120</v>
      </c>
      <c r="U130" s="1">
        <v>657280</v>
      </c>
      <c r="V130" s="1">
        <v>657470</v>
      </c>
      <c r="W130" s="1">
        <v>657700</v>
      </c>
      <c r="X130" s="1">
        <v>657900</v>
      </c>
      <c r="Y130" s="1">
        <v>658120</v>
      </c>
      <c r="Z130" s="1">
        <v>658500</v>
      </c>
      <c r="AA130" s="5">
        <f>AVERAGE(B130:Y130)</f>
        <v>655846.66666666663</v>
      </c>
      <c r="AB130" s="5">
        <f>(AA131-AA129)/2</f>
        <v>4865.4166666666861</v>
      </c>
      <c r="AC130" s="14">
        <f>AB130/(23+AB151)</f>
        <v>195.05317795696237</v>
      </c>
      <c r="AD130" s="5">
        <f>AA130-AA129</f>
        <v>4857.5</v>
      </c>
      <c r="AE130" s="1">
        <f>AD130-AD129</f>
        <v>-17.5</v>
      </c>
      <c r="AG130" s="5">
        <f>Z130-Y130</f>
        <v>380</v>
      </c>
      <c r="AI130" s="1">
        <f>C130-B130</f>
        <v>220</v>
      </c>
      <c r="AJ130" s="1">
        <f>D130-C130</f>
        <v>210</v>
      </c>
      <c r="AK130" s="1">
        <f>E130-D130</f>
        <v>190</v>
      </c>
      <c r="AL130" s="1">
        <f>F130-E130</f>
        <v>180</v>
      </c>
      <c r="AM130" s="1">
        <f>G130-F130</f>
        <v>220</v>
      </c>
      <c r="AN130" s="1">
        <f>H130-G130</f>
        <v>180</v>
      </c>
      <c r="AO130" s="1">
        <f>I130-H130</f>
        <v>220</v>
      </c>
      <c r="AP130" s="1">
        <f>J130-I130</f>
        <v>160</v>
      </c>
      <c r="AQ130" s="1">
        <f>K130-J130</f>
        <v>190</v>
      </c>
      <c r="AR130" s="1">
        <f>L130-K130</f>
        <v>200</v>
      </c>
      <c r="AS130" s="1">
        <f>M130-L130</f>
        <v>200</v>
      </c>
      <c r="AT130" s="1">
        <f>N130-M130</f>
        <v>120</v>
      </c>
      <c r="AU130" s="1">
        <f>O130-N130</f>
        <v>250</v>
      </c>
      <c r="AV130" s="1">
        <f>P130-O130</f>
        <v>160</v>
      </c>
      <c r="AW130" s="1">
        <f>Q130-P130</f>
        <v>210</v>
      </c>
      <c r="AX130" s="1">
        <f>R130-Q130</f>
        <v>230</v>
      </c>
      <c r="AY130" s="1">
        <f>S130-R130</f>
        <v>190</v>
      </c>
      <c r="AZ130" s="1">
        <f>T130-S130</f>
        <v>200</v>
      </c>
      <c r="BA130" s="1">
        <f>U130-T130</f>
        <v>160</v>
      </c>
      <c r="BB130" s="1">
        <f>V130-U130</f>
        <v>190</v>
      </c>
      <c r="BC130" s="1">
        <f>W130-V130</f>
        <v>230</v>
      </c>
      <c r="BD130" s="1">
        <f>X130-W130</f>
        <v>200</v>
      </c>
      <c r="BE130" s="1">
        <f>Y130-X130</f>
        <v>220</v>
      </c>
      <c r="BF130" s="1">
        <f>Z130-Y130</f>
        <v>380</v>
      </c>
    </row>
    <row r="131" spans="1:58">
      <c r="A131" s="1">
        <v>129</v>
      </c>
      <c r="B131" s="1">
        <v>658500</v>
      </c>
      <c r="C131" s="1">
        <v>658630</v>
      </c>
      <c r="D131" s="1">
        <v>658830</v>
      </c>
      <c r="E131" s="1">
        <v>659060</v>
      </c>
      <c r="F131" s="1">
        <v>659260</v>
      </c>
      <c r="G131" s="1">
        <v>659480</v>
      </c>
      <c r="H131" s="1">
        <v>659630</v>
      </c>
      <c r="I131" s="1">
        <v>659880</v>
      </c>
      <c r="J131" s="1">
        <v>660010</v>
      </c>
      <c r="K131" s="1">
        <v>660230</v>
      </c>
      <c r="L131" s="1">
        <v>660420</v>
      </c>
      <c r="M131" s="1">
        <v>660610</v>
      </c>
      <c r="N131" s="1">
        <v>660820</v>
      </c>
      <c r="O131" s="1">
        <v>661020</v>
      </c>
      <c r="P131" s="1">
        <v>661180</v>
      </c>
      <c r="Q131" s="1">
        <v>661380</v>
      </c>
      <c r="R131" s="1">
        <v>661580</v>
      </c>
      <c r="S131" s="1">
        <v>661790</v>
      </c>
      <c r="T131" s="1">
        <v>662000</v>
      </c>
      <c r="U131" s="1">
        <v>662180</v>
      </c>
      <c r="V131" s="1">
        <v>662400</v>
      </c>
      <c r="W131" s="1">
        <v>662600</v>
      </c>
      <c r="X131" s="1">
        <v>662790</v>
      </c>
      <c r="Y131" s="1">
        <v>663000</v>
      </c>
      <c r="Z131" s="1">
        <v>663330</v>
      </c>
      <c r="AA131" s="5">
        <f>AVERAGE(B131:Y131)</f>
        <v>660720</v>
      </c>
      <c r="AB131" s="5">
        <f>(AA132-AA130)/2</f>
        <v>4879.5833333333721</v>
      </c>
      <c r="AC131" s="14">
        <f>AB131/(23+AB151)</f>
        <v>195.62111561651068</v>
      </c>
      <c r="AD131" s="5">
        <f>AA131-AA130</f>
        <v>4873.3333333333721</v>
      </c>
      <c r="AE131" s="1">
        <f>AD131-AD130</f>
        <v>15.833333333372138</v>
      </c>
      <c r="AG131" s="5">
        <f>Z131-Y131</f>
        <v>330</v>
      </c>
      <c r="AI131" s="1">
        <f>C131-B131</f>
        <v>130</v>
      </c>
      <c r="AJ131" s="1">
        <f>D131-C131</f>
        <v>200</v>
      </c>
      <c r="AK131" s="1">
        <f>E131-D131</f>
        <v>230</v>
      </c>
      <c r="AL131" s="1">
        <f>F131-E131</f>
        <v>200</v>
      </c>
      <c r="AM131" s="1">
        <f>G131-F131</f>
        <v>220</v>
      </c>
      <c r="AN131" s="1">
        <f>H131-G131</f>
        <v>150</v>
      </c>
      <c r="AO131" s="1">
        <f>I131-H131</f>
        <v>250</v>
      </c>
      <c r="AP131" s="1">
        <f>J131-I131</f>
        <v>130</v>
      </c>
      <c r="AQ131" s="1">
        <f>K131-J131</f>
        <v>220</v>
      </c>
      <c r="AR131" s="1">
        <f>L131-K131</f>
        <v>190</v>
      </c>
      <c r="AS131" s="1">
        <f>M131-L131</f>
        <v>190</v>
      </c>
      <c r="AT131" s="1">
        <f>N131-M131</f>
        <v>210</v>
      </c>
      <c r="AU131" s="1">
        <f>O131-N131</f>
        <v>200</v>
      </c>
      <c r="AV131" s="1">
        <f>P131-O131</f>
        <v>160</v>
      </c>
      <c r="AW131" s="1">
        <f>Q131-P131</f>
        <v>200</v>
      </c>
      <c r="AX131" s="1">
        <f>R131-Q131</f>
        <v>200</v>
      </c>
      <c r="AY131" s="1">
        <f>S131-R131</f>
        <v>210</v>
      </c>
      <c r="AZ131" s="1">
        <f>T131-S131</f>
        <v>210</v>
      </c>
      <c r="BA131" s="1">
        <f>U131-T131</f>
        <v>180</v>
      </c>
      <c r="BB131" s="1">
        <f>V131-U131</f>
        <v>220</v>
      </c>
      <c r="BC131" s="1">
        <f>W131-V131</f>
        <v>200</v>
      </c>
      <c r="BD131" s="1">
        <f>X131-W131</f>
        <v>190</v>
      </c>
      <c r="BE131" s="1">
        <f>Y131-X131</f>
        <v>210</v>
      </c>
      <c r="BF131" s="1">
        <f>Z131-Y131</f>
        <v>330</v>
      </c>
    </row>
    <row r="132" spans="1:58">
      <c r="A132" s="1">
        <v>130</v>
      </c>
      <c r="B132" s="1">
        <v>663330</v>
      </c>
      <c r="C132" s="1">
        <v>663550</v>
      </c>
      <c r="D132" s="1">
        <v>663750</v>
      </c>
      <c r="E132" s="1">
        <v>663960</v>
      </c>
      <c r="F132" s="1">
        <v>664150</v>
      </c>
      <c r="G132" s="1">
        <v>664340</v>
      </c>
      <c r="H132" s="1">
        <v>664530</v>
      </c>
      <c r="I132" s="1">
        <v>664710</v>
      </c>
      <c r="J132" s="1">
        <v>664950</v>
      </c>
      <c r="K132" s="1">
        <v>665110</v>
      </c>
      <c r="L132" s="1">
        <v>665350</v>
      </c>
      <c r="M132" s="1">
        <v>665510</v>
      </c>
      <c r="N132" s="1">
        <v>665740</v>
      </c>
      <c r="O132" s="1">
        <v>665890</v>
      </c>
      <c r="P132" s="1">
        <v>666100</v>
      </c>
      <c r="Q132" s="1">
        <v>666310</v>
      </c>
      <c r="R132" s="1">
        <v>666470</v>
      </c>
      <c r="S132" s="1">
        <v>666660</v>
      </c>
      <c r="T132" s="1">
        <v>666820</v>
      </c>
      <c r="U132" s="1">
        <v>667070</v>
      </c>
      <c r="V132" s="1">
        <v>667270</v>
      </c>
      <c r="W132" s="1">
        <v>667460</v>
      </c>
      <c r="X132" s="1">
        <v>667660</v>
      </c>
      <c r="Y132" s="1">
        <v>667850</v>
      </c>
      <c r="Z132" s="1">
        <v>668220</v>
      </c>
      <c r="AA132" s="5">
        <f>AVERAGE(B132:Y132)</f>
        <v>665605.83333333337</v>
      </c>
      <c r="AB132" s="5">
        <f>(AA133-AA131)/2</f>
        <v>4892.9166666666861</v>
      </c>
      <c r="AC132" s="14">
        <f>AB132/(23+AB151)</f>
        <v>196.155645178437</v>
      </c>
      <c r="AD132" s="5">
        <f>AA132-AA131</f>
        <v>4885.8333333333721</v>
      </c>
      <c r="AE132" s="1">
        <f>AD132-AD131</f>
        <v>12.5</v>
      </c>
      <c r="AG132" s="5">
        <f>Z132-Y132</f>
        <v>370</v>
      </c>
      <c r="AI132" s="1">
        <f>C132-B132</f>
        <v>220</v>
      </c>
      <c r="AJ132" s="1">
        <f>D132-C132</f>
        <v>200</v>
      </c>
      <c r="AK132" s="1">
        <f>E132-D132</f>
        <v>210</v>
      </c>
      <c r="AL132" s="1">
        <f>F132-E132</f>
        <v>190</v>
      </c>
      <c r="AM132" s="1">
        <f>G132-F132</f>
        <v>190</v>
      </c>
      <c r="AN132" s="1">
        <f>H132-G132</f>
        <v>190</v>
      </c>
      <c r="AO132" s="1">
        <f>I132-H132</f>
        <v>180</v>
      </c>
      <c r="AP132" s="1">
        <f>J132-I132</f>
        <v>240</v>
      </c>
      <c r="AQ132" s="1">
        <f>K132-J132</f>
        <v>160</v>
      </c>
      <c r="AR132" s="1">
        <f>L132-K132</f>
        <v>240</v>
      </c>
      <c r="AS132" s="1">
        <f>M132-L132</f>
        <v>160</v>
      </c>
      <c r="AT132" s="1">
        <f>N132-M132</f>
        <v>230</v>
      </c>
      <c r="AU132" s="1">
        <f>O132-N132</f>
        <v>150</v>
      </c>
      <c r="AV132" s="1">
        <f>P132-O132</f>
        <v>210</v>
      </c>
      <c r="AW132" s="1">
        <f>Q132-P132</f>
        <v>210</v>
      </c>
      <c r="AX132" s="1">
        <f>R132-Q132</f>
        <v>160</v>
      </c>
      <c r="AY132" s="1">
        <f>S132-R132</f>
        <v>190</v>
      </c>
      <c r="AZ132" s="1">
        <f>T132-S132</f>
        <v>160</v>
      </c>
      <c r="BA132" s="1">
        <f>U132-T132</f>
        <v>250</v>
      </c>
      <c r="BB132" s="1">
        <f>V132-U132</f>
        <v>200</v>
      </c>
      <c r="BC132" s="1">
        <f>W132-V132</f>
        <v>190</v>
      </c>
      <c r="BD132" s="1">
        <f>X132-W132</f>
        <v>200</v>
      </c>
      <c r="BE132" s="1">
        <f>Y132-X132</f>
        <v>190</v>
      </c>
      <c r="BF132" s="1">
        <f>Z132-Y132</f>
        <v>370</v>
      </c>
    </row>
    <row r="133" spans="1:58">
      <c r="A133" s="1">
        <v>131</v>
      </c>
      <c r="B133" s="1">
        <v>668220</v>
      </c>
      <c r="C133" s="1">
        <v>668450</v>
      </c>
      <c r="D133" s="1">
        <v>668660</v>
      </c>
      <c r="E133" s="1">
        <v>668870</v>
      </c>
      <c r="F133" s="1">
        <v>669070</v>
      </c>
      <c r="G133" s="1">
        <v>669250</v>
      </c>
      <c r="H133" s="1">
        <v>669380</v>
      </c>
      <c r="I133" s="1">
        <v>669630</v>
      </c>
      <c r="J133" s="1">
        <v>669830</v>
      </c>
      <c r="K133" s="1">
        <v>670020</v>
      </c>
      <c r="L133" s="1">
        <v>670220</v>
      </c>
      <c r="M133" s="1">
        <v>670400</v>
      </c>
      <c r="N133" s="1">
        <v>670620</v>
      </c>
      <c r="O133" s="1">
        <v>670800</v>
      </c>
      <c r="P133" s="1">
        <v>670990</v>
      </c>
      <c r="Q133" s="1">
        <v>671200</v>
      </c>
      <c r="R133" s="1">
        <v>671390</v>
      </c>
      <c r="S133" s="1">
        <v>671580</v>
      </c>
      <c r="T133" s="1">
        <v>671750</v>
      </c>
      <c r="U133" s="1">
        <v>671960</v>
      </c>
      <c r="V133" s="1">
        <v>672140</v>
      </c>
      <c r="W133" s="1">
        <v>672370</v>
      </c>
      <c r="X133" s="1">
        <v>672580</v>
      </c>
      <c r="Y133" s="1">
        <v>672760</v>
      </c>
      <c r="Z133" s="1">
        <v>673120</v>
      </c>
      <c r="AA133" s="5">
        <f>AVERAGE(B133:Y133)</f>
        <v>670505.83333333337</v>
      </c>
      <c r="AB133" s="5">
        <f>(AA134-AA132)/2</f>
        <v>4889.25</v>
      </c>
      <c r="AC133" s="14">
        <f>AB133/(23+AB151)</f>
        <v>196.00864954890628</v>
      </c>
      <c r="AD133" s="5">
        <f>AA133-AA132</f>
        <v>4900</v>
      </c>
      <c r="AE133" s="1">
        <f>AD133-AD132</f>
        <v>14.166666666627862</v>
      </c>
      <c r="AG133" s="5">
        <f>Z133-Y133</f>
        <v>360</v>
      </c>
      <c r="AI133" s="1">
        <f>C133-B133</f>
        <v>230</v>
      </c>
      <c r="AJ133" s="1">
        <f>D133-C133</f>
        <v>210</v>
      </c>
      <c r="AK133" s="1">
        <f>E133-D133</f>
        <v>210</v>
      </c>
      <c r="AL133" s="1">
        <f>F133-E133</f>
        <v>200</v>
      </c>
      <c r="AM133" s="1">
        <f>G133-F133</f>
        <v>180</v>
      </c>
      <c r="AN133" s="1">
        <f>H133-G133</f>
        <v>130</v>
      </c>
      <c r="AO133" s="1">
        <f>I133-H133</f>
        <v>250</v>
      </c>
      <c r="AP133" s="1">
        <f>J133-I133</f>
        <v>200</v>
      </c>
      <c r="AQ133" s="1">
        <f>K133-J133</f>
        <v>190</v>
      </c>
      <c r="AR133" s="1">
        <f>L133-K133</f>
        <v>200</v>
      </c>
      <c r="AS133" s="1">
        <f>M133-L133</f>
        <v>180</v>
      </c>
      <c r="AT133" s="1">
        <f>N133-M133</f>
        <v>220</v>
      </c>
      <c r="AU133" s="1">
        <f>O133-N133</f>
        <v>180</v>
      </c>
      <c r="AV133" s="1">
        <f>P133-O133</f>
        <v>190</v>
      </c>
      <c r="AW133" s="1">
        <f>Q133-P133</f>
        <v>210</v>
      </c>
      <c r="AX133" s="1">
        <f>R133-Q133</f>
        <v>190</v>
      </c>
      <c r="AY133" s="1">
        <f>S133-R133</f>
        <v>190</v>
      </c>
      <c r="AZ133" s="1">
        <f>T133-S133</f>
        <v>170</v>
      </c>
      <c r="BA133" s="1">
        <f>U133-T133</f>
        <v>210</v>
      </c>
      <c r="BB133" s="1">
        <f>V133-U133</f>
        <v>180</v>
      </c>
      <c r="BC133" s="1">
        <f>W133-V133</f>
        <v>230</v>
      </c>
      <c r="BD133" s="1">
        <f>X133-W133</f>
        <v>210</v>
      </c>
      <c r="BE133" s="1">
        <f>Y133-X133</f>
        <v>180</v>
      </c>
      <c r="BF133" s="1">
        <f>Z133-Y133</f>
        <v>360</v>
      </c>
    </row>
    <row r="134" spans="1:58">
      <c r="A134" s="1">
        <v>132</v>
      </c>
      <c r="B134" s="1">
        <v>673120</v>
      </c>
      <c r="C134" s="1">
        <v>673340</v>
      </c>
      <c r="D134" s="1">
        <v>673520</v>
      </c>
      <c r="E134" s="1">
        <v>673710</v>
      </c>
      <c r="F134" s="1">
        <v>673950</v>
      </c>
      <c r="G134" s="1">
        <v>674150</v>
      </c>
      <c r="H134" s="1">
        <v>674330</v>
      </c>
      <c r="I134" s="1">
        <v>674540</v>
      </c>
      <c r="J134" s="1">
        <v>674710</v>
      </c>
      <c r="K134" s="1">
        <v>674880</v>
      </c>
      <c r="L134" s="1">
        <v>675100</v>
      </c>
      <c r="M134" s="1">
        <v>675264</v>
      </c>
      <c r="N134" s="1">
        <v>675440</v>
      </c>
      <c r="O134" s="1">
        <v>675650</v>
      </c>
      <c r="P134" s="1">
        <v>675870</v>
      </c>
      <c r="Q134" s="1">
        <v>676100</v>
      </c>
      <c r="R134" s="1">
        <v>676270</v>
      </c>
      <c r="S134" s="1">
        <v>676470</v>
      </c>
      <c r="T134" s="1">
        <v>676670</v>
      </c>
      <c r="U134" s="1">
        <v>676820</v>
      </c>
      <c r="V134" s="1">
        <v>677000</v>
      </c>
      <c r="W134" s="1">
        <v>677240</v>
      </c>
      <c r="X134" s="1">
        <v>677430</v>
      </c>
      <c r="Y134" s="1">
        <v>677650</v>
      </c>
      <c r="Z134" s="1">
        <v>677990</v>
      </c>
      <c r="AA134" s="5">
        <f>AVERAGE(B134:Y134)</f>
        <v>675384.33333333337</v>
      </c>
      <c r="AB134" s="5">
        <f>(AA135-AA133)/2</f>
        <v>4880.2083333333139</v>
      </c>
      <c r="AC134" s="14">
        <f>AB134/(23+AB151)</f>
        <v>195.64617168972367</v>
      </c>
      <c r="AD134" s="5">
        <f>AA134-AA133</f>
        <v>4878.5</v>
      </c>
      <c r="AE134" s="1">
        <f>AD134-AD133</f>
        <v>-21.5</v>
      </c>
      <c r="AG134" s="5">
        <f>Z134-Y134</f>
        <v>340</v>
      </c>
      <c r="AI134" s="1">
        <f>C134-B134</f>
        <v>220</v>
      </c>
      <c r="AJ134" s="1">
        <f>D134-C134</f>
        <v>180</v>
      </c>
      <c r="AK134" s="1">
        <f>E134-D134</f>
        <v>190</v>
      </c>
      <c r="AL134" s="1">
        <f>F134-E134</f>
        <v>240</v>
      </c>
      <c r="AM134" s="1">
        <f>G134-F134</f>
        <v>200</v>
      </c>
      <c r="AN134" s="1">
        <f>H134-G134</f>
        <v>180</v>
      </c>
      <c r="AO134" s="1">
        <f>I134-H134</f>
        <v>210</v>
      </c>
      <c r="AP134" s="1">
        <f>J134-I134</f>
        <v>170</v>
      </c>
      <c r="AQ134" s="1">
        <f>K134-J134</f>
        <v>170</v>
      </c>
      <c r="AR134" s="1">
        <f>L134-K134</f>
        <v>220</v>
      </c>
      <c r="AS134" s="1">
        <f>M134-L134</f>
        <v>164</v>
      </c>
      <c r="AT134" s="1">
        <f>N134-M134</f>
        <v>176</v>
      </c>
      <c r="AU134" s="1">
        <f>O134-N134</f>
        <v>210</v>
      </c>
      <c r="AV134" s="1">
        <f>P134-O134</f>
        <v>220</v>
      </c>
      <c r="AW134" s="1">
        <f>Q134-P134</f>
        <v>230</v>
      </c>
      <c r="AX134" s="1">
        <f>R134-Q134</f>
        <v>170</v>
      </c>
      <c r="AY134" s="1">
        <f>S134-R134</f>
        <v>200</v>
      </c>
      <c r="AZ134" s="1">
        <f>T134-S134</f>
        <v>200</v>
      </c>
      <c r="BA134" s="1">
        <f>U134-T134</f>
        <v>150</v>
      </c>
      <c r="BB134" s="1">
        <f>V134-U134</f>
        <v>180</v>
      </c>
      <c r="BC134" s="1">
        <f>W134-V134</f>
        <v>240</v>
      </c>
      <c r="BD134" s="1">
        <f>X134-W134</f>
        <v>190</v>
      </c>
      <c r="BE134" s="1">
        <f>Y134-X134</f>
        <v>220</v>
      </c>
      <c r="BF134" s="1">
        <f>Z134-Y134</f>
        <v>340</v>
      </c>
    </row>
    <row r="135" spans="1:58">
      <c r="A135" s="1">
        <v>133</v>
      </c>
      <c r="B135" s="1">
        <v>677990</v>
      </c>
      <c r="C135" s="1">
        <v>678190</v>
      </c>
      <c r="D135" s="1">
        <v>678370</v>
      </c>
      <c r="E135" s="1">
        <v>678580</v>
      </c>
      <c r="F135" s="1">
        <v>678760</v>
      </c>
      <c r="G135" s="1">
        <v>679080</v>
      </c>
      <c r="H135" s="1">
        <v>679200</v>
      </c>
      <c r="I135" s="1">
        <v>679420</v>
      </c>
      <c r="J135" s="1">
        <v>679590</v>
      </c>
      <c r="K135" s="1">
        <v>679800</v>
      </c>
      <c r="L135" s="1">
        <v>679990</v>
      </c>
      <c r="M135" s="1">
        <v>680200</v>
      </c>
      <c r="N135" s="1">
        <v>680340</v>
      </c>
      <c r="O135" s="1">
        <v>680530</v>
      </c>
      <c r="P135" s="1">
        <v>680730</v>
      </c>
      <c r="Q135" s="1">
        <v>680900</v>
      </c>
      <c r="R135" s="1">
        <v>681130</v>
      </c>
      <c r="S135" s="1">
        <v>681340</v>
      </c>
      <c r="T135" s="1">
        <v>681550</v>
      </c>
      <c r="U135" s="1">
        <v>681780</v>
      </c>
      <c r="V135" s="1">
        <v>681930</v>
      </c>
      <c r="W135" s="1">
        <v>682110</v>
      </c>
      <c r="X135" s="1">
        <v>682320</v>
      </c>
      <c r="Y135" s="1">
        <v>682560</v>
      </c>
      <c r="Z135" s="1">
        <v>682870</v>
      </c>
      <c r="AA135" s="5">
        <f>AVERAGE(B135:Y135)</f>
        <v>680266.25</v>
      </c>
      <c r="AB135" s="5">
        <f>(AA136-AA134)/2</f>
        <v>4875.5416666666279</v>
      </c>
      <c r="AC135" s="14">
        <f>AB135/(23+AB151)</f>
        <v>195.45908634304843</v>
      </c>
      <c r="AD135" s="5">
        <f>AA135-AA134</f>
        <v>4881.9166666666279</v>
      </c>
      <c r="AE135" s="1">
        <f>AD135-AD134</f>
        <v>3.4166666666278616</v>
      </c>
      <c r="AG135" s="5">
        <f>Z135-Y135</f>
        <v>310</v>
      </c>
      <c r="AI135" s="1">
        <f>C135-B135</f>
        <v>200</v>
      </c>
      <c r="AJ135" s="1">
        <f>D135-C135</f>
        <v>180</v>
      </c>
      <c r="AK135" s="1">
        <f>E135-D135</f>
        <v>210</v>
      </c>
      <c r="AL135" s="1">
        <f>F135-E135</f>
        <v>180</v>
      </c>
      <c r="AM135" s="1">
        <f>G135-F135</f>
        <v>320</v>
      </c>
      <c r="AN135" s="1">
        <f>H135-G135</f>
        <v>120</v>
      </c>
      <c r="AO135" s="1">
        <f>I135-H135</f>
        <v>220</v>
      </c>
      <c r="AP135" s="1">
        <f>J135-I135</f>
        <v>170</v>
      </c>
      <c r="AQ135" s="1">
        <f>K135-J135</f>
        <v>210</v>
      </c>
      <c r="AR135" s="1">
        <f>L135-K135</f>
        <v>190</v>
      </c>
      <c r="AS135" s="1">
        <f>M135-L135</f>
        <v>210</v>
      </c>
      <c r="AT135" s="1">
        <f>N135-M135</f>
        <v>140</v>
      </c>
      <c r="AU135" s="1">
        <f>O135-N135</f>
        <v>190</v>
      </c>
      <c r="AV135" s="1">
        <f>P135-O135</f>
        <v>200</v>
      </c>
      <c r="AW135" s="1">
        <f>Q135-P135</f>
        <v>170</v>
      </c>
      <c r="AX135" s="1">
        <f>R135-Q135</f>
        <v>230</v>
      </c>
      <c r="AY135" s="1">
        <f>S135-R135</f>
        <v>210</v>
      </c>
      <c r="AZ135" s="1">
        <f>T135-S135</f>
        <v>210</v>
      </c>
      <c r="BA135" s="1">
        <f>U135-T135</f>
        <v>230</v>
      </c>
      <c r="BB135" s="1">
        <f>V135-U135</f>
        <v>150</v>
      </c>
      <c r="BC135" s="1">
        <f>W135-V135</f>
        <v>180</v>
      </c>
      <c r="BD135" s="1">
        <f>X135-W135</f>
        <v>210</v>
      </c>
      <c r="BE135" s="1">
        <f>Y135-X135</f>
        <v>240</v>
      </c>
      <c r="BF135" s="1">
        <f>Z135-Y135</f>
        <v>310</v>
      </c>
    </row>
    <row r="136" spans="1:58">
      <c r="A136" s="1">
        <v>134</v>
      </c>
      <c r="B136" s="1">
        <v>682870</v>
      </c>
      <c r="C136" s="1">
        <v>683040</v>
      </c>
      <c r="D136" s="1">
        <v>683240</v>
      </c>
      <c r="E136" s="1">
        <v>683460</v>
      </c>
      <c r="F136" s="1">
        <v>683640</v>
      </c>
      <c r="G136" s="1">
        <v>683880</v>
      </c>
      <c r="H136" s="1">
        <v>684080</v>
      </c>
      <c r="I136" s="1">
        <v>684310</v>
      </c>
      <c r="J136" s="1">
        <v>684500</v>
      </c>
      <c r="K136" s="1">
        <v>684730</v>
      </c>
      <c r="L136" s="1">
        <v>684860</v>
      </c>
      <c r="M136" s="1">
        <v>685020</v>
      </c>
      <c r="N136" s="1">
        <v>685230</v>
      </c>
      <c r="O136" s="1">
        <v>685430</v>
      </c>
      <c r="P136" s="1">
        <v>685590</v>
      </c>
      <c r="Q136" s="1">
        <v>685790</v>
      </c>
      <c r="R136" s="1">
        <v>685990</v>
      </c>
      <c r="S136" s="1">
        <v>686220</v>
      </c>
      <c r="T136" s="1">
        <v>686400</v>
      </c>
      <c r="U136" s="1">
        <v>686590</v>
      </c>
      <c r="V136" s="1">
        <v>686770</v>
      </c>
      <c r="W136" s="1">
        <v>686980</v>
      </c>
      <c r="X136" s="1">
        <v>687210</v>
      </c>
      <c r="Y136" s="1">
        <v>687420</v>
      </c>
      <c r="Z136" s="1">
        <v>687780</v>
      </c>
      <c r="AA136" s="5">
        <f>AVERAGE(B136:Y136)</f>
        <v>685135.41666666663</v>
      </c>
      <c r="AB136" s="5">
        <f>(AA137-AA135)/2</f>
        <v>4874.5833333333139</v>
      </c>
      <c r="AC136" s="14">
        <f>AB136/(23+AB151)</f>
        <v>195.42066703078569</v>
      </c>
      <c r="AD136" s="5">
        <f>AA136-AA135</f>
        <v>4869.1666666666279</v>
      </c>
      <c r="AE136" s="1">
        <f>AD136-AD135</f>
        <v>-12.75</v>
      </c>
      <c r="AG136" s="5">
        <f>Z136-Y136</f>
        <v>360</v>
      </c>
      <c r="AI136" s="1">
        <f>C136-B136</f>
        <v>170</v>
      </c>
      <c r="AJ136" s="1">
        <f>D136-C136</f>
        <v>200</v>
      </c>
      <c r="AK136" s="1">
        <f>E136-D136</f>
        <v>220</v>
      </c>
      <c r="AL136" s="1">
        <f>F136-E136</f>
        <v>180</v>
      </c>
      <c r="AM136" s="1">
        <f>G136-F136</f>
        <v>240</v>
      </c>
      <c r="AN136" s="1">
        <f>H136-G136</f>
        <v>200</v>
      </c>
      <c r="AO136" s="1">
        <f>I136-H136</f>
        <v>230</v>
      </c>
      <c r="AP136" s="1">
        <f>J136-I136</f>
        <v>190</v>
      </c>
      <c r="AQ136" s="1">
        <f>K136-J136</f>
        <v>230</v>
      </c>
      <c r="AR136" s="1">
        <f>L136-K136</f>
        <v>130</v>
      </c>
      <c r="AS136" s="1">
        <f>M136-L136</f>
        <v>160</v>
      </c>
      <c r="AT136" s="1">
        <f>N136-M136</f>
        <v>210</v>
      </c>
      <c r="AU136" s="1">
        <f>O136-N136</f>
        <v>200</v>
      </c>
      <c r="AV136" s="1">
        <f>P136-O136</f>
        <v>160</v>
      </c>
      <c r="AW136" s="1">
        <f>Q136-P136</f>
        <v>200</v>
      </c>
      <c r="AX136" s="1">
        <f>R136-Q136</f>
        <v>200</v>
      </c>
      <c r="AY136" s="1">
        <f>S136-R136</f>
        <v>230</v>
      </c>
      <c r="AZ136" s="1">
        <f>T136-S136</f>
        <v>180</v>
      </c>
      <c r="BA136" s="1">
        <f>U136-T136</f>
        <v>190</v>
      </c>
      <c r="BB136" s="1">
        <f>V136-U136</f>
        <v>180</v>
      </c>
      <c r="BC136" s="1">
        <f>W136-V136</f>
        <v>210</v>
      </c>
      <c r="BD136" s="1">
        <f>X136-W136</f>
        <v>230</v>
      </c>
      <c r="BE136" s="1">
        <f>Y136-X136</f>
        <v>210</v>
      </c>
      <c r="BF136" s="1">
        <f>Z136-Y136</f>
        <v>360</v>
      </c>
    </row>
    <row r="137" spans="1:58">
      <c r="A137" s="1">
        <v>135</v>
      </c>
      <c r="B137" s="1">
        <v>687780</v>
      </c>
      <c r="C137" s="1">
        <v>687970</v>
      </c>
      <c r="D137" s="1">
        <v>688140</v>
      </c>
      <c r="E137" s="1">
        <v>688350</v>
      </c>
      <c r="F137" s="1">
        <v>688560</v>
      </c>
      <c r="G137" s="1">
        <v>688750</v>
      </c>
      <c r="H137" s="1">
        <v>688960</v>
      </c>
      <c r="I137" s="1">
        <v>689180</v>
      </c>
      <c r="J137" s="1">
        <v>689310</v>
      </c>
      <c r="K137" s="1">
        <v>689500</v>
      </c>
      <c r="L137" s="1">
        <v>689730</v>
      </c>
      <c r="M137" s="1">
        <v>689920</v>
      </c>
      <c r="N137" s="1">
        <v>690100</v>
      </c>
      <c r="O137" s="1">
        <v>690300</v>
      </c>
      <c r="P137" s="1">
        <v>690470</v>
      </c>
      <c r="Q137" s="1">
        <v>690660</v>
      </c>
      <c r="R137" s="1">
        <v>690890</v>
      </c>
      <c r="S137" s="1">
        <v>691100</v>
      </c>
      <c r="T137" s="1">
        <v>691310</v>
      </c>
      <c r="U137" s="1">
        <v>691530</v>
      </c>
      <c r="V137" s="1">
        <v>691680</v>
      </c>
      <c r="W137" s="1">
        <v>691890</v>
      </c>
      <c r="X137" s="1">
        <v>692030</v>
      </c>
      <c r="Y137" s="1">
        <v>692260</v>
      </c>
      <c r="Z137" s="1">
        <v>692660</v>
      </c>
      <c r="AA137" s="5">
        <f>AVERAGE(B137:Y137)</f>
        <v>690015.41666666663</v>
      </c>
      <c r="AB137" s="5">
        <f>(AA138-AA136)/2</f>
        <v>4882.5</v>
      </c>
      <c r="AC137" s="14">
        <f>AB137/(23+AB151)</f>
        <v>195.7380439581807</v>
      </c>
      <c r="AD137" s="5">
        <f>AA137-AA136</f>
        <v>4880</v>
      </c>
      <c r="AE137" s="1">
        <f>AD137-AD136</f>
        <v>10.833333333372138</v>
      </c>
      <c r="AG137" s="5">
        <f>Z137-Y137</f>
        <v>400</v>
      </c>
      <c r="AI137" s="1">
        <f>C137-B137</f>
        <v>190</v>
      </c>
      <c r="AJ137" s="1">
        <f>D137-C137</f>
        <v>170</v>
      </c>
      <c r="AK137" s="1">
        <f>E137-D137</f>
        <v>210</v>
      </c>
      <c r="AL137" s="1">
        <f>F137-E137</f>
        <v>210</v>
      </c>
      <c r="AM137" s="1">
        <f>G137-F137</f>
        <v>190</v>
      </c>
      <c r="AN137" s="1">
        <f>H137-G137</f>
        <v>210</v>
      </c>
      <c r="AO137" s="1">
        <f>I137-H137</f>
        <v>220</v>
      </c>
      <c r="AP137" s="1">
        <f>J137-I137</f>
        <v>130</v>
      </c>
      <c r="AQ137" s="1">
        <f>K137-J137</f>
        <v>190</v>
      </c>
      <c r="AR137" s="1">
        <f>L137-K137</f>
        <v>230</v>
      </c>
      <c r="AS137" s="1">
        <f>M137-L137</f>
        <v>190</v>
      </c>
      <c r="AT137" s="1">
        <f>N137-M137</f>
        <v>180</v>
      </c>
      <c r="AU137" s="1">
        <f>O137-N137</f>
        <v>200</v>
      </c>
      <c r="AV137" s="1">
        <f>P137-O137</f>
        <v>170</v>
      </c>
      <c r="AW137" s="1">
        <f>Q137-P137</f>
        <v>190</v>
      </c>
      <c r="AX137" s="1">
        <f>R137-Q137</f>
        <v>230</v>
      </c>
      <c r="AY137" s="1">
        <f>S137-R137</f>
        <v>210</v>
      </c>
      <c r="AZ137" s="1">
        <f>T137-S137</f>
        <v>210</v>
      </c>
      <c r="BA137" s="1">
        <f>U137-T137</f>
        <v>220</v>
      </c>
      <c r="BB137" s="1">
        <f>V137-U137</f>
        <v>150</v>
      </c>
      <c r="BC137" s="1">
        <f>W137-V137</f>
        <v>210</v>
      </c>
      <c r="BD137" s="1">
        <f>X137-W137</f>
        <v>140</v>
      </c>
      <c r="BE137" s="1">
        <f>Y137-X137</f>
        <v>230</v>
      </c>
      <c r="BF137" s="1">
        <f>Z137-Y137</f>
        <v>400</v>
      </c>
    </row>
    <row r="138" spans="1:58">
      <c r="A138" s="1">
        <v>136</v>
      </c>
      <c r="B138" s="1">
        <v>692660</v>
      </c>
      <c r="C138" s="1">
        <v>692840</v>
      </c>
      <c r="D138" s="1">
        <v>693030</v>
      </c>
      <c r="E138" s="1">
        <v>693220</v>
      </c>
      <c r="F138" s="1">
        <v>693420</v>
      </c>
      <c r="G138" s="1">
        <v>693620</v>
      </c>
      <c r="H138" s="1">
        <v>693850</v>
      </c>
      <c r="I138" s="1">
        <v>694070</v>
      </c>
      <c r="J138" s="1">
        <v>694210</v>
      </c>
      <c r="K138" s="1">
        <v>694400</v>
      </c>
      <c r="L138" s="1">
        <v>694600</v>
      </c>
      <c r="M138" s="1">
        <v>694790</v>
      </c>
      <c r="N138" s="1">
        <v>695000</v>
      </c>
      <c r="O138" s="1">
        <v>695180</v>
      </c>
      <c r="P138" s="1">
        <v>695360</v>
      </c>
      <c r="Q138" s="1">
        <v>695560</v>
      </c>
      <c r="R138" s="1">
        <v>695790</v>
      </c>
      <c r="S138" s="1">
        <v>695980</v>
      </c>
      <c r="T138" s="1">
        <v>696200</v>
      </c>
      <c r="U138" s="1">
        <v>696360</v>
      </c>
      <c r="V138" s="1">
        <v>696560</v>
      </c>
      <c r="W138" s="1">
        <v>696800</v>
      </c>
      <c r="X138" s="1">
        <v>696950</v>
      </c>
      <c r="Y138" s="1">
        <v>697160</v>
      </c>
      <c r="Z138" s="1">
        <v>697510</v>
      </c>
      <c r="AA138" s="5">
        <f>AVERAGE(B138:Y138)</f>
        <v>694900.41666666663</v>
      </c>
      <c r="AB138" s="5">
        <f>(AA139-AA137)/2</f>
        <v>4882.7083333333721</v>
      </c>
      <c r="AC138" s="14">
        <f>AB138/(23+AB151)</f>
        <v>195.74639598258736</v>
      </c>
      <c r="AD138" s="5">
        <f>AA138-AA137</f>
        <v>4885</v>
      </c>
      <c r="AE138" s="1">
        <f>AD138-AD137</f>
        <v>5</v>
      </c>
      <c r="AG138" s="5">
        <f>Z138-Y138</f>
        <v>350</v>
      </c>
      <c r="AI138" s="1">
        <f>C138-B138</f>
        <v>180</v>
      </c>
      <c r="AJ138" s="1">
        <f>D138-C138</f>
        <v>190</v>
      </c>
      <c r="AK138" s="1">
        <f>E138-D138</f>
        <v>190</v>
      </c>
      <c r="AL138" s="1">
        <f>F138-E138</f>
        <v>200</v>
      </c>
      <c r="AM138" s="1">
        <f>G138-F138</f>
        <v>200</v>
      </c>
      <c r="AN138" s="1">
        <f>H138-G138</f>
        <v>230</v>
      </c>
      <c r="AO138" s="1">
        <f>I138-H138</f>
        <v>220</v>
      </c>
      <c r="AP138" s="1">
        <f>J138-I138</f>
        <v>140</v>
      </c>
      <c r="AQ138" s="1">
        <f>K138-J138</f>
        <v>190</v>
      </c>
      <c r="AR138" s="1">
        <f>L138-K138</f>
        <v>200</v>
      </c>
      <c r="AS138" s="1">
        <f>M138-L138</f>
        <v>190</v>
      </c>
      <c r="AT138" s="1">
        <f>N138-M138</f>
        <v>210</v>
      </c>
      <c r="AU138" s="1">
        <f>O138-N138</f>
        <v>180</v>
      </c>
      <c r="AV138" s="1">
        <f>P138-O138</f>
        <v>180</v>
      </c>
      <c r="AW138" s="1">
        <f>Q138-P138</f>
        <v>200</v>
      </c>
      <c r="AX138" s="1">
        <f>R138-Q138</f>
        <v>230</v>
      </c>
      <c r="AY138" s="1">
        <f>S138-R138</f>
        <v>190</v>
      </c>
      <c r="AZ138" s="1">
        <f>T138-S138</f>
        <v>220</v>
      </c>
      <c r="BA138" s="1">
        <f>U138-T138</f>
        <v>160</v>
      </c>
      <c r="BB138" s="1">
        <f>V138-U138</f>
        <v>200</v>
      </c>
      <c r="BC138" s="1">
        <f>W138-V138</f>
        <v>240</v>
      </c>
      <c r="BD138" s="1">
        <f>X138-W138</f>
        <v>150</v>
      </c>
      <c r="BE138" s="1">
        <f>Y138-X138</f>
        <v>210</v>
      </c>
      <c r="BF138" s="1">
        <f>Z138-Y138</f>
        <v>350</v>
      </c>
    </row>
    <row r="139" spans="1:58">
      <c r="A139" s="1">
        <v>137</v>
      </c>
      <c r="B139" s="1">
        <v>697510</v>
      </c>
      <c r="C139" s="1">
        <v>697720</v>
      </c>
      <c r="D139" s="1">
        <v>697920</v>
      </c>
      <c r="E139" s="1">
        <v>698150</v>
      </c>
      <c r="F139" s="1">
        <v>698320</v>
      </c>
      <c r="G139" s="1">
        <v>698500</v>
      </c>
      <c r="H139" s="1">
        <v>698710</v>
      </c>
      <c r="I139" s="1">
        <v>698900</v>
      </c>
      <c r="J139" s="1">
        <v>699080</v>
      </c>
      <c r="K139" s="1">
        <v>699310</v>
      </c>
      <c r="L139" s="1">
        <v>699490</v>
      </c>
      <c r="M139" s="1">
        <v>699680</v>
      </c>
      <c r="N139" s="1">
        <v>699890</v>
      </c>
      <c r="O139" s="1">
        <v>700080</v>
      </c>
      <c r="P139" s="1">
        <v>700280</v>
      </c>
      <c r="Q139" s="1">
        <v>700440</v>
      </c>
      <c r="R139" s="1">
        <v>700630</v>
      </c>
      <c r="S139" s="1">
        <v>700840</v>
      </c>
      <c r="T139" s="1">
        <v>701070</v>
      </c>
      <c r="U139" s="1">
        <v>701270</v>
      </c>
      <c r="V139" s="1">
        <v>701440</v>
      </c>
      <c r="W139" s="1">
        <v>701630</v>
      </c>
      <c r="X139" s="1">
        <v>701820</v>
      </c>
      <c r="Y139" s="1">
        <v>702060</v>
      </c>
      <c r="Z139" s="1">
        <v>702390</v>
      </c>
      <c r="AA139" s="5">
        <f>AVERAGE(B139:Y139)</f>
        <v>699780.83333333337</v>
      </c>
      <c r="AB139" s="5">
        <f>(AA140-AA138)/2</f>
        <v>4877.7083333333721</v>
      </c>
      <c r="AC139" s="14">
        <f>AB139/(23+AB151)</f>
        <v>195.54594739686468</v>
      </c>
      <c r="AD139" s="5">
        <f>AA139-AA138</f>
        <v>4880.4166666667443</v>
      </c>
      <c r="AE139" s="1">
        <f>AD139-AD138</f>
        <v>-4.5833333332557231</v>
      </c>
      <c r="AG139" s="5">
        <f>Z139-Y139</f>
        <v>330</v>
      </c>
      <c r="AI139" s="1">
        <f>C139-B139</f>
        <v>210</v>
      </c>
      <c r="AJ139" s="1">
        <f>D139-C139</f>
        <v>200</v>
      </c>
      <c r="AK139" s="1">
        <f>E139-D139</f>
        <v>230</v>
      </c>
      <c r="AL139" s="1">
        <f>F139-E139</f>
        <v>170</v>
      </c>
      <c r="AM139" s="1">
        <f>G139-F139</f>
        <v>180</v>
      </c>
      <c r="AN139" s="1">
        <f>H139-G139</f>
        <v>210</v>
      </c>
      <c r="AO139" s="1">
        <f>I139-H139</f>
        <v>190</v>
      </c>
      <c r="AP139" s="1">
        <f>J139-I139</f>
        <v>180</v>
      </c>
      <c r="AQ139" s="1">
        <f>K139-J139</f>
        <v>230</v>
      </c>
      <c r="AR139" s="1">
        <f>L139-K139</f>
        <v>180</v>
      </c>
      <c r="AS139" s="1">
        <f>M139-L139</f>
        <v>190</v>
      </c>
      <c r="AT139" s="1">
        <f>N139-M139</f>
        <v>210</v>
      </c>
      <c r="AU139" s="1">
        <f>O139-N139</f>
        <v>190</v>
      </c>
      <c r="AV139" s="1">
        <f>P139-O139</f>
        <v>200</v>
      </c>
      <c r="AW139" s="1">
        <f>Q139-P139</f>
        <v>160</v>
      </c>
      <c r="AX139" s="1">
        <f>R139-Q139</f>
        <v>190</v>
      </c>
      <c r="AY139" s="1">
        <f>S139-R139</f>
        <v>210</v>
      </c>
      <c r="AZ139" s="1">
        <f>T139-S139</f>
        <v>230</v>
      </c>
      <c r="BA139" s="1">
        <f>U139-T139</f>
        <v>200</v>
      </c>
      <c r="BB139" s="1">
        <f>V139-U139</f>
        <v>170</v>
      </c>
      <c r="BC139" s="1">
        <f>W139-V139</f>
        <v>190</v>
      </c>
      <c r="BD139" s="1">
        <f>X139-W139</f>
        <v>190</v>
      </c>
      <c r="BE139" s="1">
        <f>Y139-X139</f>
        <v>240</v>
      </c>
      <c r="BF139" s="1">
        <f>Z139-Y139</f>
        <v>330</v>
      </c>
    </row>
    <row r="140" spans="1:58">
      <c r="A140" s="1">
        <v>138</v>
      </c>
      <c r="B140" s="1">
        <v>702390</v>
      </c>
      <c r="C140" s="1">
        <v>702570</v>
      </c>
      <c r="D140" s="1">
        <v>702800</v>
      </c>
      <c r="E140" s="1">
        <v>703010</v>
      </c>
      <c r="F140" s="1">
        <v>703170</v>
      </c>
      <c r="G140" s="1">
        <v>703350</v>
      </c>
      <c r="H140" s="1">
        <v>703580</v>
      </c>
      <c r="I140" s="1">
        <v>703790</v>
      </c>
      <c r="J140" s="1">
        <v>703950</v>
      </c>
      <c r="K140" s="1">
        <v>704170</v>
      </c>
      <c r="L140" s="1">
        <v>704360</v>
      </c>
      <c r="M140" s="1">
        <v>704590</v>
      </c>
      <c r="N140" s="1">
        <v>704750</v>
      </c>
      <c r="O140" s="1">
        <v>704940</v>
      </c>
      <c r="P140" s="1">
        <v>705120</v>
      </c>
      <c r="Q140" s="1">
        <v>705380</v>
      </c>
      <c r="R140" s="1">
        <v>705490</v>
      </c>
      <c r="S140" s="1">
        <v>705690</v>
      </c>
      <c r="T140" s="1">
        <v>705930</v>
      </c>
      <c r="U140" s="1">
        <v>706150</v>
      </c>
      <c r="V140" s="1">
        <v>706340</v>
      </c>
      <c r="W140" s="1">
        <v>706550</v>
      </c>
      <c r="X140" s="1">
        <v>706740</v>
      </c>
      <c r="Y140" s="1">
        <v>706930</v>
      </c>
      <c r="Z140" s="1">
        <v>707310</v>
      </c>
      <c r="AA140" s="5">
        <f>AVERAGE(B140:Y140)</f>
        <v>704655.83333333337</v>
      </c>
      <c r="AB140" s="5">
        <f>(AA141-AA139)/2</f>
        <v>4887.0833333333139</v>
      </c>
      <c r="AC140" s="14">
        <f>AB140/(23+AB151)</f>
        <v>195.92178849509236</v>
      </c>
      <c r="AD140" s="5">
        <f>AA140-AA139</f>
        <v>4875</v>
      </c>
      <c r="AE140" s="1">
        <f>AD140-AD139</f>
        <v>-5.4166666667442769</v>
      </c>
      <c r="AG140" s="5">
        <f>Z140-Y140</f>
        <v>380</v>
      </c>
      <c r="AI140" s="1">
        <f>C140-B140</f>
        <v>180</v>
      </c>
      <c r="AJ140" s="1">
        <f>D140-C140</f>
        <v>230</v>
      </c>
      <c r="AK140" s="1">
        <f>E140-D140</f>
        <v>210</v>
      </c>
      <c r="AL140" s="1">
        <f>F140-E140</f>
        <v>160</v>
      </c>
      <c r="AM140" s="1">
        <f>G140-F140</f>
        <v>180</v>
      </c>
      <c r="AN140" s="1">
        <f>H140-G140</f>
        <v>230</v>
      </c>
      <c r="AO140" s="1">
        <f>I140-H140</f>
        <v>210</v>
      </c>
      <c r="AP140" s="1">
        <f>J140-I140</f>
        <v>160</v>
      </c>
      <c r="AQ140" s="1">
        <f>K140-J140</f>
        <v>220</v>
      </c>
      <c r="AR140" s="1">
        <f>L140-K140</f>
        <v>190</v>
      </c>
      <c r="AS140" s="1">
        <f>M140-L140</f>
        <v>230</v>
      </c>
      <c r="AT140" s="1">
        <f>N140-M140</f>
        <v>160</v>
      </c>
      <c r="AU140" s="1">
        <f>O140-N140</f>
        <v>190</v>
      </c>
      <c r="AV140" s="1">
        <f>P140-O140</f>
        <v>180</v>
      </c>
      <c r="AW140" s="1">
        <f>Q140-P140</f>
        <v>260</v>
      </c>
      <c r="AX140" s="1">
        <f>R140-Q140</f>
        <v>110</v>
      </c>
      <c r="AY140" s="1">
        <f>S140-R140</f>
        <v>200</v>
      </c>
      <c r="AZ140" s="1">
        <f>T140-S140</f>
        <v>240</v>
      </c>
      <c r="BA140" s="1">
        <f>U140-T140</f>
        <v>220</v>
      </c>
      <c r="BB140" s="1">
        <f>V140-U140</f>
        <v>190</v>
      </c>
      <c r="BC140" s="1">
        <f>W140-V140</f>
        <v>210</v>
      </c>
      <c r="BD140" s="1">
        <f>X140-W140</f>
        <v>190</v>
      </c>
      <c r="BE140" s="1">
        <f>Y140-X140</f>
        <v>190</v>
      </c>
      <c r="BF140" s="1">
        <f>Z140-Y140</f>
        <v>380</v>
      </c>
    </row>
    <row r="141" spans="1:58">
      <c r="A141" s="1">
        <v>139</v>
      </c>
      <c r="B141" s="1">
        <v>707310</v>
      </c>
      <c r="C141" s="1">
        <v>707500</v>
      </c>
      <c r="D141" s="1">
        <v>707640</v>
      </c>
      <c r="E141" s="1">
        <v>707930</v>
      </c>
      <c r="F141" s="1">
        <v>708050</v>
      </c>
      <c r="G141" s="1">
        <v>708260</v>
      </c>
      <c r="H141" s="1">
        <v>708450</v>
      </c>
      <c r="I141" s="1">
        <v>708640</v>
      </c>
      <c r="J141" s="1">
        <v>708900</v>
      </c>
      <c r="K141" s="1">
        <v>709080</v>
      </c>
      <c r="L141" s="1">
        <v>709300</v>
      </c>
      <c r="M141" s="1">
        <v>709500</v>
      </c>
      <c r="N141" s="1">
        <v>709640</v>
      </c>
      <c r="O141" s="1">
        <v>709830</v>
      </c>
      <c r="P141" s="1">
        <v>710010</v>
      </c>
      <c r="Q141" s="1">
        <v>710260</v>
      </c>
      <c r="R141" s="1">
        <v>710400</v>
      </c>
      <c r="S141" s="1">
        <v>710620</v>
      </c>
      <c r="T141" s="1">
        <v>710780</v>
      </c>
      <c r="U141" s="1">
        <v>711040</v>
      </c>
      <c r="V141" s="1">
        <v>711240</v>
      </c>
      <c r="W141" s="1">
        <v>711460</v>
      </c>
      <c r="X141" s="1">
        <v>711640</v>
      </c>
      <c r="Y141" s="1">
        <v>711840</v>
      </c>
      <c r="Z141" s="1">
        <v>712190</v>
      </c>
      <c r="AA141" s="5">
        <f>AVERAGE(B141:Y141)</f>
        <v>709555</v>
      </c>
      <c r="AB141" s="5">
        <f>(AA142-AA140)/2</f>
        <v>4894.7916666666279</v>
      </c>
      <c r="AC141" s="14">
        <f>AB141/(23+AB151)</f>
        <v>196.23081339808067</v>
      </c>
      <c r="AD141" s="5">
        <f>AA141-AA140</f>
        <v>4899.1666666666279</v>
      </c>
      <c r="AE141" s="1">
        <f>AD141-AD140</f>
        <v>24.166666666627862</v>
      </c>
      <c r="AG141" s="5">
        <f>Z141-Y141</f>
        <v>350</v>
      </c>
      <c r="AI141" s="1">
        <f>C141-B141</f>
        <v>190</v>
      </c>
      <c r="AJ141" s="1">
        <f>D141-C141</f>
        <v>140</v>
      </c>
      <c r="AK141" s="1">
        <f>E141-D141</f>
        <v>290</v>
      </c>
      <c r="AL141" s="1">
        <f>F141-E141</f>
        <v>120</v>
      </c>
      <c r="AM141" s="1">
        <f>G141-F141</f>
        <v>210</v>
      </c>
      <c r="AN141" s="1">
        <f>H141-G141</f>
        <v>190</v>
      </c>
      <c r="AO141" s="1">
        <f>I141-H141</f>
        <v>190</v>
      </c>
      <c r="AP141" s="1">
        <f>J141-I141</f>
        <v>260</v>
      </c>
      <c r="AQ141" s="1">
        <f>K141-J141</f>
        <v>180</v>
      </c>
      <c r="AR141" s="1">
        <f>L141-K141</f>
        <v>220</v>
      </c>
      <c r="AS141" s="1">
        <f>M141-L141</f>
        <v>200</v>
      </c>
      <c r="AT141" s="1">
        <f>N141-M141</f>
        <v>140</v>
      </c>
      <c r="AU141" s="1">
        <f>O141-N141</f>
        <v>190</v>
      </c>
      <c r="AV141" s="1">
        <f>P141-O141</f>
        <v>180</v>
      </c>
      <c r="AW141" s="1">
        <f>Q141-P141</f>
        <v>250</v>
      </c>
      <c r="AX141" s="1">
        <f>R141-Q141</f>
        <v>140</v>
      </c>
      <c r="AY141" s="1">
        <f>S141-R141</f>
        <v>220</v>
      </c>
      <c r="AZ141" s="1">
        <f>T141-S141</f>
        <v>160</v>
      </c>
      <c r="BA141" s="1">
        <f>U141-T141</f>
        <v>260</v>
      </c>
      <c r="BB141" s="1">
        <f>V141-U141</f>
        <v>200</v>
      </c>
      <c r="BC141" s="1">
        <f>W141-V141</f>
        <v>220</v>
      </c>
      <c r="BD141" s="1">
        <f>X141-W141</f>
        <v>180</v>
      </c>
      <c r="BE141" s="1">
        <f>Y141-X141</f>
        <v>200</v>
      </c>
      <c r="BF141" s="1">
        <f>Z141-Y141</f>
        <v>350</v>
      </c>
    </row>
    <row r="142" spans="1:58">
      <c r="A142" s="1">
        <v>140</v>
      </c>
      <c r="B142" s="1">
        <v>712190</v>
      </c>
      <c r="C142" s="1">
        <v>712400</v>
      </c>
      <c r="D142" s="1">
        <v>712570</v>
      </c>
      <c r="E142" s="1">
        <v>712790</v>
      </c>
      <c r="F142" s="1">
        <v>713000</v>
      </c>
      <c r="G142" s="1">
        <v>713140</v>
      </c>
      <c r="H142" s="1">
        <v>713320</v>
      </c>
      <c r="I142" s="1">
        <v>713540</v>
      </c>
      <c r="J142" s="1">
        <v>713770</v>
      </c>
      <c r="K142" s="1">
        <v>713970</v>
      </c>
      <c r="L142" s="1">
        <v>714180</v>
      </c>
      <c r="M142" s="1">
        <v>714360</v>
      </c>
      <c r="N142" s="1">
        <v>714540</v>
      </c>
      <c r="O142" s="1">
        <v>714790</v>
      </c>
      <c r="P142" s="1">
        <v>714950</v>
      </c>
      <c r="Q142" s="1">
        <v>715110</v>
      </c>
      <c r="R142" s="1">
        <v>715310</v>
      </c>
      <c r="S142" s="1">
        <v>715540</v>
      </c>
      <c r="T142" s="1">
        <v>715710</v>
      </c>
      <c r="U142" s="1">
        <v>715940</v>
      </c>
      <c r="V142" s="1">
        <v>716110</v>
      </c>
      <c r="W142" s="1">
        <v>716320</v>
      </c>
      <c r="X142" s="1">
        <v>716450</v>
      </c>
      <c r="Y142" s="1">
        <v>716690</v>
      </c>
      <c r="Z142" s="1">
        <v>717120</v>
      </c>
      <c r="AA142" s="5">
        <f>AVERAGE(B142:Y142)</f>
        <v>714445.41666666663</v>
      </c>
      <c r="AB142" s="5">
        <f>(AA143-AA141)/2</f>
        <v>4903.5416666666861</v>
      </c>
      <c r="AC142" s="14">
        <f>AB142/(23+AB151)</f>
        <v>196.58159842309766</v>
      </c>
      <c r="AD142" s="5">
        <f>AA142-AA141</f>
        <v>4890.4166666666279</v>
      </c>
      <c r="AE142" s="1">
        <f>AD142-AD141</f>
        <v>-8.75</v>
      </c>
      <c r="AG142" s="5">
        <f>Z142-Y142</f>
        <v>430</v>
      </c>
      <c r="AI142" s="1">
        <f>C142-B142</f>
        <v>210</v>
      </c>
      <c r="AJ142" s="1">
        <f>D142-C142</f>
        <v>170</v>
      </c>
      <c r="AK142" s="1">
        <f>E142-D142</f>
        <v>220</v>
      </c>
      <c r="AL142" s="1">
        <f>F142-E142</f>
        <v>210</v>
      </c>
      <c r="AM142" s="1">
        <f>G142-F142</f>
        <v>140</v>
      </c>
      <c r="AN142" s="1">
        <f>H142-G142</f>
        <v>180</v>
      </c>
      <c r="AO142" s="1">
        <f>I142-H142</f>
        <v>220</v>
      </c>
      <c r="AP142" s="1">
        <f>J142-I142</f>
        <v>230</v>
      </c>
      <c r="AQ142" s="1">
        <f>K142-J142</f>
        <v>200</v>
      </c>
      <c r="AR142" s="1">
        <f>L142-K142</f>
        <v>210</v>
      </c>
      <c r="AS142" s="1">
        <f>M142-L142</f>
        <v>180</v>
      </c>
      <c r="AT142" s="1">
        <f>N142-M142</f>
        <v>180</v>
      </c>
      <c r="AU142" s="1">
        <f>O142-N142</f>
        <v>250</v>
      </c>
      <c r="AV142" s="1">
        <f>P142-O142</f>
        <v>160</v>
      </c>
      <c r="AW142" s="1">
        <f>Q142-P142</f>
        <v>160</v>
      </c>
      <c r="AX142" s="1">
        <f>R142-Q142</f>
        <v>200</v>
      </c>
      <c r="AY142" s="1">
        <f>S142-R142</f>
        <v>230</v>
      </c>
      <c r="AZ142" s="1">
        <f>T142-S142</f>
        <v>170</v>
      </c>
      <c r="BA142" s="1">
        <f>U142-T142</f>
        <v>230</v>
      </c>
      <c r="BB142" s="1">
        <f>V142-U142</f>
        <v>170</v>
      </c>
      <c r="BC142" s="1">
        <f>W142-V142</f>
        <v>210</v>
      </c>
      <c r="BD142" s="1">
        <f>X142-W142</f>
        <v>130</v>
      </c>
      <c r="BE142" s="1">
        <f>Y142-X142</f>
        <v>240</v>
      </c>
      <c r="BF142" s="1">
        <f>Z142-Y142</f>
        <v>430</v>
      </c>
    </row>
    <row r="143" spans="1:58">
      <c r="A143" s="1">
        <v>141</v>
      </c>
      <c r="B143" s="1">
        <v>717120</v>
      </c>
      <c r="C143" s="1">
        <v>717310</v>
      </c>
      <c r="D143" s="1">
        <v>717540</v>
      </c>
      <c r="E143" s="1">
        <v>717680</v>
      </c>
      <c r="F143" s="1">
        <v>717870</v>
      </c>
      <c r="G143" s="1">
        <v>718050</v>
      </c>
      <c r="H143" s="1">
        <v>718260</v>
      </c>
      <c r="I143" s="1">
        <v>718500</v>
      </c>
      <c r="J143" s="1">
        <v>718740</v>
      </c>
      <c r="K143" s="1">
        <v>718910</v>
      </c>
      <c r="L143" s="1">
        <v>719040</v>
      </c>
      <c r="M143" s="1">
        <v>719180</v>
      </c>
      <c r="N143" s="1">
        <v>719450</v>
      </c>
      <c r="O143" s="1">
        <v>719690</v>
      </c>
      <c r="P143" s="1">
        <v>719850</v>
      </c>
      <c r="Q143" s="1">
        <v>720050</v>
      </c>
      <c r="R143" s="1">
        <v>720260</v>
      </c>
      <c r="S143" s="1">
        <v>720410</v>
      </c>
      <c r="T143" s="1">
        <v>720640</v>
      </c>
      <c r="U143" s="1">
        <v>720830</v>
      </c>
      <c r="V143" s="1">
        <v>721030</v>
      </c>
      <c r="W143" s="1">
        <v>721230</v>
      </c>
      <c r="X143" s="1">
        <v>721400</v>
      </c>
      <c r="Y143" s="1">
        <v>721650</v>
      </c>
      <c r="Z143" s="1">
        <v>722010</v>
      </c>
      <c r="AA143" s="5">
        <f>AVERAGE(B143:Y143)</f>
        <v>719362.08333333337</v>
      </c>
      <c r="AB143" s="5">
        <f>(AA144-AA142)/2</f>
        <v>4911.25</v>
      </c>
      <c r="AC143" s="14">
        <f>AB143/(23+AB151)</f>
        <v>196.890623326086</v>
      </c>
      <c r="AD143" s="5">
        <f>AA143-AA142</f>
        <v>4916.6666666667443</v>
      </c>
      <c r="AE143" s="1">
        <f>AD143-AD142</f>
        <v>26.250000000116415</v>
      </c>
      <c r="AG143" s="5">
        <f>Z143-Y143</f>
        <v>360</v>
      </c>
      <c r="AI143" s="1">
        <f>C143-B143</f>
        <v>190</v>
      </c>
      <c r="AJ143" s="1">
        <f>D143-C143</f>
        <v>230</v>
      </c>
      <c r="AK143" s="1">
        <f>E143-D143</f>
        <v>140</v>
      </c>
      <c r="AL143" s="1">
        <f>F143-E143</f>
        <v>190</v>
      </c>
      <c r="AM143" s="1">
        <f>G143-F143</f>
        <v>180</v>
      </c>
      <c r="AN143" s="1">
        <f>H143-G143</f>
        <v>210</v>
      </c>
      <c r="AO143" s="1">
        <f>I143-H143</f>
        <v>240</v>
      </c>
      <c r="AP143" s="1">
        <f>J143-I143</f>
        <v>240</v>
      </c>
      <c r="AQ143" s="1">
        <f>K143-J143</f>
        <v>170</v>
      </c>
      <c r="AR143" s="1">
        <f>L143-K143</f>
        <v>130</v>
      </c>
      <c r="AS143" s="1">
        <f>M143-L143</f>
        <v>140</v>
      </c>
      <c r="AT143" s="1">
        <f>N143-M143</f>
        <v>270</v>
      </c>
      <c r="AU143" s="1">
        <f>O143-N143</f>
        <v>240</v>
      </c>
      <c r="AV143" s="1">
        <f>P143-O143</f>
        <v>160</v>
      </c>
      <c r="AW143" s="1">
        <f>Q143-P143</f>
        <v>200</v>
      </c>
      <c r="AX143" s="1">
        <f>R143-Q143</f>
        <v>210</v>
      </c>
      <c r="AY143" s="1">
        <f>S143-R143</f>
        <v>150</v>
      </c>
      <c r="AZ143" s="1">
        <f>T143-S143</f>
        <v>230</v>
      </c>
      <c r="BA143" s="1">
        <f>U143-T143</f>
        <v>190</v>
      </c>
      <c r="BB143" s="1">
        <f>V143-U143</f>
        <v>200</v>
      </c>
      <c r="BC143" s="1">
        <f>W143-V143</f>
        <v>200</v>
      </c>
      <c r="BD143" s="1">
        <f>X143-W143</f>
        <v>170</v>
      </c>
      <c r="BE143" s="1">
        <f>Y143-X143</f>
        <v>250</v>
      </c>
      <c r="BF143" s="1">
        <f>Z143-Y143</f>
        <v>360</v>
      </c>
    </row>
    <row r="144" spans="1:58">
      <c r="A144" s="1">
        <v>142</v>
      </c>
      <c r="B144" s="1">
        <v>722010</v>
      </c>
      <c r="C144" s="1">
        <v>722200</v>
      </c>
      <c r="D144" s="1">
        <v>722430</v>
      </c>
      <c r="E144" s="1">
        <v>722610</v>
      </c>
      <c r="F144" s="1">
        <v>722770</v>
      </c>
      <c r="G144" s="1">
        <v>722970</v>
      </c>
      <c r="H144" s="1">
        <v>723150</v>
      </c>
      <c r="I144" s="1">
        <v>723420</v>
      </c>
      <c r="J144" s="1">
        <v>723600</v>
      </c>
      <c r="K144" s="1">
        <v>723780</v>
      </c>
      <c r="L144" s="1">
        <v>723930</v>
      </c>
      <c r="M144" s="1">
        <v>724140</v>
      </c>
      <c r="N144" s="1">
        <v>724370</v>
      </c>
      <c r="O144" s="1">
        <v>724520</v>
      </c>
      <c r="P144" s="1">
        <v>724740</v>
      </c>
      <c r="Q144" s="1">
        <v>724980</v>
      </c>
      <c r="R144" s="1">
        <v>725210</v>
      </c>
      <c r="S144" s="1">
        <v>725380</v>
      </c>
      <c r="T144" s="1">
        <v>725500</v>
      </c>
      <c r="U144" s="1">
        <v>725710</v>
      </c>
      <c r="V144" s="1">
        <v>725940</v>
      </c>
      <c r="W144" s="1">
        <v>726150</v>
      </c>
      <c r="X144" s="1">
        <v>726340</v>
      </c>
      <c r="Y144" s="1">
        <v>726580</v>
      </c>
      <c r="Z144" s="1">
        <v>726870</v>
      </c>
      <c r="AA144" s="5">
        <f>AVERAGE(B144:Y144)</f>
        <v>724267.91666666663</v>
      </c>
      <c r="AB144" s="5">
        <f>(AA145-AA143)/2</f>
        <v>4905.2083333333139</v>
      </c>
      <c r="AC144" s="14">
        <f>AB144/(23+AB151)</f>
        <v>196.648414618337</v>
      </c>
      <c r="AD144" s="5">
        <f>AA144-AA143</f>
        <v>4905.8333333332557</v>
      </c>
      <c r="AE144" s="1">
        <f>AD144-AD143</f>
        <v>-10.833333333488554</v>
      </c>
      <c r="AG144" s="5">
        <f>Z144-Y144</f>
        <v>290</v>
      </c>
      <c r="AI144" s="1">
        <f>C144-B144</f>
        <v>190</v>
      </c>
      <c r="AJ144" s="1">
        <f>D144-C144</f>
        <v>230</v>
      </c>
      <c r="AK144" s="1">
        <f>E144-D144</f>
        <v>180</v>
      </c>
      <c r="AL144" s="1">
        <f>F144-E144</f>
        <v>160</v>
      </c>
      <c r="AM144" s="1">
        <f>G144-F144</f>
        <v>200</v>
      </c>
      <c r="AN144" s="1">
        <f>H144-G144</f>
        <v>180</v>
      </c>
      <c r="AO144" s="1">
        <f>I144-H144</f>
        <v>270</v>
      </c>
      <c r="AP144" s="1">
        <f>J144-I144</f>
        <v>180</v>
      </c>
      <c r="AQ144" s="1">
        <f>K144-J144</f>
        <v>180</v>
      </c>
      <c r="AR144" s="1">
        <f>L144-K144</f>
        <v>150</v>
      </c>
      <c r="AS144" s="1">
        <f>M144-L144</f>
        <v>210</v>
      </c>
      <c r="AT144" s="1">
        <f>N144-M144</f>
        <v>230</v>
      </c>
      <c r="AU144" s="1">
        <f>O144-N144</f>
        <v>150</v>
      </c>
      <c r="AV144" s="1">
        <f>P144-O144</f>
        <v>220</v>
      </c>
      <c r="AW144" s="1">
        <f>Q144-P144</f>
        <v>240</v>
      </c>
      <c r="AX144" s="1">
        <f>R144-Q144</f>
        <v>230</v>
      </c>
      <c r="AY144" s="1">
        <f>S144-R144</f>
        <v>170</v>
      </c>
      <c r="AZ144" s="1">
        <f>T144-S144</f>
        <v>120</v>
      </c>
      <c r="BA144" s="1">
        <f>U144-T144</f>
        <v>210</v>
      </c>
      <c r="BB144" s="1">
        <f>V144-U144</f>
        <v>230</v>
      </c>
      <c r="BC144" s="1">
        <f>W144-V144</f>
        <v>210</v>
      </c>
      <c r="BD144" s="1">
        <f>X144-W144</f>
        <v>190</v>
      </c>
      <c r="BE144" s="1">
        <f>Y144-X144</f>
        <v>240</v>
      </c>
      <c r="BF144" s="1">
        <f>Z144-Y144</f>
        <v>290</v>
      </c>
    </row>
    <row r="145" spans="1:58">
      <c r="A145" s="1">
        <v>143</v>
      </c>
      <c r="B145" s="1">
        <v>726870</v>
      </c>
      <c r="C145" s="1">
        <v>727150</v>
      </c>
      <c r="D145" s="1">
        <v>727310</v>
      </c>
      <c r="E145" s="1">
        <v>727500</v>
      </c>
      <c r="F145" s="1">
        <v>727710</v>
      </c>
      <c r="G145" s="1">
        <v>727900</v>
      </c>
      <c r="H145" s="1">
        <v>728090</v>
      </c>
      <c r="I145" s="1">
        <v>728280</v>
      </c>
      <c r="J145" s="1">
        <v>728480</v>
      </c>
      <c r="K145" s="1">
        <v>728670</v>
      </c>
      <c r="L145" s="1">
        <v>728880</v>
      </c>
      <c r="M145" s="1">
        <v>729100</v>
      </c>
      <c r="N145" s="1">
        <v>729270</v>
      </c>
      <c r="O145" s="1">
        <v>729490</v>
      </c>
      <c r="P145" s="1">
        <v>729680</v>
      </c>
      <c r="Q145" s="1">
        <v>729850</v>
      </c>
      <c r="R145" s="1">
        <v>730040</v>
      </c>
      <c r="S145" s="1">
        <v>730240</v>
      </c>
      <c r="T145" s="1">
        <v>730430</v>
      </c>
      <c r="U145" s="1">
        <v>730600</v>
      </c>
      <c r="V145" s="1">
        <v>730830</v>
      </c>
      <c r="W145" s="1">
        <v>731040</v>
      </c>
      <c r="X145" s="1">
        <v>731240</v>
      </c>
      <c r="Y145" s="1">
        <v>731490</v>
      </c>
      <c r="Z145" s="1">
        <v>731860</v>
      </c>
      <c r="AA145" s="5">
        <f>AVERAGE(B145:Y145)</f>
        <v>729172.5</v>
      </c>
      <c r="AB145" s="5">
        <f>(AA146-AA144)/2</f>
        <v>4905.8333333333721</v>
      </c>
      <c r="AC145" s="14">
        <f>AB145/(23+AB151)</f>
        <v>196.67347069155466</v>
      </c>
      <c r="AD145" s="5">
        <f>AA145-AA144</f>
        <v>4904.5833333333721</v>
      </c>
      <c r="AE145" s="1">
        <f>AD145-AD144</f>
        <v>-1.2499999998835847</v>
      </c>
      <c r="AG145" s="5">
        <f>Z145-Y145</f>
        <v>370</v>
      </c>
      <c r="AI145" s="1">
        <f>C145-B145</f>
        <v>280</v>
      </c>
      <c r="AJ145" s="1">
        <f>D145-C145</f>
        <v>160</v>
      </c>
      <c r="AK145" s="1">
        <f>E145-D145</f>
        <v>190</v>
      </c>
      <c r="AL145" s="1">
        <f>F145-E145</f>
        <v>210</v>
      </c>
      <c r="AM145" s="1">
        <f>G145-F145</f>
        <v>190</v>
      </c>
      <c r="AN145" s="1">
        <f>H145-G145</f>
        <v>190</v>
      </c>
      <c r="AO145" s="1">
        <f>I145-H145</f>
        <v>190</v>
      </c>
      <c r="AP145" s="1">
        <f>J145-I145</f>
        <v>200</v>
      </c>
      <c r="AQ145" s="1">
        <f>K145-J145</f>
        <v>190</v>
      </c>
      <c r="AR145" s="1">
        <f>L145-K145</f>
        <v>210</v>
      </c>
      <c r="AS145" s="1">
        <f>M145-L145</f>
        <v>220</v>
      </c>
      <c r="AT145" s="1">
        <f>N145-M145</f>
        <v>170</v>
      </c>
      <c r="AU145" s="1">
        <f>O145-N145</f>
        <v>220</v>
      </c>
      <c r="AV145" s="1">
        <f>P145-O145</f>
        <v>190</v>
      </c>
      <c r="AW145" s="1">
        <f>Q145-P145</f>
        <v>170</v>
      </c>
      <c r="AX145" s="1">
        <f>R145-Q145</f>
        <v>190</v>
      </c>
      <c r="AY145" s="1">
        <f>S145-R145</f>
        <v>200</v>
      </c>
      <c r="AZ145" s="1">
        <f>T145-S145</f>
        <v>190</v>
      </c>
      <c r="BA145" s="1">
        <f>U145-T145</f>
        <v>170</v>
      </c>
      <c r="BB145" s="1">
        <f>V145-U145</f>
        <v>230</v>
      </c>
      <c r="BC145" s="1">
        <f>W145-V145</f>
        <v>210</v>
      </c>
      <c r="BD145" s="1">
        <f>X145-W145</f>
        <v>200</v>
      </c>
      <c r="BE145" s="1">
        <f>Y145-X145</f>
        <v>250</v>
      </c>
      <c r="BF145" s="1">
        <f>Z145-Y145</f>
        <v>370</v>
      </c>
    </row>
    <row r="146" spans="1:58">
      <c r="A146" s="1">
        <v>144</v>
      </c>
      <c r="B146" s="1">
        <v>731860</v>
      </c>
      <c r="C146" s="1">
        <v>732060</v>
      </c>
      <c r="D146" s="1">
        <v>732270</v>
      </c>
      <c r="E146" s="1">
        <v>732480</v>
      </c>
      <c r="F146" s="1">
        <v>732590</v>
      </c>
      <c r="G146" s="1">
        <v>732810</v>
      </c>
      <c r="H146" s="1">
        <v>732980</v>
      </c>
      <c r="I146" s="1">
        <v>733160</v>
      </c>
      <c r="J146" s="1">
        <v>733370</v>
      </c>
      <c r="K146" s="1">
        <v>733550</v>
      </c>
      <c r="L146" s="1">
        <v>733790</v>
      </c>
      <c r="M146" s="1">
        <v>733990</v>
      </c>
      <c r="N146" s="1">
        <v>734230</v>
      </c>
      <c r="O146" s="1">
        <v>734420</v>
      </c>
      <c r="P146" s="1">
        <v>734560</v>
      </c>
      <c r="Q146" s="1">
        <v>734760</v>
      </c>
      <c r="R146" s="1">
        <v>734970</v>
      </c>
      <c r="S146" s="1">
        <v>735130</v>
      </c>
      <c r="T146" s="1">
        <v>735330</v>
      </c>
      <c r="U146" s="1">
        <v>735520</v>
      </c>
      <c r="V146" s="1">
        <v>735700</v>
      </c>
      <c r="W146" s="1">
        <v>735920</v>
      </c>
      <c r="X146" s="1">
        <v>736130</v>
      </c>
      <c r="Y146" s="1">
        <v>736330</v>
      </c>
      <c r="Z146" s="1">
        <v>736770</v>
      </c>
      <c r="AA146" s="5">
        <f>AVERAGE(B146:Y146)</f>
        <v>734079.58333333337</v>
      </c>
      <c r="AB146" s="5">
        <f>(AA147-AA145)/2</f>
        <v>4900.2083333333139</v>
      </c>
      <c r="AC146" s="14">
        <f>AB146/(23+AB151)</f>
        <v>196.44796603261435</v>
      </c>
      <c r="AD146" s="5">
        <f>AA146-AA145</f>
        <v>4907.0833333333721</v>
      </c>
      <c r="AE146" s="1">
        <f>AD146-AD145</f>
        <v>2.5</v>
      </c>
      <c r="AG146" s="5">
        <f>Z146-Y146</f>
        <v>440</v>
      </c>
      <c r="AI146" s="1">
        <f>C146-B146</f>
        <v>200</v>
      </c>
      <c r="AJ146" s="1">
        <f>D146-C146</f>
        <v>210</v>
      </c>
      <c r="AK146" s="1">
        <f>E146-D146</f>
        <v>210</v>
      </c>
      <c r="AL146" s="1">
        <f>F146-E146</f>
        <v>110</v>
      </c>
      <c r="AM146" s="1">
        <f>G146-F146</f>
        <v>220</v>
      </c>
      <c r="AN146" s="1">
        <f>H146-G146</f>
        <v>170</v>
      </c>
      <c r="AO146" s="1">
        <f>I146-H146</f>
        <v>180</v>
      </c>
      <c r="AP146" s="1">
        <f>J146-I146</f>
        <v>210</v>
      </c>
      <c r="AQ146" s="1">
        <f>K146-J146</f>
        <v>180</v>
      </c>
      <c r="AR146" s="1">
        <f>L146-K146</f>
        <v>240</v>
      </c>
      <c r="AS146" s="1">
        <f>M146-L146</f>
        <v>200</v>
      </c>
      <c r="AT146" s="1">
        <f>N146-M146</f>
        <v>240</v>
      </c>
      <c r="AU146" s="1">
        <f>O146-N146</f>
        <v>190</v>
      </c>
      <c r="AV146" s="1">
        <f>P146-O146</f>
        <v>140</v>
      </c>
      <c r="AW146" s="1">
        <f>Q146-P146</f>
        <v>200</v>
      </c>
      <c r="AX146" s="1">
        <f>R146-Q146</f>
        <v>210</v>
      </c>
      <c r="AY146" s="1">
        <f>S146-R146</f>
        <v>160</v>
      </c>
      <c r="AZ146" s="1">
        <f>T146-S146</f>
        <v>200</v>
      </c>
      <c r="BA146" s="1">
        <f>U146-T146</f>
        <v>190</v>
      </c>
      <c r="BB146" s="1">
        <f>V146-U146</f>
        <v>180</v>
      </c>
      <c r="BC146" s="1">
        <f>W146-V146</f>
        <v>220</v>
      </c>
      <c r="BD146" s="1">
        <f>X146-W146</f>
        <v>210</v>
      </c>
      <c r="BE146" s="1">
        <f>Y146-X146</f>
        <v>200</v>
      </c>
      <c r="BF146" s="1">
        <f>Z146-Y146</f>
        <v>440</v>
      </c>
    </row>
    <row r="147" spans="1:58">
      <c r="A147" s="1">
        <v>145</v>
      </c>
      <c r="B147" s="1">
        <v>736770</v>
      </c>
      <c r="C147" s="1">
        <v>736970</v>
      </c>
      <c r="D147" s="1">
        <v>737140</v>
      </c>
      <c r="E147" s="1">
        <v>737320</v>
      </c>
      <c r="F147" s="1">
        <v>737520</v>
      </c>
      <c r="G147" s="1">
        <v>737720</v>
      </c>
      <c r="H147" s="1">
        <v>737930</v>
      </c>
      <c r="I147" s="1">
        <v>738090</v>
      </c>
      <c r="J147" s="1">
        <v>738250</v>
      </c>
      <c r="K147" s="1">
        <v>738420</v>
      </c>
      <c r="L147" s="1">
        <v>738640</v>
      </c>
      <c r="M147" s="1">
        <v>738890</v>
      </c>
      <c r="N147" s="1">
        <v>739120</v>
      </c>
      <c r="O147" s="1">
        <v>739290</v>
      </c>
      <c r="P147" s="1">
        <v>739490</v>
      </c>
      <c r="Q147" s="1">
        <v>739660</v>
      </c>
      <c r="R147" s="1">
        <v>739860</v>
      </c>
      <c r="S147" s="1">
        <v>740050</v>
      </c>
      <c r="T147" s="1">
        <v>740230</v>
      </c>
      <c r="U147" s="1">
        <v>740420</v>
      </c>
      <c r="V147" s="1">
        <v>740600</v>
      </c>
      <c r="W147" s="1">
        <v>740760</v>
      </c>
      <c r="X147" s="1">
        <v>741010</v>
      </c>
      <c r="Y147" s="1">
        <v>741200</v>
      </c>
      <c r="Z147" s="1">
        <v>741630</v>
      </c>
      <c r="AA147" s="5">
        <f>AVERAGE(B147:Y147)</f>
        <v>738972.91666666663</v>
      </c>
      <c r="AB147" s="5">
        <f>(AA148-AA146)/2</f>
        <v>4878.3333333333139</v>
      </c>
      <c r="AC147" s="14">
        <f>AB147/(23+AB151)</f>
        <v>195.5710034700777</v>
      </c>
      <c r="AD147" s="5">
        <f>AA147-AA146</f>
        <v>4893.3333333332557</v>
      </c>
      <c r="AE147" s="1">
        <f>AD147-AD146</f>
        <v>-13.750000000116415</v>
      </c>
      <c r="AG147" s="5">
        <f>Z147-Y147</f>
        <v>430</v>
      </c>
      <c r="AI147" s="1">
        <f>C147-B147</f>
        <v>200</v>
      </c>
      <c r="AJ147" s="1">
        <f>D147-C147</f>
        <v>170</v>
      </c>
      <c r="AK147" s="1">
        <f>E147-D147</f>
        <v>180</v>
      </c>
      <c r="AL147" s="1">
        <f>F147-E147</f>
        <v>200</v>
      </c>
      <c r="AM147" s="1">
        <f>G147-F147</f>
        <v>200</v>
      </c>
      <c r="AN147" s="1">
        <f>H147-G147</f>
        <v>210</v>
      </c>
      <c r="AO147" s="1">
        <f>I147-H147</f>
        <v>160</v>
      </c>
      <c r="AP147" s="1">
        <f>J147-I147</f>
        <v>160</v>
      </c>
      <c r="AQ147" s="1">
        <f>K147-J147</f>
        <v>170</v>
      </c>
      <c r="AR147" s="1">
        <f>L147-K147</f>
        <v>220</v>
      </c>
      <c r="AS147" s="1">
        <f>M147-L147</f>
        <v>250</v>
      </c>
      <c r="AT147" s="1">
        <f>N147-M147</f>
        <v>230</v>
      </c>
      <c r="AU147" s="1">
        <f>O147-N147</f>
        <v>170</v>
      </c>
      <c r="AV147" s="1">
        <f>P147-O147</f>
        <v>200</v>
      </c>
      <c r="AW147" s="1">
        <f>Q147-P147</f>
        <v>170</v>
      </c>
      <c r="AX147" s="1">
        <f>R147-Q147</f>
        <v>200</v>
      </c>
      <c r="AY147" s="1">
        <f>S147-R147</f>
        <v>190</v>
      </c>
      <c r="AZ147" s="1">
        <f>T147-S147</f>
        <v>180</v>
      </c>
      <c r="BA147" s="1">
        <f>U147-T147</f>
        <v>190</v>
      </c>
      <c r="BB147" s="1">
        <f>V147-U147</f>
        <v>180</v>
      </c>
      <c r="BC147" s="1">
        <f>W147-V147</f>
        <v>160</v>
      </c>
      <c r="BD147" s="1">
        <f>X147-W147</f>
        <v>250</v>
      </c>
      <c r="BE147" s="1">
        <f>Y147-X147</f>
        <v>190</v>
      </c>
      <c r="BF147" s="1">
        <f>Z147-Y147</f>
        <v>430</v>
      </c>
    </row>
    <row r="148" spans="1:58">
      <c r="A148" s="1">
        <v>146</v>
      </c>
      <c r="B148" s="1">
        <v>741630</v>
      </c>
      <c r="C148" s="1">
        <v>741820</v>
      </c>
      <c r="D148" s="1">
        <v>741980</v>
      </c>
      <c r="E148" s="1">
        <v>742200</v>
      </c>
      <c r="F148" s="1">
        <v>742370</v>
      </c>
      <c r="G148" s="1">
        <v>742570</v>
      </c>
      <c r="H148" s="1">
        <v>742800</v>
      </c>
      <c r="I148" s="1">
        <v>742950</v>
      </c>
      <c r="J148" s="1">
        <v>743160</v>
      </c>
      <c r="K148" s="1">
        <v>743350</v>
      </c>
      <c r="L148" s="1">
        <v>743540</v>
      </c>
      <c r="M148" s="1">
        <v>743740</v>
      </c>
      <c r="N148" s="1">
        <v>743980</v>
      </c>
      <c r="O148" s="1">
        <v>744160</v>
      </c>
      <c r="P148" s="1">
        <v>744340</v>
      </c>
      <c r="Q148" s="1">
        <v>744510</v>
      </c>
      <c r="R148" s="1">
        <v>744690</v>
      </c>
      <c r="S148" s="1">
        <v>744890</v>
      </c>
      <c r="T148" s="1">
        <v>745080</v>
      </c>
      <c r="U148" s="1">
        <v>745260</v>
      </c>
      <c r="V148" s="1">
        <v>745440</v>
      </c>
      <c r="W148" s="1">
        <v>745640</v>
      </c>
      <c r="X148" s="1">
        <v>745870</v>
      </c>
      <c r="Y148" s="1">
        <v>746100</v>
      </c>
      <c r="AA148" s="5">
        <f>AVERAGE(B148:Y148)</f>
        <v>743836.25</v>
      </c>
    </row>
    <row r="150" spans="1:58">
      <c r="B150" s="1">
        <f>AVERAGE(B4:B147)</f>
        <v>388009.93055555556</v>
      </c>
      <c r="C150" s="1">
        <f>AVERAGE(C4:C147)</f>
        <v>388208.81944444444</v>
      </c>
      <c r="D150" s="1">
        <f>AVERAGE(D4:D147)</f>
        <v>388405.20833333331</v>
      </c>
      <c r="E150" s="1">
        <f>AVERAGE(E4:E147)</f>
        <v>388601.11111111112</v>
      </c>
      <c r="F150" s="1">
        <f>AVERAGE(F4:F147)</f>
        <v>388794.72222222225</v>
      </c>
      <c r="G150" s="1">
        <f>AVERAGE(G4:G147)</f>
        <v>388992.98611111112</v>
      </c>
      <c r="H150" s="1">
        <f>AVERAGE(H4:H147)</f>
        <v>389176.45833333331</v>
      </c>
      <c r="I150" s="1">
        <f>AVERAGE(I4:I147)</f>
        <v>389379.41666666669</v>
      </c>
      <c r="J150" s="1">
        <f>AVERAGE(J4:J147)</f>
        <v>389564.44444444444</v>
      </c>
      <c r="K150" s="1">
        <f>AVERAGE(K4:K147)</f>
        <v>389758.05555555556</v>
      </c>
      <c r="L150" s="1">
        <f>AVERAGE(L4:L147)</f>
        <v>389946.31944444444</v>
      </c>
      <c r="M150" s="1">
        <f>AVERAGE(M4:M147)</f>
        <v>390149.95833333331</v>
      </c>
      <c r="N150" s="1">
        <f>AVERAGE(N4:N147)</f>
        <v>390342.77777777775</v>
      </c>
      <c r="O150" s="1">
        <f>AVERAGE(O4:O147)</f>
        <v>390537.29166666669</v>
      </c>
      <c r="P150" s="1">
        <f>AVERAGE(P4:P147)</f>
        <v>390730.13888888888</v>
      </c>
      <c r="Q150" s="1">
        <f>AVERAGE(Q4:Q147)</f>
        <v>390930.69444444444</v>
      </c>
      <c r="R150" s="1">
        <f>AVERAGE(R4:R147)</f>
        <v>391125</v>
      </c>
      <c r="S150" s="1">
        <f>AVERAGE(S4:S147)</f>
        <v>391321.04166666669</v>
      </c>
      <c r="T150" s="1">
        <f>AVERAGE(T4:T147)</f>
        <v>391513.81944444444</v>
      </c>
      <c r="U150" s="1">
        <f>AVERAGE(U4:U147)</f>
        <v>391706.59722222225</v>
      </c>
      <c r="V150" s="1">
        <f>AVERAGE(V4:V147)</f>
        <v>391899.44444444444</v>
      </c>
      <c r="W150" s="1">
        <f>AVERAGE(W4:W147)</f>
        <v>392101.38888888888</v>
      </c>
      <c r="X150" s="1">
        <f>AVERAGE(X4:X147)</f>
        <v>392293.33333333331</v>
      </c>
      <c r="Y150" s="1">
        <f>AVERAGE(Y4:Y147)</f>
        <v>392505.69444444444</v>
      </c>
      <c r="Z150" s="1">
        <f>AVERAGE(Z4:Z147)</f>
        <v>392885.69444444444</v>
      </c>
      <c r="AC150" s="14">
        <f>MIN(AC4:AC147)</f>
        <v>193.90393939881832</v>
      </c>
      <c r="AD150" s="5">
        <f>AVERAGE(AD4:AD147)</f>
        <v>4875.807291666667</v>
      </c>
      <c r="AE150" s="1">
        <f>AVERAGE(AE5:AE147)</f>
        <v>-0.11655011655065928</v>
      </c>
      <c r="AG150" s="5">
        <f>AVERAGE(AG4:AG146)</f>
        <v>379.65034965034965</v>
      </c>
      <c r="AI150" s="1">
        <f>AVERAGE(AI4:AI147)</f>
        <v>198.88888888888889</v>
      </c>
      <c r="AJ150" s="1">
        <f>AVERAGE(AJ4:AJ147)</f>
        <v>196.38888888888889</v>
      </c>
      <c r="AK150" s="1">
        <f>AVERAGE(AK4:AK147)</f>
        <v>195.90277777777777</v>
      </c>
      <c r="AL150" s="1">
        <f>AVERAGE(AL4:AL147)</f>
        <v>193.61111111111111</v>
      </c>
      <c r="AM150" s="1">
        <f>AVERAGE(AM4:AM147)</f>
        <v>198.26388888888889</v>
      </c>
      <c r="AN150" s="1">
        <f>AVERAGE(AN4:AN147)</f>
        <v>183.47222222222223</v>
      </c>
      <c r="AO150" s="1">
        <f>AVERAGE(AO4:AO147)</f>
        <v>202.95833333333334</v>
      </c>
      <c r="AP150" s="1">
        <f>AVERAGE(AP4:AP147)</f>
        <v>185.02777777777777</v>
      </c>
      <c r="AQ150" s="1">
        <f>AVERAGE(AQ4:AQ147)</f>
        <v>193.61111111111111</v>
      </c>
      <c r="AR150" s="1">
        <f>AVERAGE(AR4:AR147)</f>
        <v>188.26388888888889</v>
      </c>
      <c r="AS150" s="1">
        <f>AVERAGE(AS4:AS147)</f>
        <v>203.63888888888889</v>
      </c>
      <c r="AT150" s="1">
        <f>AVERAGE(AT4:AT147)</f>
        <v>192.81944444444446</v>
      </c>
      <c r="AU150" s="1">
        <f>AVERAGE(AU4:AU147)</f>
        <v>194.51388888888889</v>
      </c>
      <c r="AV150" s="1">
        <f>AVERAGE(AV4:AV147)</f>
        <v>192.84722222222223</v>
      </c>
      <c r="AW150" s="1">
        <f>AVERAGE(AW4:AW147)</f>
        <v>200.55555555555554</v>
      </c>
      <c r="AX150" s="1">
        <f>AVERAGE(AX4:AX147)</f>
        <v>194.30555555555554</v>
      </c>
      <c r="AY150" s="1">
        <f>AVERAGE(AY4:AY147)</f>
        <v>196.04166666666666</v>
      </c>
      <c r="AZ150" s="1">
        <f>AVERAGE(AZ4:AZ147)</f>
        <v>192.77777777777777</v>
      </c>
      <c r="BA150" s="1">
        <f>AVERAGE(BA4:BA147)</f>
        <v>192.77777777777777</v>
      </c>
      <c r="BB150" s="1">
        <f>AVERAGE(BB4:BB147)</f>
        <v>192.84722222222223</v>
      </c>
      <c r="BC150" s="1">
        <f>AVERAGE(BC4:BC147)</f>
        <v>201.94444444444446</v>
      </c>
      <c r="BD150" s="1">
        <f>AVERAGE(BD4:BD147)</f>
        <v>191.94444444444446</v>
      </c>
      <c r="BE150" s="1">
        <f>AVERAGE(BE4:BE147)</f>
        <v>212.36111111111111</v>
      </c>
      <c r="BF150" s="1">
        <f>AVERAGE(BF4:BF147)</f>
        <v>380</v>
      </c>
    </row>
    <row r="151" spans="1:58">
      <c r="C151" s="1">
        <f>C150-B150</f>
        <v>198.88888888887595</v>
      </c>
      <c r="D151" s="1">
        <f>D150-C150</f>
        <v>196.38888888887595</v>
      </c>
      <c r="E151" s="1">
        <f>E150-D150</f>
        <v>195.90277777781012</v>
      </c>
      <c r="F151" s="1">
        <f>F150-E150</f>
        <v>193.61111111112405</v>
      </c>
      <c r="G151" s="1">
        <f>G150-F150</f>
        <v>198.26388888887595</v>
      </c>
      <c r="H151" s="1">
        <f>H150-G150</f>
        <v>183.47222222218988</v>
      </c>
      <c r="I151" s="1">
        <f>I150-H150</f>
        <v>202.95833333337214</v>
      </c>
      <c r="J151" s="1">
        <f>J150-I150</f>
        <v>185.02777777775191</v>
      </c>
      <c r="K151" s="1">
        <f>K150-J150</f>
        <v>193.61111111112405</v>
      </c>
      <c r="L151" s="1">
        <f>L150-K150</f>
        <v>188.26388888887595</v>
      </c>
      <c r="M151" s="1">
        <f>M150-L150</f>
        <v>203.63888888887595</v>
      </c>
      <c r="N151" s="1">
        <f>N150-M150</f>
        <v>192.81944444443798</v>
      </c>
      <c r="O151" s="1">
        <f>O150-N150</f>
        <v>194.51388888893416</v>
      </c>
      <c r="P151" s="1">
        <f>P150-O150</f>
        <v>192.84722222218988</v>
      </c>
      <c r="Q151" s="1">
        <f>Q150-P150</f>
        <v>200.55555555556202</v>
      </c>
      <c r="R151" s="1">
        <f>R150-Q150</f>
        <v>194.30555555556202</v>
      </c>
      <c r="S151" s="1">
        <f>S150-R150</f>
        <v>196.04166666668607</v>
      </c>
      <c r="T151" s="1">
        <f>T150-S150</f>
        <v>192.77777777775191</v>
      </c>
      <c r="U151" s="1">
        <f>U150-T150</f>
        <v>192.77777777781012</v>
      </c>
      <c r="V151" s="1">
        <f>V150-U150</f>
        <v>192.84722222218988</v>
      </c>
      <c r="W151" s="1">
        <f>W150-V150</f>
        <v>201.94444444443798</v>
      </c>
      <c r="X151" s="1">
        <f>X150-W150</f>
        <v>191.94444444443798</v>
      </c>
      <c r="Y151" s="1">
        <f>Y150-X150</f>
        <v>212.36111111112405</v>
      </c>
      <c r="Z151" s="1">
        <f>Z150-Y150</f>
        <v>380</v>
      </c>
      <c r="AA151" s="5">
        <f>AVERAGE(C151:Y151)</f>
        <v>195.46799516908158</v>
      </c>
      <c r="AB151" s="16">
        <f>Z151/AA151</f>
        <v>1.9440522714283561</v>
      </c>
      <c r="AC151" s="14">
        <f>MAX(AC4:AC147)</f>
        <v>196.890623326086</v>
      </c>
      <c r="AD151" s="5">
        <f>STDEV(AD4:AD147)</f>
        <v>15.950122786873681</v>
      </c>
      <c r="AE151" s="1">
        <f>STDEV(AE5:AE147)</f>
        <v>14.219434107039174</v>
      </c>
      <c r="AG151" s="5">
        <f>STDEV(AG4:AG146)</f>
        <v>31.296235372140924</v>
      </c>
      <c r="AI151" s="1">
        <f>STDEV(AI4:AI147)</f>
        <v>27.535383748866778</v>
      </c>
      <c r="AJ151" s="1">
        <f>STDEV(AJ4:AJ147)</f>
        <v>31.87850868907319</v>
      </c>
      <c r="AK151" s="1">
        <f>STDEV(AK4:AK147)</f>
        <v>32.590126662324536</v>
      </c>
      <c r="AL151" s="1">
        <f>STDEV(AL4:AL147)</f>
        <v>30.648266497735854</v>
      </c>
      <c r="AM151" s="1">
        <f>STDEV(AM4:AM147)</f>
        <v>27.969260376876694</v>
      </c>
      <c r="AN151" s="1">
        <f>STDEV(AN4:AN147)</f>
        <v>32.58811496520223</v>
      </c>
      <c r="AO151" s="1">
        <f>STDEV(AO4:AO147)</f>
        <v>29.690212886719777</v>
      </c>
      <c r="AP151" s="1">
        <f>STDEV(AP4:AP147)</f>
        <v>30.981145731418515</v>
      </c>
      <c r="AQ151" s="1">
        <f>STDEV(AQ4:AQ147)</f>
        <v>27.035617820287175</v>
      </c>
      <c r="AR151" s="1">
        <f>STDEV(AR4:AR147)</f>
        <v>31.072436487123241</v>
      </c>
      <c r="AS151" s="1">
        <f>STDEV(AS4:AS147)</f>
        <v>27.01841151871367</v>
      </c>
      <c r="AT151" s="1">
        <f>STDEV(AT4:AT147)</f>
        <v>32.371456990089754</v>
      </c>
      <c r="AU151" s="1">
        <f>STDEV(AU4:AU147)</f>
        <v>30.170375436867744</v>
      </c>
      <c r="AV151" s="1">
        <f>STDEV(AV4:AV147)</f>
        <v>30.050381807482037</v>
      </c>
      <c r="AW151" s="1">
        <f>STDEV(AW4:AW147)</f>
        <v>27.577678664607784</v>
      </c>
      <c r="AX151" s="1">
        <f>STDEV(AX4:AX147)</f>
        <v>30.489085007331845</v>
      </c>
      <c r="AY151" s="1">
        <f>STDEV(AY4:AY147)</f>
        <v>27.941466040197756</v>
      </c>
      <c r="AZ151" s="1">
        <f>STDEV(AZ4:AZ147)</f>
        <v>27.645215937987626</v>
      </c>
      <c r="BA151" s="1">
        <f>STDEV(BA4:BA147)</f>
        <v>31.097510624729559</v>
      </c>
      <c r="BB151" s="1">
        <f>STDEV(BB4:BB147)</f>
        <v>35.747036542916703</v>
      </c>
      <c r="BC151" s="1">
        <f>STDEV(BC4:BC147)</f>
        <v>27.666287525135502</v>
      </c>
      <c r="BD151" s="1">
        <f>STDEV(BD4:BD147)</f>
        <v>29.143430637787862</v>
      </c>
      <c r="BE151" s="1">
        <f>STDEV(BE4:BE147)</f>
        <v>23.144003773005853</v>
      </c>
      <c r="BF151" s="1">
        <f>STDEV(BF4:BF147)</f>
        <v>31.46759905378531</v>
      </c>
    </row>
    <row r="153" spans="1:58">
      <c r="AI153" s="1">
        <f>COUNTIF(AI4:BE147,"&lt;125")</f>
        <v>43</v>
      </c>
    </row>
  </sheetData>
  <mergeCells count="2">
    <mergeCell ref="AB1:AB2"/>
    <mergeCell ref="AD1:AD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CF157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12.75"/>
  <cols>
    <col min="1" max="1" width="8.85546875" style="1" bestFit="1" customWidth="1"/>
    <col min="2" max="7" width="5" style="1" bestFit="1" customWidth="1"/>
    <col min="8" max="8" width="5.5703125" style="1" bestFit="1" customWidth="1"/>
    <col min="9" max="9" width="5" style="1" bestFit="1" customWidth="1"/>
    <col min="10" max="24" width="5.5703125" style="1" bestFit="1" customWidth="1"/>
    <col min="25" max="25" width="5" style="1" bestFit="1" customWidth="1"/>
    <col min="26" max="26" width="9.140625" style="1"/>
    <col min="27" max="28" width="3.5703125" style="1" bestFit="1" customWidth="1"/>
    <col min="29" max="29" width="9.140625" style="1"/>
    <col min="30" max="53" width="2.42578125" style="1" bestFit="1" customWidth="1"/>
    <col min="54" max="54" width="9.5703125" style="1" bestFit="1" customWidth="1"/>
    <col min="55" max="56" width="5" style="1" bestFit="1" customWidth="1"/>
    <col min="57" max="57" width="5.5703125" style="1" bestFit="1" customWidth="1"/>
    <col min="58" max="58" width="5" style="1" bestFit="1" customWidth="1"/>
    <col min="59" max="59" width="5.5703125" style="1" bestFit="1" customWidth="1"/>
    <col min="60" max="61" width="5" style="1" bestFit="1" customWidth="1"/>
    <col min="62" max="63" width="5.5703125" style="1" bestFit="1" customWidth="1"/>
    <col min="64" max="64" width="5" style="1" bestFit="1" customWidth="1"/>
    <col min="65" max="66" width="5.5703125" style="1" bestFit="1" customWidth="1"/>
    <col min="67" max="68" width="5" style="1" bestFit="1" customWidth="1"/>
    <col min="69" max="71" width="5.5703125" style="1" bestFit="1" customWidth="1"/>
    <col min="72" max="73" width="5" style="1" bestFit="1" customWidth="1"/>
    <col min="74" max="78" width="5.5703125" style="1" bestFit="1" customWidth="1"/>
    <col min="79" max="79" width="9.140625" style="1"/>
    <col min="80" max="80" width="4.7109375" style="1" bestFit="1" customWidth="1"/>
    <col min="81" max="81" width="3.7109375" style="1" bestFit="1" customWidth="1"/>
    <col min="82" max="82" width="3.5703125" style="1" bestFit="1" customWidth="1"/>
    <col min="83" max="83" width="3.7109375" style="1" bestFit="1" customWidth="1"/>
    <col min="84" max="84" width="3.5703125" style="1" bestFit="1" customWidth="1"/>
    <col min="85" max="16384" width="9.140625" style="1"/>
  </cols>
  <sheetData>
    <row r="1" spans="1:84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 t="s">
        <v>45</v>
      </c>
      <c r="L1" s="11" t="s">
        <v>46</v>
      </c>
      <c r="M1" s="11" t="s">
        <v>47</v>
      </c>
      <c r="N1" s="17">
        <v>1</v>
      </c>
      <c r="O1" s="17">
        <v>2</v>
      </c>
      <c r="P1" s="17">
        <v>3</v>
      </c>
      <c r="Q1" s="17">
        <v>4</v>
      </c>
      <c r="R1" s="17">
        <v>5</v>
      </c>
      <c r="S1" s="17">
        <v>6</v>
      </c>
      <c r="T1" s="17">
        <v>7</v>
      </c>
      <c r="U1" s="17">
        <v>8</v>
      </c>
      <c r="V1" s="17">
        <v>9</v>
      </c>
      <c r="W1" s="17" t="s">
        <v>45</v>
      </c>
      <c r="X1" s="17" t="s">
        <v>46</v>
      </c>
      <c r="Y1" s="17" t="s">
        <v>47</v>
      </c>
      <c r="BC1" s="11">
        <v>1</v>
      </c>
      <c r="BD1" s="11">
        <v>2</v>
      </c>
      <c r="BE1" s="11">
        <v>3</v>
      </c>
      <c r="BF1" s="11">
        <v>4</v>
      </c>
      <c r="BG1" s="11">
        <v>5</v>
      </c>
      <c r="BH1" s="11">
        <v>6</v>
      </c>
      <c r="BI1" s="11">
        <v>7</v>
      </c>
      <c r="BJ1" s="11">
        <v>8</v>
      </c>
      <c r="BK1" s="11">
        <v>9</v>
      </c>
      <c r="BL1" s="11" t="s">
        <v>45</v>
      </c>
      <c r="BM1" s="11" t="s">
        <v>46</v>
      </c>
      <c r="BN1" s="11" t="s">
        <v>47</v>
      </c>
      <c r="BO1" s="17">
        <v>1</v>
      </c>
      <c r="BP1" s="17">
        <v>2</v>
      </c>
      <c r="BQ1" s="17">
        <v>3</v>
      </c>
      <c r="BR1" s="17">
        <v>4</v>
      </c>
      <c r="BS1" s="17">
        <v>5</v>
      </c>
      <c r="BT1" s="17">
        <v>6</v>
      </c>
      <c r="BU1" s="17">
        <v>7</v>
      </c>
      <c r="BV1" s="17">
        <v>8</v>
      </c>
      <c r="BW1" s="17">
        <v>9</v>
      </c>
      <c r="BX1" s="17" t="s">
        <v>45</v>
      </c>
      <c r="BY1" s="17" t="s">
        <v>46</v>
      </c>
      <c r="BZ1" s="17" t="s">
        <v>47</v>
      </c>
      <c r="CB1" s="1" t="s">
        <v>74</v>
      </c>
      <c r="CC1" s="1" t="s">
        <v>75</v>
      </c>
      <c r="CD1" s="1" t="s">
        <v>76</v>
      </c>
      <c r="CE1" s="1" t="s">
        <v>77</v>
      </c>
      <c r="CF1" s="1" t="s">
        <v>78</v>
      </c>
    </row>
    <row r="4" spans="1:84">
      <c r="A4" s="1">
        <v>1</v>
      </c>
      <c r="B4" s="1">
        <f>'Team B 1'!B4-'Team B 1'!$AA4-('Team B 1'!B$2- 12.5)*'Team B 1'!$AC4</f>
        <v>11.90865302445809</v>
      </c>
      <c r="C4" s="1">
        <f>'Team B 1'!C4-'Team B 1'!$AA4-('Team B 1'!C$2- 12.5)*'Team B 1'!$AC4</f>
        <v>35.510799138273342</v>
      </c>
      <c r="D4" s="1">
        <f>'Team B 1'!D4-'Team B 1'!$AA4-('Team B 1'!D$2- 12.5)*'Team B 1'!$AC4</f>
        <v>19.112945252089048</v>
      </c>
      <c r="E4" s="1">
        <f>'Team B 1'!E4-'Team B 1'!$AA4-('Team B 1'!E$2- 12.5)*'Team B 1'!$AC4</f>
        <v>12.715091365904527</v>
      </c>
      <c r="F4" s="1">
        <f>'Team B 1'!F4-'Team B 1'!$AA4-('Team B 1'!F$2- 12.5)*'Team B 1'!$AC4</f>
        <v>16.317237479719779</v>
      </c>
      <c r="G4" s="1">
        <f>'Team B 1'!G4-'Team B 1'!$AA4-('Team B 1'!G$2- 12.5)*'Team B 1'!$AC4</f>
        <v>19.919383593535258</v>
      </c>
      <c r="H4" s="1">
        <f>'Team B 1'!H4-'Team B 1'!$AA4-('Team B 1'!H$2- 12.5)*'Team B 1'!$AC4</f>
        <v>13.521529707350737</v>
      </c>
      <c r="I4" s="1">
        <f>'Team B 1'!I4-'Team B 1'!$AA4-('Team B 1'!I$2- 12.5)*'Team B 1'!$AC4</f>
        <v>67.123675821166216</v>
      </c>
      <c r="J4" s="1">
        <f>'Team B 1'!J4-'Team B 1'!$AA4-('Team B 1'!J$2- 12.5)*'Team B 1'!$AC4</f>
        <v>10.725821934981695</v>
      </c>
      <c r="K4" s="1">
        <f>'Team B 1'!K4-'Team B 1'!$AA4-('Team B 1'!K$2- 12.5)*'Team B 1'!$AC4</f>
        <v>-25.672031951202882</v>
      </c>
      <c r="L4" s="1">
        <f>'Team B 1'!L4-'Team B 1'!$AA4-('Team B 1'!L$2- 12.5)*'Team B 1'!$AC4</f>
        <v>-12.069885837387403</v>
      </c>
      <c r="M4" s="1">
        <f>'Team B 1'!M4-'Team B 1'!$AA4-('Team B 1'!M$2- 12.5)*'Team B 1'!$AC4</f>
        <v>-8.4677397235719667</v>
      </c>
      <c r="N4" s="1">
        <f>'Team B 1'!N4-'Team B 1'!$AA4-('Team B 1'!N$2- 12.5)*'Team B 1'!$AC4</f>
        <v>-14.865593609756516</v>
      </c>
      <c r="O4" s="1">
        <f>'Team B 1'!O4-'Team B 1'!$AA4-('Team B 1'!O$2- 12.5)*'Team B 1'!$AC4</f>
        <v>-1.2634474959410795</v>
      </c>
      <c r="P4" s="1">
        <f>'Team B 1'!P4-'Team B 1'!$AA4-('Team B 1'!P$2- 12.5)*'Team B 1'!$AC4</f>
        <v>-37.6613013821256</v>
      </c>
      <c r="Q4" s="1">
        <f>'Team B 1'!Q4-'Team B 1'!$AA4-('Team B 1'!Q$2- 12.5)*'Team B 1'!$AC4</f>
        <v>-14.059155268310178</v>
      </c>
      <c r="R4" s="1">
        <f>'Team B 1'!R4-'Team B 1'!$AA4-('Team B 1'!R$2- 12.5)*'Team B 1'!$AC4</f>
        <v>-0.45700915449469903</v>
      </c>
      <c r="S4" s="1">
        <f>'Team B 1'!S4-'Team B 1'!$AA4-('Team B 1'!S$2- 12.5)*'Team B 1'!$AC4</f>
        <v>-46.85486304067922</v>
      </c>
      <c r="T4" s="1">
        <f>'Team B 1'!T4-'Team B 1'!$AA4-('Team B 1'!T$2- 12.5)*'Team B 1'!$AC4</f>
        <v>-23.252716926863741</v>
      </c>
      <c r="U4" s="1">
        <f>'Team B 1'!U4-'Team B 1'!$AA4-('Team B 1'!U$2- 12.5)*'Team B 1'!$AC4</f>
        <v>-49.650570813048262</v>
      </c>
      <c r="V4" s="1">
        <f>'Team B 1'!V4-'Team B 1'!$AA4-('Team B 1'!V$2- 12.5)*'Team B 1'!$AC4</f>
        <v>33.95157530076699</v>
      </c>
      <c r="W4" s="1">
        <f>'Team B 1'!W4-'Team B 1'!$AA4-('Team B 1'!W$2- 12.5)*'Team B 1'!$AC4</f>
        <v>-2.4462785854175308</v>
      </c>
      <c r="X4" s="1">
        <f>'Team B 1'!X4-'Team B 1'!$AA4-('Team B 1'!X$2- 12.5)*'Team B 1'!$AC4</f>
        <v>-18.844132471601824</v>
      </c>
      <c r="Y4" s="1">
        <f>'Team B 1'!Y4-'Team B 1'!$AA4-('Team B 1'!Y$2- 12.5)*'Team B 1'!$AC4</f>
        <v>14.758013642213427</v>
      </c>
      <c r="AB4" s="1">
        <f>STDEV(B4:Y4)</f>
        <v>27.222441826181477</v>
      </c>
      <c r="AD4" s="5">
        <v>2</v>
      </c>
      <c r="AE4" s="5">
        <v>1</v>
      </c>
      <c r="AF4" s="5">
        <v>4</v>
      </c>
      <c r="AG4" s="5">
        <v>3</v>
      </c>
      <c r="AH4" s="5">
        <v>6</v>
      </c>
      <c r="AI4" s="5">
        <v>5</v>
      </c>
      <c r="AJ4" s="5">
        <v>8</v>
      </c>
      <c r="AK4" s="5">
        <v>7</v>
      </c>
      <c r="AL4" s="5" t="s">
        <v>45</v>
      </c>
      <c r="AM4" s="5">
        <v>9</v>
      </c>
      <c r="AN4" s="5" t="s">
        <v>47</v>
      </c>
      <c r="AO4" s="5" t="s">
        <v>46</v>
      </c>
      <c r="AP4" s="5">
        <v>1</v>
      </c>
      <c r="AQ4" s="5">
        <v>2</v>
      </c>
      <c r="AR4" s="5">
        <v>4</v>
      </c>
      <c r="AS4" s="5">
        <v>6</v>
      </c>
      <c r="AT4" s="5">
        <v>3</v>
      </c>
      <c r="AU4" s="5">
        <v>8</v>
      </c>
      <c r="AV4" s="5">
        <v>5</v>
      </c>
      <c r="AW4" s="5" t="s">
        <v>45</v>
      </c>
      <c r="AX4" s="5">
        <v>7</v>
      </c>
      <c r="AY4" s="5" t="s">
        <v>47</v>
      </c>
      <c r="AZ4" s="5">
        <v>9</v>
      </c>
      <c r="BA4" s="5" t="s">
        <v>46</v>
      </c>
      <c r="BB4" s="5"/>
      <c r="BC4" s="1">
        <f ca="1">OFFSET(A4,0, 2) -0</f>
        <v>35.510799138273342</v>
      </c>
      <c r="BD4" s="1">
        <f ca="1">OFFSET(A4,0, 1) -0</f>
        <v>11.90865302445809</v>
      </c>
      <c r="BE4" s="1">
        <f ca="1">OFFSET(A4,0, 4) -0</f>
        <v>12.715091365904527</v>
      </c>
      <c r="BF4" s="1">
        <f ca="1">OFFSET(A4,0, 3) -0</f>
        <v>19.112945252089048</v>
      </c>
      <c r="BG4" s="1">
        <f ca="1">OFFSET(A4,0, 6) -0</f>
        <v>19.919383593535258</v>
      </c>
      <c r="BH4" s="1">
        <f ca="1">OFFSET(A4,0, 5) -0</f>
        <v>16.317237479719779</v>
      </c>
      <c r="BI4" s="1">
        <f ca="1">OFFSET(A4,0, 8) -0</f>
        <v>67.123675821166216</v>
      </c>
      <c r="BJ4" s="1">
        <f ca="1">OFFSET(A4,0, 7) -0</f>
        <v>13.521529707350737</v>
      </c>
      <c r="BK4" s="1">
        <f ca="1">OFFSET(A4,0, 10) -0</f>
        <v>-25.672031951202882</v>
      </c>
      <c r="BL4" s="1">
        <f ca="1">OFFSET(A4,0, 9) -0</f>
        <v>10.725821934981695</v>
      </c>
      <c r="BM4" s="1">
        <f ca="1">OFFSET(A4,0, 12) -0</f>
        <v>-8.4677397235719667</v>
      </c>
      <c r="BN4" s="1">
        <f ca="1">OFFSET(A4,0, 11) -0</f>
        <v>-12.069885837387403</v>
      </c>
      <c r="BO4" s="1">
        <f ca="1">OFFSET(A4,0, 13) -0</f>
        <v>-14.865593609756516</v>
      </c>
      <c r="BP4" s="1">
        <f ca="1">OFFSET(A4,0, 14) -0</f>
        <v>-1.2634474959410795</v>
      </c>
      <c r="BQ4" s="1">
        <f ca="1">OFFSET(A4,0, 17) -0</f>
        <v>-0.45700915449469903</v>
      </c>
      <c r="BR4" s="1">
        <f ca="1">OFFSET(A4,0, 15) -0</f>
        <v>-37.6613013821256</v>
      </c>
      <c r="BS4" s="1">
        <f ca="1">OFFSET(A4,0, 19) -0</f>
        <v>-23.252716926863741</v>
      </c>
      <c r="BT4" s="1">
        <f ca="1">OFFSET(A4,0, 16) -0</f>
        <v>-14.059155268310178</v>
      </c>
      <c r="BU4" s="1">
        <f ca="1">OFFSET(A4,0, 21) -0</f>
        <v>33.95157530076699</v>
      </c>
      <c r="BV4" s="1">
        <f ca="1">OFFSET(A4,0, 18) -0</f>
        <v>-46.85486304067922</v>
      </c>
      <c r="BW4" s="1">
        <f ca="1">OFFSET(A4,0, 23) -0</f>
        <v>-18.844132471601824</v>
      </c>
      <c r="BX4" s="1">
        <f ca="1">OFFSET(A4,0, 20) -0</f>
        <v>-49.650570813048262</v>
      </c>
      <c r="BY4" s="1">
        <f ca="1">OFFSET(A4,0, 24) -0</f>
        <v>14.758013642213427</v>
      </c>
      <c r="BZ4" s="1">
        <f ca="1">OFFSET(A4,0, 22) -0</f>
        <v>-2.4462785854175308</v>
      </c>
      <c r="CB4" s="1">
        <f>COUNTIF(B4,"&lt;-69")</f>
        <v>0</v>
      </c>
      <c r="CC4" s="1">
        <f ca="1">COUNTIF(BC4:BN4,"&lt;-49")</f>
        <v>0</v>
      </c>
      <c r="CD4" s="1">
        <f ca="1">COUNTIF(BC4:BN4,"&gt;+49")</f>
        <v>1</v>
      </c>
      <c r="CE4" s="1">
        <f ca="1">COUNTIF(BO4:BZ4,"&lt;-49")</f>
        <v>1</v>
      </c>
      <c r="CF4" s="1">
        <f ca="1">COUNTIF(BO4:BZ4,"&gt;+49")</f>
        <v>0</v>
      </c>
    </row>
    <row r="5" spans="1:84">
      <c r="A5" s="1">
        <v>2</v>
      </c>
      <c r="B5" s="1">
        <f>'Team B 1'!B5-'Team B 1'!$AA5-('Team B 1'!B$2- 12.5)*'Team B 1'!$AC5</f>
        <v>9.3816688861652437</v>
      </c>
      <c r="C5" s="1">
        <f>'Team B 1'!C5-'Team B 1'!$AA5-('Team B 1'!C$2- 12.5)*'Team B 1'!$AC5</f>
        <v>23.384712171426145</v>
      </c>
      <c r="D5" s="1">
        <f>'Team B 1'!D5-'Team B 1'!$AA5-('Team B 1'!D$2- 12.5)*'Team B 1'!$AC5</f>
        <v>57.387755456686818</v>
      </c>
      <c r="E5" s="1">
        <f>'Team B 1'!E5-'Team B 1'!$AA5-('Team B 1'!E$2- 12.5)*'Team B 1'!$AC5</f>
        <v>21.390798741947492</v>
      </c>
      <c r="F5" s="1">
        <f>'Team B 1'!F5-'Team B 1'!$AA5-('Team B 1'!F$2- 12.5)*'Team B 1'!$AC5</f>
        <v>-4.6061579727916069</v>
      </c>
      <c r="G5" s="1">
        <f>'Team B 1'!G5-'Team B 1'!$AA5-('Team B 1'!G$2- 12.5)*'Team B 1'!$AC5</f>
        <v>-20.603114687530933</v>
      </c>
      <c r="H5" s="1">
        <f>'Team B 1'!H5-'Team B 1'!$AA5-('Team B 1'!H$2- 12.5)*'Team B 1'!$AC5</f>
        <v>-16.600071402270032</v>
      </c>
      <c r="I5" s="1">
        <f>'Team B 1'!I5-'Team B 1'!$AA5-('Team B 1'!I$2- 12.5)*'Team B 1'!$AC5</f>
        <v>-2.5970281170093585</v>
      </c>
      <c r="J5" s="1">
        <f>'Team B 1'!J5-'Team B 1'!$AA5-('Team B 1'!J$2- 12.5)*'Team B 1'!$AC5</f>
        <v>31.406015168251542</v>
      </c>
      <c r="K5" s="1">
        <f>'Team B 1'!K5-'Team B 1'!$AA5-('Team B 1'!K$2- 12.5)*'Team B 1'!$AC5</f>
        <v>35.409058453512273</v>
      </c>
      <c r="L5" s="1">
        <f>'Team B 1'!L5-'Team B 1'!$AA5-('Team B 1'!L$2- 12.5)*'Team B 1'!$AC5</f>
        <v>-0.58789826122693967</v>
      </c>
      <c r="M5" s="1">
        <f>'Team B 1'!M5-'Team B 1'!$AA5-('Team B 1'!M$2- 12.5)*'Team B 1'!$AC5</f>
        <v>3.4151450240338477</v>
      </c>
      <c r="N5" s="1">
        <f>'Team B 1'!N5-'Team B 1'!$AA5-('Team B 1'!N$2- 12.5)*'Team B 1'!$AC5</f>
        <v>-32.581811690705365</v>
      </c>
      <c r="O5" s="1">
        <f>'Team B 1'!O5-'Team B 1'!$AA5-('Team B 1'!O$2- 12.5)*'Team B 1'!$AC5</f>
        <v>31.421231594555422</v>
      </c>
      <c r="P5" s="1">
        <f>'Team B 1'!P5-'Team B 1'!$AA5-('Team B 1'!P$2- 12.5)*'Team B 1'!$AC5</f>
        <v>5.4242748798162097</v>
      </c>
      <c r="Q5" s="1">
        <f>'Team B 1'!Q5-'Team B 1'!$AA5-('Team B 1'!Q$2- 12.5)*'Team B 1'!$AC5</f>
        <v>-70.57268183492306</v>
      </c>
      <c r="R5" s="1">
        <f>'Team B 1'!R5-'Team B 1'!$AA5-('Team B 1'!R$2- 12.5)*'Team B 1'!$AC5</f>
        <v>3.4303614503378412</v>
      </c>
      <c r="S5" s="1">
        <f>'Team B 1'!S5-'Team B 1'!$AA5-('Team B 1'!S$2- 12.5)*'Team B 1'!$AC5</f>
        <v>-12.566595264401485</v>
      </c>
      <c r="T5" s="1">
        <f>'Team B 1'!T5-'Team B 1'!$AA5-('Team B 1'!T$2- 12.5)*'Team B 1'!$AC5</f>
        <v>-28.563551979140584</v>
      </c>
      <c r="U5" s="1">
        <f>'Team B 1'!U5-'Team B 1'!$AA5-('Team B 1'!U$2- 12.5)*'Team B 1'!$AC5</f>
        <v>-84.56050869387991</v>
      </c>
      <c r="V5" s="1">
        <f>'Team B 1'!V5-'Team B 1'!$AA5-('Team B 1'!V$2- 12.5)*'Team B 1'!$AC5</f>
        <v>29.442534591380991</v>
      </c>
      <c r="W5" s="1">
        <f>'Team B 1'!W5-'Team B 1'!$AA5-('Team B 1'!W$2- 12.5)*'Team B 1'!$AC5</f>
        <v>-6.5544221233583357</v>
      </c>
      <c r="X5" s="1">
        <f>'Team B 1'!X5-'Team B 1'!$AA5-('Team B 1'!X$2- 12.5)*'Team B 1'!$AC5</f>
        <v>17.448621161902338</v>
      </c>
      <c r="Y5" s="1">
        <f>'Team B 1'!Y5-'Team B 1'!$AA5-('Team B 1'!Y$2- 12.5)*'Team B 1'!$AC5</f>
        <v>11.451664447163239</v>
      </c>
      <c r="AB5" s="1">
        <f>STDEV(B5:Y5)</f>
        <v>32.239724867932473</v>
      </c>
      <c r="AD5" s="5">
        <v>2</v>
      </c>
      <c r="AE5" s="5">
        <v>1</v>
      </c>
      <c r="AF5" s="5">
        <v>6</v>
      </c>
      <c r="AG5" s="5">
        <v>4</v>
      </c>
      <c r="AH5" s="5">
        <v>8</v>
      </c>
      <c r="AI5" s="5">
        <v>3</v>
      </c>
      <c r="AJ5" s="5" t="s">
        <v>45</v>
      </c>
      <c r="AK5" s="5">
        <v>5</v>
      </c>
      <c r="AL5" s="5" t="s">
        <v>47</v>
      </c>
      <c r="AM5" s="5">
        <v>7</v>
      </c>
      <c r="AN5" s="5" t="s">
        <v>46</v>
      </c>
      <c r="AO5" s="5">
        <v>9</v>
      </c>
      <c r="AP5" s="5">
        <v>2</v>
      </c>
      <c r="AQ5" s="5">
        <v>6</v>
      </c>
      <c r="AR5" s="5">
        <v>1</v>
      </c>
      <c r="AS5" s="5">
        <v>4</v>
      </c>
      <c r="AT5" s="5">
        <v>3</v>
      </c>
      <c r="AU5" s="5">
        <v>8</v>
      </c>
      <c r="AV5" s="5">
        <v>5</v>
      </c>
      <c r="AW5" s="5" t="s">
        <v>45</v>
      </c>
      <c r="AX5" s="5">
        <v>7</v>
      </c>
      <c r="AY5" s="5" t="s">
        <v>47</v>
      </c>
      <c r="AZ5" s="5">
        <v>9</v>
      </c>
      <c r="BA5" s="5" t="s">
        <v>46</v>
      </c>
      <c r="BB5" s="5"/>
      <c r="BC5" s="1">
        <f ca="1">OFFSET(A5,0, 2) -0</f>
        <v>23.384712171426145</v>
      </c>
      <c r="BD5" s="1">
        <f ca="1">OFFSET(A5,0, 1) -0</f>
        <v>9.3816688861652437</v>
      </c>
      <c r="BE5" s="1">
        <f ca="1">OFFSET(A5,0, 6) -0</f>
        <v>-20.603114687530933</v>
      </c>
      <c r="BF5" s="1">
        <f ca="1">OFFSET(A5,0, 4) -0</f>
        <v>21.390798741947492</v>
      </c>
      <c r="BG5" s="1">
        <f ca="1">OFFSET(A5,0, 8) -0</f>
        <v>-2.5970281170093585</v>
      </c>
      <c r="BH5" s="1">
        <f ca="1">OFFSET(A5,0, 3) -0</f>
        <v>57.387755456686818</v>
      </c>
      <c r="BI5" s="1">
        <f ca="1">OFFSET(A5,0, 10) -0</f>
        <v>35.409058453512273</v>
      </c>
      <c r="BJ5" s="1">
        <f ca="1">OFFSET(A5,0, 5) -0</f>
        <v>-4.6061579727916069</v>
      </c>
      <c r="BK5" s="1">
        <f ca="1">OFFSET(A5,0, 12) -0</f>
        <v>3.4151450240338477</v>
      </c>
      <c r="BL5" s="1">
        <f ca="1">OFFSET(A5,0, 7) -0</f>
        <v>-16.600071402270032</v>
      </c>
      <c r="BM5" s="1">
        <f ca="1">OFFSET(A5,0, 11) -0</f>
        <v>-0.58789826122693967</v>
      </c>
      <c r="BN5" s="1">
        <f ca="1">OFFSET(A5,0, 9) -0</f>
        <v>31.406015168251542</v>
      </c>
      <c r="BO5" s="1">
        <f ca="1">OFFSET(A5,0, 15) -0</f>
        <v>5.4242748798162097</v>
      </c>
      <c r="BP5" s="1">
        <f ca="1">OFFSET(A5,0, 13) -0</f>
        <v>-32.581811690705365</v>
      </c>
      <c r="BQ5" s="1">
        <f ca="1">OFFSET(A5,0, 17) -0</f>
        <v>3.4303614503378412</v>
      </c>
      <c r="BR5" s="1">
        <f ca="1">OFFSET(A5,0, 16) -0</f>
        <v>-70.57268183492306</v>
      </c>
      <c r="BS5" s="1">
        <f ca="1">OFFSET(A5,0, 19) -0</f>
        <v>-28.563551979140584</v>
      </c>
      <c r="BT5" s="1">
        <f ca="1">OFFSET(A5,0, 14) -0</f>
        <v>31.421231594555422</v>
      </c>
      <c r="BU5" s="1">
        <f ca="1">OFFSET(A5,0, 21) -0</f>
        <v>29.442534591380991</v>
      </c>
      <c r="BV5" s="1">
        <f ca="1">OFFSET(A5,0, 18) -0</f>
        <v>-12.566595264401485</v>
      </c>
      <c r="BW5" s="1">
        <f ca="1">OFFSET(A5,0, 23) -0</f>
        <v>17.448621161902338</v>
      </c>
      <c r="BX5" s="1">
        <f ca="1">OFFSET(A5,0, 20) -0</f>
        <v>-84.56050869387991</v>
      </c>
      <c r="BY5" s="1">
        <f ca="1">OFFSET(A5,0, 24) -0</f>
        <v>11.451664447163239</v>
      </c>
      <c r="BZ5" s="1">
        <f ca="1">OFFSET(A5,0, 22) -0</f>
        <v>-6.5544221233583357</v>
      </c>
      <c r="CB5" s="1">
        <f>COUNTIF(B5,"&lt;-69")</f>
        <v>0</v>
      </c>
      <c r="CC5" s="1">
        <f ca="1">COUNTIF(BC5:BN5,"&lt;-49")</f>
        <v>0</v>
      </c>
      <c r="CD5" s="1">
        <f ca="1">COUNTIF(BC5:BN5,"&gt;+49")</f>
        <v>1</v>
      </c>
      <c r="CE5" s="1">
        <f ca="1">COUNTIF(BO5:BZ5,"&lt;-49")</f>
        <v>2</v>
      </c>
      <c r="CF5" s="1">
        <f ca="1">COUNTIF(BO5:BZ5,"&gt;+49")</f>
        <v>0</v>
      </c>
    </row>
    <row r="6" spans="1:84">
      <c r="A6" s="1">
        <v>3</v>
      </c>
      <c r="B6" s="1">
        <f>'Team B 1'!B6-'Team B 1'!$AA6-('Team B 1'!B$2- 12.5)*'Team B 1'!$AC6</f>
        <v>45.251592817836809</v>
      </c>
      <c r="C6" s="1">
        <f>'Team B 1'!C6-'Team B 1'!$AA6-('Team B 1'!C$2- 12.5)*'Team B 1'!$AC6</f>
        <v>29.613773152517297</v>
      </c>
      <c r="D6" s="1">
        <f>'Team B 1'!D6-'Team B 1'!$AA6-('Team B 1'!D$2- 12.5)*'Team B 1'!$AC6</f>
        <v>23.975953487198012</v>
      </c>
      <c r="E6" s="1">
        <f>'Team B 1'!E6-'Team B 1'!$AA6-('Team B 1'!E$2- 12.5)*'Team B 1'!$AC6</f>
        <v>-21.661866178121272</v>
      </c>
      <c r="F6" s="1">
        <f>'Team B 1'!F6-'Team B 1'!$AA6-('Team B 1'!F$2- 12.5)*'Team B 1'!$AC6</f>
        <v>-7.2996858434407841</v>
      </c>
      <c r="G6" s="1">
        <f>'Team B 1'!G6-'Team B 1'!$AA6-('Team B 1'!G$2- 12.5)*'Team B 1'!$AC6</f>
        <v>7.0624944912399314</v>
      </c>
      <c r="H6" s="1">
        <f>'Team B 1'!H6-'Team B 1'!$AA6-('Team B 1'!H$2- 12.5)*'Team B 1'!$AC6</f>
        <v>11.424674825920647</v>
      </c>
      <c r="I6" s="1">
        <f>'Team B 1'!I6-'Team B 1'!$AA6-('Team B 1'!I$2- 12.5)*'Team B 1'!$AC6</f>
        <v>15.786855160601249</v>
      </c>
      <c r="J6" s="1">
        <f>'Team B 1'!J6-'Team B 1'!$AA6-('Team B 1'!J$2- 12.5)*'Team B 1'!$AC6</f>
        <v>-19.850964504718036</v>
      </c>
      <c r="K6" s="1">
        <f>'Team B 1'!K6-'Team B 1'!$AA6-('Team B 1'!K$2- 12.5)*'Team B 1'!$AC6</f>
        <v>24.511215829962566</v>
      </c>
      <c r="L6" s="1">
        <f>'Team B 1'!L6-'Team B 1'!$AA6-('Team B 1'!L$2- 12.5)*'Team B 1'!$AC6</f>
        <v>-11.126603835356718</v>
      </c>
      <c r="M6" s="1">
        <f>'Team B 1'!M6-'Team B 1'!$AA6-('Team B 1'!M$2- 12.5)*'Team B 1'!$AC6</f>
        <v>-6.764423500676088</v>
      </c>
      <c r="N6" s="1">
        <f>'Team B 1'!N6-'Team B 1'!$AA6-('Team B 1'!N$2- 12.5)*'Team B 1'!$AC6</f>
        <v>37.597756834004571</v>
      </c>
      <c r="O6" s="1">
        <f>'Team B 1'!O6-'Team B 1'!$AA6-('Team B 1'!O$2- 12.5)*'Team B 1'!$AC6</f>
        <v>21.959937168685201</v>
      </c>
      <c r="P6" s="1">
        <f>'Team B 1'!P6-'Team B 1'!$AA6-('Team B 1'!P$2- 12.5)*'Team B 1'!$AC6</f>
        <v>36.322117503365916</v>
      </c>
      <c r="Q6" s="1">
        <f>'Team B 1'!Q6-'Team B 1'!$AA6-('Team B 1'!Q$2- 12.5)*'Team B 1'!$AC6</f>
        <v>-9.3157021619534817</v>
      </c>
      <c r="R6" s="1">
        <f>'Team B 1'!R6-'Team B 1'!$AA6-('Team B 1'!R$2- 12.5)*'Team B 1'!$AC6</f>
        <v>-14.953521827272766</v>
      </c>
      <c r="S6" s="1">
        <f>'Team B 1'!S6-'Team B 1'!$AA6-('Team B 1'!S$2- 12.5)*'Team B 1'!$AC6</f>
        <v>-0.59134149259216429</v>
      </c>
      <c r="T6" s="1">
        <f>'Team B 1'!T6-'Team B 1'!$AA6-('Team B 1'!T$2- 12.5)*'Team B 1'!$AC6</f>
        <v>-16.229161157911449</v>
      </c>
      <c r="U6" s="1">
        <f>'Team B 1'!U6-'Team B 1'!$AA6-('Team B 1'!U$2- 12.5)*'Team B 1'!$AC6</f>
        <v>-51.866980823230733</v>
      </c>
      <c r="V6" s="1">
        <f>'Team B 1'!V6-'Team B 1'!$AA6-('Team B 1'!V$2- 12.5)*'Team B 1'!$AC6</f>
        <v>-37.504800488550245</v>
      </c>
      <c r="W6" s="1">
        <f>'Team B 1'!W6-'Team B 1'!$AA6-('Team B 1'!W$2- 12.5)*'Team B 1'!$AC6</f>
        <v>-33.14262015386953</v>
      </c>
      <c r="X6" s="1">
        <f>'Team B 1'!X6-'Team B 1'!$AA6-('Team B 1'!X$2- 12.5)*'Team B 1'!$AC6</f>
        <v>-8.780439819188814</v>
      </c>
      <c r="Y6" s="1">
        <f>'Team B 1'!Y6-'Team B 1'!$AA6-('Team B 1'!Y$2- 12.5)*'Team B 1'!$AC6</f>
        <v>-14.418259484508326</v>
      </c>
      <c r="AB6" s="1">
        <f>STDEV(B6:Y6)</f>
        <v>25.440089628195224</v>
      </c>
      <c r="AD6" s="5">
        <v>6</v>
      </c>
      <c r="AE6" s="5">
        <v>2</v>
      </c>
      <c r="AF6" s="5">
        <v>4</v>
      </c>
      <c r="AG6" s="5">
        <v>1</v>
      </c>
      <c r="AH6" s="5">
        <v>8</v>
      </c>
      <c r="AI6" s="5">
        <v>3</v>
      </c>
      <c r="AJ6" s="5" t="s">
        <v>45</v>
      </c>
      <c r="AK6" s="5">
        <v>5</v>
      </c>
      <c r="AL6" s="5" t="s">
        <v>47</v>
      </c>
      <c r="AM6" s="5">
        <v>7</v>
      </c>
      <c r="AN6" s="5" t="s">
        <v>46</v>
      </c>
      <c r="AO6" s="5">
        <v>9</v>
      </c>
      <c r="AP6" s="5">
        <v>6</v>
      </c>
      <c r="AQ6" s="5">
        <v>2</v>
      </c>
      <c r="AR6" s="5">
        <v>1</v>
      </c>
      <c r="AS6" s="5">
        <v>4</v>
      </c>
      <c r="AT6" s="5">
        <v>8</v>
      </c>
      <c r="AU6" s="5" t="s">
        <v>45</v>
      </c>
      <c r="AV6" s="5">
        <v>3</v>
      </c>
      <c r="AW6" s="5" t="s">
        <v>47</v>
      </c>
      <c r="AX6" s="5">
        <v>5</v>
      </c>
      <c r="AY6" s="5" t="s">
        <v>46</v>
      </c>
      <c r="AZ6" s="5">
        <v>7</v>
      </c>
      <c r="BA6" s="5">
        <v>9</v>
      </c>
      <c r="BB6" s="5"/>
      <c r="BC6" s="1">
        <f ca="1">OFFSET(A6,0, 4) -0</f>
        <v>-21.661866178121272</v>
      </c>
      <c r="BD6" s="1">
        <f ca="1">OFFSET(A6,0, 2) -0</f>
        <v>29.613773152517297</v>
      </c>
      <c r="BE6" s="1">
        <f ca="1">OFFSET(A6,0, 6) -0</f>
        <v>7.0624944912399314</v>
      </c>
      <c r="BF6" s="1">
        <f ca="1">OFFSET(A6,0, 3) -0</f>
        <v>23.975953487198012</v>
      </c>
      <c r="BG6" s="1">
        <f ca="1">OFFSET(A6,0, 8) -0</f>
        <v>15.786855160601249</v>
      </c>
      <c r="BH6" s="1">
        <f ca="1">OFFSET(A6,0, 1) -0</f>
        <v>45.251592817836809</v>
      </c>
      <c r="BI6" s="1">
        <f ca="1">OFFSET(A6,0, 10) -0</f>
        <v>24.511215829962566</v>
      </c>
      <c r="BJ6" s="1">
        <f ca="1">OFFSET(A6,0, 5) -0</f>
        <v>-7.2996858434407841</v>
      </c>
      <c r="BK6" s="1">
        <f ca="1">OFFSET(A6,0, 12) -0</f>
        <v>-6.764423500676088</v>
      </c>
      <c r="BL6" s="1">
        <f ca="1">OFFSET(A6,0, 7) -0</f>
        <v>11.424674825920647</v>
      </c>
      <c r="BM6" s="1">
        <f ca="1">OFFSET(A6,0, 11) -0</f>
        <v>-11.126603835356718</v>
      </c>
      <c r="BN6" s="1">
        <f ca="1">OFFSET(A6,0, 9) -0</f>
        <v>-19.850964504718036</v>
      </c>
      <c r="BO6" s="1">
        <f ca="1">OFFSET(A6,0, 15) -0</f>
        <v>36.322117503365916</v>
      </c>
      <c r="BP6" s="1">
        <f ca="1">OFFSET(A6,0, 14) -0</f>
        <v>21.959937168685201</v>
      </c>
      <c r="BQ6" s="1">
        <f ca="1">OFFSET(A6,0, 19) -0</f>
        <v>-16.229161157911449</v>
      </c>
      <c r="BR6" s="1">
        <f ca="1">OFFSET(A6,0, 16) -0</f>
        <v>-9.3157021619534817</v>
      </c>
      <c r="BS6" s="1">
        <f ca="1">OFFSET(A6,0, 21) -0</f>
        <v>-37.504800488550245</v>
      </c>
      <c r="BT6" s="1">
        <f ca="1">OFFSET(A6,0, 13) -0</f>
        <v>37.597756834004571</v>
      </c>
      <c r="BU6" s="1">
        <f ca="1">OFFSET(A6,0, 23) -0</f>
        <v>-8.780439819188814</v>
      </c>
      <c r="BV6" s="1">
        <f ca="1">OFFSET(A6,0, 17) -0</f>
        <v>-14.953521827272766</v>
      </c>
      <c r="BW6" s="1">
        <f ca="1">OFFSET(A6,0, 24) -0</f>
        <v>-14.418259484508326</v>
      </c>
      <c r="BX6" s="1">
        <f ca="1">OFFSET(A6,0, 18) -0</f>
        <v>-0.59134149259216429</v>
      </c>
      <c r="BY6" s="1">
        <f ca="1">OFFSET(A6,0, 22) -0</f>
        <v>-33.14262015386953</v>
      </c>
      <c r="BZ6" s="1">
        <f ca="1">OFFSET(A6,0, 20) -0</f>
        <v>-51.866980823230733</v>
      </c>
      <c r="CB6" s="1">
        <f>COUNTIF(B6,"&lt;-69")</f>
        <v>0</v>
      </c>
      <c r="CC6" s="1">
        <f ca="1">COUNTIF(BC6:BN6,"&lt;-49")</f>
        <v>0</v>
      </c>
      <c r="CD6" s="1">
        <f ca="1">COUNTIF(BC6:BN6,"&gt;+49")</f>
        <v>0</v>
      </c>
      <c r="CE6" s="1">
        <f ca="1">COUNTIF(BO6:BZ6,"&lt;-49")</f>
        <v>1</v>
      </c>
      <c r="CF6" s="1">
        <f ca="1">COUNTIF(BO6:BZ6,"&gt;+49")</f>
        <v>0</v>
      </c>
    </row>
    <row r="7" spans="1:84">
      <c r="A7" s="1">
        <v>4</v>
      </c>
      <c r="B7" s="1">
        <f>'Team B 1'!B7-'Team B 1'!$AA7-('Team B 1'!B$2- 12.5)*'Team B 1'!$AC7</f>
        <v>20.353130504238834</v>
      </c>
      <c r="C7" s="1">
        <f>'Team B 1'!C7-'Team B 1'!$AA7-('Team B 1'!C$2- 12.5)*'Team B 1'!$AC7</f>
        <v>55.141264083580609</v>
      </c>
      <c r="D7" s="1">
        <f>'Team B 1'!D7-'Team B 1'!$AA7-('Team B 1'!D$2- 12.5)*'Team B 1'!$AC7</f>
        <v>-7.060233707829866E-2</v>
      </c>
      <c r="E7" s="1">
        <f>'Team B 1'!E7-'Team B 1'!$AA7-('Team B 1'!E$2- 12.5)*'Team B 1'!$AC7</f>
        <v>34.717531242263021</v>
      </c>
      <c r="F7" s="1">
        <f>'Team B 1'!F7-'Team B 1'!$AA7-('Team B 1'!F$2- 12.5)*'Team B 1'!$AC7</f>
        <v>19.505664821604341</v>
      </c>
      <c r="G7" s="1">
        <f>'Team B 1'!G7-'Team B 1'!$AA7-('Team B 1'!G$2- 12.5)*'Team B 1'!$AC7</f>
        <v>14.293798400945661</v>
      </c>
      <c r="H7" s="1">
        <f>'Team B 1'!H7-'Team B 1'!$AA7-('Team B 1'!H$2- 12.5)*'Team B 1'!$AC7</f>
        <v>-10.918068019713019</v>
      </c>
      <c r="I7" s="1">
        <f>'Team B 1'!I7-'Team B 1'!$AA7-('Team B 1'!I$2- 12.5)*'Team B 1'!$AC7</f>
        <v>-26.129934440371699</v>
      </c>
      <c r="J7" s="1">
        <f>'Team B 1'!J7-'Team B 1'!$AA7-('Team B 1'!J$2- 12.5)*'Team B 1'!$AC7</f>
        <v>-91.341800861030379</v>
      </c>
      <c r="K7" s="1">
        <f>'Team B 1'!K7-'Team B 1'!$AA7-('Team B 1'!K$2- 12.5)*'Team B 1'!$AC7</f>
        <v>-36.553667281689059</v>
      </c>
      <c r="L7" s="1">
        <f>'Team B 1'!L7-'Team B 1'!$AA7-('Team B 1'!L$2- 12.5)*'Team B 1'!$AC7</f>
        <v>-31.765533702347739</v>
      </c>
      <c r="M7" s="1">
        <f>'Team B 1'!M7-'Team B 1'!$AA7-('Team B 1'!M$2- 12.5)*'Team B 1'!$AC7</f>
        <v>23.022599876993581</v>
      </c>
      <c r="N7" s="1">
        <f>'Team B 1'!N7-'Team B 1'!$AA7-('Team B 1'!N$2- 12.5)*'Team B 1'!$AC7</f>
        <v>27.810733456334901</v>
      </c>
      <c r="O7" s="1">
        <f>'Team B 1'!O7-'Team B 1'!$AA7-('Team B 1'!O$2- 12.5)*'Team B 1'!$AC7</f>
        <v>32.598867035676221</v>
      </c>
      <c r="P7" s="1">
        <f>'Team B 1'!P7-'Team B 1'!$AA7-('Team B 1'!P$2- 12.5)*'Team B 1'!$AC7</f>
        <v>-2.6129993849824587</v>
      </c>
      <c r="Q7" s="1">
        <f>'Team B 1'!Q7-'Team B 1'!$AA7-('Team B 1'!Q$2- 12.5)*'Team B 1'!$AC7</f>
        <v>2.1751341943588614</v>
      </c>
      <c r="R7" s="1">
        <f>'Team B 1'!R7-'Team B 1'!$AA7-('Team B 1'!R$2- 12.5)*'Team B 1'!$AC7</f>
        <v>6.9632677737001814</v>
      </c>
      <c r="S7" s="1">
        <f>'Team B 1'!S7-'Team B 1'!$AA7-('Team B 1'!S$2- 12.5)*'Team B 1'!$AC7</f>
        <v>1.7514013530415014</v>
      </c>
      <c r="T7" s="1">
        <f>'Team B 1'!T7-'Team B 1'!$AA7-('Team B 1'!T$2- 12.5)*'Team B 1'!$AC7</f>
        <v>16.539534932382821</v>
      </c>
      <c r="U7" s="1">
        <f>'Team B 1'!U7-'Team B 1'!$AA7-('Team B 1'!U$2- 12.5)*'Team B 1'!$AC7</f>
        <v>-48.672331488275859</v>
      </c>
      <c r="V7" s="1">
        <f>'Team B 1'!V7-'Team B 1'!$AA7-('Team B 1'!V$2- 12.5)*'Team B 1'!$AC7</f>
        <v>-23.884197908934539</v>
      </c>
      <c r="W7" s="1">
        <f>'Team B 1'!W7-'Team B 1'!$AA7-('Team B 1'!W$2- 12.5)*'Team B 1'!$AC7</f>
        <v>-49.096064329593219</v>
      </c>
      <c r="X7" s="1">
        <f>'Team B 1'!X7-'Team B 1'!$AA7-('Team B 1'!X$2- 12.5)*'Team B 1'!$AC7</f>
        <v>55.692069249747874</v>
      </c>
      <c r="Y7" s="1">
        <f>'Team B 1'!Y7-'Team B 1'!$AA7-('Team B 1'!Y$2- 12.5)*'Team B 1'!$AC7</f>
        <v>10.480202829089649</v>
      </c>
      <c r="AB7" s="1">
        <f>STDEV(B7:Y7)</f>
        <v>34.890870153236541</v>
      </c>
      <c r="AD7" s="5">
        <v>2</v>
      </c>
      <c r="AE7" s="5">
        <v>6</v>
      </c>
      <c r="AF7" s="5">
        <v>4</v>
      </c>
      <c r="AG7" s="5">
        <v>1</v>
      </c>
      <c r="AH7" s="5" t="s">
        <v>45</v>
      </c>
      <c r="AI7" s="5">
        <v>8</v>
      </c>
      <c r="AJ7" s="5" t="s">
        <v>47</v>
      </c>
      <c r="AK7" s="5">
        <v>3</v>
      </c>
      <c r="AL7" s="5" t="s">
        <v>46</v>
      </c>
      <c r="AM7" s="5">
        <v>5</v>
      </c>
      <c r="AN7" s="5">
        <v>9</v>
      </c>
      <c r="AO7" s="5">
        <v>7</v>
      </c>
      <c r="AP7" s="5">
        <v>6</v>
      </c>
      <c r="AQ7" s="5">
        <v>2</v>
      </c>
      <c r="AR7" s="5">
        <v>4</v>
      </c>
      <c r="AS7" s="5" t="s">
        <v>45</v>
      </c>
      <c r="AT7" s="5">
        <v>1</v>
      </c>
      <c r="AU7" s="5">
        <v>8</v>
      </c>
      <c r="AV7" s="5">
        <v>3</v>
      </c>
      <c r="AW7" s="5" t="s">
        <v>47</v>
      </c>
      <c r="AX7" s="5">
        <v>5</v>
      </c>
      <c r="AY7" s="5" t="s">
        <v>46</v>
      </c>
      <c r="AZ7" s="5">
        <v>7</v>
      </c>
      <c r="BA7" s="5">
        <v>9</v>
      </c>
      <c r="BB7" s="5"/>
      <c r="BC7" s="1">
        <f ca="1">OFFSET(A7,0, 4) -0</f>
        <v>34.717531242263021</v>
      </c>
      <c r="BD7" s="1">
        <f ca="1">OFFSET(A7,0, 1) -0</f>
        <v>20.353130504238834</v>
      </c>
      <c r="BE7" s="1">
        <f ca="1">OFFSET(A7,0, 8) -0</f>
        <v>-26.129934440371699</v>
      </c>
      <c r="BF7" s="1">
        <f ca="1">OFFSET(A7,0, 3) -0</f>
        <v>-7.060233707829866E-2</v>
      </c>
      <c r="BG7" s="1">
        <f ca="1">OFFSET(A7,0, 10) -0</f>
        <v>-36.553667281689059</v>
      </c>
      <c r="BH7" s="1">
        <f ca="1">OFFSET(A7,0, 2) -0</f>
        <v>55.141264083580609</v>
      </c>
      <c r="BI7" s="1">
        <f ca="1">OFFSET(A7,0, 12) -0</f>
        <v>23.022599876993581</v>
      </c>
      <c r="BJ7" s="1">
        <f ca="1">OFFSET(A7,0, 6) -0</f>
        <v>14.293798400945661</v>
      </c>
      <c r="BK7" s="1">
        <f ca="1">OFFSET(A7,0, 11) -0</f>
        <v>-31.765533702347739</v>
      </c>
      <c r="BL7" s="1">
        <f ca="1">OFFSET(A7,0, 5) -0</f>
        <v>19.505664821604341</v>
      </c>
      <c r="BM7" s="1">
        <f ca="1">OFFSET(A7,0, 9) -0</f>
        <v>-91.341800861030379</v>
      </c>
      <c r="BN7" s="1">
        <f ca="1">OFFSET(A7,0, 7) -0</f>
        <v>-10.918068019713019</v>
      </c>
      <c r="BO7" s="1">
        <f ca="1">OFFSET(A7,0, 17) -0</f>
        <v>6.9632677737001814</v>
      </c>
      <c r="BP7" s="1">
        <f ca="1">OFFSET(A7,0, 14) -0</f>
        <v>32.598867035676221</v>
      </c>
      <c r="BQ7" s="1">
        <f ca="1">OFFSET(A7,0, 19) -0</f>
        <v>16.539534932382821</v>
      </c>
      <c r="BR7" s="1">
        <f ca="1">OFFSET(A7,0, 15) -0</f>
        <v>-2.6129993849824587</v>
      </c>
      <c r="BS7" s="1">
        <f ca="1">OFFSET(A7,0, 21) -0</f>
        <v>-23.884197908934539</v>
      </c>
      <c r="BT7" s="1">
        <f ca="1">OFFSET(A7,0, 13) -0</f>
        <v>27.810733456334901</v>
      </c>
      <c r="BU7" s="1">
        <f ca="1">OFFSET(A7,0, 23) -0</f>
        <v>55.692069249747874</v>
      </c>
      <c r="BV7" s="1">
        <f ca="1">OFFSET(A7,0, 18) -0</f>
        <v>1.7514013530415014</v>
      </c>
      <c r="BW7" s="1">
        <f ca="1">OFFSET(A7,0, 24) -0</f>
        <v>10.480202829089649</v>
      </c>
      <c r="BX7" s="1">
        <f ca="1">OFFSET(A7,0, 16) -0</f>
        <v>2.1751341943588614</v>
      </c>
      <c r="BY7" s="1">
        <f ca="1">OFFSET(A7,0, 22) -0</f>
        <v>-49.096064329593219</v>
      </c>
      <c r="BZ7" s="1">
        <f ca="1">OFFSET(A7,0, 20) -0</f>
        <v>-48.672331488275859</v>
      </c>
      <c r="CB7" s="1">
        <f>COUNTIF(B7,"&lt;-69")</f>
        <v>0</v>
      </c>
      <c r="CC7" s="1">
        <f ca="1">COUNTIF(BC7:BN7,"&lt;-49")</f>
        <v>1</v>
      </c>
      <c r="CD7" s="1">
        <f ca="1">COUNTIF(BC7:BN7,"&gt;+49")</f>
        <v>1</v>
      </c>
      <c r="CE7" s="1">
        <f ca="1">COUNTIF(BO7:BZ7,"&lt;-49")</f>
        <v>1</v>
      </c>
      <c r="CF7" s="1">
        <f ca="1">COUNTIF(BO7:BZ7,"&gt;+49")</f>
        <v>1</v>
      </c>
    </row>
    <row r="8" spans="1:84">
      <c r="A8" s="1">
        <v>5</v>
      </c>
      <c r="B8" s="1">
        <f>'Team B 1'!B8-'Team B 1'!$AA8-('Team B 1'!B$2- 12.5)*'Team B 1'!$AC8</f>
        <v>21.026840820285088</v>
      </c>
      <c r="C8" s="1">
        <f>'Team B 1'!C8-'Team B 1'!$AA8-('Team B 1'!C$2- 12.5)*'Team B 1'!$AC8</f>
        <v>55.865086546057228</v>
      </c>
      <c r="D8" s="1">
        <f>'Team B 1'!D8-'Team B 1'!$AA8-('Team B 1'!D$2- 12.5)*'Team B 1'!$AC8</f>
        <v>50.70333227182914</v>
      </c>
      <c r="E8" s="1">
        <f>'Team B 1'!E8-'Team B 1'!$AA8-('Team B 1'!E$2- 12.5)*'Team B 1'!$AC8</f>
        <v>25.54157799760128</v>
      </c>
      <c r="F8" s="1">
        <f>'Team B 1'!F8-'Team B 1'!$AA8-('Team B 1'!F$2- 12.5)*'Team B 1'!$AC8</f>
        <v>-9.6201762766265801</v>
      </c>
      <c r="G8" s="1">
        <f>'Team B 1'!G8-'Team B 1'!$AA8-('Team B 1'!G$2- 12.5)*'Team B 1'!$AC8</f>
        <v>5.2180694491455597</v>
      </c>
      <c r="H8" s="1">
        <f>'Team B 1'!H8-'Team B 1'!$AA8-('Team B 1'!H$2- 12.5)*'Team B 1'!$AC8</f>
        <v>5.6315174917699551E-2</v>
      </c>
      <c r="I8" s="1">
        <f>'Team B 1'!I8-'Team B 1'!$AA8-('Team B 1'!I$2- 12.5)*'Team B 1'!$AC8</f>
        <v>4.8945609006897257</v>
      </c>
      <c r="J8" s="1">
        <f>'Team B 1'!J8-'Team B 1'!$AA8-('Team B 1'!J$2- 12.5)*'Team B 1'!$AC8</f>
        <v>-50.267193373538134</v>
      </c>
      <c r="K8" s="1">
        <f>'Team B 1'!K8-'Team B 1'!$AA8-('Team B 1'!K$2- 12.5)*'Team B 1'!$AC8</f>
        <v>14.571052352233949</v>
      </c>
      <c r="L8" s="1">
        <f>'Team B 1'!L8-'Team B 1'!$AA8-('Team B 1'!L$2- 12.5)*'Team B 1'!$AC8</f>
        <v>-20.590701921993912</v>
      </c>
      <c r="M8" s="1">
        <f>'Team B 1'!M8-'Team B 1'!$AA8-('Team B 1'!M$2- 12.5)*'Team B 1'!$AC8</f>
        <v>-65.752456196221814</v>
      </c>
      <c r="N8" s="1">
        <f>'Team B 1'!N8-'Team B 1'!$AA8-('Team B 1'!N$2- 12.5)*'Team B 1'!$AC8</f>
        <v>19.085789529550297</v>
      </c>
      <c r="O8" s="1">
        <f>'Team B 1'!O8-'Team B 1'!$AA8-('Team B 1'!O$2- 12.5)*'Team B 1'!$AC8</f>
        <v>3.9240352553223943</v>
      </c>
      <c r="P8" s="1">
        <f>'Team B 1'!P8-'Team B 1'!$AA8-('Team B 1'!P$2- 12.5)*'Team B 1'!$AC8</f>
        <v>38.762280981094534</v>
      </c>
      <c r="Q8" s="1">
        <f>'Team B 1'!Q8-'Team B 1'!$AA8-('Team B 1'!Q$2- 12.5)*'Team B 1'!$AC8</f>
        <v>3.6005267068666171</v>
      </c>
      <c r="R8" s="1">
        <f>'Team B 1'!R8-'Team B 1'!$AA8-('Team B 1'!R$2- 12.5)*'Team B 1'!$AC8</f>
        <v>38.438772432638757</v>
      </c>
      <c r="S8" s="1">
        <f>'Team B 1'!S8-'Team B 1'!$AA8-('Team B 1'!S$2- 12.5)*'Team B 1'!$AC8</f>
        <v>-16.722981841589217</v>
      </c>
      <c r="T8" s="1">
        <f>'Team B 1'!T8-'Team B 1'!$AA8-('Team B 1'!T$2- 12.5)*'Team B 1'!$AC8</f>
        <v>-71.884736115817077</v>
      </c>
      <c r="U8" s="1">
        <f>'Team B 1'!U8-'Team B 1'!$AA8-('Team B 1'!U$2- 12.5)*'Team B 1'!$AC8</f>
        <v>-47.046490390044937</v>
      </c>
      <c r="V8" s="1">
        <f>'Team B 1'!V8-'Team B 1'!$AA8-('Team B 1'!V$2- 12.5)*'Team B 1'!$AC8</f>
        <v>-22.208244664272797</v>
      </c>
      <c r="W8" s="1">
        <f>'Team B 1'!W8-'Team B 1'!$AA8-('Team B 1'!W$2- 12.5)*'Team B 1'!$AC8</f>
        <v>-37.369998938500657</v>
      </c>
      <c r="X8" s="1">
        <f>'Team B 1'!X8-'Team B 1'!$AA8-('Team B 1'!X$2- 12.5)*'Team B 1'!$AC8</f>
        <v>7.468246787271255</v>
      </c>
      <c r="Y8" s="1">
        <f>'Team B 1'!Y8-'Team B 1'!$AA8-('Team B 1'!Y$2- 12.5)*'Team B 1'!$AC8</f>
        <v>52.306492513043395</v>
      </c>
      <c r="AB8" s="1">
        <f>STDEV(B8:Y8)</f>
        <v>36.19454446212567</v>
      </c>
      <c r="AD8" s="5">
        <v>2</v>
      </c>
      <c r="AE8" s="5">
        <v>6</v>
      </c>
      <c r="AF8" s="5" t="s">
        <v>45</v>
      </c>
      <c r="AG8" s="5">
        <v>4</v>
      </c>
      <c r="AH8" s="5">
        <v>8</v>
      </c>
      <c r="AI8" s="5">
        <v>1</v>
      </c>
      <c r="AJ8" s="5" t="s">
        <v>47</v>
      </c>
      <c r="AK8" s="5">
        <v>3</v>
      </c>
      <c r="AL8" s="5" t="s">
        <v>46</v>
      </c>
      <c r="AM8" s="5">
        <v>5</v>
      </c>
      <c r="AN8" s="5">
        <v>9</v>
      </c>
      <c r="AO8" s="5">
        <v>7</v>
      </c>
      <c r="AP8" s="5">
        <v>2</v>
      </c>
      <c r="AQ8" s="5" t="s">
        <v>45</v>
      </c>
      <c r="AR8" s="5">
        <v>6</v>
      </c>
      <c r="AS8" s="5">
        <v>4</v>
      </c>
      <c r="AT8" s="5">
        <v>1</v>
      </c>
      <c r="AU8" s="5">
        <v>8</v>
      </c>
      <c r="AV8" s="5" t="s">
        <v>47</v>
      </c>
      <c r="AW8" s="5" t="s">
        <v>46</v>
      </c>
      <c r="AX8" s="5">
        <v>3</v>
      </c>
      <c r="AY8" s="5">
        <v>9</v>
      </c>
      <c r="AZ8" s="5">
        <v>5</v>
      </c>
      <c r="BA8" s="5">
        <v>7</v>
      </c>
      <c r="BB8" s="5"/>
      <c r="BC8" s="1">
        <f ca="1">OFFSET(A8,0, 6) -0</f>
        <v>5.2180694491455597</v>
      </c>
      <c r="BD8" s="1">
        <f ca="1">OFFSET(A8,0, 1) -0</f>
        <v>21.026840820285088</v>
      </c>
      <c r="BE8" s="1">
        <f ca="1">OFFSET(A8,0, 8) -0</f>
        <v>4.8945609006897257</v>
      </c>
      <c r="BF8" s="1">
        <f ca="1">OFFSET(A8,0, 4) -0</f>
        <v>25.54157799760128</v>
      </c>
      <c r="BG8" s="1">
        <f ca="1">OFFSET(A8,0, 10) -0</f>
        <v>14.571052352233949</v>
      </c>
      <c r="BH8" s="1">
        <f ca="1">OFFSET(A8,0, 2) -0</f>
        <v>55.865086546057228</v>
      </c>
      <c r="BI8" s="1">
        <f ca="1">OFFSET(A8,0, 12) -0</f>
        <v>-65.752456196221814</v>
      </c>
      <c r="BJ8" s="1">
        <f ca="1">OFFSET(A8,0, 5) -0</f>
        <v>-9.6201762766265801</v>
      </c>
      <c r="BK8" s="1">
        <f ca="1">OFFSET(A8,0, 11) -0</f>
        <v>-20.590701921993912</v>
      </c>
      <c r="BL8" s="1">
        <f ca="1">OFFSET(A8,0, 3) -0</f>
        <v>50.70333227182914</v>
      </c>
      <c r="BM8" s="1">
        <f ca="1">OFFSET(A8,0, 9) -0</f>
        <v>-50.267193373538134</v>
      </c>
      <c r="BN8" s="1">
        <f ca="1">OFFSET(A8,0, 7) -0</f>
        <v>5.6315174917699551E-2</v>
      </c>
      <c r="BO8" s="1">
        <f ca="1">OFFSET(A8,0, 17) -0</f>
        <v>38.438772432638757</v>
      </c>
      <c r="BP8" s="1">
        <f ca="1">OFFSET(A8,0, 13) -0</f>
        <v>19.085789529550297</v>
      </c>
      <c r="BQ8" s="1">
        <f ca="1">OFFSET(A8,0, 21) -0</f>
        <v>-22.208244664272797</v>
      </c>
      <c r="BR8" s="1">
        <f ca="1">OFFSET(A8,0, 16) -0</f>
        <v>3.6005267068666171</v>
      </c>
      <c r="BS8" s="1">
        <f ca="1">OFFSET(A8,0, 23) -0</f>
        <v>7.468246787271255</v>
      </c>
      <c r="BT8" s="1">
        <f ca="1">OFFSET(A8,0, 15) -0</f>
        <v>38.762280981094534</v>
      </c>
      <c r="BU8" s="1">
        <f ca="1">OFFSET(A8,0, 24) -0</f>
        <v>52.306492513043395</v>
      </c>
      <c r="BV8" s="1">
        <f ca="1">OFFSET(A8,0, 18) -0</f>
        <v>-16.722981841589217</v>
      </c>
      <c r="BW8" s="1">
        <f ca="1">OFFSET(A8,0, 22) -0</f>
        <v>-37.369998938500657</v>
      </c>
      <c r="BX8" s="1">
        <f ca="1">OFFSET(A8,0, 14) -0</f>
        <v>3.9240352553223943</v>
      </c>
      <c r="BY8" s="1">
        <f ca="1">OFFSET(A8,0, 20) -0</f>
        <v>-47.046490390044937</v>
      </c>
      <c r="BZ8" s="1">
        <f ca="1">OFFSET(A8,0, 19) -0</f>
        <v>-71.884736115817077</v>
      </c>
      <c r="CB8" s="1">
        <f>COUNTIF(B8,"&lt;-69")</f>
        <v>0</v>
      </c>
      <c r="CC8" s="1">
        <f ca="1">COUNTIF(BC8:BN8,"&lt;-49")</f>
        <v>2</v>
      </c>
      <c r="CD8" s="1">
        <f ca="1">COUNTIF(BC8:BN8,"&gt;+49")</f>
        <v>2</v>
      </c>
      <c r="CE8" s="1">
        <f ca="1">COUNTIF(BO8:BZ8,"&lt;-49")</f>
        <v>1</v>
      </c>
      <c r="CF8" s="1">
        <f ca="1">COUNTIF(BO8:BZ8,"&gt;+49")</f>
        <v>1</v>
      </c>
    </row>
    <row r="9" spans="1:84">
      <c r="A9" s="1">
        <v>6</v>
      </c>
      <c r="B9" s="1">
        <f>'Team B 1'!B9-'Team B 1'!$AA9-('Team B 1'!B$2- 12.5)*'Team B 1'!$AC9</f>
        <v>38.329254853233124</v>
      </c>
      <c r="C9" s="1">
        <f>'Team B 1'!C9-'Team B 1'!$AA9-('Team B 1'!C$2- 12.5)*'Team B 1'!$AC9</f>
        <v>-7.2501006412503557</v>
      </c>
      <c r="D9" s="1">
        <f>'Team B 1'!D9-'Team B 1'!$AA9-('Team B 1'!D$2- 12.5)*'Team B 1'!$AC9</f>
        <v>27.170543864265937</v>
      </c>
      <c r="E9" s="1">
        <f>'Team B 1'!E9-'Team B 1'!$AA9-('Team B 1'!E$2- 12.5)*'Team B 1'!$AC9</f>
        <v>31.59118836978223</v>
      </c>
      <c r="F9" s="1">
        <f>'Team B 1'!F9-'Team B 1'!$AA9-('Team B 1'!F$2- 12.5)*'Team B 1'!$AC9</f>
        <v>66.011832875298751</v>
      </c>
      <c r="G9" s="1">
        <f>'Team B 1'!G9-'Team B 1'!$AA9-('Team B 1'!G$2- 12.5)*'Team B 1'!$AC9</f>
        <v>70.432477380815044</v>
      </c>
      <c r="H9" s="1">
        <f>'Team B 1'!H9-'Team B 1'!$AA9-('Team B 1'!H$2- 12.5)*'Team B 1'!$AC9</f>
        <v>-65.146878113668663</v>
      </c>
      <c r="I9" s="1">
        <f>'Team B 1'!I9-'Team B 1'!$AA9-('Team B 1'!I$2- 12.5)*'Team B 1'!$AC9</f>
        <v>-20.726233608152143</v>
      </c>
      <c r="J9" s="1">
        <f>'Team B 1'!J9-'Team B 1'!$AA9-('Team B 1'!J$2- 12.5)*'Team B 1'!$AC9</f>
        <v>-26.305589102635849</v>
      </c>
      <c r="K9" s="1">
        <f>'Team B 1'!K9-'Team B 1'!$AA9-('Team B 1'!K$2- 12.5)*'Team B 1'!$AC9</f>
        <v>-41.884944597119443</v>
      </c>
      <c r="L9" s="1">
        <f>'Team B 1'!L9-'Team B 1'!$AA9-('Team B 1'!L$2- 12.5)*'Team B 1'!$AC9</f>
        <v>2.535699908396964</v>
      </c>
      <c r="M9" s="1">
        <f>'Team B 1'!M9-'Team B 1'!$AA9-('Team B 1'!M$2- 12.5)*'Team B 1'!$AC9</f>
        <v>-33.043655586086672</v>
      </c>
      <c r="N9" s="1">
        <f>'Team B 1'!N9-'Team B 1'!$AA9-('Team B 1'!N$2- 12.5)*'Team B 1'!$AC9</f>
        <v>21.376988919429706</v>
      </c>
      <c r="O9" s="1">
        <f>'Team B 1'!O9-'Team B 1'!$AA9-('Team B 1'!O$2- 12.5)*'Team B 1'!$AC9</f>
        <v>-24.202366575053929</v>
      </c>
      <c r="P9" s="1">
        <f>'Team B 1'!P9-'Team B 1'!$AA9-('Team B 1'!P$2- 12.5)*'Team B 1'!$AC9</f>
        <v>0.21827793046247734</v>
      </c>
      <c r="Q9" s="1">
        <f>'Team B 1'!Q9-'Team B 1'!$AA9-('Team B 1'!Q$2- 12.5)*'Team B 1'!$AC9</f>
        <v>-15.361077564021116</v>
      </c>
      <c r="R9" s="1">
        <f>'Team B 1'!R9-'Team B 1'!$AA9-('Team B 1'!R$2- 12.5)*'Team B 1'!$AC9</f>
        <v>9.0595669414951772</v>
      </c>
      <c r="S9" s="1">
        <f>'Team B 1'!S9-'Team B 1'!$AA9-('Team B 1'!S$2- 12.5)*'Team B 1'!$AC9</f>
        <v>-26.519788552988302</v>
      </c>
      <c r="T9" s="1">
        <f>'Team B 1'!T9-'Team B 1'!$AA9-('Team B 1'!T$2- 12.5)*'Team B 1'!$AC9</f>
        <v>17.900855952527991</v>
      </c>
      <c r="U9" s="1">
        <f>'Team B 1'!U9-'Team B 1'!$AA9-('Team B 1'!U$2- 12.5)*'Team B 1'!$AC9</f>
        <v>-7.6784995419557163</v>
      </c>
      <c r="V9" s="1">
        <f>'Team B 1'!V9-'Team B 1'!$AA9-('Team B 1'!V$2- 12.5)*'Team B 1'!$AC9</f>
        <v>-13.257855036439196</v>
      </c>
      <c r="W9" s="1">
        <f>'Team B 1'!W9-'Team B 1'!$AA9-('Team B 1'!W$2- 12.5)*'Team B 1'!$AC9</f>
        <v>1.1627894690770972</v>
      </c>
      <c r="X9" s="1">
        <f>'Team B 1'!X9-'Team B 1'!$AA9-('Team B 1'!X$2- 12.5)*'Team B 1'!$AC9</f>
        <v>-34.41656602540661</v>
      </c>
      <c r="Y9" s="1">
        <f>'Team B 1'!Y9-'Team B 1'!$AA9-('Team B 1'!Y$2- 12.5)*'Team B 1'!$AC9</f>
        <v>30.004078480109911</v>
      </c>
      <c r="AB9" s="1">
        <f>STDEV(B9:Y9)</f>
        <v>33.297051960042729</v>
      </c>
      <c r="AD9" s="5" t="s">
        <v>45</v>
      </c>
      <c r="AE9" s="5">
        <v>2</v>
      </c>
      <c r="AF9" s="5">
        <v>4</v>
      </c>
      <c r="AG9" s="5">
        <v>6</v>
      </c>
      <c r="AH9" s="5">
        <v>8</v>
      </c>
      <c r="AI9" s="5">
        <v>1</v>
      </c>
      <c r="AJ9" s="5" t="s">
        <v>46</v>
      </c>
      <c r="AK9" s="5" t="s">
        <v>47</v>
      </c>
      <c r="AL9" s="5">
        <v>9</v>
      </c>
      <c r="AM9" s="5">
        <v>3</v>
      </c>
      <c r="AN9" s="5">
        <v>7</v>
      </c>
      <c r="AO9" s="5">
        <v>5</v>
      </c>
      <c r="AP9" s="5">
        <v>2</v>
      </c>
      <c r="AQ9" s="5" t="s">
        <v>45</v>
      </c>
      <c r="AR9" s="5">
        <v>6</v>
      </c>
      <c r="AS9" s="5">
        <v>4</v>
      </c>
      <c r="AT9" s="5">
        <v>8</v>
      </c>
      <c r="AU9" s="5" t="s">
        <v>46</v>
      </c>
      <c r="AV9" s="5">
        <v>1</v>
      </c>
      <c r="AW9" s="5" t="s">
        <v>47</v>
      </c>
      <c r="AX9" s="5">
        <v>3</v>
      </c>
      <c r="AY9" s="5">
        <v>9</v>
      </c>
      <c r="AZ9" s="5">
        <v>5</v>
      </c>
      <c r="BA9" s="5">
        <v>7</v>
      </c>
      <c r="BB9" s="5"/>
      <c r="BC9" s="1">
        <f ca="1">OFFSET(A9,0, 6) -0</f>
        <v>70.432477380815044</v>
      </c>
      <c r="BD9" s="1">
        <f ca="1">OFFSET(A9,0, 2) -0</f>
        <v>-7.2501006412503557</v>
      </c>
      <c r="BE9" s="1">
        <f ca="1">OFFSET(A9,0, 10) -0</f>
        <v>-41.884944597119443</v>
      </c>
      <c r="BF9" s="1">
        <f ca="1">OFFSET(A9,0, 3) -0</f>
        <v>27.170543864265937</v>
      </c>
      <c r="BG9" s="1">
        <f ca="1">OFFSET(A9,0, 12) -0</f>
        <v>-33.043655586086672</v>
      </c>
      <c r="BH9" s="1">
        <f ca="1">OFFSET(A9,0, 4) -0</f>
        <v>31.59118836978223</v>
      </c>
      <c r="BI9" s="1">
        <f ca="1">OFFSET(A9,0, 11) -0</f>
        <v>2.535699908396964</v>
      </c>
      <c r="BJ9" s="1">
        <f ca="1">OFFSET(A9,0, 5) -0</f>
        <v>66.011832875298751</v>
      </c>
      <c r="BK9" s="1">
        <f ca="1">OFFSET(A9,0, 9) -0</f>
        <v>-26.305589102635849</v>
      </c>
      <c r="BL9" s="1">
        <f ca="1">OFFSET(A9,0, 1) -0</f>
        <v>38.329254853233124</v>
      </c>
      <c r="BM9" s="1">
        <f ca="1">OFFSET(A9,0, 7) -0</f>
        <v>-65.146878113668663</v>
      </c>
      <c r="BN9" s="1">
        <f ca="1">OFFSET(A9,0, 8) -0</f>
        <v>-20.726233608152143</v>
      </c>
      <c r="BO9" s="1">
        <f ca="1">OFFSET(A9,0, 19) -0</f>
        <v>17.900855952527991</v>
      </c>
      <c r="BP9" s="1">
        <f ca="1">OFFSET(A9,0, 13) -0</f>
        <v>21.376988919429706</v>
      </c>
      <c r="BQ9" s="1">
        <f ca="1">OFFSET(A9,0, 21) -0</f>
        <v>-13.257855036439196</v>
      </c>
      <c r="BR9" s="1">
        <f ca="1">OFFSET(A9,0, 16) -0</f>
        <v>-15.361077564021116</v>
      </c>
      <c r="BS9" s="1">
        <f ca="1">OFFSET(A9,0, 23) -0</f>
        <v>-34.41656602540661</v>
      </c>
      <c r="BT9" s="1">
        <f ca="1">OFFSET(A9,0, 15) -0</f>
        <v>0.21827793046247734</v>
      </c>
      <c r="BU9" s="1">
        <f ca="1">OFFSET(A9,0, 24) -0</f>
        <v>30.004078480109911</v>
      </c>
      <c r="BV9" s="1">
        <f ca="1">OFFSET(A9,0, 17) -0</f>
        <v>9.0595669414951772</v>
      </c>
      <c r="BW9" s="1">
        <f ca="1">OFFSET(A9,0, 22) -0</f>
        <v>1.1627894690770972</v>
      </c>
      <c r="BX9" s="1">
        <f ca="1">OFFSET(A9,0, 14) -0</f>
        <v>-24.202366575053929</v>
      </c>
      <c r="BY9" s="1">
        <f ca="1">OFFSET(A9,0, 18) -0</f>
        <v>-26.519788552988302</v>
      </c>
      <c r="BZ9" s="1">
        <f ca="1">OFFSET(A9,0, 20) -0</f>
        <v>-7.6784995419557163</v>
      </c>
      <c r="CB9" s="1">
        <f>COUNTIF(B9,"&lt;-69")</f>
        <v>0</v>
      </c>
      <c r="CC9" s="1">
        <f ca="1">COUNTIF(BC9:BN9,"&lt;-49")</f>
        <v>1</v>
      </c>
      <c r="CD9" s="1">
        <f ca="1">COUNTIF(BC9:BN9,"&gt;+49")</f>
        <v>2</v>
      </c>
      <c r="CE9" s="1">
        <f ca="1">COUNTIF(BO9:BZ9,"&lt;-49")</f>
        <v>0</v>
      </c>
      <c r="CF9" s="1">
        <f ca="1">COUNTIF(BO9:BZ9,"&gt;+49")</f>
        <v>0</v>
      </c>
    </row>
    <row r="10" spans="1:84">
      <c r="A10" s="1">
        <v>7</v>
      </c>
      <c r="B10" s="1">
        <f>'Team B 1'!B10-'Team B 1'!$AA10-('Team B 1'!B$2- 12.5)*'Team B 1'!$AC10</f>
        <v>8.938018081208611</v>
      </c>
      <c r="C10" s="1">
        <f>'Team B 1'!C10-'Team B 1'!$AA10-('Team B 1'!C$2- 12.5)*'Team B 1'!$AC10</f>
        <v>23.341958537914252</v>
      </c>
      <c r="D10" s="1">
        <f>'Team B 1'!D10-'Team B 1'!$AA10-('Team B 1'!D$2- 12.5)*'Team B 1'!$AC10</f>
        <v>17.745898994620575</v>
      </c>
      <c r="E10" s="1">
        <f>'Team B 1'!E10-'Team B 1'!$AA10-('Team B 1'!E$2- 12.5)*'Team B 1'!$AC10</f>
        <v>32.14983945132667</v>
      </c>
      <c r="F10" s="1">
        <f>'Team B 1'!F10-'Team B 1'!$AA10-('Team B 1'!F$2- 12.5)*'Team B 1'!$AC10</f>
        <v>-3.4462200919672341</v>
      </c>
      <c r="G10" s="1">
        <f>'Team B 1'!G10-'Team B 1'!$AA10-('Team B 1'!G$2- 12.5)*'Team B 1'!$AC10</f>
        <v>-9.0422796352611385</v>
      </c>
      <c r="H10" s="1">
        <f>'Team B 1'!H10-'Team B 1'!$AA10-('Team B 1'!H$2- 12.5)*'Team B 1'!$AC10</f>
        <v>15.361660821444957</v>
      </c>
      <c r="I10" s="1">
        <f>'Team B 1'!I10-'Team B 1'!$AA10-('Team B 1'!I$2- 12.5)*'Team B 1'!$AC10</f>
        <v>19.765601278151053</v>
      </c>
      <c r="J10" s="1">
        <f>'Team B 1'!J10-'Team B 1'!$AA10-('Team B 1'!J$2- 12.5)*'Team B 1'!$AC10</f>
        <v>14.169541734857148</v>
      </c>
      <c r="K10" s="1">
        <f>'Team B 1'!K10-'Team B 1'!$AA10-('Team B 1'!K$2- 12.5)*'Team B 1'!$AC10</f>
        <v>-1.4265178084367562</v>
      </c>
      <c r="L10" s="1">
        <f>'Team B 1'!L10-'Team B 1'!$AA10-('Team B 1'!L$2- 12.5)*'Team B 1'!$AC10</f>
        <v>32.977422648269339</v>
      </c>
      <c r="M10" s="1">
        <f>'Team B 1'!M10-'Team B 1'!$AA10-('Team B 1'!M$2- 12.5)*'Team B 1'!$AC10</f>
        <v>-12.618636895024565</v>
      </c>
      <c r="N10" s="1">
        <f>'Team B 1'!N10-'Team B 1'!$AA10-('Team B 1'!N$2- 12.5)*'Team B 1'!$AC10</f>
        <v>-48.21469643831847</v>
      </c>
      <c r="O10" s="1">
        <f>'Team B 1'!O10-'Team B 1'!$AA10-('Team B 1'!O$2- 12.5)*'Team B 1'!$AC10</f>
        <v>-23.810755981612374</v>
      </c>
      <c r="P10" s="1">
        <f>'Team B 1'!P10-'Team B 1'!$AA10-('Team B 1'!P$2- 12.5)*'Team B 1'!$AC10</f>
        <v>0.59318447509372163</v>
      </c>
      <c r="Q10" s="1">
        <f>'Team B 1'!Q10-'Team B 1'!$AA10-('Team B 1'!Q$2- 12.5)*'Team B 1'!$AC10</f>
        <v>-15.002875068200183</v>
      </c>
      <c r="R10" s="1">
        <f>'Team B 1'!R10-'Team B 1'!$AA10-('Team B 1'!R$2- 12.5)*'Team B 1'!$AC10</f>
        <v>-10.598934611494087</v>
      </c>
      <c r="S10" s="1">
        <f>'Team B 1'!S10-'Team B 1'!$AA10-('Team B 1'!S$2- 12.5)*'Team B 1'!$AC10</f>
        <v>43.805005845212008</v>
      </c>
      <c r="T10" s="1">
        <f>'Team B 1'!T10-'Team B 1'!$AA10-('Team B 1'!T$2- 12.5)*'Team B 1'!$AC10</f>
        <v>8.2089463019181039</v>
      </c>
      <c r="U10" s="1">
        <f>'Team B 1'!U10-'Team B 1'!$AA10-('Team B 1'!U$2- 12.5)*'Team B 1'!$AC10</f>
        <v>-27.3871132413758</v>
      </c>
      <c r="V10" s="1">
        <f>'Team B 1'!V10-'Team B 1'!$AA10-('Team B 1'!V$2- 12.5)*'Team B 1'!$AC10</f>
        <v>-42.983172784669705</v>
      </c>
      <c r="W10" s="1">
        <f>'Team B 1'!W10-'Team B 1'!$AA10-('Team B 1'!W$2- 12.5)*'Team B 1'!$AC10</f>
        <v>41.420767672036391</v>
      </c>
      <c r="X10" s="1">
        <f>'Team B 1'!X10-'Team B 1'!$AA10-('Team B 1'!X$2- 12.5)*'Team B 1'!$AC10</f>
        <v>-24.175291871257286</v>
      </c>
      <c r="Y10" s="1">
        <f>'Team B 1'!Y10-'Team B 1'!$AA10-('Team B 1'!Y$2- 12.5)*'Team B 1'!$AC10</f>
        <v>-39.771351414551646</v>
      </c>
      <c r="AB10" s="1">
        <f>STDEV(B10:Y10)</f>
        <v>26.241567269916914</v>
      </c>
      <c r="AD10" s="5" t="s">
        <v>45</v>
      </c>
      <c r="AE10" s="5">
        <v>2</v>
      </c>
      <c r="AF10" s="5">
        <v>4</v>
      </c>
      <c r="AG10" s="5">
        <v>6</v>
      </c>
      <c r="AH10" s="5" t="s">
        <v>46</v>
      </c>
      <c r="AI10" s="5">
        <v>8</v>
      </c>
      <c r="AJ10" s="5" t="s">
        <v>47</v>
      </c>
      <c r="AK10" s="5">
        <v>1</v>
      </c>
      <c r="AL10" s="5">
        <v>9</v>
      </c>
      <c r="AM10" s="5">
        <v>3</v>
      </c>
      <c r="AN10" s="5">
        <v>7</v>
      </c>
      <c r="AO10" s="5">
        <v>5</v>
      </c>
      <c r="AP10" s="5" t="s">
        <v>45</v>
      </c>
      <c r="AQ10" s="5">
        <v>4</v>
      </c>
      <c r="AR10" s="5">
        <v>2</v>
      </c>
      <c r="AS10" s="5" t="s">
        <v>46</v>
      </c>
      <c r="AT10" s="5">
        <v>6</v>
      </c>
      <c r="AU10" s="5">
        <v>8</v>
      </c>
      <c r="AV10" s="5">
        <v>1</v>
      </c>
      <c r="AW10" s="5" t="s">
        <v>47</v>
      </c>
      <c r="AX10" s="5">
        <v>9</v>
      </c>
      <c r="AY10" s="5">
        <v>7</v>
      </c>
      <c r="AZ10" s="5">
        <v>3</v>
      </c>
      <c r="BA10" s="5">
        <v>5</v>
      </c>
      <c r="BB10" s="5"/>
      <c r="BC10" s="1">
        <f ca="1">OFFSET(A10,0, 8) -0</f>
        <v>19.765601278151053</v>
      </c>
      <c r="BD10" s="1">
        <f ca="1">OFFSET(A10,0, 2) -0</f>
        <v>23.341958537914252</v>
      </c>
      <c r="BE10" s="1">
        <f ca="1">OFFSET(A10,0, 10) -0</f>
        <v>-1.4265178084367562</v>
      </c>
      <c r="BF10" s="1">
        <f ca="1">OFFSET(A10,0, 3) -0</f>
        <v>17.745898994620575</v>
      </c>
      <c r="BG10" s="1">
        <f ca="1">OFFSET(A10,0, 12) -0</f>
        <v>-12.618636895024565</v>
      </c>
      <c r="BH10" s="1">
        <f ca="1">OFFSET(A10,0, 4) -0</f>
        <v>32.14983945132667</v>
      </c>
      <c r="BI10" s="1">
        <f ca="1">OFFSET(A10,0, 11) -0</f>
        <v>32.977422648269339</v>
      </c>
      <c r="BJ10" s="1">
        <f ca="1">OFFSET(A10,0, 6) -0</f>
        <v>-9.0422796352611385</v>
      </c>
      <c r="BK10" s="1">
        <f ca="1">OFFSET(A10,0, 9) -0</f>
        <v>14.169541734857148</v>
      </c>
      <c r="BL10" s="1">
        <f ca="1">OFFSET(A10,0, 1) -0</f>
        <v>8.938018081208611</v>
      </c>
      <c r="BM10" s="1">
        <f ca="1">OFFSET(A10,0, 5) -0</f>
        <v>-3.4462200919672341</v>
      </c>
      <c r="BN10" s="1">
        <f ca="1">OFFSET(A10,0, 7) -0</f>
        <v>15.361660821444957</v>
      </c>
      <c r="BO10" s="1">
        <f ca="1">OFFSET(A10,0, 19) -0</f>
        <v>8.2089463019181039</v>
      </c>
      <c r="BP10" s="1">
        <f ca="1">OFFSET(A10,0, 15) -0</f>
        <v>0.59318447509372163</v>
      </c>
      <c r="BQ10" s="1">
        <f ca="1">OFFSET(A10,0, 23) -0</f>
        <v>-24.175291871257286</v>
      </c>
      <c r="BR10" s="1">
        <f ca="1">OFFSET(A10,0, 14) -0</f>
        <v>-23.810755981612374</v>
      </c>
      <c r="BS10" s="1">
        <f ca="1">OFFSET(A10,0, 24) -0</f>
        <v>-39.771351414551646</v>
      </c>
      <c r="BT10" s="1">
        <f ca="1">OFFSET(A10,0, 17) -0</f>
        <v>-10.598934611494087</v>
      </c>
      <c r="BU10" s="1">
        <f ca="1">OFFSET(A10,0, 22) -0</f>
        <v>41.420767672036391</v>
      </c>
      <c r="BV10" s="1">
        <f ca="1">OFFSET(A10,0, 18) -0</f>
        <v>43.805005845212008</v>
      </c>
      <c r="BW10" s="1">
        <f ca="1">OFFSET(A10,0, 21) -0</f>
        <v>-42.983172784669705</v>
      </c>
      <c r="BX10" s="1">
        <f ca="1">OFFSET(A10,0, 13) -0</f>
        <v>-48.21469643831847</v>
      </c>
      <c r="BY10" s="1">
        <f ca="1">OFFSET(A10,0, 16) -0</f>
        <v>-15.002875068200183</v>
      </c>
      <c r="BZ10" s="1">
        <f ca="1">OFFSET(A10,0, 20) -0</f>
        <v>-27.3871132413758</v>
      </c>
      <c r="CB10" s="1">
        <f>COUNTIF(B10,"&lt;-69")</f>
        <v>0</v>
      </c>
      <c r="CC10" s="1">
        <f ca="1">COUNTIF(BC10:BN10,"&lt;-49")</f>
        <v>0</v>
      </c>
      <c r="CD10" s="1">
        <f ca="1">COUNTIF(BC10:BN10,"&gt;+49")</f>
        <v>0</v>
      </c>
      <c r="CE10" s="1">
        <f ca="1">COUNTIF(BO10:BZ10,"&lt;-49")</f>
        <v>0</v>
      </c>
      <c r="CF10" s="1">
        <f ca="1">COUNTIF(BO10:BZ10,"&gt;+49")</f>
        <v>0</v>
      </c>
    </row>
    <row r="11" spans="1:84">
      <c r="A11" s="1">
        <v>8</v>
      </c>
      <c r="B11" s="1">
        <f>'Team B 1'!B11-'Team B 1'!$AA11-('Team B 1'!B$2- 12.5)*'Team B 1'!$AC11</f>
        <v>11.469119273805518</v>
      </c>
      <c r="C11" s="1">
        <f>'Team B 1'!C11-'Team B 1'!$AA11-('Team B 1'!C$2- 12.5)*'Team B 1'!$AC11</f>
        <v>-24.202108489134389</v>
      </c>
      <c r="D11" s="1">
        <f>'Team B 1'!D11-'Team B 1'!$AA11-('Team B 1'!D$2- 12.5)*'Team B 1'!$AC11</f>
        <v>-9.873336252073841</v>
      </c>
      <c r="E11" s="1">
        <f>'Team B 1'!E11-'Team B 1'!$AA11-('Team B 1'!E$2- 12.5)*'Team B 1'!$AC11</f>
        <v>-5.5445640150135205</v>
      </c>
      <c r="F11" s="1">
        <f>'Team B 1'!F11-'Team B 1'!$AA11-('Team B 1'!F$2- 12.5)*'Team B 1'!$AC11</f>
        <v>48.784208222047027</v>
      </c>
      <c r="G11" s="1">
        <f>'Team B 1'!G11-'Team B 1'!$AA11-('Team B 1'!G$2- 12.5)*'Team B 1'!$AC11</f>
        <v>43.112980459107348</v>
      </c>
      <c r="H11" s="1">
        <f>'Team B 1'!H11-'Team B 1'!$AA11-('Team B 1'!H$2- 12.5)*'Team B 1'!$AC11</f>
        <v>37.441752696167669</v>
      </c>
      <c r="I11" s="1">
        <f>'Team B 1'!I11-'Team B 1'!$AA11-('Team B 1'!I$2- 12.5)*'Team B 1'!$AC11</f>
        <v>31.770524933228216</v>
      </c>
      <c r="J11" s="1">
        <f>'Team B 1'!J11-'Team B 1'!$AA11-('Team B 1'!J$2- 12.5)*'Team B 1'!$AC11</f>
        <v>46.099297170288537</v>
      </c>
      <c r="K11" s="1">
        <f>'Team B 1'!K11-'Team B 1'!$AA11-('Team B 1'!K$2- 12.5)*'Team B 1'!$AC11</f>
        <v>0.42806940734897125</v>
      </c>
      <c r="L11" s="1">
        <f>'Team B 1'!L11-'Team B 1'!$AA11-('Team B 1'!L$2- 12.5)*'Team B 1'!$AC11</f>
        <v>-35.243158355590595</v>
      </c>
      <c r="M11" s="1">
        <f>'Team B 1'!M11-'Team B 1'!$AA11-('Team B 1'!M$2- 12.5)*'Team B 1'!$AC11</f>
        <v>-30.914386118530203</v>
      </c>
      <c r="N11" s="1">
        <f>'Team B 1'!N11-'Team B 1'!$AA11-('Team B 1'!N$2- 12.5)*'Team B 1'!$AC11</f>
        <v>-36.585613881469797</v>
      </c>
      <c r="O11" s="1">
        <f>'Team B 1'!O11-'Team B 1'!$AA11-('Team B 1'!O$2- 12.5)*'Team B 1'!$AC11</f>
        <v>-52.256841644409405</v>
      </c>
      <c r="P11" s="1">
        <f>'Team B 1'!P11-'Team B 1'!$AA11-('Team B 1'!P$2- 12.5)*'Team B 1'!$AC11</f>
        <v>-17.928069407348971</v>
      </c>
      <c r="Q11" s="1">
        <f>'Team B 1'!Q11-'Team B 1'!$AA11-('Team B 1'!Q$2- 12.5)*'Team B 1'!$AC11</f>
        <v>-23.599297170288537</v>
      </c>
      <c r="R11" s="1">
        <f>'Team B 1'!R11-'Team B 1'!$AA11-('Team B 1'!R$2- 12.5)*'Team B 1'!$AC11</f>
        <v>-9.2705249332282165</v>
      </c>
      <c r="S11" s="1">
        <f>'Team B 1'!S11-'Team B 1'!$AA11-('Team B 1'!S$2- 12.5)*'Team B 1'!$AC11</f>
        <v>5.0582473038323315</v>
      </c>
      <c r="T11" s="1">
        <f>'Team B 1'!T11-'Team B 1'!$AA11-('Team B 1'!T$2- 12.5)*'Team B 1'!$AC11</f>
        <v>-20.612980459107348</v>
      </c>
      <c r="U11" s="1">
        <f>'Team B 1'!U11-'Team B 1'!$AA11-('Team B 1'!U$2- 12.5)*'Team B 1'!$AC11</f>
        <v>33.715791777952973</v>
      </c>
      <c r="V11" s="1">
        <f>'Team B 1'!V11-'Team B 1'!$AA11-('Team B 1'!V$2- 12.5)*'Team B 1'!$AC11</f>
        <v>8.0445640150135205</v>
      </c>
      <c r="W11" s="1">
        <f>'Team B 1'!W11-'Team B 1'!$AA11-('Team B 1'!W$2- 12.5)*'Team B 1'!$AC11</f>
        <v>-7.626663747926159</v>
      </c>
      <c r="X11" s="1">
        <f>'Team B 1'!X11-'Team B 1'!$AA11-('Team B 1'!X$2- 12.5)*'Team B 1'!$AC11</f>
        <v>6.7021084891343889</v>
      </c>
      <c r="Y11" s="1">
        <f>'Team B 1'!Y11-'Team B 1'!$AA11-('Team B 1'!Y$2- 12.5)*'Team B 1'!$AC11</f>
        <v>1.0308807261944821</v>
      </c>
      <c r="AB11" s="1">
        <f>STDEV(B11:Y11)</f>
        <v>28.443813410912515</v>
      </c>
      <c r="AD11" s="5">
        <v>4</v>
      </c>
      <c r="AE11" s="5" t="s">
        <v>45</v>
      </c>
      <c r="AF11" s="5" t="s">
        <v>46</v>
      </c>
      <c r="AG11" s="5">
        <v>2</v>
      </c>
      <c r="AH11" s="5">
        <v>8</v>
      </c>
      <c r="AI11" s="5">
        <v>6</v>
      </c>
      <c r="AJ11" s="5" t="s">
        <v>47</v>
      </c>
      <c r="AK11" s="5">
        <v>1</v>
      </c>
      <c r="AL11" s="5">
        <v>7</v>
      </c>
      <c r="AM11" s="5">
        <v>9</v>
      </c>
      <c r="AN11" s="5">
        <v>5</v>
      </c>
      <c r="AO11" s="5">
        <v>3</v>
      </c>
      <c r="AP11" s="5" t="s">
        <v>45</v>
      </c>
      <c r="AQ11" s="5">
        <v>4</v>
      </c>
      <c r="AR11" s="5">
        <v>2</v>
      </c>
      <c r="AS11" s="5" t="s">
        <v>46</v>
      </c>
      <c r="AT11" s="5">
        <v>6</v>
      </c>
      <c r="AU11" s="5">
        <v>8</v>
      </c>
      <c r="AV11" s="5" t="s">
        <v>47</v>
      </c>
      <c r="AW11" s="5">
        <v>7</v>
      </c>
      <c r="AX11" s="5">
        <v>1</v>
      </c>
      <c r="AY11" s="5">
        <v>9</v>
      </c>
      <c r="AZ11" s="5">
        <v>3</v>
      </c>
      <c r="BA11" s="5">
        <v>5</v>
      </c>
      <c r="BB11" s="5"/>
      <c r="BC11" s="1">
        <f ca="1">OFFSET(A11,0, 8) -0</f>
        <v>31.770524933228216</v>
      </c>
      <c r="BD11" s="1">
        <f ca="1">OFFSET(A11,0, 4) -0</f>
        <v>-5.5445640150135205</v>
      </c>
      <c r="BE11" s="1">
        <f ca="1">OFFSET(A11,0, 12) -0</f>
        <v>-30.914386118530203</v>
      </c>
      <c r="BF11" s="1">
        <f ca="1">OFFSET(A11,0, 1) -0</f>
        <v>11.469119273805518</v>
      </c>
      <c r="BG11" s="1">
        <f ca="1">OFFSET(A11,0, 11) -0</f>
        <v>-35.243158355590595</v>
      </c>
      <c r="BH11" s="1">
        <f ca="1">OFFSET(A11,0, 6) -0</f>
        <v>43.112980459107348</v>
      </c>
      <c r="BI11" s="1">
        <f ca="1">OFFSET(A11,0, 9) -0</f>
        <v>46.099297170288537</v>
      </c>
      <c r="BJ11" s="1">
        <f ca="1">OFFSET(A11,0, 5) -0</f>
        <v>48.784208222047027</v>
      </c>
      <c r="BK11" s="1">
        <f ca="1">OFFSET(A11,0, 10) -0</f>
        <v>0.42806940734897125</v>
      </c>
      <c r="BL11" s="1">
        <f ca="1">OFFSET(A11,0, 2) -0</f>
        <v>-24.202108489134389</v>
      </c>
      <c r="BM11" s="1">
        <f ca="1">OFFSET(A11,0, 3) -0</f>
        <v>-9.873336252073841</v>
      </c>
      <c r="BN11" s="1">
        <f ca="1">OFFSET(A11,0, 7) -0</f>
        <v>37.441752696167669</v>
      </c>
      <c r="BO11" s="1">
        <f ca="1">OFFSET(A11,0, 21) -0</f>
        <v>8.0445640150135205</v>
      </c>
      <c r="BP11" s="1">
        <f ca="1">OFFSET(A11,0, 15) -0</f>
        <v>-17.928069407348971</v>
      </c>
      <c r="BQ11" s="1">
        <f ca="1">OFFSET(A11,0, 23) -0</f>
        <v>6.7021084891343889</v>
      </c>
      <c r="BR11" s="1">
        <f ca="1">OFFSET(A11,0, 14) -0</f>
        <v>-52.256841644409405</v>
      </c>
      <c r="BS11" s="1">
        <f ca="1">OFFSET(A11,0, 24) -0</f>
        <v>1.0308807261944821</v>
      </c>
      <c r="BT11" s="1">
        <f ca="1">OFFSET(A11,0, 17) -0</f>
        <v>-9.2705249332282165</v>
      </c>
      <c r="BU11" s="1">
        <f ca="1">OFFSET(A11,0, 20) -0</f>
        <v>33.715791777952973</v>
      </c>
      <c r="BV11" s="1">
        <f ca="1">OFFSET(A11,0, 18) -0</f>
        <v>5.0582473038323315</v>
      </c>
      <c r="BW11" s="1">
        <f ca="1">OFFSET(A11,0, 22) -0</f>
        <v>-7.626663747926159</v>
      </c>
      <c r="BX11" s="1">
        <f ca="1">OFFSET(A11,0, 13) -0</f>
        <v>-36.585613881469797</v>
      </c>
      <c r="BY11" s="1">
        <f ca="1">OFFSET(A11,0, 16) -0</f>
        <v>-23.599297170288537</v>
      </c>
      <c r="BZ11" s="1">
        <f ca="1">OFFSET(A11,0, 19) -0</f>
        <v>-20.612980459107348</v>
      </c>
      <c r="CB11" s="1">
        <f>COUNTIF(B11,"&lt;-69")</f>
        <v>0</v>
      </c>
      <c r="CC11" s="1">
        <f ca="1">COUNTIF(BC11:BN11,"&lt;-49")</f>
        <v>0</v>
      </c>
      <c r="CD11" s="1">
        <f ca="1">COUNTIF(BC11:BN11,"&gt;+49")</f>
        <v>0</v>
      </c>
      <c r="CE11" s="1">
        <f ca="1">COUNTIF(BO11:BZ11,"&lt;-49")</f>
        <v>1</v>
      </c>
      <c r="CF11" s="1">
        <f ca="1">COUNTIF(BO11:BZ11,"&gt;+49")</f>
        <v>0</v>
      </c>
    </row>
    <row r="12" spans="1:84">
      <c r="A12" s="1">
        <v>9</v>
      </c>
      <c r="B12" s="1">
        <f>'Team B 1'!B12-'Team B 1'!$AA12-('Team B 1'!B$2- 12.5)*'Team B 1'!$AC12</f>
        <v>30.633041237607358</v>
      </c>
      <c r="C12" s="1">
        <f>'Team B 1'!C12-'Team B 1'!$AA12-('Team B 1'!C$2- 12.5)*'Team B 1'!$AC12</f>
        <v>34.744660840134657</v>
      </c>
      <c r="D12" s="1">
        <f>'Team B 1'!D12-'Team B 1'!$AA12-('Team B 1'!D$2- 12.5)*'Team B 1'!$AC12</f>
        <v>-1.143719557338045</v>
      </c>
      <c r="E12" s="1">
        <f>'Team B 1'!E12-'Team B 1'!$AA12-('Team B 1'!E$2- 12.5)*'Team B 1'!$AC12</f>
        <v>12.967900045189253</v>
      </c>
      <c r="F12" s="1">
        <f>'Team B 1'!F12-'Team B 1'!$AA12-('Team B 1'!F$2- 12.5)*'Team B 1'!$AC12</f>
        <v>-12.920480352283448</v>
      </c>
      <c r="G12" s="1">
        <f>'Team B 1'!G12-'Team B 1'!$AA12-('Team B 1'!G$2- 12.5)*'Team B 1'!$AC12</f>
        <v>-18.80886074975615</v>
      </c>
      <c r="H12" s="1">
        <f>'Team B 1'!H12-'Team B 1'!$AA12-('Team B 1'!H$2- 12.5)*'Team B 1'!$AC12</f>
        <v>-4.6972411472288513</v>
      </c>
      <c r="I12" s="1">
        <f>'Team B 1'!I12-'Team B 1'!$AA12-('Team B 1'!I$2- 12.5)*'Team B 1'!$AC12</f>
        <v>29.414378455298561</v>
      </c>
      <c r="J12" s="1">
        <f>'Team B 1'!J12-'Team B 1'!$AA12-('Team B 1'!J$2- 12.5)*'Team B 1'!$AC12</f>
        <v>3.5259980578258592</v>
      </c>
      <c r="K12" s="1">
        <f>'Team B 1'!K12-'Team B 1'!$AA12-('Team B 1'!K$2- 12.5)*'Team B 1'!$AC12</f>
        <v>7.6376176603532144</v>
      </c>
      <c r="L12" s="1">
        <f>'Team B 1'!L12-'Team B 1'!$AA12-('Team B 1'!L$2- 12.5)*'Team B 1'!$AC12</f>
        <v>-38.250762737119487</v>
      </c>
      <c r="M12" s="1">
        <f>'Team B 1'!M12-'Team B 1'!$AA12-('Team B 1'!M$2- 12.5)*'Team B 1'!$AC12</f>
        <v>-24.139143134592146</v>
      </c>
      <c r="N12" s="1">
        <f>'Team B 1'!N12-'Team B 1'!$AA12-('Team B 1'!N$2- 12.5)*'Team B 1'!$AC12</f>
        <v>19.972476467935181</v>
      </c>
      <c r="O12" s="1">
        <f>'Team B 1'!O12-'Team B 1'!$AA12-('Team B 1'!O$2- 12.5)*'Team B 1'!$AC12</f>
        <v>-15.915903929537478</v>
      </c>
      <c r="P12" s="1">
        <f>'Team B 1'!P12-'Team B 1'!$AA12-('Team B 1'!P$2- 12.5)*'Team B 1'!$AC12</f>
        <v>-41.80428432701018</v>
      </c>
      <c r="Q12" s="1">
        <f>'Team B 1'!Q12-'Team B 1'!$AA12-('Team B 1'!Q$2- 12.5)*'Team B 1'!$AC12</f>
        <v>-37.692664724482825</v>
      </c>
      <c r="R12" s="1">
        <f>'Team B 1'!R12-'Team B 1'!$AA12-('Team B 1'!R$2- 12.5)*'Team B 1'!$AC12</f>
        <v>16.418954878044474</v>
      </c>
      <c r="S12" s="1">
        <f>'Team B 1'!S12-'Team B 1'!$AA12-('Team B 1'!S$2- 12.5)*'Team B 1'!$AC12</f>
        <v>30.530574480571886</v>
      </c>
      <c r="T12" s="1">
        <f>'Team B 1'!T12-'Team B 1'!$AA12-('Team B 1'!T$2- 12.5)*'Team B 1'!$AC12</f>
        <v>34.642194083099184</v>
      </c>
      <c r="U12" s="1">
        <f>'Team B 1'!U12-'Team B 1'!$AA12-('Team B 1'!U$2- 12.5)*'Team B 1'!$AC12</f>
        <v>-1.2461863143735172</v>
      </c>
      <c r="V12" s="1">
        <f>'Team B 1'!V12-'Team B 1'!$AA12-('Team B 1'!V$2- 12.5)*'Team B 1'!$AC12</f>
        <v>-17.134566711846219</v>
      </c>
      <c r="W12" s="1">
        <f>'Team B 1'!W12-'Team B 1'!$AA12-('Team B 1'!W$2- 12.5)*'Team B 1'!$AC12</f>
        <v>-33.02294710931892</v>
      </c>
      <c r="X12" s="1">
        <f>'Team B 1'!X12-'Team B 1'!$AA12-('Team B 1'!X$2- 12.5)*'Team B 1'!$AC12</f>
        <v>21.088672493208378</v>
      </c>
      <c r="Y12" s="1">
        <f>'Team B 1'!Y12-'Team B 1'!$AA12-('Team B 1'!Y$2- 12.5)*'Team B 1'!$AC12</f>
        <v>5.2002920957356764</v>
      </c>
      <c r="AB12" s="1">
        <f>STDEV(B12:Y12)</f>
        <v>24.60062134023126</v>
      </c>
      <c r="AD12" s="5">
        <v>4</v>
      </c>
      <c r="AE12" s="5" t="s">
        <v>45</v>
      </c>
      <c r="AF12" s="5" t="s">
        <v>46</v>
      </c>
      <c r="AG12" s="5">
        <v>2</v>
      </c>
      <c r="AH12" s="5">
        <v>8</v>
      </c>
      <c r="AI12" s="5">
        <v>6</v>
      </c>
      <c r="AJ12" s="5">
        <v>7</v>
      </c>
      <c r="AK12" s="5" t="s">
        <v>47</v>
      </c>
      <c r="AL12" s="5">
        <v>9</v>
      </c>
      <c r="AM12" s="5">
        <v>1</v>
      </c>
      <c r="AN12" s="5">
        <v>5</v>
      </c>
      <c r="AO12" s="5">
        <v>3</v>
      </c>
      <c r="AP12" s="5">
        <v>4</v>
      </c>
      <c r="AQ12" s="5" t="s">
        <v>46</v>
      </c>
      <c r="AR12" s="5" t="s">
        <v>45</v>
      </c>
      <c r="AS12" s="5">
        <v>8</v>
      </c>
      <c r="AT12" s="5">
        <v>2</v>
      </c>
      <c r="AU12" s="5">
        <v>7</v>
      </c>
      <c r="AV12" s="5">
        <v>6</v>
      </c>
      <c r="AW12" s="5" t="s">
        <v>47</v>
      </c>
      <c r="AX12" s="5">
        <v>1</v>
      </c>
      <c r="AY12" s="5">
        <v>9</v>
      </c>
      <c r="AZ12" s="5">
        <v>3</v>
      </c>
      <c r="BA12" s="5">
        <v>5</v>
      </c>
      <c r="BB12" s="5"/>
      <c r="BC12" s="1">
        <f ca="1">OFFSET(A12,0, 10) -0</f>
        <v>7.6376176603532144</v>
      </c>
      <c r="BD12" s="1">
        <f ca="1">OFFSET(A12,0, 4) -0</f>
        <v>12.967900045189253</v>
      </c>
      <c r="BE12" s="1">
        <f ca="1">OFFSET(A12,0, 12) -0</f>
        <v>-24.139143134592146</v>
      </c>
      <c r="BF12" s="1">
        <f ca="1">OFFSET(A12,0, 1) -0</f>
        <v>30.633041237607358</v>
      </c>
      <c r="BG12" s="1">
        <f ca="1">OFFSET(A12,0, 11) -0</f>
        <v>-38.250762737119487</v>
      </c>
      <c r="BH12" s="1">
        <f ca="1">OFFSET(A12,0, 6) -0</f>
        <v>-18.80886074975615</v>
      </c>
      <c r="BI12" s="1">
        <f ca="1">OFFSET(A12,0, 7) -0</f>
        <v>-4.6972411472288513</v>
      </c>
      <c r="BJ12" s="1">
        <f ca="1">OFFSET(A12,0, 5) -0</f>
        <v>-12.920480352283448</v>
      </c>
      <c r="BK12" s="1">
        <f ca="1">OFFSET(A12,0, 9) -0</f>
        <v>3.5259980578258592</v>
      </c>
      <c r="BL12" s="1">
        <f ca="1">OFFSET(A12,0, 2) -0</f>
        <v>34.744660840134657</v>
      </c>
      <c r="BM12" s="1">
        <f ca="1">OFFSET(A12,0, 3) -0</f>
        <v>-1.143719557338045</v>
      </c>
      <c r="BN12" s="1">
        <f ca="1">OFFSET(A12,0, 8) -0</f>
        <v>29.414378455298561</v>
      </c>
      <c r="BO12" s="1">
        <f ca="1">OFFSET(A12,0, 21) -0</f>
        <v>-17.134566711846219</v>
      </c>
      <c r="BP12" s="1">
        <f ca="1">OFFSET(A12,0, 17) -0</f>
        <v>16.418954878044474</v>
      </c>
      <c r="BQ12" s="1">
        <f ca="1">OFFSET(A12,0, 23) -0</f>
        <v>21.088672493208378</v>
      </c>
      <c r="BR12" s="1">
        <f ca="1">OFFSET(A12,0, 13) -0</f>
        <v>19.972476467935181</v>
      </c>
      <c r="BS12" s="1">
        <f ca="1">OFFSET(A12,0, 24) -0</f>
        <v>5.2002920957356764</v>
      </c>
      <c r="BT12" s="1">
        <f ca="1">OFFSET(A12,0, 19) -0</f>
        <v>34.642194083099184</v>
      </c>
      <c r="BU12" s="1">
        <f ca="1">OFFSET(A12,0, 18) -0</f>
        <v>30.530574480571886</v>
      </c>
      <c r="BV12" s="1">
        <f ca="1">OFFSET(A12,0, 16) -0</f>
        <v>-37.692664724482825</v>
      </c>
      <c r="BW12" s="1">
        <f ca="1">OFFSET(A12,0, 22) -0</f>
        <v>-33.02294710931892</v>
      </c>
      <c r="BX12" s="1">
        <f ca="1">OFFSET(A12,0, 15) -0</f>
        <v>-41.80428432701018</v>
      </c>
      <c r="BY12" s="1">
        <f ca="1">OFFSET(A12,0, 14) -0</f>
        <v>-15.915903929537478</v>
      </c>
      <c r="BZ12" s="1">
        <f ca="1">OFFSET(A12,0, 20) -0</f>
        <v>-1.2461863143735172</v>
      </c>
      <c r="CB12" s="1">
        <f>COUNTIF(B12,"&lt;-69")</f>
        <v>0</v>
      </c>
      <c r="CC12" s="1">
        <f ca="1">COUNTIF(BC12:BN12,"&lt;-49")</f>
        <v>0</v>
      </c>
      <c r="CD12" s="1">
        <f ca="1">COUNTIF(BC12:BN12,"&gt;+49")</f>
        <v>0</v>
      </c>
      <c r="CE12" s="1">
        <f ca="1">COUNTIF(BO12:BZ12,"&lt;-49")</f>
        <v>0</v>
      </c>
      <c r="CF12" s="1">
        <f ca="1">COUNTIF(BO12:BZ12,"&gt;+49")</f>
        <v>0</v>
      </c>
    </row>
    <row r="13" spans="1:84">
      <c r="A13" s="1">
        <v>10</v>
      </c>
      <c r="B13" s="1">
        <f>'Team B 1'!B13-'Team B 1'!$AA13-('Team B 1'!B$2- 12.5)*'Team B 1'!$AC13</f>
        <v>-13.047894620025545</v>
      </c>
      <c r="C13" s="1">
        <f>'Team B 1'!C13-'Team B 1'!$AA13-('Team B 1'!C$2- 12.5)*'Team B 1'!$AC13</f>
        <v>-18.543729870458264</v>
      </c>
      <c r="D13" s="1">
        <f>'Team B 1'!D13-'Team B 1'!$AA13-('Team B 1'!D$2- 12.5)*'Team B 1'!$AC13</f>
        <v>-4.0395651208907566</v>
      </c>
      <c r="E13" s="1">
        <f>'Team B 1'!E13-'Team B 1'!$AA13-('Team B 1'!E$2- 12.5)*'Team B 1'!$AC13</f>
        <v>0.46459962867675131</v>
      </c>
      <c r="F13" s="1">
        <f>'Team B 1'!F13-'Team B 1'!$AA13-('Team B 1'!F$2- 12.5)*'Team B 1'!$AC13</f>
        <v>-25.031235621755968</v>
      </c>
      <c r="G13" s="1">
        <f>'Team B 1'!G13-'Team B 1'!$AA13-('Team B 1'!G$2- 12.5)*'Team B 1'!$AC13</f>
        <v>9.4729291278115397</v>
      </c>
      <c r="H13" s="1">
        <f>'Team B 1'!H13-'Team B 1'!$AA13-('Team B 1'!H$2- 12.5)*'Team B 1'!$AC13</f>
        <v>3.9770938773790476</v>
      </c>
      <c r="I13" s="1">
        <f>'Team B 1'!I13-'Team B 1'!$AA13-('Team B 1'!I$2- 12.5)*'Team B 1'!$AC13</f>
        <v>18.481258626946442</v>
      </c>
      <c r="J13" s="1">
        <f>'Team B 1'!J13-'Team B 1'!$AA13-('Team B 1'!J$2- 12.5)*'Team B 1'!$AC13</f>
        <v>12.98542337651395</v>
      </c>
      <c r="K13" s="1">
        <f>'Team B 1'!K13-'Team B 1'!$AA13-('Team B 1'!K$2- 12.5)*'Team B 1'!$AC13</f>
        <v>17.489588126081344</v>
      </c>
      <c r="L13" s="1">
        <f>'Team B 1'!L13-'Team B 1'!$AA13-('Team B 1'!L$2- 12.5)*'Team B 1'!$AC13</f>
        <v>-8.0062471243511482</v>
      </c>
      <c r="M13" s="1">
        <f>'Team B 1'!M13-'Team B 1'!$AA13-('Team B 1'!M$2- 12.5)*'Team B 1'!$AC13</f>
        <v>16.497917625216274</v>
      </c>
      <c r="N13" s="1">
        <f>'Team B 1'!N13-'Team B 1'!$AA13-('Team B 1'!N$2- 12.5)*'Team B 1'!$AC13</f>
        <v>11.002082374783726</v>
      </c>
      <c r="O13" s="1">
        <f>'Team B 1'!O13-'Team B 1'!$AA13-('Team B 1'!O$2- 12.5)*'Team B 1'!$AC13</f>
        <v>-24.493752875648852</v>
      </c>
      <c r="P13" s="1">
        <f>'Team B 1'!P13-'Team B 1'!$AA13-('Team B 1'!P$2- 12.5)*'Team B 1'!$AC13</f>
        <v>-39.989588126081344</v>
      </c>
      <c r="Q13" s="1">
        <f>'Team B 1'!Q13-'Team B 1'!$AA13-('Team B 1'!Q$2- 12.5)*'Team B 1'!$AC13</f>
        <v>-15.48542337651395</v>
      </c>
      <c r="R13" s="1">
        <f>'Team B 1'!R13-'Team B 1'!$AA13-('Team B 1'!R$2- 12.5)*'Team B 1'!$AC13</f>
        <v>19.018741373053558</v>
      </c>
      <c r="S13" s="1">
        <f>'Team B 1'!S13-'Team B 1'!$AA13-('Team B 1'!S$2- 12.5)*'Team B 1'!$AC13</f>
        <v>-6.4770938773790476</v>
      </c>
      <c r="T13" s="1">
        <f>'Team B 1'!T13-'Team B 1'!$AA13-('Team B 1'!T$2- 12.5)*'Team B 1'!$AC13</f>
        <v>18.02707087218846</v>
      </c>
      <c r="U13" s="1">
        <f>'Team B 1'!U13-'Team B 1'!$AA13-('Team B 1'!U$2- 12.5)*'Team B 1'!$AC13</f>
        <v>-47.468764378244032</v>
      </c>
      <c r="V13" s="1">
        <f>'Team B 1'!V13-'Team B 1'!$AA13-('Team B 1'!V$2- 12.5)*'Team B 1'!$AC13</f>
        <v>7.0354003713232487</v>
      </c>
      <c r="W13" s="1">
        <f>'Team B 1'!W13-'Team B 1'!$AA13-('Team B 1'!W$2- 12.5)*'Team B 1'!$AC13</f>
        <v>11.539565120890757</v>
      </c>
      <c r="X13" s="1">
        <f>'Team B 1'!X13-'Team B 1'!$AA13-('Team B 1'!X$2- 12.5)*'Team B 1'!$AC13</f>
        <v>6.0437298704582645</v>
      </c>
      <c r="Y13" s="1">
        <f>'Team B 1'!Y13-'Team B 1'!$AA13-('Team B 1'!Y$2- 12.5)*'Team B 1'!$AC13</f>
        <v>50.547894620025545</v>
      </c>
      <c r="AB13" s="1">
        <f>STDEV(B13:Y13)</f>
        <v>21.600389560960679</v>
      </c>
      <c r="AD13" s="5" t="s">
        <v>46</v>
      </c>
      <c r="AE13" s="5">
        <v>4</v>
      </c>
      <c r="AF13" s="5">
        <v>8</v>
      </c>
      <c r="AG13" s="5" t="s">
        <v>45</v>
      </c>
      <c r="AH13" s="5">
        <v>7</v>
      </c>
      <c r="AI13" s="5">
        <v>2</v>
      </c>
      <c r="AJ13" s="5" t="s">
        <v>47</v>
      </c>
      <c r="AK13" s="5">
        <v>6</v>
      </c>
      <c r="AL13" s="5">
        <v>9</v>
      </c>
      <c r="AM13" s="5">
        <v>1</v>
      </c>
      <c r="AN13" s="5">
        <v>5</v>
      </c>
      <c r="AO13" s="5">
        <v>3</v>
      </c>
      <c r="AP13" s="5">
        <v>4</v>
      </c>
      <c r="AQ13" s="5" t="s">
        <v>46</v>
      </c>
      <c r="AR13" s="5" t="s">
        <v>45</v>
      </c>
      <c r="AS13" s="5">
        <v>8</v>
      </c>
      <c r="AT13" s="5">
        <v>2</v>
      </c>
      <c r="AU13" s="5">
        <v>7</v>
      </c>
      <c r="AV13" s="5">
        <v>6</v>
      </c>
      <c r="AW13" s="5" t="s">
        <v>47</v>
      </c>
      <c r="AX13" s="5">
        <v>9</v>
      </c>
      <c r="AY13" s="5">
        <v>5</v>
      </c>
      <c r="AZ13" s="5">
        <v>1</v>
      </c>
      <c r="BA13" s="5">
        <v>3</v>
      </c>
      <c r="BB13" s="5"/>
      <c r="BC13" s="1">
        <f ca="1">OFFSET(A13,0, 10) -0</f>
        <v>17.489588126081344</v>
      </c>
      <c r="BD13" s="1">
        <f ca="1">OFFSET(A13,0, 6) -0</f>
        <v>9.4729291278115397</v>
      </c>
      <c r="BE13" s="1">
        <f ca="1">OFFSET(A13,0, 12) -0</f>
        <v>16.497917625216274</v>
      </c>
      <c r="BF13" s="1">
        <f ca="1">OFFSET(A13,0, 2) -0</f>
        <v>-18.543729870458264</v>
      </c>
      <c r="BG13" s="1">
        <f ca="1">OFFSET(A13,0, 11) -0</f>
        <v>-8.0062471243511482</v>
      </c>
      <c r="BH13" s="1">
        <f ca="1">OFFSET(A13,0, 8) -0</f>
        <v>18.481258626946442</v>
      </c>
      <c r="BI13" s="1">
        <f ca="1">OFFSET(A13,0, 5) -0</f>
        <v>-25.031235621755968</v>
      </c>
      <c r="BJ13" s="1">
        <f ca="1">OFFSET(A13,0, 3) -0</f>
        <v>-4.0395651208907566</v>
      </c>
      <c r="BK13" s="1">
        <f ca="1">OFFSET(A13,0, 9) -0</f>
        <v>12.98542337651395</v>
      </c>
      <c r="BL13" s="1">
        <f ca="1">OFFSET(A13,0, 4) -0</f>
        <v>0.46459962867675131</v>
      </c>
      <c r="BM13" s="1">
        <f ca="1">OFFSET(A13,0, 1) -0</f>
        <v>-13.047894620025545</v>
      </c>
      <c r="BN13" s="1">
        <f ca="1">OFFSET(A13,0, 7) -0</f>
        <v>3.9770938773790476</v>
      </c>
      <c r="BO13" s="1">
        <f ca="1">OFFSET(A13,0, 23) -0</f>
        <v>6.0437298704582645</v>
      </c>
      <c r="BP13" s="1">
        <f ca="1">OFFSET(A13,0, 17) -0</f>
        <v>19.018741373053558</v>
      </c>
      <c r="BQ13" s="1">
        <f ca="1">OFFSET(A13,0, 24) -0</f>
        <v>50.547894620025545</v>
      </c>
      <c r="BR13" s="1">
        <f ca="1">OFFSET(A13,0, 13) -0</f>
        <v>11.002082374783726</v>
      </c>
      <c r="BS13" s="1">
        <f ca="1">OFFSET(A13,0, 22) -0</f>
        <v>11.539565120890757</v>
      </c>
      <c r="BT13" s="1">
        <f ca="1">OFFSET(A13,0, 19) -0</f>
        <v>18.02707087218846</v>
      </c>
      <c r="BU13" s="1">
        <f ca="1">OFFSET(A13,0, 18) -0</f>
        <v>-6.4770938773790476</v>
      </c>
      <c r="BV13" s="1">
        <f ca="1">OFFSET(A13,0, 16) -0</f>
        <v>-15.48542337651395</v>
      </c>
      <c r="BW13" s="1">
        <f ca="1">OFFSET(A13,0, 21) -0</f>
        <v>7.0354003713232487</v>
      </c>
      <c r="BX13" s="1">
        <f ca="1">OFFSET(A13,0, 15) -0</f>
        <v>-39.989588126081344</v>
      </c>
      <c r="BY13" s="1">
        <f ca="1">OFFSET(A13,0, 14) -0</f>
        <v>-24.493752875648852</v>
      </c>
      <c r="BZ13" s="1">
        <f ca="1">OFFSET(A13,0, 20) -0</f>
        <v>-47.468764378244032</v>
      </c>
      <c r="CB13" s="1">
        <f>COUNTIF(B13,"&lt;-69")</f>
        <v>0</v>
      </c>
      <c r="CC13" s="1">
        <f ca="1">COUNTIF(BC13:BN13,"&lt;-49")</f>
        <v>0</v>
      </c>
      <c r="CD13" s="1">
        <f ca="1">COUNTIF(BC13:BN13,"&gt;+49")</f>
        <v>0</v>
      </c>
      <c r="CE13" s="1">
        <f ca="1">COUNTIF(BO13:BZ13,"&lt;-49")</f>
        <v>0</v>
      </c>
      <c r="CF13" s="1">
        <f ca="1">COUNTIF(BO13:BZ13,"&gt;+49")</f>
        <v>1</v>
      </c>
    </row>
    <row r="14" spans="1:84">
      <c r="A14" s="1">
        <v>11</v>
      </c>
      <c r="B14" s="1">
        <f>'Team B 1'!B14-'Team B 1'!$AA14-('Team B 1'!B$2- 12.5)*'Team B 1'!$AC14</f>
        <v>13.874443344583597</v>
      </c>
      <c r="C14" s="1">
        <f>'Team B 1'!C14-'Team B 1'!$AA14-('Team B 1'!C$2- 12.5)*'Team B 1'!$AC14</f>
        <v>8.3201439233157544</v>
      </c>
      <c r="D14" s="1">
        <f>'Team B 1'!D14-'Team B 1'!$AA14-('Team B 1'!D$2- 12.5)*'Team B 1'!$AC14</f>
        <v>12.765844502047457</v>
      </c>
      <c r="E14" s="1">
        <f>'Team B 1'!E14-'Team B 1'!$AA14-('Team B 1'!E$2- 12.5)*'Team B 1'!$AC14</f>
        <v>7.2115450807793877</v>
      </c>
      <c r="F14" s="1">
        <f>'Team B 1'!F14-'Team B 1'!$AA14-('Team B 1'!F$2- 12.5)*'Team B 1'!$AC14</f>
        <v>31.657245659511091</v>
      </c>
      <c r="G14" s="1">
        <f>'Team B 1'!G14-'Team B 1'!$AA14-('Team B 1'!G$2- 12.5)*'Team B 1'!$AC14</f>
        <v>16.102946238243021</v>
      </c>
      <c r="H14" s="1">
        <f>'Team B 1'!H14-'Team B 1'!$AA14-('Team B 1'!H$2- 12.5)*'Team B 1'!$AC14</f>
        <v>-19.451353183025049</v>
      </c>
      <c r="I14" s="1">
        <f>'Team B 1'!I14-'Team B 1'!$AA14-('Team B 1'!I$2- 12.5)*'Team B 1'!$AC14</f>
        <v>14.994347395706654</v>
      </c>
      <c r="J14" s="1">
        <f>'Team B 1'!J14-'Team B 1'!$AA14-('Team B 1'!J$2- 12.5)*'Team B 1'!$AC14</f>
        <v>-30.559952025561415</v>
      </c>
      <c r="K14" s="1">
        <f>'Team B 1'!K14-'Team B 1'!$AA14-('Team B 1'!K$2- 12.5)*'Team B 1'!$AC14</f>
        <v>-36.114251446829599</v>
      </c>
      <c r="L14" s="1">
        <f>'Team B 1'!L14-'Team B 1'!$AA14-('Team B 1'!L$2- 12.5)*'Team B 1'!$AC14</f>
        <v>-1.6685508680977819</v>
      </c>
      <c r="M14" s="1">
        <f>'Team B 1'!M14-'Team B 1'!$AA14-('Team B 1'!M$2- 12.5)*'Team B 1'!$AC14</f>
        <v>42.777149710634077</v>
      </c>
      <c r="N14" s="1">
        <f>'Team B 1'!N14-'Team B 1'!$AA14-('Team B 1'!N$2- 12.5)*'Team B 1'!$AC14</f>
        <v>27.222850289365923</v>
      </c>
      <c r="O14" s="1">
        <f>'Team B 1'!O14-'Team B 1'!$AA14-('Team B 1'!O$2- 12.5)*'Team B 1'!$AC14</f>
        <v>-8.3314491319022181</v>
      </c>
      <c r="P14" s="1">
        <f>'Team B 1'!P14-'Team B 1'!$AA14-('Team B 1'!P$2- 12.5)*'Team B 1'!$AC14</f>
        <v>-63.885748553170401</v>
      </c>
      <c r="Q14" s="1">
        <f>'Team B 1'!Q14-'Team B 1'!$AA14-('Team B 1'!Q$2- 12.5)*'Team B 1'!$AC14</f>
        <v>20.559952025561415</v>
      </c>
      <c r="R14" s="1">
        <f>'Team B 1'!R14-'Team B 1'!$AA14-('Team B 1'!R$2- 12.5)*'Team B 1'!$AC14</f>
        <v>-14.994347395706654</v>
      </c>
      <c r="S14" s="1">
        <f>'Team B 1'!S14-'Team B 1'!$AA14-('Team B 1'!S$2- 12.5)*'Team B 1'!$AC14</f>
        <v>-20.548646816974951</v>
      </c>
      <c r="T14" s="1">
        <f>'Team B 1'!T14-'Team B 1'!$AA14-('Team B 1'!T$2- 12.5)*'Team B 1'!$AC14</f>
        <v>13.897053761756979</v>
      </c>
      <c r="U14" s="1">
        <f>'Team B 1'!U14-'Team B 1'!$AA14-('Team B 1'!U$2- 12.5)*'Team B 1'!$AC14</f>
        <v>-11.657245659511091</v>
      </c>
      <c r="V14" s="1">
        <f>'Team B 1'!V14-'Team B 1'!$AA14-('Team B 1'!V$2- 12.5)*'Team B 1'!$AC14</f>
        <v>-7.2115450807793877</v>
      </c>
      <c r="W14" s="1">
        <f>'Team B 1'!W14-'Team B 1'!$AA14-('Team B 1'!W$2- 12.5)*'Team B 1'!$AC14</f>
        <v>-22.765844502047457</v>
      </c>
      <c r="X14" s="1">
        <f>'Team B 1'!X14-'Team B 1'!$AA14-('Team B 1'!X$2- 12.5)*'Team B 1'!$AC14</f>
        <v>1.6798560766842456</v>
      </c>
      <c r="Y14" s="1">
        <f>'Team B 1'!Y14-'Team B 1'!$AA14-('Team B 1'!Y$2- 12.5)*'Team B 1'!$AC14</f>
        <v>26.125556655416403</v>
      </c>
      <c r="AB14" s="1">
        <f>STDEV(B14:Y14)</f>
        <v>24.635198275458052</v>
      </c>
      <c r="AD14" s="5" t="s">
        <v>46</v>
      </c>
      <c r="AE14" s="5">
        <v>4</v>
      </c>
      <c r="AF14" s="5">
        <v>8</v>
      </c>
      <c r="AG14" s="5" t="s">
        <v>45</v>
      </c>
      <c r="AH14" s="5">
        <v>7</v>
      </c>
      <c r="AI14" s="5">
        <v>2</v>
      </c>
      <c r="AJ14" s="5" t="s">
        <v>47</v>
      </c>
      <c r="AK14" s="5">
        <v>6</v>
      </c>
      <c r="AL14" s="5">
        <v>5</v>
      </c>
      <c r="AM14" s="5">
        <v>9</v>
      </c>
      <c r="AN14" s="5">
        <v>3</v>
      </c>
      <c r="AO14" s="5">
        <v>1</v>
      </c>
      <c r="AP14" s="5" t="s">
        <v>46</v>
      </c>
      <c r="AQ14" s="5">
        <v>8</v>
      </c>
      <c r="AR14" s="5">
        <v>4</v>
      </c>
      <c r="AS14" s="5">
        <v>7</v>
      </c>
      <c r="AT14" s="5" t="s">
        <v>45</v>
      </c>
      <c r="AU14" s="5" t="s">
        <v>47</v>
      </c>
      <c r="AV14" s="5">
        <v>2</v>
      </c>
      <c r="AW14" s="5">
        <v>5</v>
      </c>
      <c r="AX14" s="5">
        <v>6</v>
      </c>
      <c r="AY14" s="5">
        <v>9</v>
      </c>
      <c r="AZ14" s="5">
        <v>1</v>
      </c>
      <c r="BA14" s="5">
        <v>3</v>
      </c>
      <c r="BB14" s="5"/>
      <c r="BC14" s="1">
        <f ca="1">OFFSET(A14,0, 12) -0</f>
        <v>42.777149710634077</v>
      </c>
      <c r="BD14" s="1">
        <f ca="1">OFFSET(A14,0, 6) -0</f>
        <v>16.102946238243021</v>
      </c>
      <c r="BE14" s="1">
        <f ca="1">OFFSET(A14,0, 11) -0</f>
        <v>-1.6685508680977819</v>
      </c>
      <c r="BF14" s="1">
        <f ca="1">OFFSET(A14,0, 2) -0</f>
        <v>8.3201439233157544</v>
      </c>
      <c r="BG14" s="1">
        <f ca="1">OFFSET(A14,0, 9) -0</f>
        <v>-30.559952025561415</v>
      </c>
      <c r="BH14" s="1">
        <f ca="1">OFFSET(A14,0, 8) -0</f>
        <v>14.994347395706654</v>
      </c>
      <c r="BI14" s="1">
        <f ca="1">OFFSET(A14,0, 5) -0</f>
        <v>31.657245659511091</v>
      </c>
      <c r="BJ14" s="1">
        <f ca="1">OFFSET(A14,0, 3) -0</f>
        <v>12.765844502047457</v>
      </c>
      <c r="BK14" s="1">
        <f ca="1">OFFSET(A14,0, 10) -0</f>
        <v>-36.114251446829599</v>
      </c>
      <c r="BL14" s="1">
        <f ca="1">OFFSET(A14,0, 4) -0</f>
        <v>7.2115450807793877</v>
      </c>
      <c r="BM14" s="1">
        <f ca="1">OFFSET(A14,0, 1) -0</f>
        <v>13.874443344583597</v>
      </c>
      <c r="BN14" s="1">
        <f ca="1">OFFSET(A14,0, 7) -0</f>
        <v>-19.451353183025049</v>
      </c>
      <c r="BO14" s="1">
        <f ca="1">OFFSET(A14,0, 23) -0</f>
        <v>1.6798560766842456</v>
      </c>
      <c r="BP14" s="1">
        <f ca="1">OFFSET(A14,0, 19) -0</f>
        <v>13.897053761756979</v>
      </c>
      <c r="BQ14" s="1">
        <f ca="1">OFFSET(A14,0, 24) -0</f>
        <v>26.125556655416403</v>
      </c>
      <c r="BR14" s="1">
        <f ca="1">OFFSET(A14,0, 15) -0</f>
        <v>-63.885748553170401</v>
      </c>
      <c r="BS14" s="1">
        <f ca="1">OFFSET(A14,0, 20) -0</f>
        <v>-11.657245659511091</v>
      </c>
      <c r="BT14" s="1">
        <f ca="1">OFFSET(A14,0, 21) -0</f>
        <v>-7.2115450807793877</v>
      </c>
      <c r="BU14" s="1">
        <f ca="1">OFFSET(A14,0, 16) -0</f>
        <v>20.559952025561415</v>
      </c>
      <c r="BV14" s="1">
        <f ca="1">OFFSET(A14,0, 14) -0</f>
        <v>-8.3314491319022181</v>
      </c>
      <c r="BW14" s="1">
        <f ca="1">OFFSET(A14,0, 22) -0</f>
        <v>-22.765844502047457</v>
      </c>
      <c r="BX14" s="1">
        <f ca="1">OFFSET(A14,0, 17) -0</f>
        <v>-14.994347395706654</v>
      </c>
      <c r="BY14" s="1">
        <f ca="1">OFFSET(A14,0, 13) -0</f>
        <v>27.222850289365923</v>
      </c>
      <c r="BZ14" s="1">
        <f ca="1">OFFSET(A14,0, 18) -0</f>
        <v>-20.548646816974951</v>
      </c>
      <c r="CB14" s="1">
        <f>COUNTIF(B14,"&lt;-69")</f>
        <v>0</v>
      </c>
      <c r="CC14" s="1">
        <f ca="1">COUNTIF(BC14:BN14,"&lt;-49")</f>
        <v>0</v>
      </c>
      <c r="CD14" s="1">
        <f ca="1">COUNTIF(BC14:BN14,"&gt;+49")</f>
        <v>0</v>
      </c>
      <c r="CE14" s="1">
        <f ca="1">COUNTIF(BO14:BZ14,"&lt;-49")</f>
        <v>1</v>
      </c>
      <c r="CF14" s="1">
        <f ca="1">COUNTIF(BO14:BZ14,"&gt;+49")</f>
        <v>0</v>
      </c>
    </row>
    <row r="15" spans="1:84">
      <c r="A15" s="1">
        <v>12</v>
      </c>
      <c r="B15" s="1">
        <f>'Team B 1'!B15-'Team B 1'!$AA15-('Team B 1'!B$2- 12.5)*'Team B 1'!$AC15</f>
        <v>3.1357859404806732</v>
      </c>
      <c r="C15" s="1">
        <f>'Team B 1'!C15-'Team B 1'!$AA15-('Team B 1'!C$2- 12.5)*'Team B 1'!$AC15</f>
        <v>7.4645581775403116</v>
      </c>
      <c r="D15" s="1">
        <f>'Team B 1'!D15-'Team B 1'!$AA15-('Team B 1'!D$2- 12.5)*'Team B 1'!$AC15</f>
        <v>51.793330414600632</v>
      </c>
      <c r="E15" s="1">
        <f>'Team B 1'!E15-'Team B 1'!$AA15-('Team B 1'!E$2- 12.5)*'Team B 1'!$AC15</f>
        <v>6.1221026516607253</v>
      </c>
      <c r="F15" s="1">
        <f>'Team B 1'!F15-'Team B 1'!$AA15-('Team B 1'!F$2- 12.5)*'Team B 1'!$AC15</f>
        <v>-9.5491251112791815</v>
      </c>
      <c r="G15" s="1">
        <f>'Team B 1'!G15-'Team B 1'!$AA15-('Team B 1'!G$2- 12.5)*'Team B 1'!$AC15</f>
        <v>4.7796471257809117</v>
      </c>
      <c r="H15" s="1">
        <f>'Team B 1'!H15-'Team B 1'!$AA15-('Team B 1'!H$2- 12.5)*'Team B 1'!$AC15</f>
        <v>-20.891580637158995</v>
      </c>
      <c r="I15" s="1">
        <f>'Team B 1'!I15-'Team B 1'!$AA15-('Team B 1'!I$2- 12.5)*'Team B 1'!$AC15</f>
        <v>-26.562808400098902</v>
      </c>
      <c r="J15" s="1">
        <f>'Team B 1'!J15-'Team B 1'!$AA15-('Team B 1'!J$2- 12.5)*'Team B 1'!$AC15</f>
        <v>-32.234036163038809</v>
      </c>
      <c r="K15" s="1">
        <f>'Team B 1'!K15-'Team B 1'!$AA15-('Team B 1'!K$2- 12.5)*'Team B 1'!$AC15</f>
        <v>22.094736074021284</v>
      </c>
      <c r="L15" s="1">
        <f>'Team B 1'!L15-'Team B 1'!$AA15-('Team B 1'!L$2- 12.5)*'Team B 1'!$AC15</f>
        <v>6.4235083110813775</v>
      </c>
      <c r="M15" s="1">
        <f>'Team B 1'!M15-'Team B 1'!$AA15-('Team B 1'!M$2- 12.5)*'Team B 1'!$AC15</f>
        <v>40.752280548141471</v>
      </c>
      <c r="N15" s="1">
        <f>'Team B 1'!N15-'Team B 1'!$AA15-('Team B 1'!N$2- 12.5)*'Team B 1'!$AC15</f>
        <v>-14.918947214798436</v>
      </c>
      <c r="O15" s="1">
        <f>'Team B 1'!O15-'Team B 1'!$AA15-('Team B 1'!O$2- 12.5)*'Team B 1'!$AC15</f>
        <v>9.4098250222616571</v>
      </c>
      <c r="P15" s="1">
        <f>'Team B 1'!P15-'Team B 1'!$AA15-('Team B 1'!P$2- 12.5)*'Team B 1'!$AC15</f>
        <v>-26.26140274067825</v>
      </c>
      <c r="Q15" s="1">
        <f>'Team B 1'!Q15-'Team B 1'!$AA15-('Team B 1'!Q$2- 12.5)*'Team B 1'!$AC15</f>
        <v>38.067369496381843</v>
      </c>
      <c r="R15" s="1">
        <f>'Team B 1'!R15-'Team B 1'!$AA15-('Team B 1'!R$2- 12.5)*'Team B 1'!$AC15</f>
        <v>2.3961417334419366</v>
      </c>
      <c r="S15" s="1">
        <f>'Team B 1'!S15-'Team B 1'!$AA15-('Team B 1'!S$2- 12.5)*'Team B 1'!$AC15</f>
        <v>-23.27508602949797</v>
      </c>
      <c r="T15" s="1">
        <f>'Team B 1'!T15-'Team B 1'!$AA15-('Team B 1'!T$2- 12.5)*'Team B 1'!$AC15</f>
        <v>11.053686207562123</v>
      </c>
      <c r="U15" s="1">
        <f>'Team B 1'!U15-'Team B 1'!$AA15-('Team B 1'!U$2- 12.5)*'Team B 1'!$AC15</f>
        <v>5.3824584446222161</v>
      </c>
      <c r="V15" s="1">
        <f>'Team B 1'!V15-'Team B 1'!$AA15-('Team B 1'!V$2- 12.5)*'Team B 1'!$AC15</f>
        <v>-20.288769318317691</v>
      </c>
      <c r="W15" s="1">
        <f>'Team B 1'!W15-'Team B 1'!$AA15-('Team B 1'!W$2- 12.5)*'Team B 1'!$AC15</f>
        <v>-5.9599970812575975</v>
      </c>
      <c r="X15" s="1">
        <f>'Team B 1'!X15-'Team B 1'!$AA15-('Team B 1'!X$2- 12.5)*'Team B 1'!$AC15</f>
        <v>-31.631224844197277</v>
      </c>
      <c r="Y15" s="1">
        <f>'Team B 1'!Y15-'Team B 1'!$AA15-('Team B 1'!Y$2- 12.5)*'Team B 1'!$AC15</f>
        <v>2.6975473928623614</v>
      </c>
      <c r="AB15" s="1">
        <f>STDEV(B15:Y15)</f>
        <v>22.721731168928606</v>
      </c>
      <c r="AD15" s="5">
        <v>8</v>
      </c>
      <c r="AE15" s="5" t="s">
        <v>46</v>
      </c>
      <c r="AF15" s="5">
        <v>7</v>
      </c>
      <c r="AG15" s="5">
        <v>4</v>
      </c>
      <c r="AH15" s="5" t="s">
        <v>47</v>
      </c>
      <c r="AI15" s="5" t="s">
        <v>45</v>
      </c>
      <c r="AJ15" s="5">
        <v>5</v>
      </c>
      <c r="AK15" s="5">
        <v>2</v>
      </c>
      <c r="AL15" s="5">
        <v>9</v>
      </c>
      <c r="AM15" s="5">
        <v>6</v>
      </c>
      <c r="AN15" s="5">
        <v>3</v>
      </c>
      <c r="AO15" s="5">
        <v>1</v>
      </c>
      <c r="AP15" s="5" t="s">
        <v>46</v>
      </c>
      <c r="AQ15" s="5">
        <v>8</v>
      </c>
      <c r="AR15" s="5">
        <v>4</v>
      </c>
      <c r="AS15" s="5">
        <v>7</v>
      </c>
      <c r="AT15" s="5" t="s">
        <v>45</v>
      </c>
      <c r="AU15" s="5" t="s">
        <v>47</v>
      </c>
      <c r="AV15" s="5">
        <v>2</v>
      </c>
      <c r="AW15" s="5">
        <v>5</v>
      </c>
      <c r="AX15" s="5">
        <v>6</v>
      </c>
      <c r="AY15" s="5">
        <v>9</v>
      </c>
      <c r="AZ15" s="5">
        <v>3</v>
      </c>
      <c r="BA15" s="5">
        <v>1</v>
      </c>
      <c r="BB15" s="5"/>
      <c r="BC15" s="1">
        <f ca="1">OFFSET(A15,0, 12) -0</f>
        <v>40.752280548141471</v>
      </c>
      <c r="BD15" s="1">
        <f ca="1">OFFSET(A15,0, 8) -0</f>
        <v>-26.562808400098902</v>
      </c>
      <c r="BE15" s="1">
        <f ca="1">OFFSET(A15,0, 11) -0</f>
        <v>6.4235083110813775</v>
      </c>
      <c r="BF15" s="1">
        <f ca="1">OFFSET(A15,0, 4) -0</f>
        <v>6.1221026516607253</v>
      </c>
      <c r="BG15" s="1">
        <f ca="1">OFFSET(A15,0, 7) -0</f>
        <v>-20.891580637158995</v>
      </c>
      <c r="BH15" s="1">
        <f ca="1">OFFSET(A15,0, 10) -0</f>
        <v>22.094736074021284</v>
      </c>
      <c r="BI15" s="1">
        <f ca="1">OFFSET(A15,0, 3) -0</f>
        <v>51.793330414600632</v>
      </c>
      <c r="BJ15" s="1">
        <f ca="1">OFFSET(A15,0, 1) -0</f>
        <v>3.1357859404806732</v>
      </c>
      <c r="BK15" s="1">
        <f ca="1">OFFSET(A15,0, 9) -0</f>
        <v>-32.234036163038809</v>
      </c>
      <c r="BL15" s="1">
        <f ca="1">OFFSET(A15,0, 6) -0</f>
        <v>4.7796471257809117</v>
      </c>
      <c r="BM15" s="1">
        <f ca="1">OFFSET(A15,0, 2) -0</f>
        <v>7.4645581775403116</v>
      </c>
      <c r="BN15" s="1">
        <f ca="1">OFFSET(A15,0, 5) -0</f>
        <v>-9.5491251112791815</v>
      </c>
      <c r="BO15" s="1">
        <f ca="1">OFFSET(A15,0, 24) -0</f>
        <v>2.6975473928623614</v>
      </c>
      <c r="BP15" s="1">
        <f ca="1">OFFSET(A15,0, 19) -0</f>
        <v>11.053686207562123</v>
      </c>
      <c r="BQ15" s="1">
        <f ca="1">OFFSET(A15,0, 23) -0</f>
        <v>-31.631224844197277</v>
      </c>
      <c r="BR15" s="1">
        <f ca="1">OFFSET(A15,0, 15) -0</f>
        <v>-26.26140274067825</v>
      </c>
      <c r="BS15" s="1">
        <f ca="1">OFFSET(A15,0, 20) -0</f>
        <v>5.3824584446222161</v>
      </c>
      <c r="BT15" s="1">
        <f ca="1">OFFSET(A15,0, 21) -0</f>
        <v>-20.288769318317691</v>
      </c>
      <c r="BU15" s="1">
        <f ca="1">OFFSET(A15,0, 16) -0</f>
        <v>38.067369496381843</v>
      </c>
      <c r="BV15" s="1">
        <f ca="1">OFFSET(A15,0, 14) -0</f>
        <v>9.4098250222616571</v>
      </c>
      <c r="BW15" s="1">
        <f ca="1">OFFSET(A15,0, 22) -0</f>
        <v>-5.9599970812575975</v>
      </c>
      <c r="BX15" s="1">
        <f ca="1">OFFSET(A15,0, 17) -0</f>
        <v>2.3961417334419366</v>
      </c>
      <c r="BY15" s="1">
        <f ca="1">OFFSET(A15,0, 13) -0</f>
        <v>-14.918947214798436</v>
      </c>
      <c r="BZ15" s="1">
        <f ca="1">OFFSET(A15,0, 18) -0</f>
        <v>-23.27508602949797</v>
      </c>
      <c r="CB15" s="1">
        <f>COUNTIF(B15,"&lt;-69")</f>
        <v>0</v>
      </c>
      <c r="CC15" s="1">
        <f ca="1">COUNTIF(BC15:BN15,"&lt;-49")</f>
        <v>0</v>
      </c>
      <c r="CD15" s="1">
        <f ca="1">COUNTIF(BC15:BN15,"&gt;+49")</f>
        <v>1</v>
      </c>
      <c r="CE15" s="1">
        <f ca="1">COUNTIF(BO15:BZ15,"&lt;-49")</f>
        <v>0</v>
      </c>
      <c r="CF15" s="1">
        <f ca="1">COUNTIF(BO15:BZ15,"&gt;+49")</f>
        <v>0</v>
      </c>
    </row>
    <row r="16" spans="1:84">
      <c r="A16" s="1">
        <v>13</v>
      </c>
      <c r="B16" s="1">
        <f>'Team B 1'!B16-'Team B 1'!$AA16-('Team B 1'!B$2- 12.5)*'Team B 1'!$AC16</f>
        <v>8.653990293539664</v>
      </c>
      <c r="C16" s="1">
        <f>'Team B 1'!C16-'Team B 1'!$AA16-('Team B 1'!C$2- 12.5)*'Team B 1'!$AC16</f>
        <v>3.408715775260589</v>
      </c>
      <c r="D16" s="1">
        <f>'Team B 1'!D16-'Team B 1'!$AA16-('Team B 1'!D$2- 12.5)*'Team B 1'!$AC16</f>
        <v>28.163441256981287</v>
      </c>
      <c r="E16" s="1">
        <f>'Team B 1'!E16-'Team B 1'!$AA16-('Team B 1'!E$2- 12.5)*'Team B 1'!$AC16</f>
        <v>22.918166738701984</v>
      </c>
      <c r="F16" s="1">
        <f>'Team B 1'!F16-'Team B 1'!$AA16-('Team B 1'!F$2- 12.5)*'Team B 1'!$AC16</f>
        <v>17.672892220422909</v>
      </c>
      <c r="G16" s="1">
        <f>'Team B 1'!G16-'Team B 1'!$AA16-('Team B 1'!G$2- 12.5)*'Team B 1'!$AC16</f>
        <v>22.427617702143607</v>
      </c>
      <c r="H16" s="1">
        <f>'Team B 1'!H16-'Team B 1'!$AA16-('Team B 1'!H$2- 12.5)*'Team B 1'!$AC16</f>
        <v>7.1823431838643046</v>
      </c>
      <c r="I16" s="1">
        <f>'Team B 1'!I16-'Team B 1'!$AA16-('Team B 1'!I$2- 12.5)*'Team B 1'!$AC16</f>
        <v>1.9370686655851159</v>
      </c>
      <c r="J16" s="1">
        <f>'Team B 1'!J16-'Team B 1'!$AA16-('Team B 1'!J$2- 12.5)*'Team B 1'!$AC16</f>
        <v>-53.308205852694186</v>
      </c>
      <c r="K16" s="1">
        <f>'Team B 1'!K16-'Team B 1'!$AA16-('Team B 1'!K$2- 12.5)*'Team B 1'!$AC16</f>
        <v>-8.5534803709733751</v>
      </c>
      <c r="L16" s="1">
        <f>'Team B 1'!L16-'Team B 1'!$AA16-('Team B 1'!L$2- 12.5)*'Team B 1'!$AC16</f>
        <v>-23.798754889252677</v>
      </c>
      <c r="M16" s="1">
        <f>'Team B 1'!M16-'Team B 1'!$AA16-('Team B 1'!M$2- 12.5)*'Team B 1'!$AC16</f>
        <v>-29.044029407531895</v>
      </c>
      <c r="N16" s="1">
        <f>'Team B 1'!N16-'Team B 1'!$AA16-('Team B 1'!N$2- 12.5)*'Team B 1'!$AC16</f>
        <v>15.71069607418886</v>
      </c>
      <c r="O16" s="1">
        <f>'Team B 1'!O16-'Team B 1'!$AA16-('Team B 1'!O$2- 12.5)*'Team B 1'!$AC16</f>
        <v>30.465421555909643</v>
      </c>
      <c r="P16" s="1">
        <f>'Team B 1'!P16-'Team B 1'!$AA16-('Team B 1'!P$2- 12.5)*'Team B 1'!$AC16</f>
        <v>-4.7798529623696595</v>
      </c>
      <c r="Q16" s="1">
        <f>'Team B 1'!Q16-'Team B 1'!$AA16-('Team B 1'!Q$2- 12.5)*'Team B 1'!$AC16</f>
        <v>29.974872519351152</v>
      </c>
      <c r="R16" s="1">
        <f>'Team B 1'!R16-'Team B 1'!$AA16-('Team B 1'!R$2- 12.5)*'Team B 1'!$AC16</f>
        <v>-25.270401998928151</v>
      </c>
      <c r="S16" s="1">
        <f>'Team B 1'!S16-'Team B 1'!$AA16-('Team B 1'!S$2- 12.5)*'Team B 1'!$AC16</f>
        <v>-10.515676517207339</v>
      </c>
      <c r="T16" s="1">
        <f>'Team B 1'!T16-'Team B 1'!$AA16-('Team B 1'!T$2- 12.5)*'Team B 1'!$AC16</f>
        <v>-35.760951035486642</v>
      </c>
      <c r="U16" s="1">
        <f>'Team B 1'!U16-'Team B 1'!$AA16-('Team B 1'!U$2- 12.5)*'Team B 1'!$AC16</f>
        <v>-11.006225553765944</v>
      </c>
      <c r="V16" s="1">
        <f>'Team B 1'!V16-'Team B 1'!$AA16-('Team B 1'!V$2- 12.5)*'Team B 1'!$AC16</f>
        <v>-26.251500072045019</v>
      </c>
      <c r="W16" s="1">
        <f>'Team B 1'!W16-'Team B 1'!$AA16-('Team B 1'!W$2- 12.5)*'Team B 1'!$AC16</f>
        <v>8.5032254096756787</v>
      </c>
      <c r="X16" s="1">
        <f>'Team B 1'!X16-'Team B 1'!$AA16-('Team B 1'!X$2- 12.5)*'Team B 1'!$AC16</f>
        <v>3.2579508913963764</v>
      </c>
      <c r="Y16" s="1">
        <f>'Team B 1'!Y16-'Team B 1'!$AA16-('Team B 1'!Y$2- 12.5)*'Team B 1'!$AC16</f>
        <v>28.012676373117301</v>
      </c>
      <c r="AB16" s="1">
        <f>STDEV(B16:Y16)</f>
        <v>23.221707301287001</v>
      </c>
      <c r="AD16" s="5">
        <v>8</v>
      </c>
      <c r="AE16" s="5" t="s">
        <v>46</v>
      </c>
      <c r="AF16" s="5">
        <v>7</v>
      </c>
      <c r="AG16" s="5">
        <v>4</v>
      </c>
      <c r="AH16" s="5" t="s">
        <v>47</v>
      </c>
      <c r="AI16" s="5" t="s">
        <v>45</v>
      </c>
      <c r="AJ16" s="5">
        <v>5</v>
      </c>
      <c r="AK16" s="5">
        <v>2</v>
      </c>
      <c r="AL16" s="5">
        <v>9</v>
      </c>
      <c r="AM16" s="5">
        <v>6</v>
      </c>
      <c r="AN16" s="5">
        <v>1</v>
      </c>
      <c r="AO16" s="5">
        <v>3</v>
      </c>
      <c r="AP16" s="5">
        <v>8</v>
      </c>
      <c r="AQ16" s="5">
        <v>7</v>
      </c>
      <c r="AR16" s="5" t="s">
        <v>46</v>
      </c>
      <c r="AS16" s="5" t="s">
        <v>47</v>
      </c>
      <c r="AT16" s="5">
        <v>4</v>
      </c>
      <c r="AU16" s="5">
        <v>5</v>
      </c>
      <c r="AV16" s="5" t="s">
        <v>45</v>
      </c>
      <c r="AW16" s="5">
        <v>9</v>
      </c>
      <c r="AX16" s="5">
        <v>2</v>
      </c>
      <c r="AY16" s="5">
        <v>6</v>
      </c>
      <c r="AZ16" s="5">
        <v>3</v>
      </c>
      <c r="BA16" s="5">
        <v>1</v>
      </c>
      <c r="BB16" s="5"/>
      <c r="BC16" s="1">
        <f ca="1">OFFSET(A16,0, 11) -0</f>
        <v>-23.798754889252677</v>
      </c>
      <c r="BD16" s="1">
        <f ca="1">OFFSET(A16,0, 8) -0</f>
        <v>1.9370686655851159</v>
      </c>
      <c r="BE16" s="1">
        <f ca="1">OFFSET(A16,0, 12) -0</f>
        <v>-29.044029407531895</v>
      </c>
      <c r="BF16" s="1">
        <f ca="1">OFFSET(A16,0, 4) -0</f>
        <v>22.918166738701984</v>
      </c>
      <c r="BG16" s="1">
        <f ca="1">OFFSET(A16,0, 7) -0</f>
        <v>7.1823431838643046</v>
      </c>
      <c r="BH16" s="1">
        <f ca="1">OFFSET(A16,0, 10) -0</f>
        <v>-8.5534803709733751</v>
      </c>
      <c r="BI16" s="1">
        <f ca="1">OFFSET(A16,0, 3) -0</f>
        <v>28.163441256981287</v>
      </c>
      <c r="BJ16" s="1">
        <f ca="1">OFFSET(A16,0, 1) -0</f>
        <v>8.653990293539664</v>
      </c>
      <c r="BK16" s="1">
        <f ca="1">OFFSET(A16,0, 9) -0</f>
        <v>-53.308205852694186</v>
      </c>
      <c r="BL16" s="1">
        <f ca="1">OFFSET(A16,0, 6) -0</f>
        <v>22.427617702143607</v>
      </c>
      <c r="BM16" s="1">
        <f ca="1">OFFSET(A16,0, 2) -0</f>
        <v>3.408715775260589</v>
      </c>
      <c r="BN16" s="1">
        <f ca="1">OFFSET(A16,0, 5) -0</f>
        <v>17.672892220422909</v>
      </c>
      <c r="BO16" s="1">
        <f ca="1">OFFSET(A16,0, 24) -0</f>
        <v>28.012676373117301</v>
      </c>
      <c r="BP16" s="1">
        <f ca="1">OFFSET(A16,0, 21) -0</f>
        <v>-26.251500072045019</v>
      </c>
      <c r="BQ16" s="1">
        <f ca="1">OFFSET(A16,0, 23) -0</f>
        <v>3.2579508913963764</v>
      </c>
      <c r="BR16" s="1">
        <f ca="1">OFFSET(A16,0, 17) -0</f>
        <v>-25.270401998928151</v>
      </c>
      <c r="BS16" s="1">
        <f ca="1">OFFSET(A16,0, 18) -0</f>
        <v>-10.515676517207339</v>
      </c>
      <c r="BT16" s="1">
        <f ca="1">OFFSET(A16,0, 22) -0</f>
        <v>8.5032254096756787</v>
      </c>
      <c r="BU16" s="1">
        <f ca="1">OFFSET(A16,0, 14) -0</f>
        <v>30.465421555909643</v>
      </c>
      <c r="BV16" s="1">
        <f ca="1">OFFSET(A16,0, 13) -0</f>
        <v>15.71069607418886</v>
      </c>
      <c r="BW16" s="1">
        <f ca="1">OFFSET(A16,0, 20) -0</f>
        <v>-11.006225553765944</v>
      </c>
      <c r="BX16" s="1">
        <f ca="1">OFFSET(A16,0, 19) -0</f>
        <v>-35.760951035486642</v>
      </c>
      <c r="BY16" s="1">
        <f ca="1">OFFSET(A16,0, 15) -0</f>
        <v>-4.7798529623696595</v>
      </c>
      <c r="BZ16" s="1">
        <f ca="1">OFFSET(A16,0, 16) -0</f>
        <v>29.974872519351152</v>
      </c>
      <c r="CB16" s="1">
        <f>COUNTIF(B16,"&lt;-69")</f>
        <v>0</v>
      </c>
      <c r="CC16" s="1">
        <f ca="1">COUNTIF(BC16:BN16,"&lt;-49")</f>
        <v>1</v>
      </c>
      <c r="CD16" s="1">
        <f ca="1">COUNTIF(BC16:BN16,"&gt;+49")</f>
        <v>0</v>
      </c>
      <c r="CE16" s="1">
        <f ca="1">COUNTIF(BO16:BZ16,"&lt;-49")</f>
        <v>0</v>
      </c>
      <c r="CF16" s="1">
        <f ca="1">COUNTIF(BO16:BZ16,"&gt;+49")</f>
        <v>0</v>
      </c>
    </row>
    <row r="17" spans="1:84">
      <c r="A17" s="1">
        <v>14</v>
      </c>
      <c r="B17" s="1">
        <f>'Team B 1'!B17-'Team B 1'!$AA17-('Team B 1'!B$2- 12.5)*'Team B 1'!$AC17</f>
        <v>9.6565531042142538</v>
      </c>
      <c r="C17" s="1">
        <f>'Team B 1'!C17-'Team B 1'!$AA17-('Team B 1'!C$2- 12.5)*'Team B 1'!$AC17</f>
        <v>-24.878799339630405</v>
      </c>
      <c r="D17" s="1">
        <f>'Team B 1'!D17-'Team B 1'!$AA17-('Team B 1'!D$2- 12.5)*'Team B 1'!$AC17</f>
        <v>0.58584821652470964</v>
      </c>
      <c r="E17" s="1">
        <f>'Team B 1'!E17-'Team B 1'!$AA17-('Team B 1'!E$2- 12.5)*'Team B 1'!$AC17</f>
        <v>-3.9495042273199488</v>
      </c>
      <c r="F17" s="1">
        <f>'Team B 1'!F17-'Team B 1'!$AA17-('Team B 1'!F$2- 12.5)*'Team B 1'!$AC17</f>
        <v>21.515143328835393</v>
      </c>
      <c r="G17" s="1">
        <f>'Team B 1'!G17-'Team B 1'!$AA17-('Team B 1'!G$2- 12.5)*'Team B 1'!$AC17</f>
        <v>16.979790884990734</v>
      </c>
      <c r="H17" s="1">
        <f>'Team B 1'!H17-'Team B 1'!$AA17-('Team B 1'!H$2- 12.5)*'Team B 1'!$AC17</f>
        <v>22.444438441145849</v>
      </c>
      <c r="I17" s="1">
        <f>'Team B 1'!I17-'Team B 1'!$AA17-('Team B 1'!I$2- 12.5)*'Team B 1'!$AC17</f>
        <v>47.90908599730119</v>
      </c>
      <c r="J17" s="1">
        <f>'Team B 1'!J17-'Team B 1'!$AA17-('Team B 1'!J$2- 12.5)*'Team B 1'!$AC17</f>
        <v>23.373733553456532</v>
      </c>
      <c r="K17" s="1">
        <f>'Team B 1'!K17-'Team B 1'!$AA17-('Team B 1'!K$2- 12.5)*'Team B 1'!$AC17</f>
        <v>-11.16161889038824</v>
      </c>
      <c r="L17" s="1">
        <f>'Team B 1'!L17-'Team B 1'!$AA17-('Team B 1'!L$2- 12.5)*'Team B 1'!$AC17</f>
        <v>-5.6969713342328987</v>
      </c>
      <c r="M17" s="1">
        <f>'Team B 1'!M17-'Team B 1'!$AA17-('Team B 1'!M$2- 12.5)*'Team B 1'!$AC17</f>
        <v>-10.232323778077642</v>
      </c>
      <c r="N17" s="1">
        <f>'Team B 1'!N17-'Team B 1'!$AA17-('Team B 1'!N$2- 12.5)*'Team B 1'!$AC17</f>
        <v>-44.767676221922358</v>
      </c>
      <c r="O17" s="1">
        <f>'Team B 1'!O17-'Team B 1'!$AA17-('Team B 1'!O$2- 12.5)*'Team B 1'!$AC17</f>
        <v>0.6969713342328987</v>
      </c>
      <c r="P17" s="1">
        <f>'Team B 1'!P17-'Team B 1'!$AA17-('Team B 1'!P$2- 12.5)*'Team B 1'!$AC17</f>
        <v>-53.83838110961176</v>
      </c>
      <c r="Q17" s="1">
        <f>'Team B 1'!Q17-'Team B 1'!$AA17-('Team B 1'!Q$2- 12.5)*'Team B 1'!$AC17</f>
        <v>-28.373733553456532</v>
      </c>
      <c r="R17" s="1">
        <f>'Team B 1'!R17-'Team B 1'!$AA17-('Team B 1'!R$2- 12.5)*'Team B 1'!$AC17</f>
        <v>-22.90908599730119</v>
      </c>
      <c r="S17" s="1">
        <f>'Team B 1'!S17-'Team B 1'!$AA17-('Team B 1'!S$2- 12.5)*'Team B 1'!$AC17</f>
        <v>2.5555615588541514</v>
      </c>
      <c r="T17" s="1">
        <f>'Team B 1'!T17-'Team B 1'!$AA17-('Team B 1'!T$2- 12.5)*'Team B 1'!$AC17</f>
        <v>8.0202091150092656</v>
      </c>
      <c r="U17" s="1">
        <f>'Team B 1'!U17-'Team B 1'!$AA17-('Team B 1'!U$2- 12.5)*'Team B 1'!$AC17</f>
        <v>13.484856671164607</v>
      </c>
      <c r="V17" s="1">
        <f>'Team B 1'!V17-'Team B 1'!$AA17-('Team B 1'!V$2- 12.5)*'Team B 1'!$AC17</f>
        <v>38.949504227319949</v>
      </c>
      <c r="W17" s="1">
        <f>'Team B 1'!W17-'Team B 1'!$AA17-('Team B 1'!W$2- 12.5)*'Team B 1'!$AC17</f>
        <v>4.4141517834752904</v>
      </c>
      <c r="X17" s="1">
        <f>'Team B 1'!X17-'Team B 1'!$AA17-('Team B 1'!X$2- 12.5)*'Team B 1'!$AC17</f>
        <v>-10.121200660369595</v>
      </c>
      <c r="Y17" s="1">
        <f>'Team B 1'!Y17-'Team B 1'!$AA17-('Team B 1'!Y$2- 12.5)*'Team B 1'!$AC17</f>
        <v>5.3434468957857462</v>
      </c>
      <c r="AB17" s="1">
        <f>STDEV(B17:Y17)</f>
        <v>23.992566970741656</v>
      </c>
      <c r="AD17" s="5">
        <v>7</v>
      </c>
      <c r="AE17" s="5">
        <v>8</v>
      </c>
      <c r="AF17" s="5" t="s">
        <v>47</v>
      </c>
      <c r="AG17" s="5" t="s">
        <v>46</v>
      </c>
      <c r="AH17" s="5">
        <v>5</v>
      </c>
      <c r="AI17" s="5">
        <v>4</v>
      </c>
      <c r="AJ17" s="5">
        <v>9</v>
      </c>
      <c r="AK17" s="5" t="s">
        <v>45</v>
      </c>
      <c r="AL17" s="5">
        <v>6</v>
      </c>
      <c r="AM17" s="5">
        <v>2</v>
      </c>
      <c r="AN17" s="5">
        <v>1</v>
      </c>
      <c r="AO17" s="5">
        <v>3</v>
      </c>
      <c r="AP17" s="5">
        <v>8</v>
      </c>
      <c r="AQ17" s="5">
        <v>7</v>
      </c>
      <c r="AR17" s="5" t="s">
        <v>46</v>
      </c>
      <c r="AS17" s="5" t="s">
        <v>47</v>
      </c>
      <c r="AT17" s="5">
        <v>4</v>
      </c>
      <c r="AU17" s="5">
        <v>5</v>
      </c>
      <c r="AV17" s="5" t="s">
        <v>45</v>
      </c>
      <c r="AW17" s="5">
        <v>9</v>
      </c>
      <c r="AX17" s="5">
        <v>6</v>
      </c>
      <c r="AY17" s="5">
        <v>1</v>
      </c>
      <c r="AZ17" s="5">
        <v>2</v>
      </c>
      <c r="BA17" s="5">
        <v>3</v>
      </c>
      <c r="BB17" s="5"/>
      <c r="BC17" s="1">
        <f ca="1">OFFSET(A17,0, 11) -0</f>
        <v>-5.6969713342328987</v>
      </c>
      <c r="BD17" s="1">
        <f ca="1">OFFSET(A17,0, 10) -0</f>
        <v>-11.16161889038824</v>
      </c>
      <c r="BE17" s="1">
        <f ca="1">OFFSET(A17,0, 12) -0</f>
        <v>-10.232323778077642</v>
      </c>
      <c r="BF17" s="1">
        <f ca="1">OFFSET(A17,0, 6) -0</f>
        <v>16.979790884990734</v>
      </c>
      <c r="BG17" s="1">
        <f ca="1">OFFSET(A17,0, 5) -0</f>
        <v>21.515143328835393</v>
      </c>
      <c r="BH17" s="1">
        <f ca="1">OFFSET(A17,0, 9) -0</f>
        <v>23.373733553456532</v>
      </c>
      <c r="BI17" s="1">
        <f ca="1">OFFSET(A17,0, 1) -0</f>
        <v>9.6565531042142538</v>
      </c>
      <c r="BJ17" s="1">
        <f ca="1">OFFSET(A17,0, 2) -0</f>
        <v>-24.878799339630405</v>
      </c>
      <c r="BK17" s="1">
        <f ca="1">OFFSET(A17,0, 7) -0</f>
        <v>22.444438441145849</v>
      </c>
      <c r="BL17" s="1">
        <f ca="1">OFFSET(A17,0, 8) -0</f>
        <v>47.90908599730119</v>
      </c>
      <c r="BM17" s="1">
        <f ca="1">OFFSET(A17,0, 4) -0</f>
        <v>-3.9495042273199488</v>
      </c>
      <c r="BN17" s="1">
        <f ca="1">OFFSET(A17,0, 3) -0</f>
        <v>0.58584821652470964</v>
      </c>
      <c r="BO17" s="1">
        <f ca="1">OFFSET(A17,0, 22) -0</f>
        <v>4.4141517834752904</v>
      </c>
      <c r="BP17" s="1">
        <f ca="1">OFFSET(A17,0, 23) -0</f>
        <v>-10.121200660369595</v>
      </c>
      <c r="BQ17" s="1">
        <f ca="1">OFFSET(A17,0, 24) -0</f>
        <v>5.3434468957857462</v>
      </c>
      <c r="BR17" s="1">
        <f ca="1">OFFSET(A17,0, 17) -0</f>
        <v>-22.90908599730119</v>
      </c>
      <c r="BS17" s="1">
        <f ca="1">OFFSET(A17,0, 18) -0</f>
        <v>2.5555615588541514</v>
      </c>
      <c r="BT17" s="1">
        <f ca="1">OFFSET(A17,0, 21) -0</f>
        <v>38.949504227319949</v>
      </c>
      <c r="BU17" s="1">
        <f ca="1">OFFSET(A17,0, 14) -0</f>
        <v>0.6969713342328987</v>
      </c>
      <c r="BV17" s="1">
        <f ca="1">OFFSET(A17,0, 13) -0</f>
        <v>-44.767676221922358</v>
      </c>
      <c r="BW17" s="1">
        <f ca="1">OFFSET(A17,0, 20) -0</f>
        <v>13.484856671164607</v>
      </c>
      <c r="BX17" s="1">
        <f ca="1">OFFSET(A17,0, 19) -0</f>
        <v>8.0202091150092656</v>
      </c>
      <c r="BY17" s="1">
        <f ca="1">OFFSET(A17,0, 15) -0</f>
        <v>-53.83838110961176</v>
      </c>
      <c r="BZ17" s="1">
        <f ca="1">OFFSET(A17,0, 16) -0</f>
        <v>-28.373733553456532</v>
      </c>
      <c r="CB17" s="1">
        <f>COUNTIF(B17,"&lt;-69")</f>
        <v>0</v>
      </c>
      <c r="CC17" s="1">
        <f ca="1">COUNTIF(BC17:BN17,"&lt;-49")</f>
        <v>0</v>
      </c>
      <c r="CD17" s="1">
        <f ca="1">COUNTIF(BC17:BN17,"&gt;+49")</f>
        <v>0</v>
      </c>
      <c r="CE17" s="1">
        <f ca="1">COUNTIF(BO17:BZ17,"&lt;-49")</f>
        <v>1</v>
      </c>
      <c r="CF17" s="1">
        <f ca="1">COUNTIF(BO17:BZ17,"&gt;+49")</f>
        <v>0</v>
      </c>
    </row>
    <row r="18" spans="1:84">
      <c r="A18" s="1">
        <v>15</v>
      </c>
      <c r="B18" s="1">
        <f>'Team B 1'!B18-'Team B 1'!$AA18-('Team B 1'!B$2- 12.5)*'Team B 1'!$AC18</f>
        <v>33.184727701731845</v>
      </c>
      <c r="C18" s="1">
        <f>'Team B 1'!C18-'Team B 1'!$AA18-('Team B 1'!C$2- 12.5)*'Team B 1'!$AC18</f>
        <v>-21.150176156390216</v>
      </c>
      <c r="D18" s="1">
        <f>'Team B 1'!D18-'Team B 1'!$AA18-('Team B 1'!D$2- 12.5)*'Team B 1'!$AC18</f>
        <v>-5.4850800145122776</v>
      </c>
      <c r="E18" s="1">
        <f>'Team B 1'!E18-'Team B 1'!$AA18-('Team B 1'!E$2- 12.5)*'Team B 1'!$AC18</f>
        <v>0.1800161273656613</v>
      </c>
      <c r="F18" s="1">
        <f>'Team B 1'!F18-'Team B 1'!$AA18-('Team B 1'!F$2- 12.5)*'Team B 1'!$AC18</f>
        <v>-24.154887730756172</v>
      </c>
      <c r="G18" s="1">
        <f>'Team B 1'!G18-'Team B 1'!$AA18-('Team B 1'!G$2- 12.5)*'Team B 1'!$AC18</f>
        <v>-18.489791588878234</v>
      </c>
      <c r="H18" s="1">
        <f>'Team B 1'!H18-'Team B 1'!$AA18-('Team B 1'!H$2- 12.5)*'Team B 1'!$AC18</f>
        <v>-32.824695447000295</v>
      </c>
      <c r="I18" s="1">
        <f>'Team B 1'!I18-'Team B 1'!$AA18-('Team B 1'!I$2- 12.5)*'Team B 1'!$AC18</f>
        <v>32.840400694877644</v>
      </c>
      <c r="J18" s="1">
        <f>'Team B 1'!J18-'Team B 1'!$AA18-('Team B 1'!J$2- 12.5)*'Team B 1'!$AC18</f>
        <v>38.505496836755583</v>
      </c>
      <c r="K18" s="1">
        <f>'Team B 1'!K18-'Team B 1'!$AA18-('Team B 1'!K$2- 12.5)*'Team B 1'!$AC18</f>
        <v>24.170592978633579</v>
      </c>
      <c r="L18" s="1">
        <f>'Team B 1'!L18-'Team B 1'!$AA18-('Team B 1'!L$2- 12.5)*'Team B 1'!$AC18</f>
        <v>19.835689120511518</v>
      </c>
      <c r="M18" s="1">
        <f>'Team B 1'!M18-'Team B 1'!$AA18-('Team B 1'!M$2- 12.5)*'Team B 1'!$AC18</f>
        <v>-4.4992147376105009</v>
      </c>
      <c r="N18" s="1">
        <f>'Team B 1'!N18-'Team B 1'!$AA18-('Team B 1'!N$2- 12.5)*'Team B 1'!$AC18</f>
        <v>-8.8341185957325337</v>
      </c>
      <c r="O18" s="1">
        <f>'Team B 1'!O18-'Team B 1'!$AA18-('Team B 1'!O$2- 12.5)*'Team B 1'!$AC18</f>
        <v>-23.169022453854552</v>
      </c>
      <c r="P18" s="1">
        <f>'Team B 1'!P18-'Team B 1'!$AA18-('Team B 1'!P$2- 12.5)*'Team B 1'!$AC18</f>
        <v>-7.5039263119766133</v>
      </c>
      <c r="Q18" s="1">
        <f>'Team B 1'!Q18-'Team B 1'!$AA18-('Team B 1'!Q$2- 12.5)*'Team B 1'!$AC18</f>
        <v>-1.8388301700986176</v>
      </c>
      <c r="R18" s="1">
        <f>'Team B 1'!R18-'Team B 1'!$AA18-('Team B 1'!R$2- 12.5)*'Team B 1'!$AC18</f>
        <v>-6.1737340282206787</v>
      </c>
      <c r="S18" s="1">
        <f>'Team B 1'!S18-'Team B 1'!$AA18-('Team B 1'!S$2- 12.5)*'Team B 1'!$AC18</f>
        <v>-30.50863788634274</v>
      </c>
      <c r="T18" s="1">
        <f>'Team B 1'!T18-'Team B 1'!$AA18-('Team B 1'!T$2- 12.5)*'Team B 1'!$AC18</f>
        <v>-54.843541744464801</v>
      </c>
      <c r="U18" s="1">
        <f>'Team B 1'!U18-'Team B 1'!$AA18-('Team B 1'!U$2- 12.5)*'Team B 1'!$AC18</f>
        <v>-19.178445602586862</v>
      </c>
      <c r="V18" s="1">
        <f>'Team B 1'!V18-'Team B 1'!$AA18-('Team B 1'!V$2- 12.5)*'Team B 1'!$AC18</f>
        <v>6.4866505392913041</v>
      </c>
      <c r="W18" s="1">
        <f>'Team B 1'!W18-'Team B 1'!$AA18-('Team B 1'!W$2- 12.5)*'Team B 1'!$AC18</f>
        <v>42.151746681169243</v>
      </c>
      <c r="X18" s="1">
        <f>'Team B 1'!X18-'Team B 1'!$AA18-('Team B 1'!X$2- 12.5)*'Team B 1'!$AC18</f>
        <v>37.816842823047182</v>
      </c>
      <c r="Y18" s="1">
        <f>'Team B 1'!Y18-'Team B 1'!$AA18-('Team B 1'!Y$2- 12.5)*'Team B 1'!$AC18</f>
        <v>23.481938964925121</v>
      </c>
      <c r="AB18" s="1">
        <f>STDEV(B18:Y18)</f>
        <v>26.342198110275522</v>
      </c>
      <c r="AD18" s="5">
        <v>7</v>
      </c>
      <c r="AE18" s="5">
        <v>8</v>
      </c>
      <c r="AF18" s="5" t="s">
        <v>47</v>
      </c>
      <c r="AG18" s="5" t="s">
        <v>46</v>
      </c>
      <c r="AH18" s="5">
        <v>5</v>
      </c>
      <c r="AI18" s="5">
        <v>4</v>
      </c>
      <c r="AJ18" s="5">
        <v>9</v>
      </c>
      <c r="AK18" s="5" t="s">
        <v>45</v>
      </c>
      <c r="AL18" s="5">
        <v>1</v>
      </c>
      <c r="AM18" s="5">
        <v>6</v>
      </c>
      <c r="AN18" s="5">
        <v>3</v>
      </c>
      <c r="AO18" s="5">
        <v>2</v>
      </c>
      <c r="AP18" s="5">
        <v>7</v>
      </c>
      <c r="AQ18" s="5" t="s">
        <v>47</v>
      </c>
      <c r="AR18" s="5">
        <v>8</v>
      </c>
      <c r="AS18" s="5">
        <v>5</v>
      </c>
      <c r="AT18" s="5" t="s">
        <v>46</v>
      </c>
      <c r="AU18" s="5">
        <v>9</v>
      </c>
      <c r="AV18" s="5">
        <v>4</v>
      </c>
      <c r="AW18" s="5" t="s">
        <v>45</v>
      </c>
      <c r="AX18" s="5">
        <v>6</v>
      </c>
      <c r="AY18" s="5">
        <v>1</v>
      </c>
      <c r="AZ18" s="5">
        <v>2</v>
      </c>
      <c r="BA18" s="5">
        <v>3</v>
      </c>
      <c r="BB18" s="5"/>
      <c r="BC18" s="1">
        <f ca="1">OFFSET(A18,0, 9) -0</f>
        <v>38.505496836755583</v>
      </c>
      <c r="BD18" s="1">
        <f ca="1">OFFSET(A18,0, 12) -0</f>
        <v>-4.4992147376105009</v>
      </c>
      <c r="BE18" s="1">
        <f ca="1">OFFSET(A18,0, 11) -0</f>
        <v>19.835689120511518</v>
      </c>
      <c r="BF18" s="1">
        <f ca="1">OFFSET(A18,0, 6) -0</f>
        <v>-18.489791588878234</v>
      </c>
      <c r="BG18" s="1">
        <f ca="1">OFFSET(A18,0, 5) -0</f>
        <v>-24.154887730756172</v>
      </c>
      <c r="BH18" s="1">
        <f ca="1">OFFSET(A18,0, 10) -0</f>
        <v>24.170592978633579</v>
      </c>
      <c r="BI18" s="1">
        <f ca="1">OFFSET(A18,0, 1) -0</f>
        <v>33.184727701731845</v>
      </c>
      <c r="BJ18" s="1">
        <f ca="1">OFFSET(A18,0, 2) -0</f>
        <v>-21.150176156390216</v>
      </c>
      <c r="BK18" s="1">
        <f ca="1">OFFSET(A18,0, 7) -0</f>
        <v>-32.824695447000295</v>
      </c>
      <c r="BL18" s="1">
        <f ca="1">OFFSET(A18,0, 8) -0</f>
        <v>32.840400694877644</v>
      </c>
      <c r="BM18" s="1">
        <f ca="1">OFFSET(A18,0, 4) -0</f>
        <v>0.1800161273656613</v>
      </c>
      <c r="BN18" s="1">
        <f ca="1">OFFSET(A18,0, 3) -0</f>
        <v>-5.4850800145122776</v>
      </c>
      <c r="BO18" s="1">
        <f ca="1">OFFSET(A18,0, 22) -0</f>
        <v>42.151746681169243</v>
      </c>
      <c r="BP18" s="1">
        <f ca="1">OFFSET(A18,0, 23) -0</f>
        <v>37.816842823047182</v>
      </c>
      <c r="BQ18" s="1">
        <f ca="1">OFFSET(A18,0, 24) -0</f>
        <v>23.481938964925121</v>
      </c>
      <c r="BR18" s="1">
        <f ca="1">OFFSET(A18,0, 19) -0</f>
        <v>-54.843541744464801</v>
      </c>
      <c r="BS18" s="1">
        <f ca="1">OFFSET(A18,0, 16) -0</f>
        <v>-1.8388301700986176</v>
      </c>
      <c r="BT18" s="1">
        <f ca="1">OFFSET(A18,0, 21) -0</f>
        <v>6.4866505392913041</v>
      </c>
      <c r="BU18" s="1">
        <f ca="1">OFFSET(A18,0, 13) -0</f>
        <v>-8.8341185957325337</v>
      </c>
      <c r="BV18" s="1">
        <f ca="1">OFFSET(A18,0, 15) -0</f>
        <v>-7.5039263119766133</v>
      </c>
      <c r="BW18" s="1">
        <f ca="1">OFFSET(A18,0, 18) -0</f>
        <v>-30.50863788634274</v>
      </c>
      <c r="BX18" s="1">
        <f ca="1">OFFSET(A18,0, 20) -0</f>
        <v>-19.178445602586862</v>
      </c>
      <c r="BY18" s="1">
        <f ca="1">OFFSET(A18,0, 17) -0</f>
        <v>-6.1737340282206787</v>
      </c>
      <c r="BZ18" s="1">
        <f ca="1">OFFSET(A18,0, 14) -0</f>
        <v>-23.169022453854552</v>
      </c>
      <c r="CB18" s="1">
        <f>COUNTIF(B18,"&lt;-69")</f>
        <v>0</v>
      </c>
      <c r="CC18" s="1">
        <f ca="1">COUNTIF(BC18:BN18,"&lt;-49")</f>
        <v>0</v>
      </c>
      <c r="CD18" s="1">
        <f ca="1">COUNTIF(BC18:BN18,"&gt;+49")</f>
        <v>0</v>
      </c>
      <c r="CE18" s="1">
        <f ca="1">COUNTIF(BO18:BZ18,"&lt;-49")</f>
        <v>1</v>
      </c>
      <c r="CF18" s="1">
        <f ca="1">COUNTIF(BO18:BZ18,"&gt;+49")</f>
        <v>0</v>
      </c>
    </row>
    <row r="19" spans="1:84">
      <c r="A19" s="1">
        <v>16</v>
      </c>
      <c r="B19" s="1">
        <f>'Team B 1'!B19-'Team B 1'!$AA19-('Team B 1'!B$2- 12.5)*'Team B 1'!$AC19</f>
        <v>35.905180752775777</v>
      </c>
      <c r="C19" s="1">
        <f>'Team B 1'!C19-'Team B 1'!$AA19-('Team B 1'!C$2- 12.5)*'Team B 1'!$AC19</f>
        <v>81.261251991664949</v>
      </c>
      <c r="D19" s="1">
        <f>'Team B 1'!D19-'Team B 1'!$AA19-('Team B 1'!D$2- 12.5)*'Team B 1'!$AC19</f>
        <v>56.617323230553893</v>
      </c>
      <c r="E19" s="1">
        <f>'Team B 1'!E19-'Team B 1'!$AA19-('Team B 1'!E$2- 12.5)*'Team B 1'!$AC19</f>
        <v>11.973394469443065</v>
      </c>
      <c r="F19" s="1">
        <f>'Team B 1'!F19-'Team B 1'!$AA19-('Team B 1'!F$2- 12.5)*'Team B 1'!$AC19</f>
        <v>-12.670534291667991</v>
      </c>
      <c r="G19" s="1">
        <f>'Team B 1'!G19-'Team B 1'!$AA19-('Team B 1'!G$2- 12.5)*'Team B 1'!$AC19</f>
        <v>22.685536947221181</v>
      </c>
      <c r="H19" s="1">
        <f>'Team B 1'!H19-'Team B 1'!$AA19-('Team B 1'!H$2- 12.5)*'Team B 1'!$AC19</f>
        <v>-31.958391813889875</v>
      </c>
      <c r="I19" s="1">
        <f>'Team B 1'!I19-'Team B 1'!$AA19-('Team B 1'!I$2- 12.5)*'Team B 1'!$AC19</f>
        <v>-46.602320575000704</v>
      </c>
      <c r="J19" s="1">
        <f>'Team B 1'!J19-'Team B 1'!$AA19-('Team B 1'!J$2- 12.5)*'Team B 1'!$AC19</f>
        <v>38.753750663888241</v>
      </c>
      <c r="K19" s="1">
        <f>'Team B 1'!K19-'Team B 1'!$AA19-('Team B 1'!K$2- 12.5)*'Team B 1'!$AC19</f>
        <v>4.1098219027773553</v>
      </c>
      <c r="L19" s="1">
        <f>'Team B 1'!L19-'Team B 1'!$AA19-('Team B 1'!L$2- 12.5)*'Team B 1'!$AC19</f>
        <v>9.4658931416664132</v>
      </c>
      <c r="M19" s="1">
        <f>'Team B 1'!M19-'Team B 1'!$AA19-('Team B 1'!M$2- 12.5)*'Team B 1'!$AC19</f>
        <v>14.821964380555471</v>
      </c>
      <c r="N19" s="1">
        <f>'Team B 1'!N19-'Team B 1'!$AA19-('Team B 1'!N$2- 12.5)*'Team B 1'!$AC19</f>
        <v>20.178035619444529</v>
      </c>
      <c r="O19" s="1">
        <f>'Team B 1'!O19-'Team B 1'!$AA19-('Team B 1'!O$2- 12.5)*'Team B 1'!$AC19</f>
        <v>5.5341068583335868</v>
      </c>
      <c r="P19" s="1">
        <f>'Team B 1'!P19-'Team B 1'!$AA19-('Team B 1'!P$2- 12.5)*'Team B 1'!$AC19</f>
        <v>10.890178097222645</v>
      </c>
      <c r="Q19" s="1">
        <f>'Team B 1'!Q19-'Team B 1'!$AA19-('Team B 1'!Q$2- 12.5)*'Team B 1'!$AC19</f>
        <v>-3.7537506638882405</v>
      </c>
      <c r="R19" s="1">
        <f>'Team B 1'!R19-'Team B 1'!$AA19-('Team B 1'!R$2- 12.5)*'Team B 1'!$AC19</f>
        <v>-58.397679424999296</v>
      </c>
      <c r="S19" s="1">
        <f>'Team B 1'!S19-'Team B 1'!$AA19-('Team B 1'!S$2- 12.5)*'Team B 1'!$AC19</f>
        <v>-23.041608186110125</v>
      </c>
      <c r="T19" s="1">
        <f>'Team B 1'!T19-'Team B 1'!$AA19-('Team B 1'!T$2- 12.5)*'Team B 1'!$AC19</f>
        <v>2.3144630527788195</v>
      </c>
      <c r="U19" s="1">
        <f>'Team B 1'!U19-'Team B 1'!$AA19-('Team B 1'!U$2- 12.5)*'Team B 1'!$AC19</f>
        <v>7.6705342916679911</v>
      </c>
      <c r="V19" s="1">
        <f>'Team B 1'!V19-'Team B 1'!$AA19-('Team B 1'!V$2- 12.5)*'Team B 1'!$AC19</f>
        <v>-86.973394469443065</v>
      </c>
      <c r="W19" s="1">
        <f>'Team B 1'!W19-'Team B 1'!$AA19-('Team B 1'!W$2- 12.5)*'Team B 1'!$AC19</f>
        <v>-31.617323230553893</v>
      </c>
      <c r="X19" s="1">
        <f>'Team B 1'!X19-'Team B 1'!$AA19-('Team B 1'!X$2- 12.5)*'Team B 1'!$AC19</f>
        <v>-16.261251991664949</v>
      </c>
      <c r="Y19" s="1">
        <f>'Team B 1'!Y19-'Team B 1'!$AA19-('Team B 1'!Y$2- 12.5)*'Team B 1'!$AC19</f>
        <v>-10.905180752775777</v>
      </c>
      <c r="AB19" s="1">
        <f>STDEV(B19:Y19)</f>
        <v>36.392203892194978</v>
      </c>
      <c r="AD19" s="5" t="s">
        <v>47</v>
      </c>
      <c r="AE19" s="5">
        <v>7</v>
      </c>
      <c r="AF19" s="5">
        <v>5</v>
      </c>
      <c r="AG19" s="5">
        <v>8</v>
      </c>
      <c r="AH19" s="5">
        <v>9</v>
      </c>
      <c r="AI19" s="5" t="s">
        <v>46</v>
      </c>
      <c r="AJ19" s="5" t="s">
        <v>45</v>
      </c>
      <c r="AK19" s="5">
        <v>4</v>
      </c>
      <c r="AL19" s="5">
        <v>1</v>
      </c>
      <c r="AM19" s="5">
        <v>6</v>
      </c>
      <c r="AN19" s="5">
        <v>3</v>
      </c>
      <c r="AO19" s="5">
        <v>2</v>
      </c>
      <c r="AP19" s="5">
        <v>7</v>
      </c>
      <c r="AQ19" s="5" t="s">
        <v>47</v>
      </c>
      <c r="AR19" s="5">
        <v>8</v>
      </c>
      <c r="AS19" s="5">
        <v>5</v>
      </c>
      <c r="AT19" s="5" t="s">
        <v>46</v>
      </c>
      <c r="AU19" s="5">
        <v>9</v>
      </c>
      <c r="AV19" s="5" t="s">
        <v>45</v>
      </c>
      <c r="AW19" s="5">
        <v>1</v>
      </c>
      <c r="AX19" s="5">
        <v>4</v>
      </c>
      <c r="AY19" s="5">
        <v>6</v>
      </c>
      <c r="AZ19" s="5">
        <v>2</v>
      </c>
      <c r="BA19" s="5">
        <v>3</v>
      </c>
      <c r="BB19" s="5"/>
      <c r="BC19" s="1">
        <f ca="1">OFFSET(A19,0, 9) -0</f>
        <v>38.753750663888241</v>
      </c>
      <c r="BD19" s="1">
        <f ca="1">OFFSET(A19,0, 12) -0</f>
        <v>14.821964380555471</v>
      </c>
      <c r="BE19" s="1">
        <f ca="1">OFFSET(A19,0, 11) -0</f>
        <v>9.4658931416664132</v>
      </c>
      <c r="BF19" s="1">
        <f ca="1">OFFSET(A19,0, 8) -0</f>
        <v>-46.602320575000704</v>
      </c>
      <c r="BG19" s="1">
        <f ca="1">OFFSET(A19,0, 3) -0</f>
        <v>56.617323230553893</v>
      </c>
      <c r="BH19" s="1">
        <f ca="1">OFFSET(A19,0, 10) -0</f>
        <v>4.1098219027773553</v>
      </c>
      <c r="BI19" s="1">
        <f ca="1">OFFSET(A19,0, 2) -0</f>
        <v>81.261251991664949</v>
      </c>
      <c r="BJ19" s="1">
        <f ca="1">OFFSET(A19,0, 4) -0</f>
        <v>11.973394469443065</v>
      </c>
      <c r="BK19" s="1">
        <f ca="1">OFFSET(A19,0, 5) -0</f>
        <v>-12.670534291667991</v>
      </c>
      <c r="BL19" s="1">
        <f ca="1">OFFSET(A19,0, 7) -0</f>
        <v>-31.958391813889875</v>
      </c>
      <c r="BM19" s="1">
        <f ca="1">OFFSET(A19,0, 6) -0</f>
        <v>22.685536947221181</v>
      </c>
      <c r="BN19" s="1">
        <f ca="1">OFFSET(A19,0, 1) -0</f>
        <v>35.905180752775777</v>
      </c>
      <c r="BO19" s="1">
        <f ca="1">OFFSET(A19,0, 20) -0</f>
        <v>7.6705342916679911</v>
      </c>
      <c r="BP19" s="1">
        <f ca="1">OFFSET(A19,0, 23) -0</f>
        <v>-16.261251991664949</v>
      </c>
      <c r="BQ19" s="1">
        <f ca="1">OFFSET(A19,0, 24) -0</f>
        <v>-10.905180752775777</v>
      </c>
      <c r="BR19" s="1">
        <f ca="1">OFFSET(A19,0, 21) -0</f>
        <v>-86.973394469443065</v>
      </c>
      <c r="BS19" s="1">
        <f ca="1">OFFSET(A19,0, 16) -0</f>
        <v>-3.7537506638882405</v>
      </c>
      <c r="BT19" s="1">
        <f ca="1">OFFSET(A19,0, 22) -0</f>
        <v>-31.617323230553893</v>
      </c>
      <c r="BU19" s="1">
        <f ca="1">OFFSET(A19,0, 13) -0</f>
        <v>20.178035619444529</v>
      </c>
      <c r="BV19" s="1">
        <f ca="1">OFFSET(A19,0, 15) -0</f>
        <v>10.890178097222645</v>
      </c>
      <c r="BW19" s="1">
        <f ca="1">OFFSET(A19,0, 18) -0</f>
        <v>-23.041608186110125</v>
      </c>
      <c r="BX19" s="1">
        <f ca="1">OFFSET(A19,0, 19) -0</f>
        <v>2.3144630527788195</v>
      </c>
      <c r="BY19" s="1">
        <f ca="1">OFFSET(A19,0, 17) -0</f>
        <v>-58.397679424999296</v>
      </c>
      <c r="BZ19" s="1">
        <f ca="1">OFFSET(A19,0, 14) -0</f>
        <v>5.5341068583335868</v>
      </c>
      <c r="CB19" s="1">
        <f>COUNTIF(B19,"&lt;-69")</f>
        <v>0</v>
      </c>
      <c r="CC19" s="1">
        <f ca="1">COUNTIF(BC19:BN19,"&lt;-49")</f>
        <v>0</v>
      </c>
      <c r="CD19" s="1">
        <f ca="1">COUNTIF(BC19:BN19,"&gt;+49")</f>
        <v>2</v>
      </c>
      <c r="CE19" s="1">
        <f ca="1">COUNTIF(BO19:BZ19,"&lt;-49")</f>
        <v>2</v>
      </c>
      <c r="CF19" s="1">
        <f ca="1">COUNTIF(BO19:BZ19,"&gt;+49")</f>
        <v>0</v>
      </c>
    </row>
    <row r="20" spans="1:84">
      <c r="A20" s="1">
        <v>17</v>
      </c>
      <c r="B20" s="1">
        <f>'Team B 1'!B20-'Team B 1'!$AA20-('Team B 1'!B$2- 12.5)*'Team B 1'!$AC20</f>
        <v>48.242813032625236</v>
      </c>
      <c r="C20" s="1">
        <f>'Team B 1'!C20-'Team B 1'!$AA20-('Team B 1'!C$2- 12.5)*'Team B 1'!$AC20</f>
        <v>23.431843783411978</v>
      </c>
      <c r="D20" s="1">
        <f>'Team B 1'!D20-'Team B 1'!$AA20-('Team B 1'!D$2- 12.5)*'Team B 1'!$AC20</f>
        <v>68.620874534198492</v>
      </c>
      <c r="E20" s="1">
        <f>'Team B 1'!E20-'Team B 1'!$AA20-('Team B 1'!E$2- 12.5)*'Team B 1'!$AC20</f>
        <v>3.8099052849852342</v>
      </c>
      <c r="F20" s="1">
        <f>'Team B 1'!F20-'Team B 1'!$AA20-('Team B 1'!F$2- 12.5)*'Team B 1'!$AC20</f>
        <v>-11.001063964228251</v>
      </c>
      <c r="G20" s="1">
        <f>'Team B 1'!G20-'Team B 1'!$AA20-('Team B 1'!G$2- 12.5)*'Team B 1'!$AC20</f>
        <v>4.1879667865584906</v>
      </c>
      <c r="H20" s="1">
        <f>'Team B 1'!H20-'Team B 1'!$AA20-('Team B 1'!H$2- 12.5)*'Team B 1'!$AC20</f>
        <v>29.376997537345005</v>
      </c>
      <c r="I20" s="1">
        <f>'Team B 1'!I20-'Team B 1'!$AA20-('Team B 1'!I$2- 12.5)*'Team B 1'!$AC20</f>
        <v>14.566028288131747</v>
      </c>
      <c r="J20" s="1">
        <f>'Team B 1'!J20-'Team B 1'!$AA20-('Team B 1'!J$2- 12.5)*'Team B 1'!$AC20</f>
        <v>-30.244940961081738</v>
      </c>
      <c r="K20" s="1">
        <f>'Team B 1'!K20-'Team B 1'!$AA20-('Team B 1'!K$2- 12.5)*'Team B 1'!$AC20</f>
        <v>-45.055910210295053</v>
      </c>
      <c r="L20" s="1">
        <f>'Team B 1'!L20-'Team B 1'!$AA20-('Team B 1'!L$2- 12.5)*'Team B 1'!$AC20</f>
        <v>-29.866879459508425</v>
      </c>
      <c r="M20" s="1">
        <f>'Team B 1'!M20-'Team B 1'!$AA20-('Team B 1'!M$2- 12.5)*'Team B 1'!$AC20</f>
        <v>-4.6778487087217968</v>
      </c>
      <c r="N20" s="1">
        <f>'Team B 1'!N20-'Team B 1'!$AA20-('Team B 1'!N$2- 12.5)*'Team B 1'!$AC20</f>
        <v>-19.488817957935169</v>
      </c>
      <c r="O20" s="1">
        <f>'Team B 1'!O20-'Team B 1'!$AA20-('Team B 1'!O$2- 12.5)*'Team B 1'!$AC20</f>
        <v>35.70021279285146</v>
      </c>
      <c r="P20" s="1">
        <f>'Team B 1'!P20-'Team B 1'!$AA20-('Team B 1'!P$2- 12.5)*'Team B 1'!$AC20</f>
        <v>20.889243543638088</v>
      </c>
      <c r="Q20" s="1">
        <f>'Team B 1'!Q20-'Team B 1'!$AA20-('Team B 1'!Q$2- 12.5)*'Team B 1'!$AC20</f>
        <v>-33.921725705575227</v>
      </c>
      <c r="R20" s="1">
        <f>'Team B 1'!R20-'Team B 1'!$AA20-('Team B 1'!R$2- 12.5)*'Team B 1'!$AC20</f>
        <v>11.267305045211288</v>
      </c>
      <c r="S20" s="1">
        <f>'Team B 1'!S20-'Team B 1'!$AA20-('Team B 1'!S$2- 12.5)*'Team B 1'!$AC20</f>
        <v>-23.543664204001971</v>
      </c>
      <c r="T20" s="1">
        <f>'Team B 1'!T20-'Team B 1'!$AA20-('Team B 1'!T$2- 12.5)*'Team B 1'!$AC20</f>
        <v>-38.354633453215456</v>
      </c>
      <c r="U20" s="1">
        <f>'Team B 1'!U20-'Team B 1'!$AA20-('Team B 1'!U$2- 12.5)*'Team B 1'!$AC20</f>
        <v>-13.165602702428714</v>
      </c>
      <c r="V20" s="1">
        <f>'Team B 1'!V20-'Team B 1'!$AA20-('Team B 1'!V$2- 12.5)*'Team B 1'!$AC20</f>
        <v>22.0234280483578</v>
      </c>
      <c r="W20" s="1">
        <f>'Team B 1'!W20-'Team B 1'!$AA20-('Team B 1'!W$2- 12.5)*'Team B 1'!$AC20</f>
        <v>-12.787541200855458</v>
      </c>
      <c r="X20" s="1">
        <f>'Team B 1'!X20-'Team B 1'!$AA20-('Team B 1'!X$2- 12.5)*'Team B 1'!$AC20</f>
        <v>-17.598510450068943</v>
      </c>
      <c r="Y20" s="1">
        <f>'Team B 1'!Y20-'Team B 1'!$AA20-('Team B 1'!Y$2- 12.5)*'Team B 1'!$AC20</f>
        <v>-2.4094796992822012</v>
      </c>
      <c r="AB20" s="1">
        <f>STDEV(B20:Y20)</f>
        <v>28.895087773303263</v>
      </c>
      <c r="AD20" s="5" t="s">
        <v>47</v>
      </c>
      <c r="AE20" s="5">
        <v>7</v>
      </c>
      <c r="AF20" s="5">
        <v>5</v>
      </c>
      <c r="AG20" s="5">
        <v>8</v>
      </c>
      <c r="AH20" s="5">
        <v>9</v>
      </c>
      <c r="AI20" s="5" t="s">
        <v>46</v>
      </c>
      <c r="AJ20" s="5">
        <v>1</v>
      </c>
      <c r="AK20" s="5" t="s">
        <v>45</v>
      </c>
      <c r="AL20" s="5">
        <v>6</v>
      </c>
      <c r="AM20" s="5">
        <v>4</v>
      </c>
      <c r="AN20" s="5">
        <v>3</v>
      </c>
      <c r="AO20" s="5">
        <v>2</v>
      </c>
      <c r="AP20" s="5" t="s">
        <v>47</v>
      </c>
      <c r="AQ20" s="5">
        <v>5</v>
      </c>
      <c r="AR20" s="5">
        <v>7</v>
      </c>
      <c r="AS20" s="5">
        <v>9</v>
      </c>
      <c r="AT20" s="5">
        <v>8</v>
      </c>
      <c r="AU20" s="5" t="s">
        <v>46</v>
      </c>
      <c r="AV20" s="5" t="s">
        <v>45</v>
      </c>
      <c r="AW20" s="5">
        <v>1</v>
      </c>
      <c r="AX20" s="5">
        <v>6</v>
      </c>
      <c r="AY20" s="5">
        <v>3</v>
      </c>
      <c r="AZ20" s="5">
        <v>4</v>
      </c>
      <c r="BA20" s="5">
        <v>2</v>
      </c>
      <c r="BB20" s="5"/>
      <c r="BC20" s="1">
        <f ca="1">OFFSET(A20,0, 7) -0</f>
        <v>29.376997537345005</v>
      </c>
      <c r="BD20" s="1">
        <f ca="1">OFFSET(A20,0, 12) -0</f>
        <v>-4.6778487087217968</v>
      </c>
      <c r="BE20" s="1">
        <f ca="1">OFFSET(A20,0, 11) -0</f>
        <v>-29.866879459508425</v>
      </c>
      <c r="BF20" s="1">
        <f ca="1">OFFSET(A20,0, 10) -0</f>
        <v>-45.055910210295053</v>
      </c>
      <c r="BG20" s="1">
        <f ca="1">OFFSET(A20,0, 3) -0</f>
        <v>68.620874534198492</v>
      </c>
      <c r="BH20" s="1">
        <f ca="1">OFFSET(A20,0, 9) -0</f>
        <v>-30.244940961081738</v>
      </c>
      <c r="BI20" s="1">
        <f ca="1">OFFSET(A20,0, 2) -0</f>
        <v>23.431843783411978</v>
      </c>
      <c r="BJ20" s="1">
        <f ca="1">OFFSET(A20,0, 4) -0</f>
        <v>3.8099052849852342</v>
      </c>
      <c r="BK20" s="1">
        <f ca="1">OFFSET(A20,0, 5) -0</f>
        <v>-11.001063964228251</v>
      </c>
      <c r="BL20" s="1">
        <f ca="1">OFFSET(A20,0, 8) -0</f>
        <v>14.566028288131747</v>
      </c>
      <c r="BM20" s="1">
        <f ca="1">OFFSET(A20,0, 6) -0</f>
        <v>4.1879667865584906</v>
      </c>
      <c r="BN20" s="1">
        <f ca="1">OFFSET(A20,0, 1) -0</f>
        <v>48.242813032625236</v>
      </c>
      <c r="BO20" s="1">
        <f ca="1">OFFSET(A20,0, 20) -0</f>
        <v>-13.165602702428714</v>
      </c>
      <c r="BP20" s="1">
        <f ca="1">OFFSET(A20,0, 24) -0</f>
        <v>-2.4094796992822012</v>
      </c>
      <c r="BQ20" s="1">
        <f ca="1">OFFSET(A20,0, 22) -0</f>
        <v>-12.787541200855458</v>
      </c>
      <c r="BR20" s="1">
        <f ca="1">OFFSET(A20,0, 23) -0</f>
        <v>-17.598510450068943</v>
      </c>
      <c r="BS20" s="1">
        <f ca="1">OFFSET(A20,0, 14) -0</f>
        <v>35.70021279285146</v>
      </c>
      <c r="BT20" s="1">
        <f ca="1">OFFSET(A20,0, 21) -0</f>
        <v>22.0234280483578</v>
      </c>
      <c r="BU20" s="1">
        <f ca="1">OFFSET(A20,0, 15) -0</f>
        <v>20.889243543638088</v>
      </c>
      <c r="BV20" s="1">
        <f ca="1">OFFSET(A20,0, 17) -0</f>
        <v>11.267305045211288</v>
      </c>
      <c r="BW20" s="1">
        <f ca="1">OFFSET(A20,0, 16) -0</f>
        <v>-33.921725705575227</v>
      </c>
      <c r="BX20" s="1">
        <f ca="1">OFFSET(A20,0, 19) -0</f>
        <v>-38.354633453215456</v>
      </c>
      <c r="BY20" s="1">
        <f ca="1">OFFSET(A20,0, 18) -0</f>
        <v>-23.543664204001971</v>
      </c>
      <c r="BZ20" s="1">
        <f ca="1">OFFSET(A20,0, 13) -0</f>
        <v>-19.488817957935169</v>
      </c>
      <c r="CB20" s="1">
        <f>COUNTIF(B20,"&lt;-69")</f>
        <v>0</v>
      </c>
      <c r="CC20" s="1">
        <f ca="1">COUNTIF(BC20:BN20,"&lt;-49")</f>
        <v>0</v>
      </c>
      <c r="CD20" s="1">
        <f ca="1">COUNTIF(BC20:BN20,"&gt;+49")</f>
        <v>1</v>
      </c>
      <c r="CE20" s="1">
        <f ca="1">COUNTIF(BO20:BZ20,"&lt;-49")</f>
        <v>0</v>
      </c>
      <c r="CF20" s="1">
        <f ca="1">COUNTIF(BO20:BZ20,"&gt;+49")</f>
        <v>0</v>
      </c>
    </row>
    <row r="21" spans="1:84">
      <c r="A21" s="1">
        <v>18</v>
      </c>
      <c r="B21" s="1">
        <f>'Team B 1'!B21-'Team B 1'!$AA21-('Team B 1'!B$2- 12.5)*'Team B 1'!$AC21</f>
        <v>12.918077592305963</v>
      </c>
      <c r="C21" s="1">
        <f>'Team B 1'!C21-'Team B 1'!$AA21-('Team B 1'!C$2- 12.5)*'Team B 1'!$AC21</f>
        <v>-12.226972633112382</v>
      </c>
      <c r="D21" s="1">
        <f>'Team B 1'!D21-'Team B 1'!$AA21-('Team B 1'!D$2- 12.5)*'Team B 1'!$AC21</f>
        <v>-37.372022858530045</v>
      </c>
      <c r="E21" s="1">
        <f>'Team B 1'!E21-'Team B 1'!$AA21-('Team B 1'!E$2- 12.5)*'Team B 1'!$AC21</f>
        <v>27.482926916052065</v>
      </c>
      <c r="F21" s="1">
        <f>'Team B 1'!F21-'Team B 1'!$AA21-('Team B 1'!F$2- 12.5)*'Team B 1'!$AC21</f>
        <v>32.337876690634175</v>
      </c>
      <c r="G21" s="1">
        <f>'Team B 1'!G21-'Team B 1'!$AA21-('Team B 1'!G$2- 12.5)*'Team B 1'!$AC21</f>
        <v>57.192826465216285</v>
      </c>
      <c r="H21" s="1">
        <f>'Team B 1'!H21-'Team B 1'!$AA21-('Team B 1'!H$2- 12.5)*'Team B 1'!$AC21</f>
        <v>12.047776239798395</v>
      </c>
      <c r="I21" s="1">
        <f>'Team B 1'!I21-'Team B 1'!$AA21-('Team B 1'!I$2- 12.5)*'Team B 1'!$AC21</f>
        <v>36.902726014380505</v>
      </c>
      <c r="J21" s="1">
        <f>'Team B 1'!J21-'Team B 1'!$AA21-('Team B 1'!J$2- 12.5)*'Team B 1'!$AC21</f>
        <v>-18.242324211037385</v>
      </c>
      <c r="K21" s="1">
        <f>'Team B 1'!K21-'Team B 1'!$AA21-('Team B 1'!K$2- 12.5)*'Team B 1'!$AC21</f>
        <v>36.612625563544725</v>
      </c>
      <c r="L21" s="1">
        <f>'Team B 1'!L21-'Team B 1'!$AA21-('Team B 1'!L$2- 12.5)*'Team B 1'!$AC21</f>
        <v>-28.532424661873165</v>
      </c>
      <c r="M21" s="1">
        <f>'Team B 1'!M21-'Team B 1'!$AA21-('Team B 1'!M$2- 12.5)*'Team B 1'!$AC21</f>
        <v>-23.677474887291055</v>
      </c>
      <c r="N21" s="1">
        <f>'Team B 1'!N21-'Team B 1'!$AA21-('Team B 1'!N$2- 12.5)*'Team B 1'!$AC21</f>
        <v>-18.822525112708945</v>
      </c>
      <c r="O21" s="1">
        <f>'Team B 1'!O21-'Team B 1'!$AA21-('Team B 1'!O$2- 12.5)*'Team B 1'!$AC21</f>
        <v>6.032424661873165</v>
      </c>
      <c r="P21" s="1">
        <f>'Team B 1'!P21-'Team B 1'!$AA21-('Team B 1'!P$2- 12.5)*'Team B 1'!$AC21</f>
        <v>-49.112625563544725</v>
      </c>
      <c r="Q21" s="1">
        <f>'Team B 1'!Q21-'Team B 1'!$AA21-('Team B 1'!Q$2- 12.5)*'Team B 1'!$AC21</f>
        <v>-44.257675788962615</v>
      </c>
      <c r="R21" s="1">
        <f>'Team B 1'!R21-'Team B 1'!$AA21-('Team B 1'!R$2- 12.5)*'Team B 1'!$AC21</f>
        <v>-19.402726014380505</v>
      </c>
      <c r="S21" s="1">
        <f>'Team B 1'!S21-'Team B 1'!$AA21-('Team B 1'!S$2- 12.5)*'Team B 1'!$AC21</f>
        <v>35.452223760201605</v>
      </c>
      <c r="T21" s="1">
        <f>'Team B 1'!T21-'Team B 1'!$AA21-('Team B 1'!T$2- 12.5)*'Team B 1'!$AC21</f>
        <v>0.30717353478371479</v>
      </c>
      <c r="U21" s="1">
        <f>'Team B 1'!U21-'Team B 1'!$AA21-('Team B 1'!U$2- 12.5)*'Team B 1'!$AC21</f>
        <v>-24.837876690634175</v>
      </c>
      <c r="V21" s="1">
        <f>'Team B 1'!V21-'Team B 1'!$AA21-('Team B 1'!V$2- 12.5)*'Team B 1'!$AC21</f>
        <v>1.707308394793472E-2</v>
      </c>
      <c r="W21" s="1">
        <f>'Team B 1'!W21-'Team B 1'!$AA21-('Team B 1'!W$2- 12.5)*'Team B 1'!$AC21</f>
        <v>14.872022858530045</v>
      </c>
      <c r="X21" s="1">
        <f>'Team B 1'!X21-'Team B 1'!$AA21-('Team B 1'!X$2- 12.5)*'Team B 1'!$AC21</f>
        <v>-0.27302736688761797</v>
      </c>
      <c r="Y21" s="1">
        <f>'Team B 1'!Y21-'Team B 1'!$AA21-('Team B 1'!Y$2- 12.5)*'Team B 1'!$AC21</f>
        <v>4.5819224076940372</v>
      </c>
      <c r="AB21" s="1">
        <f>STDEV(B21:Y21)</f>
        <v>28.433077281823529</v>
      </c>
      <c r="AD21" s="5">
        <v>5</v>
      </c>
      <c r="AE21" s="5" t="s">
        <v>47</v>
      </c>
      <c r="AF21" s="5">
        <v>9</v>
      </c>
      <c r="AG21" s="5">
        <v>7</v>
      </c>
      <c r="AH21" s="5" t="s">
        <v>46</v>
      </c>
      <c r="AI21" s="5">
        <v>8</v>
      </c>
      <c r="AJ21" s="5">
        <v>1</v>
      </c>
      <c r="AK21" s="5" t="s">
        <v>45</v>
      </c>
      <c r="AL21" s="5">
        <v>3</v>
      </c>
      <c r="AM21" s="5">
        <v>6</v>
      </c>
      <c r="AN21" s="5">
        <v>2</v>
      </c>
      <c r="AO21" s="5">
        <v>4</v>
      </c>
      <c r="AP21" s="5" t="s">
        <v>47</v>
      </c>
      <c r="AQ21" s="5">
        <v>5</v>
      </c>
      <c r="AR21" s="5">
        <v>7</v>
      </c>
      <c r="AS21" s="5">
        <v>9</v>
      </c>
      <c r="AT21" s="5" t="s">
        <v>46</v>
      </c>
      <c r="AU21" s="5">
        <v>1</v>
      </c>
      <c r="AV21" s="5">
        <v>8</v>
      </c>
      <c r="AW21" s="5" t="s">
        <v>45</v>
      </c>
      <c r="AX21" s="5">
        <v>6</v>
      </c>
      <c r="AY21" s="5">
        <v>3</v>
      </c>
      <c r="AZ21" s="5">
        <v>4</v>
      </c>
      <c r="BA21" s="5">
        <v>2</v>
      </c>
      <c r="BB21" s="5"/>
      <c r="BC21" s="1">
        <f ca="1">OFFSET(A21,0, 7) -0</f>
        <v>12.047776239798395</v>
      </c>
      <c r="BD21" s="1">
        <f ca="1">OFFSET(A21,0, 11) -0</f>
        <v>-28.532424661873165</v>
      </c>
      <c r="BE21" s="1">
        <f ca="1">OFFSET(A21,0, 9) -0</f>
        <v>-18.242324211037385</v>
      </c>
      <c r="BF21" s="1">
        <f ca="1">OFFSET(A21,0, 12) -0</f>
        <v>-23.677474887291055</v>
      </c>
      <c r="BG21" s="1">
        <f ca="1">OFFSET(A21,0, 1) -0</f>
        <v>12.918077592305963</v>
      </c>
      <c r="BH21" s="1">
        <f ca="1">OFFSET(A21,0, 10) -0</f>
        <v>36.612625563544725</v>
      </c>
      <c r="BI21" s="1">
        <f ca="1">OFFSET(A21,0, 4) -0</f>
        <v>27.482926916052065</v>
      </c>
      <c r="BJ21" s="1">
        <f ca="1">OFFSET(A21,0, 6) -0</f>
        <v>57.192826465216285</v>
      </c>
      <c r="BK21" s="1">
        <f ca="1">OFFSET(A21,0, 3) -0</f>
        <v>-37.372022858530045</v>
      </c>
      <c r="BL21" s="1">
        <f ca="1">OFFSET(A21,0, 8) -0</f>
        <v>36.902726014380505</v>
      </c>
      <c r="BM21" s="1">
        <f ca="1">OFFSET(A21,0, 5) -0</f>
        <v>32.337876690634175</v>
      </c>
      <c r="BN21" s="1">
        <f ca="1">OFFSET(A21,0, 2) -0</f>
        <v>-12.226972633112382</v>
      </c>
      <c r="BO21" s="1">
        <f ca="1">OFFSET(A21,0, 18) -0</f>
        <v>35.452223760201605</v>
      </c>
      <c r="BP21" s="1">
        <f ca="1">OFFSET(A21,0, 24) -0</f>
        <v>4.5819224076940372</v>
      </c>
      <c r="BQ21" s="1">
        <f ca="1">OFFSET(A21,0, 22) -0</f>
        <v>14.872022858530045</v>
      </c>
      <c r="BR21" s="1">
        <f ca="1">OFFSET(A21,0, 23) -0</f>
        <v>-0.27302736688761797</v>
      </c>
      <c r="BS21" s="1">
        <f ca="1">OFFSET(A21,0, 14) -0</f>
        <v>6.032424661873165</v>
      </c>
      <c r="BT21" s="1">
        <f ca="1">OFFSET(A21,0, 21) -0</f>
        <v>1.707308394793472E-2</v>
      </c>
      <c r="BU21" s="1">
        <f ca="1">OFFSET(A21,0, 15) -0</f>
        <v>-49.112625563544725</v>
      </c>
      <c r="BV21" s="1">
        <f ca="1">OFFSET(A21,0, 19) -0</f>
        <v>0.30717353478371479</v>
      </c>
      <c r="BW21" s="1">
        <f ca="1">OFFSET(A21,0, 16) -0</f>
        <v>-44.257675788962615</v>
      </c>
      <c r="BX21" s="1">
        <f ca="1">OFFSET(A21,0, 20) -0</f>
        <v>-24.837876690634175</v>
      </c>
      <c r="BY21" s="1">
        <f ca="1">OFFSET(A21,0, 17) -0</f>
        <v>-19.402726014380505</v>
      </c>
      <c r="BZ21" s="1">
        <f ca="1">OFFSET(A21,0, 13) -0</f>
        <v>-18.822525112708945</v>
      </c>
      <c r="CB21" s="1">
        <f>COUNTIF(B21,"&lt;-69")</f>
        <v>0</v>
      </c>
      <c r="CC21" s="1">
        <f ca="1">COUNTIF(BC21:BN21,"&lt;-49")</f>
        <v>0</v>
      </c>
      <c r="CD21" s="1">
        <f ca="1">COUNTIF(BC21:BN21,"&gt;+49")</f>
        <v>1</v>
      </c>
      <c r="CE21" s="1">
        <f ca="1">COUNTIF(BO21:BZ21,"&lt;-49")</f>
        <v>1</v>
      </c>
      <c r="CF21" s="1">
        <f ca="1">COUNTIF(BO21:BZ21,"&gt;+49")</f>
        <v>0</v>
      </c>
    </row>
    <row r="22" spans="1:84">
      <c r="A22" s="1">
        <v>19</v>
      </c>
      <c r="B22" s="1">
        <f>'Team B 1'!B22-'Team B 1'!$AA22-('Team B 1'!B$2- 12.5)*'Team B 1'!$AC22</f>
        <v>-15.936204796969378</v>
      </c>
      <c r="C22" s="1">
        <f>'Team B 1'!C22-'Team B 1'!$AA22-('Team B 1'!C$2- 12.5)*'Team B 1'!$AC22</f>
        <v>-1.7243609015808943</v>
      </c>
      <c r="D22" s="1">
        <f>'Team B 1'!D22-'Team B 1'!$AA22-('Team B 1'!D$2- 12.5)*'Team B 1'!$AC22</f>
        <v>-37.512517006192184</v>
      </c>
      <c r="E22" s="1">
        <f>'Team B 1'!E22-'Team B 1'!$AA22-('Team B 1'!E$2- 12.5)*'Team B 1'!$AC22</f>
        <v>46.699326889196527</v>
      </c>
      <c r="F22" s="1">
        <f>'Team B 1'!F22-'Team B 1'!$AA22-('Team B 1'!F$2- 12.5)*'Team B 1'!$AC22</f>
        <v>20.911170784585011</v>
      </c>
      <c r="G22" s="1">
        <f>'Team B 1'!G22-'Team B 1'!$AA22-('Team B 1'!G$2- 12.5)*'Team B 1'!$AC22</f>
        <v>15.123014679973721</v>
      </c>
      <c r="H22" s="1">
        <f>'Team B 1'!H22-'Team B 1'!$AA22-('Team B 1'!H$2- 12.5)*'Team B 1'!$AC22</f>
        <v>9.334858575362432</v>
      </c>
      <c r="I22" s="1">
        <f>'Team B 1'!I22-'Team B 1'!$AA22-('Team B 1'!I$2- 12.5)*'Team B 1'!$AC22</f>
        <v>-16.453297529248971</v>
      </c>
      <c r="J22" s="1">
        <f>'Team B 1'!J22-'Team B 1'!$AA22-('Team B 1'!J$2- 12.5)*'Team B 1'!$AC22</f>
        <v>-2.2414536338602602</v>
      </c>
      <c r="K22" s="1">
        <f>'Team B 1'!K22-'Team B 1'!$AA22-('Team B 1'!K$2- 12.5)*'Team B 1'!$AC22</f>
        <v>21.970390261528337</v>
      </c>
      <c r="L22" s="1">
        <f>'Team B 1'!L22-'Team B 1'!$AA22-('Team B 1'!L$2- 12.5)*'Team B 1'!$AC22</f>
        <v>16.182234156917048</v>
      </c>
      <c r="M22" s="1">
        <f>'Team B 1'!M22-'Team B 1'!$AA22-('Team B 1'!M$2- 12.5)*'Team B 1'!$AC22</f>
        <v>10.394078052305673</v>
      </c>
      <c r="N22" s="1">
        <f>'Team B 1'!N22-'Team B 1'!$AA22-('Team B 1'!N$2- 12.5)*'Team B 1'!$AC22</f>
        <v>14.605921947694327</v>
      </c>
      <c r="O22" s="1">
        <f>'Team B 1'!O22-'Team B 1'!$AA22-('Team B 1'!O$2- 12.5)*'Team B 1'!$AC22</f>
        <v>-61.182234156917048</v>
      </c>
      <c r="P22" s="1">
        <f>'Team B 1'!P22-'Team B 1'!$AA22-('Team B 1'!P$2- 12.5)*'Team B 1'!$AC22</f>
        <v>-16.970390261528337</v>
      </c>
      <c r="Q22" s="1">
        <f>'Team B 1'!Q22-'Team B 1'!$AA22-('Team B 1'!Q$2- 12.5)*'Team B 1'!$AC22</f>
        <v>-22.75854636613974</v>
      </c>
      <c r="R22" s="1">
        <f>'Team B 1'!R22-'Team B 1'!$AA22-('Team B 1'!R$2- 12.5)*'Team B 1'!$AC22</f>
        <v>-18.546702470751029</v>
      </c>
      <c r="S22" s="1">
        <f>'Team B 1'!S22-'Team B 1'!$AA22-('Team B 1'!S$2- 12.5)*'Team B 1'!$AC22</f>
        <v>5.665141424637568</v>
      </c>
      <c r="T22" s="1">
        <f>'Team B 1'!T22-'Team B 1'!$AA22-('Team B 1'!T$2- 12.5)*'Team B 1'!$AC22</f>
        <v>-0.12301467997372129</v>
      </c>
      <c r="U22" s="1">
        <f>'Team B 1'!U22-'Team B 1'!$AA22-('Team B 1'!U$2- 12.5)*'Team B 1'!$AC22</f>
        <v>44.088829215414989</v>
      </c>
      <c r="V22" s="1">
        <f>'Team B 1'!V22-'Team B 1'!$AA22-('Team B 1'!V$2- 12.5)*'Team B 1'!$AC22</f>
        <v>-41.699326889196527</v>
      </c>
      <c r="W22" s="1">
        <f>'Team B 1'!W22-'Team B 1'!$AA22-('Team B 1'!W$2- 12.5)*'Team B 1'!$AC22</f>
        <v>-7.4874829938078165</v>
      </c>
      <c r="X22" s="1">
        <f>'Team B 1'!X22-'Team B 1'!$AA22-('Team B 1'!X$2- 12.5)*'Team B 1'!$AC22</f>
        <v>-3.2756390984191057</v>
      </c>
      <c r="Y22" s="1">
        <f>'Team B 1'!Y22-'Team B 1'!$AA22-('Team B 1'!Y$2- 12.5)*'Team B 1'!$AC22</f>
        <v>40.936204796969378</v>
      </c>
      <c r="AB22" s="1">
        <f>STDEV(B22:Y22)</f>
        <v>26.613388503986265</v>
      </c>
      <c r="AD22" s="5">
        <v>5</v>
      </c>
      <c r="AE22" s="5" t="s">
        <v>47</v>
      </c>
      <c r="AF22" s="5">
        <v>9</v>
      </c>
      <c r="AG22" s="5">
        <v>7</v>
      </c>
      <c r="AH22" s="5">
        <v>1</v>
      </c>
      <c r="AI22" s="5" t="s">
        <v>46</v>
      </c>
      <c r="AJ22" s="5" t="s">
        <v>45</v>
      </c>
      <c r="AK22" s="5">
        <v>8</v>
      </c>
      <c r="AL22" s="5">
        <v>3</v>
      </c>
      <c r="AM22" s="5">
        <v>6</v>
      </c>
      <c r="AN22" s="5">
        <v>2</v>
      </c>
      <c r="AO22" s="5">
        <v>4</v>
      </c>
      <c r="AP22" s="5">
        <v>5</v>
      </c>
      <c r="AQ22" s="5">
        <v>9</v>
      </c>
      <c r="AR22" s="5" t="s">
        <v>47</v>
      </c>
      <c r="AS22" s="5">
        <v>7</v>
      </c>
      <c r="AT22" s="5" t="s">
        <v>46</v>
      </c>
      <c r="AU22" s="5">
        <v>1</v>
      </c>
      <c r="AV22" s="5" t="s">
        <v>45</v>
      </c>
      <c r="AW22" s="5">
        <v>3</v>
      </c>
      <c r="AX22" s="5">
        <v>8</v>
      </c>
      <c r="AY22" s="5">
        <v>2</v>
      </c>
      <c r="AZ22" s="5">
        <v>6</v>
      </c>
      <c r="BA22" s="5">
        <v>4</v>
      </c>
      <c r="BB22" s="5"/>
      <c r="BC22" s="1">
        <f ca="1">OFFSET(A22,0, 5) -0</f>
        <v>20.911170784585011</v>
      </c>
      <c r="BD22" s="1">
        <f ca="1">OFFSET(A22,0, 11) -0</f>
        <v>16.182234156917048</v>
      </c>
      <c r="BE22" s="1">
        <f ca="1">OFFSET(A22,0, 9) -0</f>
        <v>-2.2414536338602602</v>
      </c>
      <c r="BF22" s="1">
        <f ca="1">OFFSET(A22,0, 12) -0</f>
        <v>10.394078052305673</v>
      </c>
      <c r="BG22" s="1">
        <f ca="1">OFFSET(A22,0, 1) -0</f>
        <v>-15.936204796969378</v>
      </c>
      <c r="BH22" s="1">
        <f ca="1">OFFSET(A22,0, 10) -0</f>
        <v>21.970390261528337</v>
      </c>
      <c r="BI22" s="1">
        <f ca="1">OFFSET(A22,0, 4) -0</f>
        <v>46.699326889196527</v>
      </c>
      <c r="BJ22" s="1">
        <f ca="1">OFFSET(A22,0, 8) -0</f>
        <v>-16.453297529248971</v>
      </c>
      <c r="BK22" s="1">
        <f ca="1">OFFSET(A22,0, 3) -0</f>
        <v>-37.512517006192184</v>
      </c>
      <c r="BL22" s="1">
        <f ca="1">OFFSET(A22,0, 7) -0</f>
        <v>9.334858575362432</v>
      </c>
      <c r="BM22" s="1">
        <f ca="1">OFFSET(A22,0, 6) -0</f>
        <v>15.123014679973721</v>
      </c>
      <c r="BN22" s="1">
        <f ca="1">OFFSET(A22,0, 2) -0</f>
        <v>-1.7243609015808943</v>
      </c>
      <c r="BO22" s="1">
        <f ca="1">OFFSET(A22,0, 18) -0</f>
        <v>5.665141424637568</v>
      </c>
      <c r="BP22" s="1">
        <f ca="1">OFFSET(A22,0, 22) -0</f>
        <v>-7.4874829938078165</v>
      </c>
      <c r="BQ22" s="1">
        <f ca="1">OFFSET(A22,0, 20) -0</f>
        <v>44.088829215414989</v>
      </c>
      <c r="BR22" s="1">
        <f ca="1">OFFSET(A22,0, 24) -0</f>
        <v>40.936204796969378</v>
      </c>
      <c r="BS22" s="1">
        <f ca="1">OFFSET(A22,0, 13) -0</f>
        <v>14.605921947694327</v>
      </c>
      <c r="BT22" s="1">
        <f ca="1">OFFSET(A22,0, 23) -0</f>
        <v>-3.2756390984191057</v>
      </c>
      <c r="BU22" s="1">
        <f ca="1">OFFSET(A22,0, 16) -0</f>
        <v>-22.75854636613974</v>
      </c>
      <c r="BV22" s="1">
        <f ca="1">OFFSET(A22,0, 21) -0</f>
        <v>-41.699326889196527</v>
      </c>
      <c r="BW22" s="1">
        <f ca="1">OFFSET(A22,0, 14) -0</f>
        <v>-61.182234156917048</v>
      </c>
      <c r="BX22" s="1">
        <f ca="1">OFFSET(A22,0, 19) -0</f>
        <v>-0.12301467997372129</v>
      </c>
      <c r="BY22" s="1">
        <f ca="1">OFFSET(A22,0, 17) -0</f>
        <v>-18.546702470751029</v>
      </c>
      <c r="BZ22" s="1">
        <f ca="1">OFFSET(A22,0, 15) -0</f>
        <v>-16.970390261528337</v>
      </c>
      <c r="CB22" s="1">
        <f>COUNTIF(B22,"&lt;-69")</f>
        <v>0</v>
      </c>
      <c r="CC22" s="1">
        <f ca="1">COUNTIF(BC22:BN22,"&lt;-49")</f>
        <v>0</v>
      </c>
      <c r="CD22" s="1">
        <f ca="1">COUNTIF(BC22:BN22,"&gt;+49")</f>
        <v>0</v>
      </c>
      <c r="CE22" s="1">
        <f ca="1">COUNTIF(BO22:BZ22,"&lt;-49")</f>
        <v>1</v>
      </c>
      <c r="CF22" s="1">
        <f ca="1">COUNTIF(BO22:BZ22,"&gt;+49")</f>
        <v>0</v>
      </c>
    </row>
    <row r="23" spans="1:84">
      <c r="A23" s="1">
        <v>20</v>
      </c>
      <c r="B23" s="1">
        <f>'Team B 1'!B23-'Team B 1'!$AA23-('Team B 1'!B$2- 12.5)*'Team B 1'!$AC23</f>
        <v>15.50314706147401</v>
      </c>
      <c r="C23" s="1">
        <f>'Team B 1'!C23-'Team B 1'!$AA23-('Team B 1'!C$2- 12.5)*'Team B 1'!$AC23</f>
        <v>39.481134273519729</v>
      </c>
      <c r="D23" s="1">
        <f>'Team B 1'!D23-'Team B 1'!$AA23-('Team B 1'!D$2- 12.5)*'Team B 1'!$AC23</f>
        <v>3.4591214855654471</v>
      </c>
      <c r="E23" s="1">
        <f>'Team B 1'!E23-'Team B 1'!$AA23-('Team B 1'!E$2- 12.5)*'Team B 1'!$AC23</f>
        <v>17.437108697611166</v>
      </c>
      <c r="F23" s="1">
        <f>'Team B 1'!F23-'Team B 1'!$AA23-('Team B 1'!F$2- 12.5)*'Team B 1'!$AC23</f>
        <v>31.415095909656884</v>
      </c>
      <c r="G23" s="1">
        <f>'Team B 1'!G23-'Team B 1'!$AA23-('Team B 1'!G$2- 12.5)*'Team B 1'!$AC23</f>
        <v>-4.6069168782973975</v>
      </c>
      <c r="H23" s="1">
        <f>'Team B 1'!H23-'Team B 1'!$AA23-('Team B 1'!H$2- 12.5)*'Team B 1'!$AC23</f>
        <v>-10.628929666251679</v>
      </c>
      <c r="I23" s="1">
        <f>'Team B 1'!I23-'Team B 1'!$AA23-('Team B 1'!I$2- 12.5)*'Team B 1'!$AC23</f>
        <v>33.349057545794153</v>
      </c>
      <c r="J23" s="1">
        <f>'Team B 1'!J23-'Team B 1'!$AA23-('Team B 1'!J$2- 12.5)*'Team B 1'!$AC23</f>
        <v>27.327044757839872</v>
      </c>
      <c r="K23" s="1">
        <f>'Team B 1'!K23-'Team B 1'!$AA23-('Team B 1'!K$2- 12.5)*'Team B 1'!$AC23</f>
        <v>-8.694968030114353</v>
      </c>
      <c r="L23" s="1">
        <f>'Team B 1'!L23-'Team B 1'!$AA23-('Team B 1'!L$2- 12.5)*'Team B 1'!$AC23</f>
        <v>5.2830191819313654</v>
      </c>
      <c r="M23" s="1">
        <f>'Team B 1'!M23-'Team B 1'!$AA23-('Team B 1'!M$2- 12.5)*'Team B 1'!$AC23</f>
        <v>9.2610063939771265</v>
      </c>
      <c r="N23" s="1">
        <f>'Team B 1'!N23-'Team B 1'!$AA23-('Team B 1'!N$2- 12.5)*'Team B 1'!$AC23</f>
        <v>-16.761006393977127</v>
      </c>
      <c r="O23" s="1">
        <f>'Team B 1'!O23-'Team B 1'!$AA23-('Team B 1'!O$2- 12.5)*'Team B 1'!$AC23</f>
        <v>-22.783019181931365</v>
      </c>
      <c r="P23" s="1">
        <f>'Team B 1'!P23-'Team B 1'!$AA23-('Team B 1'!P$2- 12.5)*'Team B 1'!$AC23</f>
        <v>-28.805031969885647</v>
      </c>
      <c r="Q23" s="1">
        <f>'Team B 1'!Q23-'Team B 1'!$AA23-('Team B 1'!Q$2- 12.5)*'Team B 1'!$AC23</f>
        <v>25.172955242160128</v>
      </c>
      <c r="R23" s="1">
        <f>'Team B 1'!R23-'Team B 1'!$AA23-('Team B 1'!R$2- 12.5)*'Team B 1'!$AC23</f>
        <v>9.1509424542058468</v>
      </c>
      <c r="S23" s="1">
        <f>'Team B 1'!S23-'Team B 1'!$AA23-('Team B 1'!S$2- 12.5)*'Team B 1'!$AC23</f>
        <v>-16.871070333748321</v>
      </c>
      <c r="T23" s="1">
        <f>'Team B 1'!T23-'Team B 1'!$AA23-('Team B 1'!T$2- 12.5)*'Team B 1'!$AC23</f>
        <v>-22.893083121702603</v>
      </c>
      <c r="U23" s="1">
        <f>'Team B 1'!U23-'Team B 1'!$AA23-('Team B 1'!U$2- 12.5)*'Team B 1'!$AC23</f>
        <v>11.084904090343116</v>
      </c>
      <c r="V23" s="1">
        <f>'Team B 1'!V23-'Team B 1'!$AA23-('Team B 1'!V$2- 12.5)*'Team B 1'!$AC23</f>
        <v>-44.937108697611166</v>
      </c>
      <c r="W23" s="1">
        <f>'Team B 1'!W23-'Team B 1'!$AA23-('Team B 1'!W$2- 12.5)*'Team B 1'!$AC23</f>
        <v>-10.959121485565447</v>
      </c>
      <c r="X23" s="1">
        <f>'Team B 1'!X23-'Team B 1'!$AA23-('Team B 1'!X$2- 12.5)*'Team B 1'!$AC23</f>
        <v>-6.9811342735197286</v>
      </c>
      <c r="Y23" s="1">
        <f>'Team B 1'!Y23-'Team B 1'!$AA23-('Team B 1'!Y$2- 12.5)*'Team B 1'!$AC23</f>
        <v>-33.00314706147401</v>
      </c>
      <c r="AB23" s="1">
        <f>STDEV(B23:Y23)</f>
        <v>22.689371097015506</v>
      </c>
      <c r="AD23" s="5">
        <v>9</v>
      </c>
      <c r="AE23" s="5">
        <v>5</v>
      </c>
      <c r="AF23" s="5">
        <v>7</v>
      </c>
      <c r="AG23" s="5" t="s">
        <v>47</v>
      </c>
      <c r="AH23" s="5">
        <v>1</v>
      </c>
      <c r="AI23" s="5" t="s">
        <v>46</v>
      </c>
      <c r="AJ23" s="5">
        <v>3</v>
      </c>
      <c r="AK23" s="5" t="s">
        <v>45</v>
      </c>
      <c r="AL23" s="5">
        <v>2</v>
      </c>
      <c r="AM23" s="5">
        <v>8</v>
      </c>
      <c r="AN23" s="5">
        <v>4</v>
      </c>
      <c r="AO23" s="5">
        <v>6</v>
      </c>
      <c r="AP23" s="5">
        <v>5</v>
      </c>
      <c r="AQ23" s="5">
        <v>9</v>
      </c>
      <c r="AR23" s="5">
        <v>7</v>
      </c>
      <c r="AS23" s="5">
        <v>1</v>
      </c>
      <c r="AT23" s="5" t="s">
        <v>47</v>
      </c>
      <c r="AU23" s="5" t="s">
        <v>46</v>
      </c>
      <c r="AV23" s="5" t="s">
        <v>45</v>
      </c>
      <c r="AW23" s="5">
        <v>3</v>
      </c>
      <c r="AX23" s="5">
        <v>8</v>
      </c>
      <c r="AY23" s="5">
        <v>2</v>
      </c>
      <c r="AZ23" s="5">
        <v>6</v>
      </c>
      <c r="BA23" s="5">
        <v>4</v>
      </c>
      <c r="BB23" s="5"/>
      <c r="BC23" s="1">
        <f ca="1">OFFSET(A23,0, 5) -0</f>
        <v>31.415095909656884</v>
      </c>
      <c r="BD23" s="1">
        <f ca="1">OFFSET(A23,0, 9) -0</f>
        <v>27.327044757839872</v>
      </c>
      <c r="BE23" s="1">
        <f ca="1">OFFSET(A23,0, 7) -0</f>
        <v>-10.628929666251679</v>
      </c>
      <c r="BF23" s="1">
        <f ca="1">OFFSET(A23,0, 11) -0</f>
        <v>5.2830191819313654</v>
      </c>
      <c r="BG23" s="1">
        <f ca="1">OFFSET(A23,0, 2) -0</f>
        <v>39.481134273519729</v>
      </c>
      <c r="BH23" s="1">
        <f ca="1">OFFSET(A23,0, 12) -0</f>
        <v>9.2610063939771265</v>
      </c>
      <c r="BI23" s="1">
        <f ca="1">OFFSET(A23,0, 3) -0</f>
        <v>3.4591214855654471</v>
      </c>
      <c r="BJ23" s="1">
        <f ca="1">OFFSET(A23,0, 10) -0</f>
        <v>-8.694968030114353</v>
      </c>
      <c r="BK23" s="1">
        <f ca="1">OFFSET(A23,0, 1) -0</f>
        <v>15.50314706147401</v>
      </c>
      <c r="BL23" s="1">
        <f ca="1">OFFSET(A23,0, 8) -0</f>
        <v>33.349057545794153</v>
      </c>
      <c r="BM23" s="1">
        <f ca="1">OFFSET(A23,0, 6) -0</f>
        <v>-4.6069168782973975</v>
      </c>
      <c r="BN23" s="1">
        <f ca="1">OFFSET(A23,0, 4) -0</f>
        <v>17.437108697611166</v>
      </c>
      <c r="BO23" s="1">
        <f ca="1">OFFSET(A23,0, 16) -0</f>
        <v>25.172955242160128</v>
      </c>
      <c r="BP23" s="1">
        <f ca="1">OFFSET(A23,0, 22) -0</f>
        <v>-10.959121485565447</v>
      </c>
      <c r="BQ23" s="1">
        <f ca="1">OFFSET(A23,0, 20) -0</f>
        <v>11.084904090343116</v>
      </c>
      <c r="BR23" s="1">
        <f ca="1">OFFSET(A23,0, 24) -0</f>
        <v>-33.00314706147401</v>
      </c>
      <c r="BS23" s="1">
        <f ca="1">OFFSET(A23,0, 13) -0</f>
        <v>-16.761006393977127</v>
      </c>
      <c r="BT23" s="1">
        <f ca="1">OFFSET(A23,0, 23) -0</f>
        <v>-6.9811342735197286</v>
      </c>
      <c r="BU23" s="1">
        <f ca="1">OFFSET(A23,0, 15) -0</f>
        <v>-28.805031969885647</v>
      </c>
      <c r="BV23" s="1">
        <f ca="1">OFFSET(A23,0, 21) -0</f>
        <v>-44.937108697611166</v>
      </c>
      <c r="BW23" s="1">
        <f ca="1">OFFSET(A23,0, 14) -0</f>
        <v>-22.783019181931365</v>
      </c>
      <c r="BX23" s="1">
        <f ca="1">OFFSET(A23,0, 19) -0</f>
        <v>-22.893083121702603</v>
      </c>
      <c r="BY23" s="1">
        <f ca="1">OFFSET(A23,0, 18) -0</f>
        <v>-16.871070333748321</v>
      </c>
      <c r="BZ23" s="1">
        <f ca="1">OFFSET(A23,0, 17) -0</f>
        <v>9.1509424542058468</v>
      </c>
      <c r="CB23" s="1">
        <f>COUNTIF(B23,"&lt;-69")</f>
        <v>0</v>
      </c>
      <c r="CC23" s="1">
        <f ca="1">COUNTIF(BC23:BN23,"&lt;-49")</f>
        <v>0</v>
      </c>
      <c r="CD23" s="1">
        <f ca="1">COUNTIF(BC23:BN23,"&gt;+49")</f>
        <v>0</v>
      </c>
      <c r="CE23" s="1">
        <f ca="1">COUNTIF(BO23:BZ23,"&lt;-49")</f>
        <v>0</v>
      </c>
      <c r="CF23" s="1">
        <f ca="1">COUNTIF(BO23:BZ23,"&gt;+49")</f>
        <v>0</v>
      </c>
    </row>
    <row r="24" spans="1:84">
      <c r="A24" s="1">
        <v>21</v>
      </c>
      <c r="B24" s="1">
        <f>'Team B 1'!B24-'Team B 1'!$AA24-('Team B 1'!B$2- 12.5)*'Team B 1'!$AC24</f>
        <v>-2.60561616649602</v>
      </c>
      <c r="C24" s="1">
        <f>'Team B 1'!C24-'Team B 1'!$AA24-('Team B 1'!C$2- 12.5)*'Team B 1'!$AC24</f>
        <v>11.389075094359669</v>
      </c>
      <c r="D24" s="1">
        <f>'Team B 1'!D24-'Team B 1'!$AA24-('Team B 1'!D$2- 12.5)*'Team B 1'!$AC24</f>
        <v>5.3837663552151298</v>
      </c>
      <c r="E24" s="1">
        <f>'Team B 1'!E24-'Team B 1'!$AA24-('Team B 1'!E$2- 12.5)*'Team B 1'!$AC24</f>
        <v>59.378457616070591</v>
      </c>
      <c r="F24" s="1">
        <f>'Team B 1'!F24-'Team B 1'!$AA24-('Team B 1'!F$2- 12.5)*'Team B 1'!$AC24</f>
        <v>3.3731488769262796</v>
      </c>
      <c r="G24" s="1">
        <f>'Team B 1'!G24-'Team B 1'!$AA24-('Team B 1'!G$2- 12.5)*'Team B 1'!$AC24</f>
        <v>37.367840137781741</v>
      </c>
      <c r="H24" s="1">
        <f>'Team B 1'!H24-'Team B 1'!$AA24-('Team B 1'!H$2- 12.5)*'Team B 1'!$AC24</f>
        <v>11.362531398637429</v>
      </c>
      <c r="I24" s="1">
        <f>'Team B 1'!I24-'Team B 1'!$AA24-('Team B 1'!I$2- 12.5)*'Team B 1'!$AC24</f>
        <v>45.357222659492891</v>
      </c>
      <c r="J24" s="1">
        <f>'Team B 1'!J24-'Team B 1'!$AA24-('Team B 1'!J$2- 12.5)*'Team B 1'!$AC24</f>
        <v>-0.64808607965142073</v>
      </c>
      <c r="K24" s="1">
        <f>'Team B 1'!K24-'Team B 1'!$AA24-('Team B 1'!K$2- 12.5)*'Team B 1'!$AC24</f>
        <v>-46.653394818795903</v>
      </c>
      <c r="L24" s="1">
        <f>'Team B 1'!L24-'Team B 1'!$AA24-('Team B 1'!L$2- 12.5)*'Team B 1'!$AC24</f>
        <v>-22.658703557940328</v>
      </c>
      <c r="M24" s="1">
        <f>'Team B 1'!M24-'Team B 1'!$AA24-('Team B 1'!M$2- 12.5)*'Team B 1'!$AC24</f>
        <v>1.3359877029152472</v>
      </c>
      <c r="N24" s="1">
        <f>'Team B 1'!N24-'Team B 1'!$AA24-('Team B 1'!N$2- 12.5)*'Team B 1'!$AC24</f>
        <v>-34.669321036229178</v>
      </c>
      <c r="O24" s="1">
        <f>'Team B 1'!O24-'Team B 1'!$AA24-('Team B 1'!O$2- 12.5)*'Team B 1'!$AC24</f>
        <v>-60.674629775373603</v>
      </c>
      <c r="P24" s="1">
        <f>'Team B 1'!P24-'Team B 1'!$AA24-('Team B 1'!P$2- 12.5)*'Team B 1'!$AC24</f>
        <v>23.320061485481972</v>
      </c>
      <c r="Q24" s="1">
        <f>'Team B 1'!Q24-'Team B 1'!$AA24-('Team B 1'!Q$2- 12.5)*'Team B 1'!$AC24</f>
        <v>7.31475274633749</v>
      </c>
      <c r="R24" s="1">
        <f>'Team B 1'!R24-'Team B 1'!$AA24-('Team B 1'!R$2- 12.5)*'Team B 1'!$AC24</f>
        <v>-8.6905559928068215</v>
      </c>
      <c r="S24" s="1">
        <f>'Team B 1'!S24-'Team B 1'!$AA24-('Team B 1'!S$2- 12.5)*'Team B 1'!$AC24</f>
        <v>-4.6958647319513602</v>
      </c>
      <c r="T24" s="1">
        <f>'Team B 1'!T24-'Team B 1'!$AA24-('Team B 1'!T$2- 12.5)*'Team B 1'!$AC24</f>
        <v>9.2988265289043284</v>
      </c>
      <c r="U24" s="1">
        <f>'Team B 1'!U24-'Team B 1'!$AA24-('Team B 1'!U$2- 12.5)*'Team B 1'!$AC24</f>
        <v>3.2935177897597896</v>
      </c>
      <c r="V24" s="1">
        <f>'Team B 1'!V24-'Team B 1'!$AA24-('Team B 1'!V$2- 12.5)*'Team B 1'!$AC24</f>
        <v>7.2882090506154782</v>
      </c>
      <c r="W24" s="1">
        <f>'Team B 1'!W24-'Team B 1'!$AA24-('Team B 1'!W$2- 12.5)*'Team B 1'!$AC24</f>
        <v>-8.7170996885290606</v>
      </c>
      <c r="X24" s="1">
        <f>'Team B 1'!X24-'Team B 1'!$AA24-('Team B 1'!X$2- 12.5)*'Team B 1'!$AC24</f>
        <v>-34.722408427673599</v>
      </c>
      <c r="Y24" s="1">
        <f>'Team B 1'!Y24-'Team B 1'!$AA24-('Team B 1'!Y$2- 12.5)*'Team B 1'!$AC24</f>
        <v>-0.72771716681791077</v>
      </c>
      <c r="AB24" s="1">
        <f>STDEV(B24:Y24)</f>
        <v>27.177710306522929</v>
      </c>
      <c r="AD24" s="5">
        <v>9</v>
      </c>
      <c r="AE24" s="5">
        <v>5</v>
      </c>
      <c r="AF24" s="5">
        <v>1</v>
      </c>
      <c r="AG24" s="5">
        <v>7</v>
      </c>
      <c r="AH24" s="5" t="s">
        <v>46</v>
      </c>
      <c r="AI24" s="5" t="s">
        <v>47</v>
      </c>
      <c r="AJ24" s="5">
        <v>3</v>
      </c>
      <c r="AK24" s="5" t="s">
        <v>45</v>
      </c>
      <c r="AL24" s="5">
        <v>2</v>
      </c>
      <c r="AM24" s="5">
        <v>8</v>
      </c>
      <c r="AN24" s="5">
        <v>4</v>
      </c>
      <c r="AO24" s="5">
        <v>6</v>
      </c>
      <c r="AP24" s="5">
        <v>9</v>
      </c>
      <c r="AQ24" s="5">
        <v>5</v>
      </c>
      <c r="AR24" s="5">
        <v>7</v>
      </c>
      <c r="AS24" s="5">
        <v>1</v>
      </c>
      <c r="AT24" s="5" t="s">
        <v>46</v>
      </c>
      <c r="AU24" s="5">
        <v>3</v>
      </c>
      <c r="AV24" s="5" t="s">
        <v>47</v>
      </c>
      <c r="AW24" s="5">
        <v>2</v>
      </c>
      <c r="AX24" s="5" t="s">
        <v>45</v>
      </c>
      <c r="AY24" s="5">
        <v>4</v>
      </c>
      <c r="AZ24" s="5">
        <v>8</v>
      </c>
      <c r="BA24" s="5">
        <v>6</v>
      </c>
      <c r="BB24" s="5"/>
      <c r="BC24" s="1">
        <f ca="1">OFFSET(A24,0, 3) -0</f>
        <v>5.3837663552151298</v>
      </c>
      <c r="BD24" s="1">
        <f ca="1">OFFSET(A24,0, 9) -0</f>
        <v>-0.64808607965142073</v>
      </c>
      <c r="BE24" s="1">
        <f ca="1">OFFSET(A24,0, 7) -0</f>
        <v>11.362531398637429</v>
      </c>
      <c r="BF24" s="1">
        <f ca="1">OFFSET(A24,0, 11) -0</f>
        <v>-22.658703557940328</v>
      </c>
      <c r="BG24" s="1">
        <f ca="1">OFFSET(A24,0, 2) -0</f>
        <v>11.389075094359669</v>
      </c>
      <c r="BH24" s="1">
        <f ca="1">OFFSET(A24,0, 12) -0</f>
        <v>1.3359877029152472</v>
      </c>
      <c r="BI24" s="1">
        <f ca="1">OFFSET(A24,0, 4) -0</f>
        <v>59.378457616070591</v>
      </c>
      <c r="BJ24" s="1">
        <f ca="1">OFFSET(A24,0, 10) -0</f>
        <v>-46.653394818795903</v>
      </c>
      <c r="BK24" s="1">
        <f ca="1">OFFSET(A24,0, 1) -0</f>
        <v>-2.60561616649602</v>
      </c>
      <c r="BL24" s="1">
        <f ca="1">OFFSET(A24,0, 8) -0</f>
        <v>45.357222659492891</v>
      </c>
      <c r="BM24" s="1">
        <f ca="1">OFFSET(A24,0, 5) -0</f>
        <v>3.3731488769262796</v>
      </c>
      <c r="BN24" s="1">
        <f ca="1">OFFSET(A24,0, 6) -0</f>
        <v>37.367840137781741</v>
      </c>
      <c r="BO24" s="1">
        <f ca="1">OFFSET(A24,0, 16) -0</f>
        <v>7.31475274633749</v>
      </c>
      <c r="BP24" s="1">
        <f ca="1">OFFSET(A24,0, 20) -0</f>
        <v>3.2935177897597896</v>
      </c>
      <c r="BQ24" s="1">
        <f ca="1">OFFSET(A24,0, 18) -0</f>
        <v>-4.6958647319513602</v>
      </c>
      <c r="BR24" s="1">
        <f ca="1">OFFSET(A24,0, 22) -0</f>
        <v>-8.7170996885290606</v>
      </c>
      <c r="BS24" s="1">
        <f ca="1">OFFSET(A24,0, 14) -0</f>
        <v>-60.674629775373603</v>
      </c>
      <c r="BT24" s="1">
        <f ca="1">OFFSET(A24,0, 24) -0</f>
        <v>-0.72771716681791077</v>
      </c>
      <c r="BU24" s="1">
        <f ca="1">OFFSET(A24,0, 15) -0</f>
        <v>23.320061485481972</v>
      </c>
      <c r="BV24" s="1">
        <f ca="1">OFFSET(A24,0, 23) -0</f>
        <v>-34.722408427673599</v>
      </c>
      <c r="BW24" s="1">
        <f ca="1">OFFSET(A24,0, 13) -0</f>
        <v>-34.669321036229178</v>
      </c>
      <c r="BX24" s="1">
        <f ca="1">OFFSET(A24,0, 21) -0</f>
        <v>7.2882090506154782</v>
      </c>
      <c r="BY24" s="1">
        <f ca="1">OFFSET(A24,0, 17) -0</f>
        <v>-8.6905559928068215</v>
      </c>
      <c r="BZ24" s="1">
        <f ca="1">OFFSET(A24,0, 19) -0</f>
        <v>9.2988265289043284</v>
      </c>
      <c r="CB24" s="1">
        <f>COUNTIF(B24,"&lt;-69")</f>
        <v>0</v>
      </c>
      <c r="CC24" s="1">
        <f ca="1">COUNTIF(BC24:BN24,"&lt;-49")</f>
        <v>0</v>
      </c>
      <c r="CD24" s="1">
        <f ca="1">COUNTIF(BC24:BN24,"&gt;+49")</f>
        <v>1</v>
      </c>
      <c r="CE24" s="1">
        <f ca="1">COUNTIF(BO24:BZ24,"&lt;-49")</f>
        <v>1</v>
      </c>
      <c r="CF24" s="1">
        <f ca="1">COUNTIF(BO24:BZ24,"&gt;+49")</f>
        <v>0</v>
      </c>
    </row>
    <row r="25" spans="1:84">
      <c r="A25" s="1">
        <v>22</v>
      </c>
      <c r="B25" s="1">
        <f>'Team B 1'!B25-'Team B 1'!$AA25-('Team B 1'!B$2- 12.5)*'Team B 1'!$AC25</f>
        <v>-4.5590553237202585</v>
      </c>
      <c r="C25" s="1">
        <f>'Team B 1'!C25-'Team B 1'!$AA25-('Team B 1'!C$2- 12.5)*'Team B 1'!$AC25</f>
        <v>-0.43073167238298993</v>
      </c>
      <c r="D25" s="1">
        <f>'Team B 1'!D25-'Team B 1'!$AA25-('Team B 1'!D$2- 12.5)*'Team B 1'!$AC25</f>
        <v>3.6975919789540512</v>
      </c>
      <c r="E25" s="1">
        <f>'Team B 1'!E25-'Team B 1'!$AA25-('Team B 1'!E$2- 12.5)*'Team B 1'!$AC25</f>
        <v>47.825915630291092</v>
      </c>
      <c r="F25" s="1">
        <f>'Team B 1'!F25-'Team B 1'!$AA25-('Team B 1'!F$2- 12.5)*'Team B 1'!$AC25</f>
        <v>21.954239281628361</v>
      </c>
      <c r="G25" s="1">
        <f>'Team B 1'!G25-'Team B 1'!$AA25-('Team B 1'!G$2- 12.5)*'Team B 1'!$AC25</f>
        <v>16.082562932965402</v>
      </c>
      <c r="H25" s="1">
        <f>'Team B 1'!H25-'Team B 1'!$AA25-('Team B 1'!H$2- 12.5)*'Team B 1'!$AC25</f>
        <v>10.210886584302671</v>
      </c>
      <c r="I25" s="1">
        <f>'Team B 1'!I25-'Team B 1'!$AA25-('Team B 1'!I$2- 12.5)*'Team B 1'!$AC25</f>
        <v>-5.6607897643602882</v>
      </c>
      <c r="J25" s="1">
        <f>'Team B 1'!J25-'Team B 1'!$AA25-('Team B 1'!J$2- 12.5)*'Team B 1'!$AC25</f>
        <v>38.46753388697698</v>
      </c>
      <c r="K25" s="1">
        <f>'Team B 1'!K25-'Team B 1'!$AA25-('Team B 1'!K$2- 12.5)*'Team B 1'!$AC25</f>
        <v>22.595857538314078</v>
      </c>
      <c r="L25" s="1">
        <f>'Team B 1'!L25-'Team B 1'!$AA25-('Team B 1'!L$2- 12.5)*'Team B 1'!$AC25</f>
        <v>-23.275818810348767</v>
      </c>
      <c r="M25" s="1">
        <f>'Team B 1'!M25-'Team B 1'!$AA25-('Team B 1'!M$2- 12.5)*'Team B 1'!$AC25</f>
        <v>-39.147495159011612</v>
      </c>
      <c r="N25" s="1">
        <f>'Team B 1'!N25-'Team B 1'!$AA25-('Team B 1'!N$2- 12.5)*'Team B 1'!$AC25</f>
        <v>-35.019171507674457</v>
      </c>
      <c r="O25" s="1">
        <f>'Team B 1'!O25-'Team B 1'!$AA25-('Team B 1'!O$2- 12.5)*'Team B 1'!$AC25</f>
        <v>-0.89084785633730235</v>
      </c>
      <c r="P25" s="1">
        <f>'Team B 1'!P25-'Team B 1'!$AA25-('Team B 1'!P$2- 12.5)*'Team B 1'!$AC25</f>
        <v>-36.762524205000148</v>
      </c>
      <c r="Q25" s="1">
        <f>'Team B 1'!Q25-'Team B 1'!$AA25-('Team B 1'!Q$2- 12.5)*'Team B 1'!$AC25</f>
        <v>-32.63420055366305</v>
      </c>
      <c r="R25" s="1">
        <f>'Team B 1'!R25-'Team B 1'!$AA25-('Team B 1'!R$2- 12.5)*'Team B 1'!$AC25</f>
        <v>1.494123097674219</v>
      </c>
      <c r="S25" s="1">
        <f>'Team B 1'!S25-'Team B 1'!$AA25-('Team B 1'!S$2- 12.5)*'Team B 1'!$AC25</f>
        <v>5.6224467490112602</v>
      </c>
      <c r="T25" s="1">
        <f>'Team B 1'!T25-'Team B 1'!$AA25-('Team B 1'!T$2- 12.5)*'Team B 1'!$AC25</f>
        <v>-20.249229599651471</v>
      </c>
      <c r="U25" s="1">
        <f>'Team B 1'!U25-'Team B 1'!$AA25-('Team B 1'!U$2- 12.5)*'Team B 1'!$AC25</f>
        <v>13.87909405168557</v>
      </c>
      <c r="V25" s="1">
        <f>'Team B 1'!V25-'Team B 1'!$AA25-('Team B 1'!V$2- 12.5)*'Team B 1'!$AC25</f>
        <v>8.0074177030228384</v>
      </c>
      <c r="W25" s="1">
        <f>'Team B 1'!W25-'Team B 1'!$AA25-('Team B 1'!W$2- 12.5)*'Team B 1'!$AC25</f>
        <v>2.1357413543598796</v>
      </c>
      <c r="X25" s="1">
        <f>'Team B 1'!X25-'Team B 1'!$AA25-('Team B 1'!X$2- 12.5)*'Team B 1'!$AC25</f>
        <v>-13.735934994303079</v>
      </c>
      <c r="Y25" s="1">
        <f>'Team B 1'!Y25-'Team B 1'!$AA25-('Team B 1'!Y$2- 12.5)*'Team B 1'!$AC25</f>
        <v>20.392388657034189</v>
      </c>
      <c r="AB25" s="1">
        <f>STDEV(B25:Y25)</f>
        <v>23.04705941590138</v>
      </c>
      <c r="AD25" s="5">
        <v>5</v>
      </c>
      <c r="AE25" s="5">
        <v>9</v>
      </c>
      <c r="AF25" s="5">
        <v>1</v>
      </c>
      <c r="AG25" s="5">
        <v>7</v>
      </c>
      <c r="AH25" s="5">
        <v>3</v>
      </c>
      <c r="AI25" s="5" t="s">
        <v>46</v>
      </c>
      <c r="AJ25" s="5">
        <v>2</v>
      </c>
      <c r="AK25" s="5" t="s">
        <v>47</v>
      </c>
      <c r="AL25" s="5">
        <v>4</v>
      </c>
      <c r="AM25" s="5" t="s">
        <v>45</v>
      </c>
      <c r="AN25" s="5">
        <v>6</v>
      </c>
      <c r="AO25" s="5">
        <v>8</v>
      </c>
      <c r="AP25" s="5">
        <v>5</v>
      </c>
      <c r="AQ25" s="5">
        <v>1</v>
      </c>
      <c r="AR25" s="5">
        <v>9</v>
      </c>
      <c r="AS25" s="5">
        <v>7</v>
      </c>
      <c r="AT25" s="5" t="s">
        <v>46</v>
      </c>
      <c r="AU25" s="5">
        <v>3</v>
      </c>
      <c r="AV25" s="5" t="s">
        <v>47</v>
      </c>
      <c r="AW25" s="5">
        <v>2</v>
      </c>
      <c r="AX25" s="5" t="s">
        <v>45</v>
      </c>
      <c r="AY25" s="5">
        <v>4</v>
      </c>
      <c r="AZ25" s="5">
        <v>8</v>
      </c>
      <c r="BA25" s="5">
        <v>6</v>
      </c>
      <c r="BB25" s="5"/>
      <c r="BC25" s="1">
        <f ca="1">OFFSET(A25,0, 3) -0</f>
        <v>3.6975919789540512</v>
      </c>
      <c r="BD25" s="1">
        <f ca="1">OFFSET(A25,0, 7) -0</f>
        <v>10.210886584302671</v>
      </c>
      <c r="BE25" s="1">
        <f ca="1">OFFSET(A25,0, 5) -0</f>
        <v>21.954239281628361</v>
      </c>
      <c r="BF25" s="1">
        <f ca="1">OFFSET(A25,0, 9) -0</f>
        <v>38.46753388697698</v>
      </c>
      <c r="BG25" s="1">
        <f ca="1">OFFSET(A25,0, 1) -0</f>
        <v>-4.5590553237202585</v>
      </c>
      <c r="BH25" s="1">
        <f ca="1">OFFSET(A25,0, 11) -0</f>
        <v>-23.275818810348767</v>
      </c>
      <c r="BI25" s="1">
        <f ca="1">OFFSET(A25,0, 4) -0</f>
        <v>47.825915630291092</v>
      </c>
      <c r="BJ25" s="1">
        <f ca="1">OFFSET(A25,0, 12) -0</f>
        <v>-39.147495159011612</v>
      </c>
      <c r="BK25" s="1">
        <f ca="1">OFFSET(A25,0, 2) -0</f>
        <v>-0.43073167238298993</v>
      </c>
      <c r="BL25" s="1">
        <f ca="1">OFFSET(A25,0, 10) -0</f>
        <v>22.595857538314078</v>
      </c>
      <c r="BM25" s="1">
        <f ca="1">OFFSET(A25,0, 6) -0</f>
        <v>16.082562932965402</v>
      </c>
      <c r="BN25" s="1">
        <f ca="1">OFFSET(A25,0, 8) -0</f>
        <v>-5.6607897643602882</v>
      </c>
      <c r="BO25" s="1">
        <f ca="1">OFFSET(A25,0, 14) -0</f>
        <v>-0.89084785633730235</v>
      </c>
      <c r="BP25" s="1">
        <f ca="1">OFFSET(A25,0, 20) -0</f>
        <v>13.87909405168557</v>
      </c>
      <c r="BQ25" s="1">
        <f ca="1">OFFSET(A25,0, 18) -0</f>
        <v>5.6224467490112602</v>
      </c>
      <c r="BR25" s="1">
        <f ca="1">OFFSET(A25,0, 22) -0</f>
        <v>2.1357413543598796</v>
      </c>
      <c r="BS25" s="1">
        <f ca="1">OFFSET(A25,0, 13) -0</f>
        <v>-35.019171507674457</v>
      </c>
      <c r="BT25" s="1">
        <f ca="1">OFFSET(A25,0, 24) -0</f>
        <v>20.392388657034189</v>
      </c>
      <c r="BU25" s="1">
        <f ca="1">OFFSET(A25,0, 16) -0</f>
        <v>-32.63420055366305</v>
      </c>
      <c r="BV25" s="1">
        <f ca="1">OFFSET(A25,0, 23) -0</f>
        <v>-13.735934994303079</v>
      </c>
      <c r="BW25" s="1">
        <f ca="1">OFFSET(A25,0, 15) -0</f>
        <v>-36.762524205000148</v>
      </c>
      <c r="BX25" s="1">
        <f ca="1">OFFSET(A25,0, 21) -0</f>
        <v>8.0074177030228384</v>
      </c>
      <c r="BY25" s="1">
        <f ca="1">OFFSET(A25,0, 17) -0</f>
        <v>1.494123097674219</v>
      </c>
      <c r="BZ25" s="1">
        <f ca="1">OFFSET(A25,0, 19) -0</f>
        <v>-20.249229599651471</v>
      </c>
      <c r="CB25" s="1">
        <f>COUNTIF(B25,"&lt;-69")</f>
        <v>0</v>
      </c>
      <c r="CC25" s="1">
        <f ca="1">COUNTIF(BC25:BN25,"&lt;-49")</f>
        <v>0</v>
      </c>
      <c r="CD25" s="1">
        <f ca="1">COUNTIF(BC25:BN25,"&gt;+49")</f>
        <v>0</v>
      </c>
      <c r="CE25" s="1">
        <f ca="1">COUNTIF(BO25:BZ25,"&lt;-49")</f>
        <v>0</v>
      </c>
      <c r="CF25" s="1">
        <f ca="1">COUNTIF(BO25:BZ25,"&gt;+49")</f>
        <v>0</v>
      </c>
    </row>
    <row r="26" spans="1:84">
      <c r="A26" s="1">
        <v>23</v>
      </c>
      <c r="B26" s="1">
        <f>'Team B 1'!B26-'Team B 1'!$AA26-('Team B 1'!B$2- 12.5)*'Team B 1'!$AC26</f>
        <v>22.269979063094979</v>
      </c>
      <c r="C26" s="1">
        <f>'Team B 1'!C26-'Team B 1'!$AA26-('Team B 1'!C$2- 12.5)*'Team B 1'!$AC26</f>
        <v>16.565343202535587</v>
      </c>
      <c r="D26" s="1">
        <f>'Team B 1'!D26-'Team B 1'!$AA26-('Team B 1'!D$2- 12.5)*'Team B 1'!$AC26</f>
        <v>30.860707341975512</v>
      </c>
      <c r="E26" s="1">
        <f>'Team B 1'!E26-'Team B 1'!$AA26-('Team B 1'!E$2- 12.5)*'Team B 1'!$AC26</f>
        <v>5.1560714814156654</v>
      </c>
      <c r="F26" s="1">
        <f>'Team B 1'!F26-'Team B 1'!$AA26-('Team B 1'!F$2- 12.5)*'Team B 1'!$AC26</f>
        <v>-0.54856437914418166</v>
      </c>
      <c r="G26" s="1">
        <f>'Team B 1'!G26-'Team B 1'!$AA26-('Team B 1'!G$2- 12.5)*'Team B 1'!$AC26</f>
        <v>-26.253200239704029</v>
      </c>
      <c r="H26" s="1">
        <f>'Team B 1'!H26-'Team B 1'!$AA26-('Team B 1'!H$2- 12.5)*'Team B 1'!$AC26</f>
        <v>-1.9578361002638758</v>
      </c>
      <c r="I26" s="1">
        <f>'Team B 1'!I26-'Team B 1'!$AA26-('Team B 1'!I$2- 12.5)*'Team B 1'!$AC26</f>
        <v>-17.662471960823723</v>
      </c>
      <c r="J26" s="1">
        <f>'Team B 1'!J26-'Team B 1'!$AA26-('Team B 1'!J$2- 12.5)*'Team B 1'!$AC26</f>
        <v>16.63289217861643</v>
      </c>
      <c r="K26" s="1">
        <f>'Team B 1'!K26-'Team B 1'!$AA26-('Team B 1'!K$2- 12.5)*'Team B 1'!$AC26</f>
        <v>20.928256318056583</v>
      </c>
      <c r="L26" s="1">
        <f>'Team B 1'!L26-'Team B 1'!$AA26-('Team B 1'!L$2- 12.5)*'Team B 1'!$AC26</f>
        <v>15.223620457496736</v>
      </c>
      <c r="M26" s="1">
        <f>'Team B 1'!M26-'Team B 1'!$AA26-('Team B 1'!M$2- 12.5)*'Team B 1'!$AC26</f>
        <v>-0.48101540306311108</v>
      </c>
      <c r="N26" s="1">
        <f>'Team B 1'!N26-'Team B 1'!$AA26-('Team B 1'!N$2- 12.5)*'Team B 1'!$AC26</f>
        <v>13.814348736377042</v>
      </c>
      <c r="O26" s="1">
        <f>'Team B 1'!O26-'Team B 1'!$AA26-('Team B 1'!O$2- 12.5)*'Team B 1'!$AC26</f>
        <v>-1.8902871241828052</v>
      </c>
      <c r="P26" s="1">
        <f>'Team B 1'!P26-'Team B 1'!$AA26-('Team B 1'!P$2- 12.5)*'Team B 1'!$AC26</f>
        <v>22.405077015257348</v>
      </c>
      <c r="Q26" s="1">
        <f>'Team B 1'!Q26-'Team B 1'!$AA26-('Team B 1'!Q$2- 12.5)*'Team B 1'!$AC26</f>
        <v>16.700441154697501</v>
      </c>
      <c r="R26" s="1">
        <f>'Team B 1'!R26-'Team B 1'!$AA26-('Team B 1'!R$2- 12.5)*'Team B 1'!$AC26</f>
        <v>10.995805294137654</v>
      </c>
      <c r="S26" s="1">
        <f>'Team B 1'!S26-'Team B 1'!$AA26-('Team B 1'!S$2- 12.5)*'Team B 1'!$AC26</f>
        <v>15.291169433577807</v>
      </c>
      <c r="T26" s="1">
        <f>'Team B 1'!T26-'Team B 1'!$AA26-('Team B 1'!T$2- 12.5)*'Team B 1'!$AC26</f>
        <v>-60.413466426982041</v>
      </c>
      <c r="U26" s="1">
        <f>'Team B 1'!U26-'Team B 1'!$AA26-('Team B 1'!U$2- 12.5)*'Team B 1'!$AC26</f>
        <v>-76.118102287541888</v>
      </c>
      <c r="V26" s="1">
        <f>'Team B 1'!V26-'Team B 1'!$AA26-('Team B 1'!V$2- 12.5)*'Team B 1'!$AC26</f>
        <v>-41.822738148101735</v>
      </c>
      <c r="W26" s="1">
        <f>'Team B 1'!W26-'Team B 1'!$AA26-('Team B 1'!W$2- 12.5)*'Team B 1'!$AC26</f>
        <v>12.472625991338418</v>
      </c>
      <c r="X26" s="1">
        <f>'Team B 1'!X26-'Team B 1'!$AA26-('Team B 1'!X$2- 12.5)*'Team B 1'!$AC26</f>
        <v>-3.2320098692216561</v>
      </c>
      <c r="Y26" s="1">
        <f>'Team B 1'!Y26-'Team B 1'!$AA26-('Team B 1'!Y$2- 12.5)*'Team B 1'!$AC26</f>
        <v>11.063354270218952</v>
      </c>
      <c r="AB26" s="1">
        <f>STDEV(B26:Y26)</f>
        <v>26.794407718029262</v>
      </c>
      <c r="AD26" s="5">
        <v>1</v>
      </c>
      <c r="AE26" s="5">
        <v>5</v>
      </c>
      <c r="AF26" s="5">
        <v>7</v>
      </c>
      <c r="AG26" s="5">
        <v>9</v>
      </c>
      <c r="AH26" s="5">
        <v>3</v>
      </c>
      <c r="AI26" s="5" t="s">
        <v>46</v>
      </c>
      <c r="AJ26" s="5">
        <v>2</v>
      </c>
      <c r="AK26" s="5" t="s">
        <v>47</v>
      </c>
      <c r="AL26" s="5">
        <v>4</v>
      </c>
      <c r="AM26" s="5" t="s">
        <v>45</v>
      </c>
      <c r="AN26" s="5">
        <v>6</v>
      </c>
      <c r="AO26" s="5">
        <v>8</v>
      </c>
      <c r="AP26" s="5">
        <v>5</v>
      </c>
      <c r="AQ26" s="5">
        <v>1</v>
      </c>
      <c r="AR26" s="5">
        <v>7</v>
      </c>
      <c r="AS26" s="5">
        <v>3</v>
      </c>
      <c r="AT26" s="5">
        <v>9</v>
      </c>
      <c r="AU26" s="5">
        <v>2</v>
      </c>
      <c r="AV26" s="5" t="s">
        <v>46</v>
      </c>
      <c r="AW26" s="5">
        <v>4</v>
      </c>
      <c r="AX26" s="5" t="s">
        <v>47</v>
      </c>
      <c r="AY26" s="5">
        <v>6</v>
      </c>
      <c r="AZ26" s="5" t="s">
        <v>45</v>
      </c>
      <c r="BA26" s="5">
        <v>8</v>
      </c>
      <c r="BB26" s="5"/>
      <c r="BC26" s="1">
        <f ca="1">OFFSET(A26,0, 1) -0</f>
        <v>22.269979063094979</v>
      </c>
      <c r="BD26" s="1">
        <f ca="1">OFFSET(A26,0, 7) -0</f>
        <v>-1.9578361002638758</v>
      </c>
      <c r="BE26" s="1">
        <f ca="1">OFFSET(A26,0, 5) -0</f>
        <v>-0.54856437914418166</v>
      </c>
      <c r="BF26" s="1">
        <f ca="1">OFFSET(A26,0, 9) -0</f>
        <v>16.63289217861643</v>
      </c>
      <c r="BG26" s="1">
        <f ca="1">OFFSET(A26,0, 2) -0</f>
        <v>16.565343202535587</v>
      </c>
      <c r="BH26" s="1">
        <f ca="1">OFFSET(A26,0, 11) -0</f>
        <v>15.223620457496736</v>
      </c>
      <c r="BI26" s="1">
        <f ca="1">OFFSET(A26,0, 3) -0</f>
        <v>30.860707341975512</v>
      </c>
      <c r="BJ26" s="1">
        <f ca="1">OFFSET(A26,0, 12) -0</f>
        <v>-0.48101540306311108</v>
      </c>
      <c r="BK26" s="1">
        <f ca="1">OFFSET(A26,0, 4) -0</f>
        <v>5.1560714814156654</v>
      </c>
      <c r="BL26" s="1">
        <f ca="1">OFFSET(A26,0, 10) -0</f>
        <v>20.928256318056583</v>
      </c>
      <c r="BM26" s="1">
        <f ca="1">OFFSET(A26,0, 6) -0</f>
        <v>-26.253200239704029</v>
      </c>
      <c r="BN26" s="1">
        <f ca="1">OFFSET(A26,0, 8) -0</f>
        <v>-17.662471960823723</v>
      </c>
      <c r="BO26" s="1">
        <f ca="1">OFFSET(A26,0, 14) -0</f>
        <v>-1.8902871241828052</v>
      </c>
      <c r="BP26" s="1">
        <f ca="1">OFFSET(A26,0, 18) -0</f>
        <v>15.291169433577807</v>
      </c>
      <c r="BQ26" s="1">
        <f ca="1">OFFSET(A26,0, 16) -0</f>
        <v>16.700441154697501</v>
      </c>
      <c r="BR26" s="1">
        <f ca="1">OFFSET(A26,0, 20) -0</f>
        <v>-76.118102287541888</v>
      </c>
      <c r="BS26" s="1">
        <f ca="1">OFFSET(A26,0, 13) -0</f>
        <v>13.814348736377042</v>
      </c>
      <c r="BT26" s="1">
        <f ca="1">OFFSET(A26,0, 22) -0</f>
        <v>12.472625991338418</v>
      </c>
      <c r="BU26" s="1">
        <f ca="1">OFFSET(A26,0, 15) -0</f>
        <v>22.405077015257348</v>
      </c>
      <c r="BV26" s="1">
        <f ca="1">OFFSET(A26,0, 24) -0</f>
        <v>11.063354270218952</v>
      </c>
      <c r="BW26" s="1">
        <f ca="1">OFFSET(A26,0, 17) -0</f>
        <v>10.995805294137654</v>
      </c>
      <c r="BX26" s="1">
        <f ca="1">OFFSET(A26,0, 23) -0</f>
        <v>-3.2320098692216561</v>
      </c>
      <c r="BY26" s="1">
        <f ca="1">OFFSET(A26,0, 19) -0</f>
        <v>-60.413466426982041</v>
      </c>
      <c r="BZ26" s="1">
        <f ca="1">OFFSET(A26,0, 21) -0</f>
        <v>-41.822738148101735</v>
      </c>
      <c r="CB26" s="1">
        <f>COUNTIF(B26,"&lt;-69")</f>
        <v>0</v>
      </c>
      <c r="CC26" s="1">
        <f ca="1">COUNTIF(BC26:BN26,"&lt;-49")</f>
        <v>0</v>
      </c>
      <c r="CD26" s="1">
        <f ca="1">COUNTIF(BC26:BN26,"&gt;+49")</f>
        <v>0</v>
      </c>
      <c r="CE26" s="1">
        <f ca="1">COUNTIF(BO26:BZ26,"&lt;-49")</f>
        <v>2</v>
      </c>
      <c r="CF26" s="1">
        <f ca="1">COUNTIF(BO26:BZ26,"&gt;+49")</f>
        <v>0</v>
      </c>
    </row>
    <row r="27" spans="1:84">
      <c r="A27" s="1">
        <v>24</v>
      </c>
      <c r="B27" s="1">
        <f>'Team B 1'!B27-'Team B 1'!$AA27-('Team B 1'!B$2- 12.5)*'Team B 1'!$AC27</f>
        <v>7.4972938713376607</v>
      </c>
      <c r="C27" s="1">
        <f>'Team B 1'!C27-'Team B 1'!$AA27-('Team B 1'!C$2- 12.5)*'Team B 1'!$AC27</f>
        <v>-7.9734853058789668</v>
      </c>
      <c r="D27" s="1">
        <f>'Team B 1'!D27-'Team B 1'!$AA27-('Team B 1'!D$2- 12.5)*'Team B 1'!$AC27</f>
        <v>6.5557355169039511</v>
      </c>
      <c r="E27" s="1">
        <f>'Team B 1'!E27-'Team B 1'!$AA27-('Team B 1'!E$2- 12.5)*'Team B 1'!$AC27</f>
        <v>51.084956339687096</v>
      </c>
      <c r="F27" s="1">
        <f>'Team B 1'!F27-'Team B 1'!$AA27-('Team B 1'!F$2- 12.5)*'Team B 1'!$AC27</f>
        <v>35.614177162470014</v>
      </c>
      <c r="G27" s="1">
        <f>'Team B 1'!G27-'Team B 1'!$AA27-('Team B 1'!G$2- 12.5)*'Team B 1'!$AC27</f>
        <v>30.143397985253159</v>
      </c>
      <c r="H27" s="1">
        <f>'Team B 1'!H27-'Team B 1'!$AA27-('Team B 1'!H$2- 12.5)*'Team B 1'!$AC27</f>
        <v>-15.327381191963696</v>
      </c>
      <c r="I27" s="1">
        <f>'Team B 1'!I27-'Team B 1'!$AA27-('Team B 1'!I$2- 12.5)*'Team B 1'!$AC27</f>
        <v>-30.798160369180778</v>
      </c>
      <c r="J27" s="1">
        <f>'Team B 1'!J27-'Team B 1'!$AA27-('Team B 1'!J$2- 12.5)*'Team B 1'!$AC27</f>
        <v>-16.268939546397633</v>
      </c>
      <c r="K27" s="1">
        <f>'Team B 1'!K27-'Team B 1'!$AA27-('Team B 1'!K$2- 12.5)*'Team B 1'!$AC27</f>
        <v>-11.739718723614601</v>
      </c>
      <c r="L27" s="1">
        <f>'Team B 1'!L27-'Team B 1'!$AA27-('Team B 1'!L$2- 12.5)*'Team B 1'!$AC27</f>
        <v>-17.210497900831569</v>
      </c>
      <c r="M27" s="1">
        <f>'Team B 1'!M27-'Team B 1'!$AA27-('Team B 1'!M$2- 12.5)*'Team B 1'!$AC27</f>
        <v>7.3187229219515046</v>
      </c>
      <c r="N27" s="1">
        <f>'Team B 1'!N27-'Team B 1'!$AA27-('Team B 1'!N$2- 12.5)*'Team B 1'!$AC27</f>
        <v>11.847943744734565</v>
      </c>
      <c r="O27" s="1">
        <f>'Team B 1'!O27-'Team B 1'!$AA27-('Team B 1'!O$2- 12.5)*'Team B 1'!$AC27</f>
        <v>-13.622835432482361</v>
      </c>
      <c r="P27" s="1">
        <f>'Team B 1'!P27-'Team B 1'!$AA27-('Team B 1'!P$2- 12.5)*'Team B 1'!$AC27</f>
        <v>50.90638539030067</v>
      </c>
      <c r="Q27" s="1">
        <f>'Team B 1'!Q27-'Team B 1'!$AA27-('Team B 1'!Q$2- 12.5)*'Team B 1'!$AC27</f>
        <v>15.435606213083702</v>
      </c>
      <c r="R27" s="1">
        <f>'Team B 1'!R27-'Team B 1'!$AA27-('Team B 1'!R$2- 12.5)*'Team B 1'!$AC27</f>
        <v>49.964827035866847</v>
      </c>
      <c r="S27" s="1">
        <f>'Team B 1'!S27-'Team B 1'!$AA27-('Team B 1'!S$2- 12.5)*'Team B 1'!$AC27</f>
        <v>34.494047858649765</v>
      </c>
      <c r="T27" s="1">
        <f>'Team B 1'!T27-'Team B 1'!$AA27-('Team B 1'!T$2- 12.5)*'Team B 1'!$AC27</f>
        <v>-10.97673131856709</v>
      </c>
      <c r="U27" s="1">
        <f>'Team B 1'!U27-'Team B 1'!$AA27-('Team B 1'!U$2- 12.5)*'Team B 1'!$AC27</f>
        <v>-56.447510495783945</v>
      </c>
      <c r="V27" s="1">
        <f>'Team B 1'!V27-'Team B 1'!$AA27-('Team B 1'!V$2- 12.5)*'Team B 1'!$AC27</f>
        <v>-21.918289673001027</v>
      </c>
      <c r="W27" s="1">
        <f>'Team B 1'!W27-'Team B 1'!$AA27-('Team B 1'!W$2- 12.5)*'Team B 1'!$AC27</f>
        <v>-37.389068850217882</v>
      </c>
      <c r="X27" s="1">
        <f>'Team B 1'!X27-'Team B 1'!$AA27-('Team B 1'!X$2- 12.5)*'Team B 1'!$AC27</f>
        <v>-32.859848027434964</v>
      </c>
      <c r="Y27" s="1">
        <f>'Team B 1'!Y27-'Team B 1'!$AA27-('Team B 1'!Y$2- 12.5)*'Team B 1'!$AC27</f>
        <v>-28.330627204651591</v>
      </c>
      <c r="AB27" s="1">
        <f>STDEV(B27:Y27)</f>
        <v>30.068548296189679</v>
      </c>
      <c r="AD27" s="5">
        <v>1</v>
      </c>
      <c r="AE27" s="5">
        <v>5</v>
      </c>
      <c r="AF27" s="5">
        <v>3</v>
      </c>
      <c r="AG27" s="5">
        <v>7</v>
      </c>
      <c r="AH27" s="5">
        <v>2</v>
      </c>
      <c r="AI27" s="5">
        <v>9</v>
      </c>
      <c r="AJ27" s="5">
        <v>4</v>
      </c>
      <c r="AK27" s="5" t="s">
        <v>46</v>
      </c>
      <c r="AL27" s="5">
        <v>6</v>
      </c>
      <c r="AM27" s="5" t="s">
        <v>47</v>
      </c>
      <c r="AN27" s="5">
        <v>8</v>
      </c>
      <c r="AO27" s="5" t="s">
        <v>45</v>
      </c>
      <c r="AP27" s="5">
        <v>1</v>
      </c>
      <c r="AQ27" s="5">
        <v>5</v>
      </c>
      <c r="AR27" s="5">
        <v>7</v>
      </c>
      <c r="AS27" s="5">
        <v>3</v>
      </c>
      <c r="AT27" s="5">
        <v>9</v>
      </c>
      <c r="AU27" s="5">
        <v>2</v>
      </c>
      <c r="AV27" s="5" t="s">
        <v>46</v>
      </c>
      <c r="AW27" s="5">
        <v>4</v>
      </c>
      <c r="AX27" s="5" t="s">
        <v>47</v>
      </c>
      <c r="AY27" s="5">
        <v>6</v>
      </c>
      <c r="AZ27" s="5" t="s">
        <v>45</v>
      </c>
      <c r="BA27" s="5">
        <v>8</v>
      </c>
      <c r="BB27" s="5"/>
      <c r="BC27" s="1">
        <f ca="1">OFFSET(A27,0, 1) -0</f>
        <v>7.4972938713376607</v>
      </c>
      <c r="BD27" s="1">
        <f ca="1">OFFSET(A27,0, 5) -0</f>
        <v>35.614177162470014</v>
      </c>
      <c r="BE27" s="1">
        <f ca="1">OFFSET(A27,0, 3) -0</f>
        <v>6.5557355169039511</v>
      </c>
      <c r="BF27" s="1">
        <f ca="1">OFFSET(A27,0, 7) -0</f>
        <v>-15.327381191963696</v>
      </c>
      <c r="BG27" s="1">
        <f ca="1">OFFSET(A27,0, 2) -0</f>
        <v>-7.9734853058789668</v>
      </c>
      <c r="BH27" s="1">
        <f ca="1">OFFSET(A27,0, 9) -0</f>
        <v>-16.268939546397633</v>
      </c>
      <c r="BI27" s="1">
        <f ca="1">OFFSET(A27,0, 4) -0</f>
        <v>51.084956339687096</v>
      </c>
      <c r="BJ27" s="1">
        <f ca="1">OFFSET(A27,0, 11) -0</f>
        <v>-17.210497900831569</v>
      </c>
      <c r="BK27" s="1">
        <f ca="1">OFFSET(A27,0, 6) -0</f>
        <v>30.143397985253159</v>
      </c>
      <c r="BL27" s="1">
        <f ca="1">OFFSET(A27,0, 12) -0</f>
        <v>7.3187229219515046</v>
      </c>
      <c r="BM27" s="1">
        <f ca="1">OFFSET(A27,0, 8) -0</f>
        <v>-30.798160369180778</v>
      </c>
      <c r="BN27" s="1">
        <f ca="1">OFFSET(A27,0, 10) -0</f>
        <v>-11.739718723614601</v>
      </c>
      <c r="BO27" s="1">
        <f ca="1">OFFSET(A27,0, 13) -0</f>
        <v>11.847943744734565</v>
      </c>
      <c r="BP27" s="1">
        <f ca="1">OFFSET(A27,0, 18) -0</f>
        <v>34.494047858649765</v>
      </c>
      <c r="BQ27" s="1">
        <f ca="1">OFFSET(A27,0, 16) -0</f>
        <v>15.435606213083702</v>
      </c>
      <c r="BR27" s="1">
        <f ca="1">OFFSET(A27,0, 20) -0</f>
        <v>-56.447510495783945</v>
      </c>
      <c r="BS27" s="1">
        <f ca="1">OFFSET(A27,0, 14) -0</f>
        <v>-13.622835432482361</v>
      </c>
      <c r="BT27" s="1">
        <f ca="1">OFFSET(A27,0, 22) -0</f>
        <v>-37.389068850217882</v>
      </c>
      <c r="BU27" s="1">
        <f ca="1">OFFSET(A27,0, 15) -0</f>
        <v>50.90638539030067</v>
      </c>
      <c r="BV27" s="1">
        <f ca="1">OFFSET(A27,0, 24) -0</f>
        <v>-28.330627204651591</v>
      </c>
      <c r="BW27" s="1">
        <f ca="1">OFFSET(A27,0, 17) -0</f>
        <v>49.964827035866847</v>
      </c>
      <c r="BX27" s="1">
        <f ca="1">OFFSET(A27,0, 23) -0</f>
        <v>-32.859848027434964</v>
      </c>
      <c r="BY27" s="1">
        <f ca="1">OFFSET(A27,0, 19) -0</f>
        <v>-10.97673131856709</v>
      </c>
      <c r="BZ27" s="1">
        <f ca="1">OFFSET(A27,0, 21) -0</f>
        <v>-21.918289673001027</v>
      </c>
      <c r="CB27" s="1">
        <f>COUNTIF(B27,"&lt;-69")</f>
        <v>0</v>
      </c>
      <c r="CC27" s="1">
        <f ca="1">COUNTIF(BC27:BN27,"&lt;-49")</f>
        <v>0</v>
      </c>
      <c r="CD27" s="1">
        <f ca="1">COUNTIF(BC27:BN27,"&gt;+49")</f>
        <v>1</v>
      </c>
      <c r="CE27" s="1">
        <f ca="1">COUNTIF(BO27:BZ27,"&lt;-49")</f>
        <v>1</v>
      </c>
      <c r="CF27" s="1">
        <f ca="1">COUNTIF(BO27:BZ27,"&gt;+49")</f>
        <v>2</v>
      </c>
    </row>
    <row r="28" spans="1:84">
      <c r="A28" s="1">
        <v>25</v>
      </c>
      <c r="B28" s="1">
        <f>'Team B 1'!B28-'Team B 1'!$AA28-('Team B 1'!B$2- 12.5)*'Team B 1'!$AC28</f>
        <v>14.168077592309146</v>
      </c>
      <c r="C28" s="1">
        <f>'Team B 1'!C28-'Team B 1'!$AA28-('Team B 1'!C$2- 12.5)*'Team B 1'!$AC28</f>
        <v>19.023027366891256</v>
      </c>
      <c r="D28" s="1">
        <f>'Team B 1'!D28-'Team B 1'!$AA28-('Team B 1'!D$2- 12.5)*'Team B 1'!$AC28</f>
        <v>53.877977141472911</v>
      </c>
      <c r="E28" s="1">
        <f>'Team B 1'!E28-'Team B 1'!$AA28-('Team B 1'!E$2- 12.5)*'Team B 1'!$AC28</f>
        <v>88.732926916054794</v>
      </c>
      <c r="F28" s="1">
        <f>'Team B 1'!F28-'Team B 1'!$AA28-('Team B 1'!F$2- 12.5)*'Team B 1'!$AC28</f>
        <v>33.587876690636449</v>
      </c>
      <c r="G28" s="1">
        <f>'Team B 1'!G28-'Team B 1'!$AA28-('Team B 1'!G$2- 12.5)*'Team B 1'!$AC28</f>
        <v>38.442826465218332</v>
      </c>
      <c r="H28" s="1">
        <f>'Team B 1'!H28-'Team B 1'!$AA28-('Team B 1'!H$2- 12.5)*'Team B 1'!$AC28</f>
        <v>13.297776239800214</v>
      </c>
      <c r="I28" s="1">
        <f>'Team B 1'!I28-'Team B 1'!$AA28-('Team B 1'!I$2- 12.5)*'Team B 1'!$AC28</f>
        <v>-11.847273985618131</v>
      </c>
      <c r="J28" s="1">
        <f>'Team B 1'!J28-'Team B 1'!$AA28-('Team B 1'!J$2- 12.5)*'Team B 1'!$AC28</f>
        <v>-16.992324211036248</v>
      </c>
      <c r="K28" s="1">
        <f>'Team B 1'!K28-'Team B 1'!$AA28-('Team B 1'!K$2- 12.5)*'Team B 1'!$AC28</f>
        <v>27.862625563545521</v>
      </c>
      <c r="L28" s="1">
        <f>'Team B 1'!L28-'Team B 1'!$AA28-('Team B 1'!L$2- 12.5)*'Team B 1'!$AC28</f>
        <v>-57.28242466187271</v>
      </c>
      <c r="M28" s="1">
        <f>'Team B 1'!M28-'Team B 1'!$AA28-('Team B 1'!M$2- 12.5)*'Team B 1'!$AC28</f>
        <v>-12.427474887290899</v>
      </c>
      <c r="N28" s="1">
        <f>'Team B 1'!N28-'Team B 1'!$AA28-('Team B 1'!N$2- 12.5)*'Team B 1'!$AC28</f>
        <v>12.427474887290899</v>
      </c>
      <c r="O28" s="1">
        <f>'Team B 1'!O28-'Team B 1'!$AA28-('Team B 1'!O$2- 12.5)*'Team B 1'!$AC28</f>
        <v>-22.71757533812729</v>
      </c>
      <c r="P28" s="1">
        <f>'Team B 1'!P28-'Team B 1'!$AA28-('Team B 1'!P$2- 12.5)*'Team B 1'!$AC28</f>
        <v>12.137374436454479</v>
      </c>
      <c r="Q28" s="1">
        <f>'Team B 1'!Q28-'Team B 1'!$AA28-('Team B 1'!Q$2- 12.5)*'Team B 1'!$AC28</f>
        <v>6.992324211036248</v>
      </c>
      <c r="R28" s="1">
        <f>'Team B 1'!R28-'Team B 1'!$AA28-('Team B 1'!R$2- 12.5)*'Team B 1'!$AC28</f>
        <v>31.847273985618131</v>
      </c>
      <c r="S28" s="1">
        <f>'Team B 1'!S28-'Team B 1'!$AA28-('Team B 1'!S$2- 12.5)*'Team B 1'!$AC28</f>
        <v>-43.297776239800214</v>
      </c>
      <c r="T28" s="1">
        <f>'Team B 1'!T28-'Team B 1'!$AA28-('Team B 1'!T$2- 12.5)*'Team B 1'!$AC28</f>
        <v>-28.442826465218332</v>
      </c>
      <c r="U28" s="1">
        <f>'Team B 1'!U28-'Team B 1'!$AA28-('Team B 1'!U$2- 12.5)*'Team B 1'!$AC28</f>
        <v>-23.587876690636449</v>
      </c>
      <c r="V28" s="1">
        <f>'Team B 1'!V28-'Team B 1'!$AA28-('Team B 1'!V$2- 12.5)*'Team B 1'!$AC28</f>
        <v>-58.732926916054794</v>
      </c>
      <c r="W28" s="1">
        <f>'Team B 1'!W28-'Team B 1'!$AA28-('Team B 1'!W$2- 12.5)*'Team B 1'!$AC28</f>
        <v>-53.877977141472911</v>
      </c>
      <c r="X28" s="1">
        <f>'Team B 1'!X28-'Team B 1'!$AA28-('Team B 1'!X$2- 12.5)*'Team B 1'!$AC28</f>
        <v>-29.023027366891256</v>
      </c>
      <c r="Y28" s="1">
        <f>'Team B 1'!Y28-'Team B 1'!$AA28-('Team B 1'!Y$2- 12.5)*'Team B 1'!$AC28</f>
        <v>5.831922407690854</v>
      </c>
      <c r="AB28" s="1">
        <f>STDEV(B28:Y28)</f>
        <v>36.779457355308686</v>
      </c>
      <c r="AD28" s="5">
        <v>5</v>
      </c>
      <c r="AE28" s="5">
        <v>1</v>
      </c>
      <c r="AF28" s="5">
        <v>3</v>
      </c>
      <c r="AG28" s="5">
        <v>7</v>
      </c>
      <c r="AH28" s="5">
        <v>2</v>
      </c>
      <c r="AI28" s="5">
        <v>9</v>
      </c>
      <c r="AJ28" s="5">
        <v>4</v>
      </c>
      <c r="AK28" s="5" t="s">
        <v>46</v>
      </c>
      <c r="AL28" s="5">
        <v>6</v>
      </c>
      <c r="AM28" s="5" t="s">
        <v>47</v>
      </c>
      <c r="AN28" s="5">
        <v>8</v>
      </c>
      <c r="AO28" s="5" t="s">
        <v>45</v>
      </c>
      <c r="AP28" s="5">
        <v>1</v>
      </c>
      <c r="AQ28" s="5">
        <v>5</v>
      </c>
      <c r="AR28" s="5">
        <v>3</v>
      </c>
      <c r="AS28" s="5">
        <v>2</v>
      </c>
      <c r="AT28" s="5">
        <v>7</v>
      </c>
      <c r="AU28" s="5">
        <v>4</v>
      </c>
      <c r="AV28" s="5">
        <v>9</v>
      </c>
      <c r="AW28" s="5">
        <v>6</v>
      </c>
      <c r="AX28" s="5" t="s">
        <v>46</v>
      </c>
      <c r="AY28" s="5">
        <v>8</v>
      </c>
      <c r="AZ28" s="5" t="s">
        <v>47</v>
      </c>
      <c r="BA28" s="5" t="s">
        <v>45</v>
      </c>
      <c r="BB28" s="5"/>
      <c r="BC28" s="1">
        <f ca="1">OFFSET(A28,0, 2) -0</f>
        <v>19.023027366891256</v>
      </c>
      <c r="BD28" s="1">
        <f ca="1">OFFSET(A28,0, 5) -0</f>
        <v>33.587876690636449</v>
      </c>
      <c r="BE28" s="1">
        <f ca="1">OFFSET(A28,0, 3) -0</f>
        <v>53.877977141472911</v>
      </c>
      <c r="BF28" s="1">
        <f ca="1">OFFSET(A28,0, 7) -0</f>
        <v>13.297776239800214</v>
      </c>
      <c r="BG28" s="1">
        <f ca="1">OFFSET(A28,0, 1) -0</f>
        <v>14.168077592309146</v>
      </c>
      <c r="BH28" s="1">
        <f ca="1">OFFSET(A28,0, 9) -0</f>
        <v>-16.992324211036248</v>
      </c>
      <c r="BI28" s="1">
        <f ca="1">OFFSET(A28,0, 4) -0</f>
        <v>88.732926916054794</v>
      </c>
      <c r="BJ28" s="1">
        <f ca="1">OFFSET(A28,0, 11) -0</f>
        <v>-57.28242466187271</v>
      </c>
      <c r="BK28" s="1">
        <f ca="1">OFFSET(A28,0, 6) -0</f>
        <v>38.442826465218332</v>
      </c>
      <c r="BL28" s="1">
        <f ca="1">OFFSET(A28,0, 12) -0</f>
        <v>-12.427474887290899</v>
      </c>
      <c r="BM28" s="1">
        <f ca="1">OFFSET(A28,0, 8) -0</f>
        <v>-11.847273985618131</v>
      </c>
      <c r="BN28" s="1">
        <f ca="1">OFFSET(A28,0, 10) -0</f>
        <v>27.862625563545521</v>
      </c>
      <c r="BO28" s="1">
        <f ca="1">OFFSET(A28,0, 13) -0</f>
        <v>12.427474887290899</v>
      </c>
      <c r="BP28" s="1">
        <f ca="1">OFFSET(A28,0, 16) -0</f>
        <v>6.992324211036248</v>
      </c>
      <c r="BQ28" s="1">
        <f ca="1">OFFSET(A28,0, 15) -0</f>
        <v>12.137374436454479</v>
      </c>
      <c r="BR28" s="1">
        <f ca="1">OFFSET(A28,0, 18) -0</f>
        <v>-43.297776239800214</v>
      </c>
      <c r="BS28" s="1">
        <f ca="1">OFFSET(A28,0, 14) -0</f>
        <v>-22.71757533812729</v>
      </c>
      <c r="BT28" s="1">
        <f ca="1">OFFSET(A28,0, 20) -0</f>
        <v>-23.587876690636449</v>
      </c>
      <c r="BU28" s="1">
        <f ca="1">OFFSET(A28,0, 17) -0</f>
        <v>31.847273985618131</v>
      </c>
      <c r="BV28" s="1">
        <f ca="1">OFFSET(A28,0, 22) -0</f>
        <v>-53.877977141472911</v>
      </c>
      <c r="BW28" s="1">
        <f ca="1">OFFSET(A28,0, 19) -0</f>
        <v>-28.442826465218332</v>
      </c>
      <c r="BX28" s="1">
        <f ca="1">OFFSET(A28,0, 24) -0</f>
        <v>5.831922407690854</v>
      </c>
      <c r="BY28" s="1">
        <f ca="1">OFFSET(A28,0, 21) -0</f>
        <v>-58.732926916054794</v>
      </c>
      <c r="BZ28" s="1">
        <f ca="1">OFFSET(A28,0, 23) -0</f>
        <v>-29.023027366891256</v>
      </c>
      <c r="CB28" s="1">
        <f>COUNTIF(B28,"&lt;-69")</f>
        <v>0</v>
      </c>
      <c r="CC28" s="1">
        <f ca="1">COUNTIF(BC28:BN28,"&lt;-49")</f>
        <v>1</v>
      </c>
      <c r="CD28" s="1">
        <f ca="1">COUNTIF(BC28:BN28,"&gt;+49")</f>
        <v>2</v>
      </c>
      <c r="CE28" s="1">
        <f ca="1">COUNTIF(BO28:BZ28,"&lt;-49")</f>
        <v>2</v>
      </c>
      <c r="CF28" s="1">
        <f ca="1">COUNTIF(BO28:BZ28,"&gt;+49")</f>
        <v>0</v>
      </c>
    </row>
    <row r="29" spans="1:84">
      <c r="A29" s="1">
        <v>26</v>
      </c>
      <c r="B29" s="1">
        <f>'Team B 1'!B29-'Team B 1'!$AA29-('Team B 1'!B$2- 12.5)*'Team B 1'!$AC29</f>
        <v>-1.0889660570878732</v>
      </c>
      <c r="C29" s="1">
        <f>'Team B 1'!C29-'Team B 1'!$AA29-('Team B 1'!C$2- 12.5)*'Team B 1'!$AC29</f>
        <v>53.715871571063872</v>
      </c>
      <c r="D29" s="1">
        <f>'Team B 1'!D29-'Team B 1'!$AA29-('Team B 1'!D$2- 12.5)*'Team B 1'!$AC29</f>
        <v>-1.4792908007843835</v>
      </c>
      <c r="E29" s="1">
        <f>'Team B 1'!E29-'Team B 1'!$AA29-('Team B 1'!E$2- 12.5)*'Team B 1'!$AC29</f>
        <v>13.325546827367361</v>
      </c>
      <c r="F29" s="1">
        <f>'Team B 1'!F29-'Team B 1'!$AA29-('Team B 1'!F$2- 12.5)*'Team B 1'!$AC29</f>
        <v>28.130384455519106</v>
      </c>
      <c r="G29" s="1">
        <f>'Team B 1'!G29-'Team B 1'!$AA29-('Team B 1'!G$2- 12.5)*'Team B 1'!$AC29</f>
        <v>22.935222083670851</v>
      </c>
      <c r="H29" s="1">
        <f>'Team B 1'!H29-'Team B 1'!$AA29-('Team B 1'!H$2- 12.5)*'Team B 1'!$AC29</f>
        <v>47.740059711822596</v>
      </c>
      <c r="I29" s="1">
        <f>'Team B 1'!I29-'Team B 1'!$AA29-('Team B 1'!I$2- 12.5)*'Team B 1'!$AC29</f>
        <v>22.544897339974227</v>
      </c>
      <c r="J29" s="1">
        <f>'Team B 1'!J29-'Team B 1'!$AA29-('Team B 1'!J$2- 12.5)*'Team B 1'!$AC29</f>
        <v>-22.650265031874028</v>
      </c>
      <c r="K29" s="1">
        <f>'Team B 1'!K29-'Team B 1'!$AA29-('Team B 1'!K$2- 12.5)*'Team B 1'!$AC29</f>
        <v>-47.84542740372234</v>
      </c>
      <c r="L29" s="1">
        <f>'Team B 1'!L29-'Team B 1'!$AA29-('Team B 1'!L$2- 12.5)*'Team B 1'!$AC29</f>
        <v>-43.040589775570595</v>
      </c>
      <c r="M29" s="1">
        <f>'Team B 1'!M29-'Team B 1'!$AA29-('Team B 1'!M$2- 12.5)*'Team B 1'!$AC29</f>
        <v>-18.235752147418893</v>
      </c>
      <c r="N29" s="1">
        <f>'Team B 1'!N29-'Team B 1'!$AA29-('Team B 1'!N$2- 12.5)*'Team B 1'!$AC29</f>
        <v>-23.430914519267176</v>
      </c>
      <c r="O29" s="1">
        <f>'Team B 1'!O29-'Team B 1'!$AA29-('Team B 1'!O$2- 12.5)*'Team B 1'!$AC29</f>
        <v>1.3739231088845258</v>
      </c>
      <c r="P29" s="1">
        <f>'Team B 1'!P29-'Team B 1'!$AA29-('Team B 1'!P$2- 12.5)*'Team B 1'!$AC29</f>
        <v>26.178760737036271</v>
      </c>
      <c r="Q29" s="1">
        <f>'Team B 1'!Q29-'Team B 1'!$AA29-('Team B 1'!Q$2- 12.5)*'Team B 1'!$AC29</f>
        <v>20.983598365187959</v>
      </c>
      <c r="R29" s="1">
        <f>'Team B 1'!R29-'Team B 1'!$AA29-('Team B 1'!R$2- 12.5)*'Team B 1'!$AC29</f>
        <v>-4.2115640066602964</v>
      </c>
      <c r="S29" s="1">
        <f>'Team B 1'!S29-'Team B 1'!$AA29-('Team B 1'!S$2- 12.5)*'Team B 1'!$AC29</f>
        <v>-29.406726378508665</v>
      </c>
      <c r="T29" s="1">
        <f>'Team B 1'!T29-'Team B 1'!$AA29-('Team B 1'!T$2- 12.5)*'Team B 1'!$AC29</f>
        <v>5.3981112496430796</v>
      </c>
      <c r="U29" s="1">
        <f>'Team B 1'!U29-'Team B 1'!$AA29-('Team B 1'!U$2- 12.5)*'Team B 1'!$AC29</f>
        <v>30.202948877794825</v>
      </c>
      <c r="V29" s="1">
        <f>'Team B 1'!V29-'Team B 1'!$AA29-('Team B 1'!V$2- 12.5)*'Team B 1'!$AC29</f>
        <v>-44.992213494053431</v>
      </c>
      <c r="W29" s="1">
        <f>'Team B 1'!W29-'Team B 1'!$AA29-('Team B 1'!W$2- 12.5)*'Team B 1'!$AC29</f>
        <v>-20.187375865901686</v>
      </c>
      <c r="X29" s="1">
        <f>'Team B 1'!X29-'Team B 1'!$AA29-('Team B 1'!X$2- 12.5)*'Team B 1'!$AC29</f>
        <v>-15.382538237749941</v>
      </c>
      <c r="Y29" s="1">
        <f>'Team B 1'!Y29-'Team B 1'!$AA29-('Team B 1'!Y$2- 12.5)*'Team B 1'!$AC29</f>
        <v>-0.57770060959819602</v>
      </c>
      <c r="AB29" s="1">
        <f>STDEV(B29:Y29)</f>
        <v>28.228487635287831</v>
      </c>
      <c r="AD29" s="5">
        <v>5</v>
      </c>
      <c r="AE29" s="5">
        <v>1</v>
      </c>
      <c r="AF29" s="5">
        <v>2</v>
      </c>
      <c r="AG29" s="5">
        <v>3</v>
      </c>
      <c r="AH29" s="5">
        <v>4</v>
      </c>
      <c r="AI29" s="5">
        <v>7</v>
      </c>
      <c r="AJ29" s="5">
        <v>6</v>
      </c>
      <c r="AK29" s="5">
        <v>9</v>
      </c>
      <c r="AL29" s="5">
        <v>8</v>
      </c>
      <c r="AM29" s="5" t="s">
        <v>46</v>
      </c>
      <c r="AN29" s="5" t="s">
        <v>45</v>
      </c>
      <c r="AO29" s="5" t="s">
        <v>47</v>
      </c>
      <c r="AP29" s="5">
        <v>5</v>
      </c>
      <c r="AQ29" s="5">
        <v>2</v>
      </c>
      <c r="AR29" s="5">
        <v>1</v>
      </c>
      <c r="AS29" s="5">
        <v>3</v>
      </c>
      <c r="AT29" s="5">
        <v>7</v>
      </c>
      <c r="AU29" s="5">
        <v>4</v>
      </c>
      <c r="AV29" s="5">
        <v>9</v>
      </c>
      <c r="AW29" s="5">
        <v>6</v>
      </c>
      <c r="AX29" s="5" t="s">
        <v>46</v>
      </c>
      <c r="AY29" s="5">
        <v>8</v>
      </c>
      <c r="AZ29" s="5" t="s">
        <v>47</v>
      </c>
      <c r="BA29" s="5" t="s">
        <v>45</v>
      </c>
      <c r="BB29" s="5"/>
      <c r="BC29" s="1">
        <f ca="1">OFFSET(A29,0, 2) -0</f>
        <v>53.715871571063872</v>
      </c>
      <c r="BD29" s="1">
        <f ca="1">OFFSET(A29,0, 3) -0</f>
        <v>-1.4792908007843835</v>
      </c>
      <c r="BE29" s="1">
        <f ca="1">OFFSET(A29,0, 4) -0</f>
        <v>13.325546827367361</v>
      </c>
      <c r="BF29" s="1">
        <f ca="1">OFFSET(A29,0, 5) -0</f>
        <v>28.130384455519106</v>
      </c>
      <c r="BG29" s="1">
        <f ca="1">OFFSET(A29,0, 1) -0</f>
        <v>-1.0889660570878732</v>
      </c>
      <c r="BH29" s="1">
        <f ca="1">OFFSET(A29,0, 7) -0</f>
        <v>47.740059711822596</v>
      </c>
      <c r="BI29" s="1">
        <f ca="1">OFFSET(A29,0, 6) -0</f>
        <v>22.935222083670851</v>
      </c>
      <c r="BJ29" s="1">
        <f ca="1">OFFSET(A29,0, 9) -0</f>
        <v>-22.650265031874028</v>
      </c>
      <c r="BK29" s="1">
        <f ca="1">OFFSET(A29,0, 8) -0</f>
        <v>22.544897339974227</v>
      </c>
      <c r="BL29" s="1">
        <f ca="1">OFFSET(A29,0, 11) -0</f>
        <v>-43.040589775570595</v>
      </c>
      <c r="BM29" s="1">
        <f ca="1">OFFSET(A29,0, 10) -0</f>
        <v>-47.84542740372234</v>
      </c>
      <c r="BN29" s="1">
        <f ca="1">OFFSET(A29,0, 12) -0</f>
        <v>-18.235752147418893</v>
      </c>
      <c r="BO29" s="1">
        <f ca="1">OFFSET(A29,0, 15) -0</f>
        <v>26.178760737036271</v>
      </c>
      <c r="BP29" s="1">
        <f ca="1">OFFSET(A29,0, 14) -0</f>
        <v>1.3739231088845258</v>
      </c>
      <c r="BQ29" s="1">
        <f ca="1">OFFSET(A29,0, 16) -0</f>
        <v>20.983598365187959</v>
      </c>
      <c r="BR29" s="1">
        <f ca="1">OFFSET(A29,0, 18) -0</f>
        <v>-29.406726378508665</v>
      </c>
      <c r="BS29" s="1">
        <f ca="1">OFFSET(A29,0, 13) -0</f>
        <v>-23.430914519267176</v>
      </c>
      <c r="BT29" s="1">
        <f ca="1">OFFSET(A29,0, 20) -0</f>
        <v>30.202948877794825</v>
      </c>
      <c r="BU29" s="1">
        <f ca="1">OFFSET(A29,0, 17) -0</f>
        <v>-4.2115640066602964</v>
      </c>
      <c r="BV29" s="1">
        <f ca="1">OFFSET(A29,0, 22) -0</f>
        <v>-20.187375865901686</v>
      </c>
      <c r="BW29" s="1">
        <f ca="1">OFFSET(A29,0, 19) -0</f>
        <v>5.3981112496430796</v>
      </c>
      <c r="BX29" s="1">
        <f ca="1">OFFSET(A29,0, 24) -0</f>
        <v>-0.57770060959819602</v>
      </c>
      <c r="BY29" s="1">
        <f ca="1">OFFSET(A29,0, 21) -0</f>
        <v>-44.992213494053431</v>
      </c>
      <c r="BZ29" s="1">
        <f ca="1">OFFSET(A29,0, 23) -0</f>
        <v>-15.382538237749941</v>
      </c>
      <c r="CB29" s="1">
        <f>COUNTIF(B29,"&lt;-69")</f>
        <v>0</v>
      </c>
      <c r="CC29" s="1">
        <f ca="1">COUNTIF(BC29:BN29,"&lt;-49")</f>
        <v>0</v>
      </c>
      <c r="CD29" s="1">
        <f ca="1">COUNTIF(BC29:BN29,"&gt;+49")</f>
        <v>1</v>
      </c>
      <c r="CE29" s="1">
        <f ca="1">COUNTIF(BO29:BZ29,"&lt;-49")</f>
        <v>0</v>
      </c>
      <c r="CF29" s="1">
        <f ca="1">COUNTIF(BO29:BZ29,"&gt;+49")</f>
        <v>0</v>
      </c>
    </row>
    <row r="30" spans="1:84">
      <c r="A30" s="1">
        <v>27</v>
      </c>
      <c r="B30" s="1">
        <f>'Team B 1'!B30-'Team B 1'!$AA30-('Team B 1'!B$2- 12.5)*'Team B 1'!$AC30</f>
        <v>19.517052468041584</v>
      </c>
      <c r="C30" s="1">
        <f>'Team B 1'!C30-'Team B 1'!$AA30-('Team B 1'!C$2- 12.5)*'Team B 1'!$AC30</f>
        <v>24.088033412850564</v>
      </c>
      <c r="D30" s="1">
        <f>'Team B 1'!D30-'Team B 1'!$AA30-('Team B 1'!D$2- 12.5)*'Team B 1'!$AC30</f>
        <v>8.6590143576593164</v>
      </c>
      <c r="E30" s="1">
        <f>'Team B 1'!E30-'Team B 1'!$AA30-('Team B 1'!E$2- 12.5)*'Team B 1'!$AC30</f>
        <v>53.229995302468069</v>
      </c>
      <c r="F30" s="1">
        <f>'Team B 1'!F30-'Team B 1'!$AA30-('Team B 1'!F$2- 12.5)*'Team B 1'!$AC30</f>
        <v>-2.199023752722951</v>
      </c>
      <c r="G30" s="1">
        <f>'Team B 1'!G30-'Team B 1'!$AA30-('Team B 1'!G$2- 12.5)*'Team B 1'!$AC30</f>
        <v>2.3719571920858016</v>
      </c>
      <c r="H30" s="1">
        <f>'Team B 1'!H30-'Team B 1'!$AA30-('Team B 1'!H$2- 12.5)*'Team B 1'!$AC30</f>
        <v>16.942938136894554</v>
      </c>
      <c r="I30" s="1">
        <f>'Team B 1'!I30-'Team B 1'!$AA30-('Team B 1'!I$2- 12.5)*'Team B 1'!$AC30</f>
        <v>1.5139190817034205</v>
      </c>
      <c r="J30" s="1">
        <f>'Team B 1'!J30-'Team B 1'!$AA30-('Team B 1'!J$2- 12.5)*'Team B 1'!$AC30</f>
        <v>-3.9150999734878269</v>
      </c>
      <c r="K30" s="1">
        <f>'Team B 1'!K30-'Team B 1'!$AA30-('Team B 1'!K$2- 12.5)*'Team B 1'!$AC30</f>
        <v>-19.344119028678961</v>
      </c>
      <c r="L30" s="1">
        <f>'Team B 1'!L30-'Team B 1'!$AA30-('Team B 1'!L$2- 12.5)*'Team B 1'!$AC30</f>
        <v>-24.773138083870208</v>
      </c>
      <c r="M30" s="1">
        <f>'Team B 1'!M30-'Team B 1'!$AA30-('Team B 1'!M$2- 12.5)*'Team B 1'!$AC30</f>
        <v>9.7978428609386299</v>
      </c>
      <c r="N30" s="1">
        <f>'Team B 1'!N30-'Team B 1'!$AA30-('Team B 1'!N$2- 12.5)*'Team B 1'!$AC30</f>
        <v>24.368823805747439</v>
      </c>
      <c r="O30" s="1">
        <f>'Team B 1'!O30-'Team B 1'!$AA30-('Team B 1'!O$2- 12.5)*'Team B 1'!$AC30</f>
        <v>28.939804750556277</v>
      </c>
      <c r="P30" s="1">
        <f>'Team B 1'!P30-'Team B 1'!$AA30-('Team B 1'!P$2- 12.5)*'Team B 1'!$AC30</f>
        <v>33.51078569536503</v>
      </c>
      <c r="Q30" s="1">
        <f>'Team B 1'!Q30-'Team B 1'!$AA30-('Team B 1'!Q$2- 12.5)*'Team B 1'!$AC30</f>
        <v>8.0817666401738961</v>
      </c>
      <c r="R30" s="1">
        <f>'Team B 1'!R30-'Team B 1'!$AA30-('Team B 1'!R$2- 12.5)*'Team B 1'!$AC30</f>
        <v>-27.347252415017351</v>
      </c>
      <c r="S30" s="1">
        <f>'Team B 1'!S30-'Team B 1'!$AA30-('Team B 1'!S$2- 12.5)*'Team B 1'!$AC30</f>
        <v>-12.776271470208485</v>
      </c>
      <c r="T30" s="1">
        <f>'Team B 1'!T30-'Team B 1'!$AA30-('Team B 1'!T$2- 12.5)*'Team B 1'!$AC30</f>
        <v>-28.205290525399732</v>
      </c>
      <c r="U30" s="1">
        <f>'Team B 1'!U30-'Team B 1'!$AA30-('Team B 1'!U$2- 12.5)*'Team B 1'!$AC30</f>
        <v>-23.63430958059098</v>
      </c>
      <c r="V30" s="1">
        <f>'Team B 1'!V30-'Team B 1'!$AA30-('Team B 1'!V$2- 12.5)*'Team B 1'!$AC30</f>
        <v>-29.063328635782</v>
      </c>
      <c r="W30" s="1">
        <f>'Team B 1'!W30-'Team B 1'!$AA30-('Team B 1'!W$2- 12.5)*'Team B 1'!$AC30</f>
        <v>-44.492347690973247</v>
      </c>
      <c r="X30" s="1">
        <f>'Team B 1'!X30-'Team B 1'!$AA30-('Team B 1'!X$2- 12.5)*'Team B 1'!$AC30</f>
        <v>-19.921366746164495</v>
      </c>
      <c r="Y30" s="1">
        <f>'Team B 1'!Y30-'Team B 1'!$AA30-('Team B 1'!Y$2- 12.5)*'Team B 1'!$AC30</f>
        <v>4.6496141986444854</v>
      </c>
      <c r="AB30" s="1">
        <f>STDEV(B30:Y30)</f>
        <v>24.13386165880112</v>
      </c>
      <c r="AD30" s="5">
        <v>2</v>
      </c>
      <c r="AE30" s="5">
        <v>5</v>
      </c>
      <c r="AF30" s="5">
        <v>3</v>
      </c>
      <c r="AG30" s="5">
        <v>1</v>
      </c>
      <c r="AH30" s="5">
        <v>4</v>
      </c>
      <c r="AI30" s="5">
        <v>7</v>
      </c>
      <c r="AJ30" s="5">
        <v>6</v>
      </c>
      <c r="AK30" s="5">
        <v>9</v>
      </c>
      <c r="AL30" s="5">
        <v>8</v>
      </c>
      <c r="AM30" s="5" t="s">
        <v>46</v>
      </c>
      <c r="AN30" s="5" t="s">
        <v>45</v>
      </c>
      <c r="AO30" s="5" t="s">
        <v>47</v>
      </c>
      <c r="AP30" s="5">
        <v>2</v>
      </c>
      <c r="AQ30" s="5">
        <v>5</v>
      </c>
      <c r="AR30" s="5">
        <v>1</v>
      </c>
      <c r="AS30" s="5">
        <v>3</v>
      </c>
      <c r="AT30" s="5">
        <v>4</v>
      </c>
      <c r="AU30" s="5">
        <v>6</v>
      </c>
      <c r="AV30" s="5">
        <v>7</v>
      </c>
      <c r="AW30" s="5">
        <v>8</v>
      </c>
      <c r="AX30" s="5">
        <v>9</v>
      </c>
      <c r="AY30" s="5" t="s">
        <v>45</v>
      </c>
      <c r="AZ30" s="5" t="s">
        <v>46</v>
      </c>
      <c r="BA30" s="5" t="s">
        <v>47</v>
      </c>
      <c r="BB30" s="5"/>
      <c r="BC30" s="1">
        <f ca="1">OFFSET(A30,0, 4) -0</f>
        <v>53.229995302468069</v>
      </c>
      <c r="BD30" s="1">
        <f ca="1">OFFSET(A30,0, 1) -0</f>
        <v>19.517052468041584</v>
      </c>
      <c r="BE30" s="1">
        <f ca="1">OFFSET(A30,0, 3) -0</f>
        <v>8.6590143576593164</v>
      </c>
      <c r="BF30" s="1">
        <f ca="1">OFFSET(A30,0, 5) -0</f>
        <v>-2.199023752722951</v>
      </c>
      <c r="BG30" s="1">
        <f ca="1">OFFSET(A30,0, 2) -0</f>
        <v>24.088033412850564</v>
      </c>
      <c r="BH30" s="1">
        <f ca="1">OFFSET(A30,0, 7) -0</f>
        <v>16.942938136894554</v>
      </c>
      <c r="BI30" s="1">
        <f ca="1">OFFSET(A30,0, 6) -0</f>
        <v>2.3719571920858016</v>
      </c>
      <c r="BJ30" s="1">
        <f ca="1">OFFSET(A30,0, 9) -0</f>
        <v>-3.9150999734878269</v>
      </c>
      <c r="BK30" s="1">
        <f ca="1">OFFSET(A30,0, 8) -0</f>
        <v>1.5139190817034205</v>
      </c>
      <c r="BL30" s="1">
        <f ca="1">OFFSET(A30,0, 11) -0</f>
        <v>-24.773138083870208</v>
      </c>
      <c r="BM30" s="1">
        <f ca="1">OFFSET(A30,0, 10) -0</f>
        <v>-19.344119028678961</v>
      </c>
      <c r="BN30" s="1">
        <f ca="1">OFFSET(A30,0, 12) -0</f>
        <v>9.7978428609386299</v>
      </c>
      <c r="BO30" s="1">
        <f ca="1">OFFSET(A30,0, 15) -0</f>
        <v>33.51078569536503</v>
      </c>
      <c r="BP30" s="1">
        <f ca="1">OFFSET(A30,0, 13) -0</f>
        <v>24.368823805747439</v>
      </c>
      <c r="BQ30" s="1">
        <f ca="1">OFFSET(A30,0, 16) -0</f>
        <v>8.0817666401738961</v>
      </c>
      <c r="BR30" s="1">
        <f ca="1">OFFSET(A30,0, 17) -0</f>
        <v>-27.347252415017351</v>
      </c>
      <c r="BS30" s="1">
        <f ca="1">OFFSET(A30,0, 14) -0</f>
        <v>28.939804750556277</v>
      </c>
      <c r="BT30" s="1">
        <f ca="1">OFFSET(A30,0, 18) -0</f>
        <v>-12.776271470208485</v>
      </c>
      <c r="BU30" s="1">
        <f ca="1">OFFSET(A30,0, 19) -0</f>
        <v>-28.205290525399732</v>
      </c>
      <c r="BV30" s="1">
        <f ca="1">OFFSET(A30,0, 20) -0</f>
        <v>-23.63430958059098</v>
      </c>
      <c r="BW30" s="1">
        <f ca="1">OFFSET(A30,0, 21) -0</f>
        <v>-29.063328635782</v>
      </c>
      <c r="BX30" s="1">
        <f ca="1">OFFSET(A30,0, 22) -0</f>
        <v>-44.492347690973247</v>
      </c>
      <c r="BY30" s="1">
        <f ca="1">OFFSET(A30,0, 23) -0</f>
        <v>-19.921366746164495</v>
      </c>
      <c r="BZ30" s="1">
        <f ca="1">OFFSET(A30,0, 24) -0</f>
        <v>4.6496141986444854</v>
      </c>
      <c r="CB30" s="1">
        <f>COUNTIF(B30,"&lt;-69")</f>
        <v>0</v>
      </c>
      <c r="CC30" s="1">
        <f ca="1">COUNTIF(BC30:BN30,"&lt;-49")</f>
        <v>0</v>
      </c>
      <c r="CD30" s="1">
        <f ca="1">COUNTIF(BC30:BN30,"&gt;+49")</f>
        <v>1</v>
      </c>
      <c r="CE30" s="1">
        <f ca="1">COUNTIF(BO30:BZ30,"&lt;-49")</f>
        <v>0</v>
      </c>
      <c r="CF30" s="1">
        <f ca="1">COUNTIF(BO30:BZ30,"&gt;+49")</f>
        <v>0</v>
      </c>
    </row>
    <row r="31" spans="1:84">
      <c r="A31" s="1">
        <v>28</v>
      </c>
      <c r="B31" s="1">
        <f>'Team B 1'!B31-'Team B 1'!$AA31-('Team B 1'!B$2- 12.5)*'Team B 1'!$AC31</f>
        <v>43.74592151990646</v>
      </c>
      <c r="C31" s="1">
        <f>'Team B 1'!C31-'Team B 1'!$AA31-('Team B 1'!C$2- 12.5)*'Team B 1'!$AC31</f>
        <v>18.166566025422526</v>
      </c>
      <c r="D31" s="1">
        <f>'Team B 1'!D31-'Team B 1'!$AA31-('Team B 1'!D$2- 12.5)*'Team B 1'!$AC31</f>
        <v>2.5872105309388189</v>
      </c>
      <c r="E31" s="1">
        <f>'Team B 1'!E31-'Team B 1'!$AA31-('Team B 1'!E$2- 12.5)*'Team B 1'!$AC31</f>
        <v>27.007855036455112</v>
      </c>
      <c r="F31" s="1">
        <f>'Team B 1'!F31-'Team B 1'!$AA31-('Team B 1'!F$2- 12.5)*'Team B 1'!$AC31</f>
        <v>21.428499541971178</v>
      </c>
      <c r="G31" s="1">
        <f>'Team B 1'!G31-'Team B 1'!$AA31-('Team B 1'!G$2- 12.5)*'Team B 1'!$AC31</f>
        <v>-4.1508559525125293</v>
      </c>
      <c r="H31" s="1">
        <f>'Team B 1'!H31-'Team B 1'!$AA31-('Team B 1'!H$2- 12.5)*'Team B 1'!$AC31</f>
        <v>-19.730211446996236</v>
      </c>
      <c r="I31" s="1">
        <f>'Team B 1'!I31-'Team B 1'!$AA31-('Team B 1'!I$2- 12.5)*'Team B 1'!$AC31</f>
        <v>54.690433058519943</v>
      </c>
      <c r="J31" s="1">
        <f>'Team B 1'!J31-'Team B 1'!$AA31-('Team B 1'!J$2- 12.5)*'Team B 1'!$AC31</f>
        <v>19.111077564036236</v>
      </c>
      <c r="K31" s="1">
        <f>'Team B 1'!K31-'Team B 1'!$AA31-('Team B 1'!K$2- 12.5)*'Team B 1'!$AC31</f>
        <v>-16.468277930447584</v>
      </c>
      <c r="L31" s="1">
        <f>'Team B 1'!L31-'Team B 1'!$AA31-('Team B 1'!L$2- 12.5)*'Team B 1'!$AC31</f>
        <v>-12.047633424931291</v>
      </c>
      <c r="M31" s="1">
        <f>'Team B 1'!M31-'Team B 1'!$AA31-('Team B 1'!M$2- 12.5)*'Team B 1'!$AC31</f>
        <v>2.3730110805849165</v>
      </c>
      <c r="N31" s="1">
        <f>'Team B 1'!N31-'Team B 1'!$AA31-('Team B 1'!N$2- 12.5)*'Team B 1'!$AC31</f>
        <v>36.793655586101153</v>
      </c>
      <c r="O31" s="1">
        <f>'Team B 1'!O31-'Team B 1'!$AA31-('Team B 1'!O$2- 12.5)*'Team B 1'!$AC31</f>
        <v>21.214300091617361</v>
      </c>
      <c r="P31" s="1">
        <f>'Team B 1'!P31-'Team B 1'!$AA31-('Team B 1'!P$2- 12.5)*'Team B 1'!$AC31</f>
        <v>-4.3650554028663464</v>
      </c>
      <c r="Q31" s="1">
        <f>'Team B 1'!Q31-'Team B 1'!$AA31-('Team B 1'!Q$2- 12.5)*'Team B 1'!$AC31</f>
        <v>20.055589102649833</v>
      </c>
      <c r="R31" s="1">
        <f>'Team B 1'!R31-'Team B 1'!$AA31-('Team B 1'!R$2- 12.5)*'Team B 1'!$AC31</f>
        <v>4.476233608166126</v>
      </c>
      <c r="S31" s="1">
        <f>'Team B 1'!S31-'Team B 1'!$AA31-('Team B 1'!S$2- 12.5)*'Team B 1'!$AC31</f>
        <v>-51.103121886317695</v>
      </c>
      <c r="T31" s="1">
        <f>'Team B 1'!T31-'Team B 1'!$AA31-('Team B 1'!T$2- 12.5)*'Team B 1'!$AC31</f>
        <v>-26.682477380801402</v>
      </c>
      <c r="U31" s="1">
        <f>'Team B 1'!U31-'Team B 1'!$AA31-('Team B 1'!U$2- 12.5)*'Team B 1'!$AC31</f>
        <v>-32.261832875285108</v>
      </c>
      <c r="V31" s="1">
        <f>'Team B 1'!V31-'Team B 1'!$AA31-('Team B 1'!V$2- 12.5)*'Team B 1'!$AC31</f>
        <v>-27.841188369769043</v>
      </c>
      <c r="W31" s="1">
        <f>'Team B 1'!W31-'Team B 1'!$AA31-('Team B 1'!W$2- 12.5)*'Team B 1'!$AC31</f>
        <v>-33.42054386425275</v>
      </c>
      <c r="X31" s="1">
        <f>'Team B 1'!X31-'Team B 1'!$AA31-('Team B 1'!X$2- 12.5)*'Team B 1'!$AC31</f>
        <v>-38.999899358736457</v>
      </c>
      <c r="Y31" s="1">
        <f>'Team B 1'!Y31-'Team B 1'!$AA31-('Team B 1'!Y$2- 12.5)*'Team B 1'!$AC31</f>
        <v>-4.5792548532203909</v>
      </c>
      <c r="AB31" s="1">
        <f>STDEV(B31:Y31)</f>
        <v>27.715377235473213</v>
      </c>
      <c r="AD31" s="5">
        <v>5</v>
      </c>
      <c r="AE31" s="5">
        <v>2</v>
      </c>
      <c r="AF31" s="5">
        <v>3</v>
      </c>
      <c r="AG31" s="5">
        <v>1</v>
      </c>
      <c r="AH31" s="5">
        <v>6</v>
      </c>
      <c r="AI31" s="5">
        <v>4</v>
      </c>
      <c r="AJ31" s="5">
        <v>8</v>
      </c>
      <c r="AK31" s="5">
        <v>7</v>
      </c>
      <c r="AL31" s="5" t="s">
        <v>45</v>
      </c>
      <c r="AM31" s="5">
        <v>9</v>
      </c>
      <c r="AN31" s="5" t="s">
        <v>47</v>
      </c>
      <c r="AO31" s="5" t="s">
        <v>46</v>
      </c>
      <c r="AP31" s="5">
        <v>2</v>
      </c>
      <c r="AQ31" s="5">
        <v>5</v>
      </c>
      <c r="AR31" s="5">
        <v>3</v>
      </c>
      <c r="AS31" s="5">
        <v>6</v>
      </c>
      <c r="AT31" s="5">
        <v>1</v>
      </c>
      <c r="AU31" s="5">
        <v>4</v>
      </c>
      <c r="AV31" s="5">
        <v>7</v>
      </c>
      <c r="AW31" s="5">
        <v>8</v>
      </c>
      <c r="AX31" s="5">
        <v>9</v>
      </c>
      <c r="AY31" s="5" t="s">
        <v>45</v>
      </c>
      <c r="AZ31" s="5" t="s">
        <v>46</v>
      </c>
      <c r="BA31" s="5" t="s">
        <v>47</v>
      </c>
      <c r="BB31" s="5"/>
      <c r="BC31" s="1">
        <f ca="1">OFFSET(A31,0, 4) -0</f>
        <v>27.007855036455112</v>
      </c>
      <c r="BD31" s="1">
        <f ca="1">OFFSET(A31,0, 2) -0</f>
        <v>18.166566025422526</v>
      </c>
      <c r="BE31" s="1">
        <f ca="1">OFFSET(A31,0, 3) -0</f>
        <v>2.5872105309388189</v>
      </c>
      <c r="BF31" s="1">
        <f ca="1">OFFSET(A31,0, 6) -0</f>
        <v>-4.1508559525125293</v>
      </c>
      <c r="BG31" s="1">
        <f ca="1">OFFSET(A31,0, 1) -0</f>
        <v>43.74592151990646</v>
      </c>
      <c r="BH31" s="1">
        <f ca="1">OFFSET(A31,0, 5) -0</f>
        <v>21.428499541971178</v>
      </c>
      <c r="BI31" s="1">
        <f ca="1">OFFSET(A31,0, 8) -0</f>
        <v>54.690433058519943</v>
      </c>
      <c r="BJ31" s="1">
        <f ca="1">OFFSET(A31,0, 7) -0</f>
        <v>-19.730211446996236</v>
      </c>
      <c r="BK31" s="1">
        <f ca="1">OFFSET(A31,0, 10) -0</f>
        <v>-16.468277930447584</v>
      </c>
      <c r="BL31" s="1">
        <f ca="1">OFFSET(A31,0, 9) -0</f>
        <v>19.111077564036236</v>
      </c>
      <c r="BM31" s="1">
        <f ca="1">OFFSET(A31,0, 12) -0</f>
        <v>2.3730110805849165</v>
      </c>
      <c r="BN31" s="1">
        <f ca="1">OFFSET(A31,0, 11) -0</f>
        <v>-12.047633424931291</v>
      </c>
      <c r="BO31" s="1">
        <f ca="1">OFFSET(A31,0, 17) -0</f>
        <v>4.476233608166126</v>
      </c>
      <c r="BP31" s="1">
        <f ca="1">OFFSET(A31,0, 13) -0</f>
        <v>36.793655586101153</v>
      </c>
      <c r="BQ31" s="1">
        <f ca="1">OFFSET(A31,0, 15) -0</f>
        <v>-4.3650554028663464</v>
      </c>
      <c r="BR31" s="1">
        <f ca="1">OFFSET(A31,0, 18) -0</f>
        <v>-51.103121886317695</v>
      </c>
      <c r="BS31" s="1">
        <f ca="1">OFFSET(A31,0, 14) -0</f>
        <v>21.214300091617361</v>
      </c>
      <c r="BT31" s="1">
        <f ca="1">OFFSET(A31,0, 16) -0</f>
        <v>20.055589102649833</v>
      </c>
      <c r="BU31" s="1">
        <f ca="1">OFFSET(A31,0, 19) -0</f>
        <v>-26.682477380801402</v>
      </c>
      <c r="BV31" s="1">
        <f ca="1">OFFSET(A31,0, 20) -0</f>
        <v>-32.261832875285108</v>
      </c>
      <c r="BW31" s="1">
        <f ca="1">OFFSET(A31,0, 21) -0</f>
        <v>-27.841188369769043</v>
      </c>
      <c r="BX31" s="1">
        <f ca="1">OFFSET(A31,0, 22) -0</f>
        <v>-33.42054386425275</v>
      </c>
      <c r="BY31" s="1">
        <f ca="1">OFFSET(A31,0, 23) -0</f>
        <v>-38.999899358736457</v>
      </c>
      <c r="BZ31" s="1">
        <f ca="1">OFFSET(A31,0, 24) -0</f>
        <v>-4.5792548532203909</v>
      </c>
      <c r="CB31" s="1">
        <f>COUNTIF(B31,"&lt;-69")</f>
        <v>0</v>
      </c>
      <c r="CC31" s="1">
        <f ca="1">COUNTIF(BC31:BN31,"&lt;-49")</f>
        <v>0</v>
      </c>
      <c r="CD31" s="1">
        <f ca="1">COUNTIF(BC31:BN31,"&gt;+49")</f>
        <v>1</v>
      </c>
      <c r="CE31" s="1">
        <f ca="1">COUNTIF(BO31:BZ31,"&lt;-49")</f>
        <v>1</v>
      </c>
      <c r="CF31" s="1">
        <f ca="1">COUNTIF(BO31:BZ31,"&gt;+49")</f>
        <v>0</v>
      </c>
    </row>
    <row r="32" spans="1:84">
      <c r="A32" s="1">
        <v>29</v>
      </c>
      <c r="B32" s="1">
        <f>'Team B 1'!B32-'Team B 1'!$AA32-('Team B 1'!B$2- 12.5)*'Team B 1'!$AC32</f>
        <v>24.834926151172567</v>
      </c>
      <c r="C32" s="1">
        <f>'Team B 1'!C32-'Team B 1'!$AA32-('Team B 1'!C$2- 12.5)*'Team B 1'!$AC32</f>
        <v>19.197106485853055</v>
      </c>
      <c r="D32" s="1">
        <f>'Team B 1'!D32-'Team B 1'!$AA32-('Team B 1'!D$2- 12.5)*'Team B 1'!$AC32</f>
        <v>33.559286820533771</v>
      </c>
      <c r="E32" s="1">
        <f>'Team B 1'!E32-'Team B 1'!$AA32-('Team B 1'!E$2- 12.5)*'Team B 1'!$AC32</f>
        <v>17.921467155214486</v>
      </c>
      <c r="F32" s="1">
        <f>'Team B 1'!F32-'Team B 1'!$AA32-('Team B 1'!F$2- 12.5)*'Team B 1'!$AC32</f>
        <v>22.283647489894975</v>
      </c>
      <c r="G32" s="1">
        <f>'Team B 1'!G32-'Team B 1'!$AA32-('Team B 1'!G$2- 12.5)*'Team B 1'!$AC32</f>
        <v>6.6458278245756901</v>
      </c>
      <c r="H32" s="1">
        <f>'Team B 1'!H32-'Team B 1'!$AA32-('Team B 1'!H$2- 12.5)*'Team B 1'!$AC32</f>
        <v>-48.991991840743594</v>
      </c>
      <c r="I32" s="1">
        <f>'Team B 1'!I32-'Team B 1'!$AA32-('Team B 1'!I$2- 12.5)*'Team B 1'!$AC32</f>
        <v>35.370188493937007</v>
      </c>
      <c r="J32" s="1">
        <f>'Team B 1'!J32-'Team B 1'!$AA32-('Team B 1'!J$2- 12.5)*'Team B 1'!$AC32</f>
        <v>-10.267631171382277</v>
      </c>
      <c r="K32" s="1">
        <f>'Team B 1'!K32-'Team B 1'!$AA32-('Team B 1'!K$2- 12.5)*'Team B 1'!$AC32</f>
        <v>-25.905450836701675</v>
      </c>
      <c r="L32" s="1">
        <f>'Team B 1'!L32-'Team B 1'!$AA32-('Team B 1'!L$2- 12.5)*'Team B 1'!$AC32</f>
        <v>-21.54327050202096</v>
      </c>
      <c r="M32" s="1">
        <f>'Team B 1'!M32-'Team B 1'!$AA32-('Team B 1'!M$2- 12.5)*'Team B 1'!$AC32</f>
        <v>2.8189098326596707</v>
      </c>
      <c r="N32" s="1">
        <f>'Team B 1'!N32-'Team B 1'!$AA32-('Team B 1'!N$2- 12.5)*'Team B 1'!$AC32</f>
        <v>-2.8189098326596707</v>
      </c>
      <c r="O32" s="1">
        <f>'Team B 1'!O32-'Team B 1'!$AA32-('Team B 1'!O$2- 12.5)*'Team B 1'!$AC32</f>
        <v>11.54327050202096</v>
      </c>
      <c r="P32" s="1">
        <f>'Team B 1'!P32-'Team B 1'!$AA32-('Team B 1'!P$2- 12.5)*'Team B 1'!$AC32</f>
        <v>15.905450836701675</v>
      </c>
      <c r="Q32" s="1">
        <f>'Team B 1'!Q32-'Team B 1'!$AA32-('Team B 1'!Q$2- 12.5)*'Team B 1'!$AC32</f>
        <v>30.267631171382277</v>
      </c>
      <c r="R32" s="1">
        <f>'Team B 1'!R32-'Team B 1'!$AA32-('Team B 1'!R$2- 12.5)*'Team B 1'!$AC32</f>
        <v>34.629811506062993</v>
      </c>
      <c r="S32" s="1">
        <f>'Team B 1'!S32-'Team B 1'!$AA32-('Team B 1'!S$2- 12.5)*'Team B 1'!$AC32</f>
        <v>-31.008008159256406</v>
      </c>
      <c r="T32" s="1">
        <f>'Team B 1'!T32-'Team B 1'!$AA32-('Team B 1'!T$2- 12.5)*'Team B 1'!$AC32</f>
        <v>-46.64582782457569</v>
      </c>
      <c r="U32" s="1">
        <f>'Team B 1'!U32-'Team B 1'!$AA32-('Team B 1'!U$2- 12.5)*'Team B 1'!$AC32</f>
        <v>-52.283647489894975</v>
      </c>
      <c r="V32" s="1">
        <f>'Team B 1'!V32-'Team B 1'!$AA32-('Team B 1'!V$2- 12.5)*'Team B 1'!$AC32</f>
        <v>12.078532844785514</v>
      </c>
      <c r="W32" s="1">
        <f>'Team B 1'!W32-'Team B 1'!$AA32-('Team B 1'!W$2- 12.5)*'Team B 1'!$AC32</f>
        <v>16.440713179466229</v>
      </c>
      <c r="X32" s="1">
        <f>'Team B 1'!X32-'Team B 1'!$AA32-('Team B 1'!X$2- 12.5)*'Team B 1'!$AC32</f>
        <v>-19.197106485853055</v>
      </c>
      <c r="Y32" s="1">
        <f>'Team B 1'!Y32-'Team B 1'!$AA32-('Team B 1'!Y$2- 12.5)*'Team B 1'!$AC32</f>
        <v>-24.834926151172567</v>
      </c>
      <c r="AB32" s="1">
        <f>STDEV(B32:Y32)</f>
        <v>27.705913797385666</v>
      </c>
      <c r="AD32" s="5">
        <v>5</v>
      </c>
      <c r="AE32" s="5">
        <v>2</v>
      </c>
      <c r="AF32" s="5">
        <v>6</v>
      </c>
      <c r="AG32" s="5">
        <v>3</v>
      </c>
      <c r="AH32" s="5">
        <v>4</v>
      </c>
      <c r="AI32" s="5">
        <v>1</v>
      </c>
      <c r="AJ32" s="5">
        <v>8</v>
      </c>
      <c r="AK32" s="5">
        <v>7</v>
      </c>
      <c r="AL32" s="5" t="s">
        <v>45</v>
      </c>
      <c r="AM32" s="5">
        <v>9</v>
      </c>
      <c r="AN32" s="5" t="s">
        <v>47</v>
      </c>
      <c r="AO32" s="5" t="s">
        <v>46</v>
      </c>
      <c r="AP32" s="5">
        <v>5</v>
      </c>
      <c r="AQ32" s="5">
        <v>6</v>
      </c>
      <c r="AR32" s="5">
        <v>2</v>
      </c>
      <c r="AS32" s="5">
        <v>3</v>
      </c>
      <c r="AT32" s="5">
        <v>1</v>
      </c>
      <c r="AU32" s="5">
        <v>4</v>
      </c>
      <c r="AV32" s="5">
        <v>8</v>
      </c>
      <c r="AW32" s="5" t="s">
        <v>45</v>
      </c>
      <c r="AX32" s="5">
        <v>7</v>
      </c>
      <c r="AY32" s="5" t="s">
        <v>47</v>
      </c>
      <c r="AZ32" s="5">
        <v>9</v>
      </c>
      <c r="BA32" s="5" t="s">
        <v>46</v>
      </c>
      <c r="BB32" s="5"/>
      <c r="BC32" s="1">
        <f ca="1">OFFSET(A32,0, 6) -0</f>
        <v>6.6458278245756901</v>
      </c>
      <c r="BD32" s="1">
        <f ca="1">OFFSET(A32,0, 2) -0</f>
        <v>19.197106485853055</v>
      </c>
      <c r="BE32" s="1">
        <f ca="1">OFFSET(A32,0, 4) -0</f>
        <v>17.921467155214486</v>
      </c>
      <c r="BF32" s="1">
        <f ca="1">OFFSET(A32,0, 5) -0</f>
        <v>22.283647489894975</v>
      </c>
      <c r="BG32" s="1">
        <f ca="1">OFFSET(A32,0, 1) -0</f>
        <v>24.834926151172567</v>
      </c>
      <c r="BH32" s="1">
        <f ca="1">OFFSET(A32,0, 3) -0</f>
        <v>33.559286820533771</v>
      </c>
      <c r="BI32" s="1">
        <f ca="1">OFFSET(A32,0, 8) -0</f>
        <v>35.370188493937007</v>
      </c>
      <c r="BJ32" s="1">
        <f ca="1">OFFSET(A32,0, 7) -0</f>
        <v>-48.991991840743594</v>
      </c>
      <c r="BK32" s="1">
        <f ca="1">OFFSET(A32,0, 10) -0</f>
        <v>-25.905450836701675</v>
      </c>
      <c r="BL32" s="1">
        <f ca="1">OFFSET(A32,0, 9) -0</f>
        <v>-10.267631171382277</v>
      </c>
      <c r="BM32" s="1">
        <f ca="1">OFFSET(A32,0, 12) -0</f>
        <v>2.8189098326596707</v>
      </c>
      <c r="BN32" s="1">
        <f ca="1">OFFSET(A32,0, 11) -0</f>
        <v>-21.54327050202096</v>
      </c>
      <c r="BO32" s="1">
        <f ca="1">OFFSET(A32,0, 17) -0</f>
        <v>34.629811506062993</v>
      </c>
      <c r="BP32" s="1">
        <f ca="1">OFFSET(A32,0, 15) -0</f>
        <v>15.905450836701675</v>
      </c>
      <c r="BQ32" s="1">
        <f ca="1">OFFSET(A32,0, 16) -0</f>
        <v>30.267631171382277</v>
      </c>
      <c r="BR32" s="1">
        <f ca="1">OFFSET(A32,0, 18) -0</f>
        <v>-31.008008159256406</v>
      </c>
      <c r="BS32" s="1">
        <f ca="1">OFFSET(A32,0, 13) -0</f>
        <v>-2.8189098326596707</v>
      </c>
      <c r="BT32" s="1">
        <f ca="1">OFFSET(A32,0, 14) -0</f>
        <v>11.54327050202096</v>
      </c>
      <c r="BU32" s="1">
        <f ca="1">OFFSET(A32,0, 21) -0</f>
        <v>12.078532844785514</v>
      </c>
      <c r="BV32" s="1">
        <f ca="1">OFFSET(A32,0, 19) -0</f>
        <v>-46.64582782457569</v>
      </c>
      <c r="BW32" s="1">
        <f ca="1">OFFSET(A32,0, 23) -0</f>
        <v>-19.197106485853055</v>
      </c>
      <c r="BX32" s="1">
        <f ca="1">OFFSET(A32,0, 20) -0</f>
        <v>-52.283647489894975</v>
      </c>
      <c r="BY32" s="1">
        <f ca="1">OFFSET(A32,0, 24) -0</f>
        <v>-24.834926151172567</v>
      </c>
      <c r="BZ32" s="1">
        <f ca="1">OFFSET(A32,0, 22) -0</f>
        <v>16.440713179466229</v>
      </c>
      <c r="CB32" s="1">
        <f>COUNTIF(B32,"&lt;-69")</f>
        <v>0</v>
      </c>
      <c r="CC32" s="1">
        <f ca="1">COUNTIF(BC32:BN32,"&lt;-49")</f>
        <v>0</v>
      </c>
      <c r="CD32" s="1">
        <f ca="1">COUNTIF(BC32:BN32,"&gt;+49")</f>
        <v>0</v>
      </c>
      <c r="CE32" s="1">
        <f ca="1">COUNTIF(BO32:BZ32,"&lt;-49")</f>
        <v>1</v>
      </c>
      <c r="CF32" s="1">
        <f ca="1">COUNTIF(BO32:BZ32,"&gt;+49")</f>
        <v>0</v>
      </c>
    </row>
    <row r="33" spans="1:84">
      <c r="A33" s="1">
        <v>30</v>
      </c>
      <c r="B33" s="1">
        <f>'Team B 1'!B33-'Team B 1'!$AA33-('Team B 1'!B$2- 12.5)*'Team B 1'!$AC33</f>
        <v>31.728907626072214</v>
      </c>
      <c r="C33" s="1">
        <f>'Team B 1'!C33-'Team B 1'!$AA33-('Team B 1'!C$2- 12.5)*'Team B 1'!$AC33</f>
        <v>6.3249446440954671</v>
      </c>
      <c r="D33" s="1">
        <f>'Team B 1'!D33-'Team B 1'!$AA33-('Team B 1'!D$2- 12.5)*'Team B 1'!$AC33</f>
        <v>10.920981662119175</v>
      </c>
      <c r="E33" s="1">
        <f>'Team B 1'!E33-'Team B 1'!$AA33-('Team B 1'!E$2- 12.5)*'Team B 1'!$AC33</f>
        <v>15.517018680142655</v>
      </c>
      <c r="F33" s="1">
        <f>'Team B 1'!F33-'Team B 1'!$AA33-('Team B 1'!F$2- 12.5)*'Team B 1'!$AC33</f>
        <v>-9.8869443018336369</v>
      </c>
      <c r="G33" s="1">
        <f>'Team B 1'!G33-'Team B 1'!$AA33-('Team B 1'!G$2- 12.5)*'Team B 1'!$AC33</f>
        <v>24.709092716189843</v>
      </c>
      <c r="H33" s="1">
        <f>'Team B 1'!H33-'Team B 1'!$AA33-('Team B 1'!H$2- 12.5)*'Team B 1'!$AC33</f>
        <v>39.305129734213324</v>
      </c>
      <c r="I33" s="1">
        <f>'Team B 1'!I33-'Team B 1'!$AA33-('Team B 1'!I$2- 12.5)*'Team B 1'!$AC33</f>
        <v>-16.098833247762968</v>
      </c>
      <c r="J33" s="1">
        <f>'Team B 1'!J33-'Team B 1'!$AA33-('Team B 1'!J$2- 12.5)*'Team B 1'!$AC33</f>
        <v>28.497203770260512</v>
      </c>
      <c r="K33" s="1">
        <f>'Team B 1'!K33-'Team B 1'!$AA33-('Team B 1'!K$2- 12.5)*'Team B 1'!$AC33</f>
        <v>23.093240788284106</v>
      </c>
      <c r="L33" s="1">
        <f>'Team B 1'!L33-'Team B 1'!$AA33-('Team B 1'!L$2- 12.5)*'Team B 1'!$AC33</f>
        <v>-62.3107221936923</v>
      </c>
      <c r="M33" s="1">
        <f>'Team B 1'!M33-'Team B 1'!$AA33-('Team B 1'!M$2- 12.5)*'Team B 1'!$AC33</f>
        <v>-47.714685175668748</v>
      </c>
      <c r="N33" s="1">
        <f>'Team B 1'!N33-'Team B 1'!$AA33-('Team B 1'!N$2- 12.5)*'Team B 1'!$AC33</f>
        <v>-13.118648157645183</v>
      </c>
      <c r="O33" s="1">
        <f>'Team B 1'!O33-'Team B 1'!$AA33-('Team B 1'!O$2- 12.5)*'Team B 1'!$AC33</f>
        <v>-38.522611139621631</v>
      </c>
      <c r="P33" s="1">
        <f>'Team B 1'!P33-'Team B 1'!$AA33-('Team B 1'!P$2- 12.5)*'Team B 1'!$AC33</f>
        <v>-13.926574121598037</v>
      </c>
      <c r="Q33" s="1">
        <f>'Team B 1'!Q33-'Team B 1'!$AA33-('Team B 1'!Q$2- 12.5)*'Team B 1'!$AC33</f>
        <v>30.669462896425557</v>
      </c>
      <c r="R33" s="1">
        <f>'Team B 1'!R33-'Team B 1'!$AA33-('Team B 1'!R$2- 12.5)*'Team B 1'!$AC33</f>
        <v>-44.734500085550962</v>
      </c>
      <c r="S33" s="1">
        <f>'Team B 1'!S33-'Team B 1'!$AA33-('Team B 1'!S$2- 12.5)*'Team B 1'!$AC33</f>
        <v>-20.138463067527255</v>
      </c>
      <c r="T33" s="1">
        <f>'Team B 1'!T33-'Team B 1'!$AA33-('Team B 1'!T$2- 12.5)*'Team B 1'!$AC33</f>
        <v>4.4575739504962257</v>
      </c>
      <c r="U33" s="1">
        <f>'Team B 1'!U33-'Team B 1'!$AA33-('Team B 1'!U$2- 12.5)*'Team B 1'!$AC33</f>
        <v>-20.946389031480294</v>
      </c>
      <c r="V33" s="1">
        <f>'Team B 1'!V33-'Team B 1'!$AA33-('Team B 1'!V$2- 12.5)*'Team B 1'!$AC33</f>
        <v>23.649647986543414</v>
      </c>
      <c r="W33" s="1">
        <f>'Team B 1'!W33-'Team B 1'!$AA33-('Team B 1'!W$2- 12.5)*'Team B 1'!$AC33</f>
        <v>18.245685004566894</v>
      </c>
      <c r="X33" s="1">
        <f>'Team B 1'!X33-'Team B 1'!$AA33-('Team B 1'!X$2- 12.5)*'Team B 1'!$AC33</f>
        <v>22.841722022590602</v>
      </c>
      <c r="Y33" s="1">
        <f>'Team B 1'!Y33-'Team B 1'!$AA33-('Team B 1'!Y$2- 12.5)*'Team B 1'!$AC33</f>
        <v>7.4377590406138552</v>
      </c>
      <c r="AB33" s="1">
        <f>STDEV(B33:Y33)</f>
        <v>28.3986544080893</v>
      </c>
      <c r="AD33" s="5">
        <v>6</v>
      </c>
      <c r="AE33" s="5">
        <v>5</v>
      </c>
      <c r="AF33" s="5">
        <v>3</v>
      </c>
      <c r="AG33" s="5">
        <v>2</v>
      </c>
      <c r="AH33" s="5">
        <v>4</v>
      </c>
      <c r="AI33" s="5">
        <v>1</v>
      </c>
      <c r="AJ33" s="5" t="s">
        <v>45</v>
      </c>
      <c r="AK33" s="5">
        <v>8</v>
      </c>
      <c r="AL33" s="5" t="s">
        <v>47</v>
      </c>
      <c r="AM33" s="5">
        <v>7</v>
      </c>
      <c r="AN33" s="5" t="s">
        <v>46</v>
      </c>
      <c r="AO33" s="5">
        <v>9</v>
      </c>
      <c r="AP33" s="5">
        <v>5</v>
      </c>
      <c r="AQ33" s="5">
        <v>6</v>
      </c>
      <c r="AR33" s="5">
        <v>2</v>
      </c>
      <c r="AS33" s="5">
        <v>3</v>
      </c>
      <c r="AT33" s="5">
        <v>4</v>
      </c>
      <c r="AU33" s="5" t="s">
        <v>45</v>
      </c>
      <c r="AV33" s="5">
        <v>1</v>
      </c>
      <c r="AW33" s="5">
        <v>8</v>
      </c>
      <c r="AX33" s="5">
        <v>7</v>
      </c>
      <c r="AY33" s="5" t="s">
        <v>47</v>
      </c>
      <c r="AZ33" s="5">
        <v>9</v>
      </c>
      <c r="BA33" s="5" t="s">
        <v>46</v>
      </c>
      <c r="BB33" s="5"/>
      <c r="BC33" s="1">
        <f ca="1">OFFSET(A33,0, 6) -0</f>
        <v>24.709092716189843</v>
      </c>
      <c r="BD33" s="1">
        <f ca="1">OFFSET(A33,0, 4) -0</f>
        <v>15.517018680142655</v>
      </c>
      <c r="BE33" s="1">
        <f ca="1">OFFSET(A33,0, 3) -0</f>
        <v>10.920981662119175</v>
      </c>
      <c r="BF33" s="1">
        <f ca="1">OFFSET(A33,0, 5) -0</f>
        <v>-9.8869443018336369</v>
      </c>
      <c r="BG33" s="1">
        <f ca="1">OFFSET(A33,0, 2) -0</f>
        <v>6.3249446440954671</v>
      </c>
      <c r="BH33" s="1">
        <f ca="1">OFFSET(A33,0, 1) -0</f>
        <v>31.728907626072214</v>
      </c>
      <c r="BI33" s="1">
        <f ca="1">OFFSET(A33,0, 10) -0</f>
        <v>23.093240788284106</v>
      </c>
      <c r="BJ33" s="1">
        <f ca="1">OFFSET(A33,0, 8) -0</f>
        <v>-16.098833247762968</v>
      </c>
      <c r="BK33" s="1">
        <f ca="1">OFFSET(A33,0, 12) -0</f>
        <v>-47.714685175668748</v>
      </c>
      <c r="BL33" s="1">
        <f ca="1">OFFSET(A33,0, 7) -0</f>
        <v>39.305129734213324</v>
      </c>
      <c r="BM33" s="1">
        <f ca="1">OFFSET(A33,0, 11) -0</f>
        <v>-62.3107221936923</v>
      </c>
      <c r="BN33" s="1">
        <f ca="1">OFFSET(A33,0, 9) -0</f>
        <v>28.497203770260512</v>
      </c>
      <c r="BO33" s="1">
        <f ca="1">OFFSET(A33,0, 19) -0</f>
        <v>4.4575739504962257</v>
      </c>
      <c r="BP33" s="1">
        <f ca="1">OFFSET(A33,0, 15) -0</f>
        <v>-13.926574121598037</v>
      </c>
      <c r="BQ33" s="1">
        <f ca="1">OFFSET(A33,0, 16) -0</f>
        <v>30.669462896425557</v>
      </c>
      <c r="BR33" s="1">
        <f ca="1">OFFSET(A33,0, 17) -0</f>
        <v>-44.734500085550962</v>
      </c>
      <c r="BS33" s="1">
        <f ca="1">OFFSET(A33,0, 13) -0</f>
        <v>-13.118648157645183</v>
      </c>
      <c r="BT33" s="1">
        <f ca="1">OFFSET(A33,0, 14) -0</f>
        <v>-38.522611139621631</v>
      </c>
      <c r="BU33" s="1">
        <f ca="1">OFFSET(A33,0, 21) -0</f>
        <v>23.649647986543414</v>
      </c>
      <c r="BV33" s="1">
        <f ca="1">OFFSET(A33,0, 20) -0</f>
        <v>-20.946389031480294</v>
      </c>
      <c r="BW33" s="1">
        <f ca="1">OFFSET(A33,0, 23) -0</f>
        <v>22.841722022590602</v>
      </c>
      <c r="BX33" s="1">
        <f ca="1">OFFSET(A33,0, 18) -0</f>
        <v>-20.138463067527255</v>
      </c>
      <c r="BY33" s="1">
        <f ca="1">OFFSET(A33,0, 24) -0</f>
        <v>7.4377590406138552</v>
      </c>
      <c r="BZ33" s="1">
        <f ca="1">OFFSET(A33,0, 22) -0</f>
        <v>18.245685004566894</v>
      </c>
      <c r="CB33" s="1">
        <f>COUNTIF(B33,"&lt;-69")</f>
        <v>0</v>
      </c>
      <c r="CC33" s="1">
        <f ca="1">COUNTIF(BC33:BN33,"&lt;-49")</f>
        <v>1</v>
      </c>
      <c r="CD33" s="1">
        <f ca="1">COUNTIF(BC33:BN33,"&gt;+49")</f>
        <v>0</v>
      </c>
      <c r="CE33" s="1">
        <f ca="1">COUNTIF(BO33:BZ33,"&lt;-49")</f>
        <v>0</v>
      </c>
      <c r="CF33" s="1">
        <f ca="1">COUNTIF(BO33:BZ33,"&gt;+49")</f>
        <v>0</v>
      </c>
    </row>
    <row r="34" spans="1:84">
      <c r="A34" s="1">
        <v>31</v>
      </c>
      <c r="B34" s="1">
        <f>'Team B 1'!B34-'Team B 1'!$AA34-('Team B 1'!B$2- 12.5)*'Team B 1'!$AC34</f>
        <v>-0.22178682828280216</v>
      </c>
      <c r="C34" s="1">
        <f>'Team B 1'!C34-'Team B 1'!$AA34-('Team B 1'!C$2- 12.5)*'Team B 1'!$AC34</f>
        <v>-15.274964785244265</v>
      </c>
      <c r="D34" s="1">
        <f>'Team B 1'!D34-'Team B 1'!$AA34-('Team B 1'!D$2- 12.5)*'Team B 1'!$AC34</f>
        <v>19.671857257793818</v>
      </c>
      <c r="E34" s="1">
        <f>'Team B 1'!E34-'Team B 1'!$AA34-('Team B 1'!E$2- 12.5)*'Team B 1'!$AC34</f>
        <v>24.618679300832127</v>
      </c>
      <c r="F34" s="1">
        <f>'Team B 1'!F34-'Team B 1'!$AA34-('Team B 1'!F$2- 12.5)*'Team B 1'!$AC34</f>
        <v>19.56550134387021</v>
      </c>
      <c r="G34" s="1">
        <f>'Team B 1'!G34-'Team B 1'!$AA34-('Team B 1'!G$2- 12.5)*'Team B 1'!$AC34</f>
        <v>-15.48767661309148</v>
      </c>
      <c r="H34" s="1">
        <f>'Team B 1'!H34-'Team B 1'!$AA34-('Team B 1'!H$2- 12.5)*'Team B 1'!$AC34</f>
        <v>9.4591454299468296</v>
      </c>
      <c r="I34" s="1">
        <f>'Team B 1'!I34-'Team B 1'!$AA34-('Team B 1'!I$2- 12.5)*'Team B 1'!$AC34</f>
        <v>-5.5940325270150879</v>
      </c>
      <c r="J34" s="1">
        <f>'Team B 1'!J34-'Team B 1'!$AA34-('Team B 1'!J$2- 12.5)*'Team B 1'!$AC34</f>
        <v>29.352789516023222</v>
      </c>
      <c r="K34" s="1">
        <f>'Team B 1'!K34-'Team B 1'!$AA34-('Team B 1'!K$2- 12.5)*'Team B 1'!$AC34</f>
        <v>44.299611559061418</v>
      </c>
      <c r="L34" s="1">
        <f>'Team B 1'!L34-'Team B 1'!$AA34-('Team B 1'!L$2- 12.5)*'Team B 1'!$AC34</f>
        <v>-0.75356639790038571</v>
      </c>
      <c r="M34" s="1">
        <f>'Team B 1'!M34-'Team B 1'!$AA34-('Team B 1'!M$2- 12.5)*'Team B 1'!$AC34</f>
        <v>4.1932556451378531</v>
      </c>
      <c r="N34" s="1">
        <f>'Team B 1'!N34-'Team B 1'!$AA34-('Team B 1'!N$2- 12.5)*'Team B 1'!$AC34</f>
        <v>39.140077688176078</v>
      </c>
      <c r="O34" s="1">
        <f>'Team B 1'!O34-'Team B 1'!$AA34-('Team B 1'!O$2- 12.5)*'Team B 1'!$AC34</f>
        <v>14.086899731214316</v>
      </c>
      <c r="P34" s="1">
        <f>'Team B 1'!P34-'Team B 1'!$AA34-('Team B 1'!P$2- 12.5)*'Team B 1'!$AC34</f>
        <v>-10.966278225747487</v>
      </c>
      <c r="Q34" s="1">
        <f>'Team B 1'!Q34-'Team B 1'!$AA34-('Team B 1'!Q$2- 12.5)*'Team B 1'!$AC34</f>
        <v>-26.019456182709291</v>
      </c>
      <c r="R34" s="1">
        <f>'Team B 1'!R34-'Team B 1'!$AA34-('Team B 1'!R$2- 12.5)*'Team B 1'!$AC34</f>
        <v>-31.072634139670981</v>
      </c>
      <c r="S34" s="1">
        <f>'Team B 1'!S34-'Team B 1'!$AA34-('Team B 1'!S$2- 12.5)*'Team B 1'!$AC34</f>
        <v>-36.125812096632899</v>
      </c>
      <c r="T34" s="1">
        <f>'Team B 1'!T34-'Team B 1'!$AA34-('Team B 1'!T$2- 12.5)*'Team B 1'!$AC34</f>
        <v>8.821009946405411</v>
      </c>
      <c r="U34" s="1">
        <f>'Team B 1'!U34-'Team B 1'!$AA34-('Team B 1'!U$2- 12.5)*'Team B 1'!$AC34</f>
        <v>-56.232168010556279</v>
      </c>
      <c r="V34" s="1">
        <f>'Team B 1'!V34-'Team B 1'!$AA34-('Team B 1'!V$2- 12.5)*'Team B 1'!$AC34</f>
        <v>-31.285345967518197</v>
      </c>
      <c r="W34" s="1">
        <f>'Team B 1'!W34-'Team B 1'!$AA34-('Team B 1'!W$2- 12.5)*'Team B 1'!$AC34</f>
        <v>-6.3385239244798868</v>
      </c>
      <c r="X34" s="1">
        <f>'Team B 1'!X34-'Team B 1'!$AA34-('Team B 1'!X$2- 12.5)*'Team B 1'!$AC34</f>
        <v>18.608298118558196</v>
      </c>
      <c r="Y34" s="1">
        <f>'Team B 1'!Y34-'Team B 1'!$AA34-('Team B 1'!Y$2- 12.5)*'Team B 1'!$AC34</f>
        <v>3.5551201615967329</v>
      </c>
      <c r="AB34" s="1">
        <f>STDEV(B34:Y34)</f>
        <v>24.871879335143241</v>
      </c>
      <c r="AD34" s="5">
        <v>6</v>
      </c>
      <c r="AE34" s="5">
        <v>5</v>
      </c>
      <c r="AF34" s="5">
        <v>3</v>
      </c>
      <c r="AG34" s="5">
        <v>2</v>
      </c>
      <c r="AH34" s="5" t="s">
        <v>45</v>
      </c>
      <c r="AI34" s="5">
        <v>4</v>
      </c>
      <c r="AJ34" s="5">
        <v>8</v>
      </c>
      <c r="AK34" s="5">
        <v>1</v>
      </c>
      <c r="AL34" s="5" t="s">
        <v>47</v>
      </c>
      <c r="AM34" s="5">
        <v>7</v>
      </c>
      <c r="AN34" s="5" t="s">
        <v>46</v>
      </c>
      <c r="AO34" s="5">
        <v>9</v>
      </c>
      <c r="AP34" s="5">
        <v>6</v>
      </c>
      <c r="AQ34" s="5">
        <v>3</v>
      </c>
      <c r="AR34" s="5">
        <v>5</v>
      </c>
      <c r="AS34" s="5" t="s">
        <v>45</v>
      </c>
      <c r="AT34" s="5">
        <v>2</v>
      </c>
      <c r="AU34" s="5">
        <v>4</v>
      </c>
      <c r="AV34" s="5">
        <v>1</v>
      </c>
      <c r="AW34" s="5">
        <v>8</v>
      </c>
      <c r="AX34" s="5" t="s">
        <v>47</v>
      </c>
      <c r="AY34" s="5" t="s">
        <v>46</v>
      </c>
      <c r="AZ34" s="5">
        <v>7</v>
      </c>
      <c r="BA34" s="5">
        <v>9</v>
      </c>
      <c r="BB34" s="5"/>
      <c r="BC34" s="1">
        <f ca="1">OFFSET(A34,0, 8) -0</f>
        <v>-5.5940325270150879</v>
      </c>
      <c r="BD34" s="1">
        <f ca="1">OFFSET(A34,0, 4) -0</f>
        <v>24.618679300832127</v>
      </c>
      <c r="BE34" s="1">
        <f ca="1">OFFSET(A34,0, 3) -0</f>
        <v>19.671857257793818</v>
      </c>
      <c r="BF34" s="1">
        <f ca="1">OFFSET(A34,0, 6) -0</f>
        <v>-15.48767661309148</v>
      </c>
      <c r="BG34" s="1">
        <f ca="1">OFFSET(A34,0, 2) -0</f>
        <v>-15.274964785244265</v>
      </c>
      <c r="BH34" s="1">
        <f ca="1">OFFSET(A34,0, 1) -0</f>
        <v>-0.22178682828280216</v>
      </c>
      <c r="BI34" s="1">
        <f ca="1">OFFSET(A34,0, 10) -0</f>
        <v>44.299611559061418</v>
      </c>
      <c r="BJ34" s="1">
        <f ca="1">OFFSET(A34,0, 7) -0</f>
        <v>9.4591454299468296</v>
      </c>
      <c r="BK34" s="1">
        <f ca="1">OFFSET(A34,0, 12) -0</f>
        <v>4.1932556451378531</v>
      </c>
      <c r="BL34" s="1">
        <f ca="1">OFFSET(A34,0, 5) -0</f>
        <v>19.56550134387021</v>
      </c>
      <c r="BM34" s="1">
        <f ca="1">OFFSET(A34,0, 11) -0</f>
        <v>-0.75356639790038571</v>
      </c>
      <c r="BN34" s="1">
        <f ca="1">OFFSET(A34,0, 9) -0</f>
        <v>29.352789516023222</v>
      </c>
      <c r="BO34" s="1">
        <f ca="1">OFFSET(A34,0, 19) -0</f>
        <v>8.821009946405411</v>
      </c>
      <c r="BP34" s="1">
        <f ca="1">OFFSET(A34,0, 17) -0</f>
        <v>-31.072634139670981</v>
      </c>
      <c r="BQ34" s="1">
        <f ca="1">OFFSET(A34,0, 14) -0</f>
        <v>14.086899731214316</v>
      </c>
      <c r="BR34" s="1">
        <f ca="1">OFFSET(A34,0, 18) -0</f>
        <v>-36.125812096632899</v>
      </c>
      <c r="BS34" s="1">
        <f ca="1">OFFSET(A34,0, 15) -0</f>
        <v>-10.966278225747487</v>
      </c>
      <c r="BT34" s="1">
        <f ca="1">OFFSET(A34,0, 13) -0</f>
        <v>39.140077688176078</v>
      </c>
      <c r="BU34" s="1">
        <f ca="1">OFFSET(A34,0, 23) -0</f>
        <v>18.608298118558196</v>
      </c>
      <c r="BV34" s="1">
        <f ca="1">OFFSET(A34,0, 20) -0</f>
        <v>-56.232168010556279</v>
      </c>
      <c r="BW34" s="1">
        <f ca="1">OFFSET(A34,0, 24) -0</f>
        <v>3.5551201615967329</v>
      </c>
      <c r="BX34" s="1">
        <f ca="1">OFFSET(A34,0, 16) -0</f>
        <v>-26.019456182709291</v>
      </c>
      <c r="BY34" s="1">
        <f ca="1">OFFSET(A34,0, 22) -0</f>
        <v>-6.3385239244798868</v>
      </c>
      <c r="BZ34" s="1">
        <f ca="1">OFFSET(A34,0, 21) -0</f>
        <v>-31.285345967518197</v>
      </c>
      <c r="CB34" s="1">
        <f>COUNTIF(B34,"&lt;-69")</f>
        <v>0</v>
      </c>
      <c r="CC34" s="1">
        <f ca="1">COUNTIF(BC34:BN34,"&lt;-49")</f>
        <v>0</v>
      </c>
      <c r="CD34" s="1">
        <f ca="1">COUNTIF(BC34:BN34,"&gt;+49")</f>
        <v>0</v>
      </c>
      <c r="CE34" s="1">
        <f ca="1">COUNTIF(BO34:BZ34,"&lt;-49")</f>
        <v>1</v>
      </c>
      <c r="CF34" s="1">
        <f ca="1">COUNTIF(BO34:BZ34,"&gt;+49")</f>
        <v>0</v>
      </c>
    </row>
    <row r="35" spans="1:84">
      <c r="A35" s="1">
        <v>32</v>
      </c>
      <c r="B35" s="1">
        <f>'Team B 1'!B35-'Team B 1'!$AA35-('Team B 1'!B$2- 12.5)*'Team B 1'!$AC35</f>
        <v>19.358801802184189</v>
      </c>
      <c r="C35" s="1">
        <f>'Team B 1'!C35-'Team B 1'!$AA35-('Team B 1'!C$2- 12.5)*'Team B 1'!$AC35</f>
        <v>24.088471210689931</v>
      </c>
      <c r="D35" s="1">
        <f>'Team B 1'!D35-'Team B 1'!$AA35-('Team B 1'!D$2- 12.5)*'Team B 1'!$AC35</f>
        <v>38.818140619195674</v>
      </c>
      <c r="E35" s="1">
        <f>'Team B 1'!E35-'Team B 1'!$AA35-('Team B 1'!E$2- 12.5)*'Team B 1'!$AC35</f>
        <v>23.547810027701416</v>
      </c>
      <c r="F35" s="1">
        <f>'Team B 1'!F35-'Team B 1'!$AA35-('Team B 1'!F$2- 12.5)*'Team B 1'!$AC35</f>
        <v>38.277479436207159</v>
      </c>
      <c r="G35" s="1">
        <f>'Team B 1'!G35-'Team B 1'!$AA35-('Team B 1'!G$2- 12.5)*'Team B 1'!$AC35</f>
        <v>3.0071488447129013</v>
      </c>
      <c r="H35" s="1">
        <f>'Team B 1'!H35-'Team B 1'!$AA35-('Team B 1'!H$2- 12.5)*'Team B 1'!$AC35</f>
        <v>-12.263181746781356</v>
      </c>
      <c r="I35" s="1">
        <f>'Team B 1'!I35-'Team B 1'!$AA35-('Team B 1'!I$2- 12.5)*'Team B 1'!$AC35</f>
        <v>2.4664876617242726</v>
      </c>
      <c r="J35" s="1">
        <f>'Team B 1'!J35-'Team B 1'!$AA35-('Team B 1'!J$2- 12.5)*'Team B 1'!$AC35</f>
        <v>-72.803842929769985</v>
      </c>
      <c r="K35" s="1">
        <f>'Team B 1'!K35-'Team B 1'!$AA35-('Team B 1'!K$2- 12.5)*'Team B 1'!$AC35</f>
        <v>-18.074173521264299</v>
      </c>
      <c r="L35" s="1">
        <f>'Team B 1'!L35-'Team B 1'!$AA35-('Team B 1'!L$2- 12.5)*'Team B 1'!$AC35</f>
        <v>-43.344504112758557</v>
      </c>
      <c r="M35" s="1">
        <f>'Team B 1'!M35-'Team B 1'!$AA35-('Team B 1'!M$2- 12.5)*'Team B 1'!$AC35</f>
        <v>1.385165295747143</v>
      </c>
      <c r="N35" s="1">
        <f>'Team B 1'!N35-'Team B 1'!$AA35-('Team B 1'!N$2- 12.5)*'Team B 1'!$AC35</f>
        <v>-13.885165295747143</v>
      </c>
      <c r="O35" s="1">
        <f>'Team B 1'!O35-'Team B 1'!$AA35-('Team B 1'!O$2- 12.5)*'Team B 1'!$AC35</f>
        <v>10.844504112758557</v>
      </c>
      <c r="P35" s="1">
        <f>'Team B 1'!P35-'Team B 1'!$AA35-('Team B 1'!P$2- 12.5)*'Team B 1'!$AC35</f>
        <v>-4.4258264787357007</v>
      </c>
      <c r="Q35" s="1">
        <f>'Team B 1'!Q35-'Team B 1'!$AA35-('Team B 1'!Q$2- 12.5)*'Team B 1'!$AC35</f>
        <v>-9.6961570702300151</v>
      </c>
      <c r="R35" s="1">
        <f>'Team B 1'!R35-'Team B 1'!$AA35-('Team B 1'!R$2- 12.5)*'Team B 1'!$AC35</f>
        <v>25.033512338275727</v>
      </c>
      <c r="S35" s="1">
        <f>'Team B 1'!S35-'Team B 1'!$AA35-('Team B 1'!S$2- 12.5)*'Team B 1'!$AC35</f>
        <v>29.763181746781356</v>
      </c>
      <c r="T35" s="1">
        <f>'Team B 1'!T35-'Team B 1'!$AA35-('Team B 1'!T$2- 12.5)*'Team B 1'!$AC35</f>
        <v>-5.5071488447129013</v>
      </c>
      <c r="U35" s="1">
        <f>'Team B 1'!U35-'Team B 1'!$AA35-('Team B 1'!U$2- 12.5)*'Team B 1'!$AC35</f>
        <v>-30.777479436207159</v>
      </c>
      <c r="V35" s="1">
        <f>'Team B 1'!V35-'Team B 1'!$AA35-('Team B 1'!V$2- 12.5)*'Team B 1'!$AC35</f>
        <v>-16.047810027701416</v>
      </c>
      <c r="W35" s="1">
        <f>'Team B 1'!W35-'Team B 1'!$AA35-('Team B 1'!W$2- 12.5)*'Team B 1'!$AC35</f>
        <v>-1.3181406191956739</v>
      </c>
      <c r="X35" s="1">
        <f>'Team B 1'!X35-'Team B 1'!$AA35-('Team B 1'!X$2- 12.5)*'Team B 1'!$AC35</f>
        <v>3.4115287893100685</v>
      </c>
      <c r="Y35" s="1">
        <f>'Team B 1'!Y35-'Team B 1'!$AA35-('Team B 1'!Y$2- 12.5)*'Team B 1'!$AC35</f>
        <v>8.141198197815811</v>
      </c>
      <c r="AB35" s="1">
        <f>STDEV(B35:Y35)</f>
        <v>25.881065858780008</v>
      </c>
      <c r="AD35" s="5">
        <v>3</v>
      </c>
      <c r="AE35" s="5">
        <v>6</v>
      </c>
      <c r="AF35" s="5" t="s">
        <v>45</v>
      </c>
      <c r="AG35" s="5">
        <v>5</v>
      </c>
      <c r="AH35" s="5">
        <v>4</v>
      </c>
      <c r="AI35" s="5">
        <v>2</v>
      </c>
      <c r="AJ35" s="5">
        <v>8</v>
      </c>
      <c r="AK35" s="5">
        <v>1</v>
      </c>
      <c r="AL35" s="5" t="s">
        <v>46</v>
      </c>
      <c r="AM35" s="5" t="s">
        <v>47</v>
      </c>
      <c r="AN35" s="5">
        <v>9</v>
      </c>
      <c r="AO35" s="5">
        <v>7</v>
      </c>
      <c r="AP35" s="5">
        <v>6</v>
      </c>
      <c r="AQ35" s="5">
        <v>3</v>
      </c>
      <c r="AR35" s="5">
        <v>5</v>
      </c>
      <c r="AS35" s="5" t="s">
        <v>45</v>
      </c>
      <c r="AT35" s="5">
        <v>2</v>
      </c>
      <c r="AU35" s="5">
        <v>4</v>
      </c>
      <c r="AV35" s="5">
        <v>8</v>
      </c>
      <c r="AW35" s="5" t="s">
        <v>46</v>
      </c>
      <c r="AX35" s="5">
        <v>1</v>
      </c>
      <c r="AY35" s="5" t="s">
        <v>47</v>
      </c>
      <c r="AZ35" s="5">
        <v>7</v>
      </c>
      <c r="BA35" s="5">
        <v>9</v>
      </c>
      <c r="BB35" s="5"/>
      <c r="BC35" s="1">
        <f ca="1">OFFSET(A35,0, 8) -0</f>
        <v>2.4664876617242726</v>
      </c>
      <c r="BD35" s="1">
        <f ca="1">OFFSET(A35,0, 6) -0</f>
        <v>3.0071488447129013</v>
      </c>
      <c r="BE35" s="1">
        <f ca="1">OFFSET(A35,0, 1) -0</f>
        <v>19.358801802184189</v>
      </c>
      <c r="BF35" s="1">
        <f ca="1">OFFSET(A35,0, 5) -0</f>
        <v>38.277479436207159</v>
      </c>
      <c r="BG35" s="1">
        <f ca="1">OFFSET(A35,0, 4) -0</f>
        <v>23.547810027701416</v>
      </c>
      <c r="BH35" s="1">
        <f ca="1">OFFSET(A35,0, 2) -0</f>
        <v>24.088471210689931</v>
      </c>
      <c r="BI35" s="1">
        <f ca="1">OFFSET(A35,0, 12) -0</f>
        <v>1.385165295747143</v>
      </c>
      <c r="BJ35" s="1">
        <f ca="1">OFFSET(A35,0, 7) -0</f>
        <v>-12.263181746781356</v>
      </c>
      <c r="BK35" s="1">
        <f ca="1">OFFSET(A35,0, 11) -0</f>
        <v>-43.344504112758557</v>
      </c>
      <c r="BL35" s="1">
        <f ca="1">OFFSET(A35,0, 3) -0</f>
        <v>38.818140619195674</v>
      </c>
      <c r="BM35" s="1">
        <f ca="1">OFFSET(A35,0, 9) -0</f>
        <v>-72.803842929769985</v>
      </c>
      <c r="BN35" s="1">
        <f ca="1">OFFSET(A35,0, 10) -0</f>
        <v>-18.074173521264299</v>
      </c>
      <c r="BO35" s="1">
        <f ca="1">OFFSET(A35,0, 21) -0</f>
        <v>-16.047810027701416</v>
      </c>
      <c r="BP35" s="1">
        <f ca="1">OFFSET(A35,0, 17) -0</f>
        <v>25.033512338275727</v>
      </c>
      <c r="BQ35" s="1">
        <f ca="1">OFFSET(A35,0, 14) -0</f>
        <v>10.844504112758557</v>
      </c>
      <c r="BR35" s="1">
        <f ca="1">OFFSET(A35,0, 18) -0</f>
        <v>29.763181746781356</v>
      </c>
      <c r="BS35" s="1">
        <f ca="1">OFFSET(A35,0, 15) -0</f>
        <v>-4.4258264787357007</v>
      </c>
      <c r="BT35" s="1">
        <f ca="1">OFFSET(A35,0, 13) -0</f>
        <v>-13.885165295747143</v>
      </c>
      <c r="BU35" s="1">
        <f ca="1">OFFSET(A35,0, 23) -0</f>
        <v>3.4115287893100685</v>
      </c>
      <c r="BV35" s="1">
        <f ca="1">OFFSET(A35,0, 19) -0</f>
        <v>-5.5071488447129013</v>
      </c>
      <c r="BW35" s="1">
        <f ca="1">OFFSET(A35,0, 24) -0</f>
        <v>8.141198197815811</v>
      </c>
      <c r="BX35" s="1">
        <f ca="1">OFFSET(A35,0, 16) -0</f>
        <v>-9.6961570702300151</v>
      </c>
      <c r="BY35" s="1">
        <f ca="1">OFFSET(A35,0, 20) -0</f>
        <v>-30.777479436207159</v>
      </c>
      <c r="BZ35" s="1">
        <f ca="1">OFFSET(A35,0, 22) -0</f>
        <v>-1.3181406191956739</v>
      </c>
      <c r="CB35" s="1">
        <f>COUNTIF(B35,"&lt;-69")</f>
        <v>0</v>
      </c>
      <c r="CC35" s="1">
        <f ca="1">COUNTIF(BC35:BN35,"&lt;-49")</f>
        <v>1</v>
      </c>
      <c r="CD35" s="1">
        <f ca="1">COUNTIF(BC35:BN35,"&gt;+49")</f>
        <v>0</v>
      </c>
      <c r="CE35" s="1">
        <f ca="1">COUNTIF(BO35:BZ35,"&lt;-49")</f>
        <v>0</v>
      </c>
      <c r="CF35" s="1">
        <f ca="1">COUNTIF(BO35:BZ35,"&gt;+49")</f>
        <v>0</v>
      </c>
    </row>
    <row r="36" spans="1:84">
      <c r="A36" s="1">
        <v>33</v>
      </c>
      <c r="B36" s="1">
        <f>'Team B 1'!B36-'Team B 1'!$AA36-('Team B 1'!B$2- 12.5)*'Team B 1'!$AC36</f>
        <v>15.507264115781709</v>
      </c>
      <c r="C36" s="1">
        <f>'Team B 1'!C36-'Team B 1'!$AA36-('Team B 1'!C$2- 12.5)*'Team B 1'!$AC36</f>
        <v>19.810980279627074</v>
      </c>
      <c r="D36" s="1">
        <f>'Team B 1'!D36-'Team B 1'!$AA36-('Team B 1'!D$2- 12.5)*'Team B 1'!$AC36</f>
        <v>14.114696443471985</v>
      </c>
      <c r="E36" s="1">
        <f>'Team B 1'!E36-'Team B 1'!$AA36-('Team B 1'!E$2- 12.5)*'Team B 1'!$AC36</f>
        <v>-1.5815873926828772</v>
      </c>
      <c r="F36" s="1">
        <f>'Team B 1'!F36-'Team B 1'!$AA36-('Team B 1'!F$2- 12.5)*'Team B 1'!$AC36</f>
        <v>22.722128771162033</v>
      </c>
      <c r="G36" s="1">
        <f>'Team B 1'!G36-'Team B 1'!$AA36-('Team B 1'!G$2- 12.5)*'Team B 1'!$AC36</f>
        <v>17.025844935007171</v>
      </c>
      <c r="H36" s="1">
        <f>'Team B 1'!H36-'Team B 1'!$AA36-('Team B 1'!H$2- 12.5)*'Team B 1'!$AC36</f>
        <v>-8.6704389011476906</v>
      </c>
      <c r="I36" s="1">
        <f>'Team B 1'!I36-'Team B 1'!$AA36-('Team B 1'!I$2- 12.5)*'Team B 1'!$AC36</f>
        <v>-14.36672273730278</v>
      </c>
      <c r="J36" s="1">
        <f>'Team B 1'!J36-'Team B 1'!$AA36-('Team B 1'!J$2- 12.5)*'Team B 1'!$AC36</f>
        <v>9.9369934265423581</v>
      </c>
      <c r="K36" s="1">
        <f>'Team B 1'!K36-'Team B 1'!$AA36-('Team B 1'!K$2- 12.5)*'Team B 1'!$AC36</f>
        <v>4.2407095903873824</v>
      </c>
      <c r="L36" s="1">
        <f>'Team B 1'!L36-'Team B 1'!$AA36-('Team B 1'!L$2- 12.5)*'Team B 1'!$AC36</f>
        <v>-11.455574245767593</v>
      </c>
      <c r="M36" s="1">
        <f>'Team B 1'!M36-'Team B 1'!$AA36-('Team B 1'!M$2- 12.5)*'Team B 1'!$AC36</f>
        <v>-27.151858081922526</v>
      </c>
      <c r="N36" s="1">
        <f>'Team B 1'!N36-'Team B 1'!$AA36-('Team B 1'!N$2- 12.5)*'Team B 1'!$AC36</f>
        <v>7.1518580819225264</v>
      </c>
      <c r="O36" s="1">
        <f>'Team B 1'!O36-'Team B 1'!$AA36-('Team B 1'!O$2- 12.5)*'Team B 1'!$AC36</f>
        <v>-8.5444257542324067</v>
      </c>
      <c r="P36" s="1">
        <f>'Team B 1'!P36-'Team B 1'!$AA36-('Team B 1'!P$2- 12.5)*'Team B 1'!$AC36</f>
        <v>5.7592904096126176</v>
      </c>
      <c r="Q36" s="1">
        <f>'Team B 1'!Q36-'Team B 1'!$AA36-('Team B 1'!Q$2- 12.5)*'Team B 1'!$AC36</f>
        <v>20.063006573457642</v>
      </c>
      <c r="R36" s="1">
        <f>'Team B 1'!R36-'Team B 1'!$AA36-('Team B 1'!R$2- 12.5)*'Team B 1'!$AC36</f>
        <v>14.36672273730278</v>
      </c>
      <c r="S36" s="1">
        <f>'Team B 1'!S36-'Team B 1'!$AA36-('Team B 1'!S$2- 12.5)*'Team B 1'!$AC36</f>
        <v>-21.329561098852309</v>
      </c>
      <c r="T36" s="1">
        <f>'Team B 1'!T36-'Team B 1'!$AA36-('Team B 1'!T$2- 12.5)*'Team B 1'!$AC36</f>
        <v>-7.0258449350071714</v>
      </c>
      <c r="U36" s="1">
        <f>'Team B 1'!U36-'Team B 1'!$AA36-('Team B 1'!U$2- 12.5)*'Team B 1'!$AC36</f>
        <v>-42.722128771162033</v>
      </c>
      <c r="V36" s="1">
        <f>'Team B 1'!V36-'Team B 1'!$AA36-('Team B 1'!V$2- 12.5)*'Team B 1'!$AC36</f>
        <v>-8.4184126073171228</v>
      </c>
      <c r="W36" s="1">
        <f>'Team B 1'!W36-'Team B 1'!$AA36-('Team B 1'!W$2- 12.5)*'Team B 1'!$AC36</f>
        <v>-4.1146964434719848</v>
      </c>
      <c r="X36" s="1">
        <f>'Team B 1'!X36-'Team B 1'!$AA36-('Team B 1'!X$2- 12.5)*'Team B 1'!$AC36</f>
        <v>-9.8109802796270742</v>
      </c>
      <c r="Y36" s="1">
        <f>'Team B 1'!Y36-'Team B 1'!$AA36-('Team B 1'!Y$2- 12.5)*'Team B 1'!$AC36</f>
        <v>14.492735884218291</v>
      </c>
      <c r="AB36" s="1">
        <f>STDEV(B36:Y36)</f>
        <v>16.677831948833237</v>
      </c>
      <c r="AD36" s="5">
        <v>3</v>
      </c>
      <c r="AE36" s="5">
        <v>6</v>
      </c>
      <c r="AF36" s="5" t="s">
        <v>45</v>
      </c>
      <c r="AG36" s="5">
        <v>5</v>
      </c>
      <c r="AH36" s="5">
        <v>4</v>
      </c>
      <c r="AI36" s="5">
        <v>2</v>
      </c>
      <c r="AJ36" s="5" t="s">
        <v>46</v>
      </c>
      <c r="AK36" s="5">
        <v>8</v>
      </c>
      <c r="AL36" s="5" t="s">
        <v>47</v>
      </c>
      <c r="AM36" s="5">
        <v>1</v>
      </c>
      <c r="AN36" s="5">
        <v>9</v>
      </c>
      <c r="AO36" s="5">
        <v>7</v>
      </c>
      <c r="AP36" s="5">
        <v>3</v>
      </c>
      <c r="AQ36" s="5" t="s">
        <v>45</v>
      </c>
      <c r="AR36" s="5">
        <v>6</v>
      </c>
      <c r="AS36" s="5">
        <v>4</v>
      </c>
      <c r="AT36" s="5">
        <v>5</v>
      </c>
      <c r="AU36" s="5" t="s">
        <v>46</v>
      </c>
      <c r="AV36" s="5">
        <v>2</v>
      </c>
      <c r="AW36" s="5">
        <v>8</v>
      </c>
      <c r="AX36" s="5">
        <v>1</v>
      </c>
      <c r="AY36" s="5" t="s">
        <v>47</v>
      </c>
      <c r="AZ36" s="5">
        <v>7</v>
      </c>
      <c r="BA36" s="5">
        <v>9</v>
      </c>
      <c r="BB36" s="5"/>
      <c r="BC36" s="1">
        <f ca="1">OFFSET(A36,0, 10) -0</f>
        <v>4.2407095903873824</v>
      </c>
      <c r="BD36" s="1">
        <f ca="1">OFFSET(A36,0, 6) -0</f>
        <v>17.025844935007171</v>
      </c>
      <c r="BE36" s="1">
        <f ca="1">OFFSET(A36,0, 1) -0</f>
        <v>15.507264115781709</v>
      </c>
      <c r="BF36" s="1">
        <f ca="1">OFFSET(A36,0, 5) -0</f>
        <v>22.722128771162033</v>
      </c>
      <c r="BG36" s="1">
        <f ca="1">OFFSET(A36,0, 4) -0</f>
        <v>-1.5815873926828772</v>
      </c>
      <c r="BH36" s="1">
        <f ca="1">OFFSET(A36,0, 2) -0</f>
        <v>19.810980279627074</v>
      </c>
      <c r="BI36" s="1">
        <f ca="1">OFFSET(A36,0, 12) -0</f>
        <v>-27.151858081922526</v>
      </c>
      <c r="BJ36" s="1">
        <f ca="1">OFFSET(A36,0, 8) -0</f>
        <v>-14.36672273730278</v>
      </c>
      <c r="BK36" s="1">
        <f ca="1">OFFSET(A36,0, 11) -0</f>
        <v>-11.455574245767593</v>
      </c>
      <c r="BL36" s="1">
        <f ca="1">OFFSET(A36,0, 3) -0</f>
        <v>14.114696443471985</v>
      </c>
      <c r="BM36" s="1">
        <f ca="1">OFFSET(A36,0, 7) -0</f>
        <v>-8.6704389011476906</v>
      </c>
      <c r="BN36" s="1">
        <f ca="1">OFFSET(A36,0, 9) -0</f>
        <v>9.9369934265423581</v>
      </c>
      <c r="BO36" s="1">
        <f ca="1">OFFSET(A36,0, 21) -0</f>
        <v>-8.4184126073171228</v>
      </c>
      <c r="BP36" s="1">
        <f ca="1">OFFSET(A36,0, 19) -0</f>
        <v>-7.0258449350071714</v>
      </c>
      <c r="BQ36" s="1">
        <f ca="1">OFFSET(A36,0, 13) -0</f>
        <v>7.1518580819225264</v>
      </c>
      <c r="BR36" s="1">
        <f ca="1">OFFSET(A36,0, 16) -0</f>
        <v>20.063006573457642</v>
      </c>
      <c r="BS36" s="1">
        <f ca="1">OFFSET(A36,0, 17) -0</f>
        <v>14.36672273730278</v>
      </c>
      <c r="BT36" s="1">
        <f ca="1">OFFSET(A36,0, 15) -0</f>
        <v>5.7592904096126176</v>
      </c>
      <c r="BU36" s="1">
        <f ca="1">OFFSET(A36,0, 23) -0</f>
        <v>-9.8109802796270742</v>
      </c>
      <c r="BV36" s="1">
        <f ca="1">OFFSET(A36,0, 20) -0</f>
        <v>-42.722128771162033</v>
      </c>
      <c r="BW36" s="1">
        <f ca="1">OFFSET(A36,0, 24) -0</f>
        <v>14.492735884218291</v>
      </c>
      <c r="BX36" s="1">
        <f ca="1">OFFSET(A36,0, 14) -0</f>
        <v>-8.5444257542324067</v>
      </c>
      <c r="BY36" s="1">
        <f ca="1">OFFSET(A36,0, 18) -0</f>
        <v>-21.329561098852309</v>
      </c>
      <c r="BZ36" s="1">
        <f ca="1">OFFSET(A36,0, 22) -0</f>
        <v>-4.1146964434719848</v>
      </c>
      <c r="CB36" s="1">
        <f>COUNTIF(B36,"&lt;-69")</f>
        <v>0</v>
      </c>
      <c r="CC36" s="1">
        <f ca="1">COUNTIF(BC36:BN36,"&lt;-49")</f>
        <v>0</v>
      </c>
      <c r="CD36" s="1">
        <f ca="1">COUNTIF(BC36:BN36,"&gt;+49")</f>
        <v>0</v>
      </c>
      <c r="CE36" s="1">
        <f ca="1">COUNTIF(BO36:BZ36,"&lt;-49")</f>
        <v>0</v>
      </c>
      <c r="CF36" s="1">
        <f ca="1">COUNTIF(BO36:BZ36,"&gt;+49")</f>
        <v>0</v>
      </c>
    </row>
    <row r="37" spans="1:84">
      <c r="A37" s="1">
        <v>34</v>
      </c>
      <c r="B37" s="1">
        <f>'Team B 1'!B37-'Team B 1'!$AA37-('Team B 1'!B$2- 12.5)*'Team B 1'!$AC37</f>
        <v>8.267052468048405</v>
      </c>
      <c r="C37" s="1">
        <f>'Team B 1'!C37-'Team B 1'!$AA37-('Team B 1'!C$2- 12.5)*'Team B 1'!$AC37</f>
        <v>2.8380334128564755</v>
      </c>
      <c r="D37" s="1">
        <f>'Team B 1'!D37-'Team B 1'!$AA37-('Team B 1'!D$2- 12.5)*'Team B 1'!$AC37</f>
        <v>37.409014357664773</v>
      </c>
      <c r="E37" s="1">
        <f>'Team B 1'!E37-'Team B 1'!$AA37-('Team B 1'!E$2- 12.5)*'Team B 1'!$AC37</f>
        <v>21.979995302473071</v>
      </c>
      <c r="F37" s="1">
        <f>'Team B 1'!F37-'Team B 1'!$AA37-('Team B 1'!F$2- 12.5)*'Team B 1'!$AC37</f>
        <v>-13.449023752718858</v>
      </c>
      <c r="G37" s="1">
        <f>'Team B 1'!G37-'Team B 1'!$AA37-('Team B 1'!G$2- 12.5)*'Team B 1'!$AC37</f>
        <v>1.1219571920894396</v>
      </c>
      <c r="H37" s="1">
        <f>'Team B 1'!H37-'Team B 1'!$AA37-('Team B 1'!H$2- 12.5)*'Team B 1'!$AC37</f>
        <v>-44.307061863102263</v>
      </c>
      <c r="I37" s="1">
        <f>'Team B 1'!I37-'Team B 1'!$AA37-('Team B 1'!I$2- 12.5)*'Team B 1'!$AC37</f>
        <v>-9.7360809182940784</v>
      </c>
      <c r="J37" s="1">
        <f>'Team B 1'!J37-'Team B 1'!$AA37-('Team B 1'!J$2- 12.5)*'Team B 1'!$AC37</f>
        <v>14.834900026514219</v>
      </c>
      <c r="K37" s="1">
        <f>'Team B 1'!K37-'Team B 1'!$AA37-('Team B 1'!K$2- 12.5)*'Team B 1'!$AC37</f>
        <v>19.405880971322404</v>
      </c>
      <c r="L37" s="1">
        <f>'Team B 1'!L37-'Team B 1'!$AA37-('Team B 1'!L$2- 12.5)*'Team B 1'!$AC37</f>
        <v>-46.023138083869298</v>
      </c>
      <c r="M37" s="1">
        <f>'Team B 1'!M37-'Team B 1'!$AA37-('Team B 1'!M$2- 12.5)*'Team B 1'!$AC37</f>
        <v>8.5478428609389141</v>
      </c>
      <c r="N37" s="1">
        <f>'Team B 1'!N37-'Team B 1'!$AA37-('Team B 1'!N$2- 12.5)*'Team B 1'!$AC37</f>
        <v>-6.8811761942528449</v>
      </c>
      <c r="O37" s="1">
        <f>'Team B 1'!O37-'Team B 1'!$AA37-('Team B 1'!O$2- 12.5)*'Team B 1'!$AC37</f>
        <v>-32.310195249444632</v>
      </c>
      <c r="P37" s="1">
        <f>'Team B 1'!P37-'Team B 1'!$AA37-('Team B 1'!P$2- 12.5)*'Team B 1'!$AC37</f>
        <v>12.260785695363666</v>
      </c>
      <c r="Q37" s="1">
        <f>'Team B 1'!Q37-'Team B 1'!$AA37-('Team B 1'!Q$2- 12.5)*'Team B 1'!$AC37</f>
        <v>16.83176664017185</v>
      </c>
      <c r="R37" s="1">
        <f>'Team B 1'!R37-'Team B 1'!$AA37-('Team B 1'!R$2- 12.5)*'Team B 1'!$AC37</f>
        <v>11.402747584980148</v>
      </c>
      <c r="S37" s="1">
        <f>'Team B 1'!S37-'Team B 1'!$AA37-('Team B 1'!S$2- 12.5)*'Team B 1'!$AC37</f>
        <v>-24.026271470211668</v>
      </c>
      <c r="T37" s="1">
        <f>'Team B 1'!T37-'Team B 1'!$AA37-('Team B 1'!T$2- 12.5)*'Team B 1'!$AC37</f>
        <v>-9.4552905254033703</v>
      </c>
      <c r="U37" s="1">
        <f>'Team B 1'!U37-'Team B 1'!$AA37-('Team B 1'!U$2- 12.5)*'Team B 1'!$AC37</f>
        <v>-24.884309580595072</v>
      </c>
      <c r="V37" s="1">
        <f>'Team B 1'!V37-'Team B 1'!$AA37-('Team B 1'!V$2- 12.5)*'Team B 1'!$AC37</f>
        <v>9.686671364212998</v>
      </c>
      <c r="W37" s="1">
        <f>'Team B 1'!W37-'Team B 1'!$AA37-('Team B 1'!W$2- 12.5)*'Team B 1'!$AC37</f>
        <v>4.2576523090212959</v>
      </c>
      <c r="X37" s="1">
        <f>'Team B 1'!X37-'Team B 1'!$AA37-('Team B 1'!X$2- 12.5)*'Team B 1'!$AC37</f>
        <v>-1.1713667461704063</v>
      </c>
      <c r="Y37" s="1">
        <f>'Team B 1'!Y37-'Team B 1'!$AA37-('Team B 1'!Y$2- 12.5)*'Team B 1'!$AC37</f>
        <v>43.399614198637664</v>
      </c>
      <c r="AB37" s="1">
        <f>STDEV(B37:Y37)</f>
        <v>22.769698219745692</v>
      </c>
      <c r="AD37" s="5" t="s">
        <v>45</v>
      </c>
      <c r="AE37" s="5">
        <v>3</v>
      </c>
      <c r="AF37" s="5">
        <v>4</v>
      </c>
      <c r="AG37" s="5">
        <v>6</v>
      </c>
      <c r="AH37" s="5" t="s">
        <v>46</v>
      </c>
      <c r="AI37" s="5">
        <v>5</v>
      </c>
      <c r="AJ37" s="5">
        <v>8</v>
      </c>
      <c r="AK37" s="5">
        <v>2</v>
      </c>
      <c r="AL37" s="5" t="s">
        <v>47</v>
      </c>
      <c r="AM37" s="5">
        <v>1</v>
      </c>
      <c r="AN37" s="5">
        <v>9</v>
      </c>
      <c r="AO37" s="5">
        <v>7</v>
      </c>
      <c r="AP37" s="5">
        <v>3</v>
      </c>
      <c r="AQ37" s="5" t="s">
        <v>45</v>
      </c>
      <c r="AR37" s="5">
        <v>6</v>
      </c>
      <c r="AS37" s="5">
        <v>4</v>
      </c>
      <c r="AT37" s="5">
        <v>5</v>
      </c>
      <c r="AU37" s="5" t="s">
        <v>46</v>
      </c>
      <c r="AV37" s="5">
        <v>2</v>
      </c>
      <c r="AW37" s="5">
        <v>8</v>
      </c>
      <c r="AX37" s="5" t="s">
        <v>47</v>
      </c>
      <c r="AY37" s="5">
        <v>9</v>
      </c>
      <c r="AZ37" s="5">
        <v>1</v>
      </c>
      <c r="BA37" s="5">
        <v>7</v>
      </c>
      <c r="BB37" s="5"/>
      <c r="BC37" s="1">
        <f ca="1">OFFSET(A37,0, 10) -0</f>
        <v>19.405880971322404</v>
      </c>
      <c r="BD37" s="1">
        <f ca="1">OFFSET(A37,0, 8) -0</f>
        <v>-9.7360809182940784</v>
      </c>
      <c r="BE37" s="1">
        <f ca="1">OFFSET(A37,0, 2) -0</f>
        <v>2.8380334128564755</v>
      </c>
      <c r="BF37" s="1">
        <f ca="1">OFFSET(A37,0, 3) -0</f>
        <v>37.409014357664773</v>
      </c>
      <c r="BG37" s="1">
        <f ca="1">OFFSET(A37,0, 6) -0</f>
        <v>1.1219571920894396</v>
      </c>
      <c r="BH37" s="1">
        <f ca="1">OFFSET(A37,0, 4) -0</f>
        <v>21.979995302473071</v>
      </c>
      <c r="BI37" s="1">
        <f ca="1">OFFSET(A37,0, 12) -0</f>
        <v>8.5478428609389141</v>
      </c>
      <c r="BJ37" s="1">
        <f ca="1">OFFSET(A37,0, 7) -0</f>
        <v>-44.307061863102263</v>
      </c>
      <c r="BK37" s="1">
        <f ca="1">OFFSET(A37,0, 11) -0</f>
        <v>-46.023138083869298</v>
      </c>
      <c r="BL37" s="1">
        <f ca="1">OFFSET(A37,0, 1) -0</f>
        <v>8.267052468048405</v>
      </c>
      <c r="BM37" s="1">
        <f ca="1">OFFSET(A37,0, 5) -0</f>
        <v>-13.449023752718858</v>
      </c>
      <c r="BN37" s="1">
        <f ca="1">OFFSET(A37,0, 9) -0</f>
        <v>14.834900026514219</v>
      </c>
      <c r="BO37" s="1">
        <f ca="1">OFFSET(A37,0, 23) -0</f>
        <v>-1.1713667461704063</v>
      </c>
      <c r="BP37" s="1">
        <f ca="1">OFFSET(A37,0, 19) -0</f>
        <v>-9.4552905254033703</v>
      </c>
      <c r="BQ37" s="1">
        <f ca="1">OFFSET(A37,0, 13) -0</f>
        <v>-6.8811761942528449</v>
      </c>
      <c r="BR37" s="1">
        <f ca="1">OFFSET(A37,0, 16) -0</f>
        <v>16.83176664017185</v>
      </c>
      <c r="BS37" s="1">
        <f ca="1">OFFSET(A37,0, 17) -0</f>
        <v>11.402747584980148</v>
      </c>
      <c r="BT37" s="1">
        <f ca="1">OFFSET(A37,0, 15) -0</f>
        <v>12.260785695363666</v>
      </c>
      <c r="BU37" s="1">
        <f ca="1">OFFSET(A37,0, 24) -0</f>
        <v>43.399614198637664</v>
      </c>
      <c r="BV37" s="1">
        <f ca="1">OFFSET(A37,0, 20) -0</f>
        <v>-24.884309580595072</v>
      </c>
      <c r="BW37" s="1">
        <f ca="1">OFFSET(A37,0, 22) -0</f>
        <v>4.2576523090212959</v>
      </c>
      <c r="BX37" s="1">
        <f ca="1">OFFSET(A37,0, 14) -0</f>
        <v>-32.310195249444632</v>
      </c>
      <c r="BY37" s="1">
        <f ca="1">OFFSET(A37,0, 18) -0</f>
        <v>-24.026271470211668</v>
      </c>
      <c r="BZ37" s="1">
        <f ca="1">OFFSET(A37,0, 21) -0</f>
        <v>9.686671364212998</v>
      </c>
      <c r="CB37" s="1">
        <f>COUNTIF(B37,"&lt;-69")</f>
        <v>0</v>
      </c>
      <c r="CC37" s="1">
        <f ca="1">COUNTIF(BC37:BN37,"&lt;-49")</f>
        <v>0</v>
      </c>
      <c r="CD37" s="1">
        <f ca="1">COUNTIF(BC37:BN37,"&gt;+49")</f>
        <v>0</v>
      </c>
      <c r="CE37" s="1">
        <f ca="1">COUNTIF(BO37:BZ37,"&lt;-49")</f>
        <v>0</v>
      </c>
      <c r="CF37" s="1">
        <f ca="1">COUNTIF(BO37:BZ37,"&gt;+49")</f>
        <v>0</v>
      </c>
    </row>
    <row r="38" spans="1:84">
      <c r="A38" s="1">
        <v>35</v>
      </c>
      <c r="B38" s="1">
        <f>'Team B 1'!B38-'Team B 1'!$AA38-('Team B 1'!B$2- 12.5)*'Team B 1'!$AC38</f>
        <v>1.9859512754333082</v>
      </c>
      <c r="C38" s="1">
        <f>'Team B 1'!C38-'Team B 1'!$AA38-('Team B 1'!C$2- 12.5)*'Team B 1'!$AC38</f>
        <v>-3.3678995601121642</v>
      </c>
      <c r="D38" s="1">
        <f>'Team B 1'!D38-'Team B 1'!$AA38-('Team B 1'!D$2- 12.5)*'Team B 1'!$AC38</f>
        <v>41.278249604341909</v>
      </c>
      <c r="E38" s="1">
        <f>'Team B 1'!E38-'Team B 1'!$AA38-('Team B 1'!E$2- 12.5)*'Team B 1'!$AC38</f>
        <v>15.924398768796209</v>
      </c>
      <c r="F38" s="1">
        <f>'Team B 1'!F38-'Team B 1'!$AA38-('Team B 1'!F$2- 12.5)*'Team B 1'!$AC38</f>
        <v>0.57054793325028186</v>
      </c>
      <c r="G38" s="1">
        <f>'Team B 1'!G38-'Team B 1'!$AA38-('Team B 1'!G$2- 12.5)*'Team B 1'!$AC38</f>
        <v>5.2166970977045821</v>
      </c>
      <c r="H38" s="1">
        <f>'Team B 1'!H38-'Team B 1'!$AA38-('Team B 1'!H$2- 12.5)*'Team B 1'!$AC38</f>
        <v>-30.137153737841118</v>
      </c>
      <c r="I38" s="1">
        <f>'Team B 1'!I38-'Team B 1'!$AA38-('Team B 1'!I$2- 12.5)*'Team B 1'!$AC38</f>
        <v>14.508995426612955</v>
      </c>
      <c r="J38" s="1">
        <f>'Team B 1'!J38-'Team B 1'!$AA38-('Team B 1'!J$2- 12.5)*'Team B 1'!$AC38</f>
        <v>-20.844855408932744</v>
      </c>
      <c r="K38" s="1">
        <f>'Team B 1'!K38-'Team B 1'!$AA38-('Team B 1'!K$2- 12.5)*'Team B 1'!$AC38</f>
        <v>-6.1987062444785579</v>
      </c>
      <c r="L38" s="1">
        <f>'Team B 1'!L38-'Team B 1'!$AA38-('Team B 1'!L$2- 12.5)*'Team B 1'!$AC38</f>
        <v>48.447442919975629</v>
      </c>
      <c r="M38" s="1">
        <f>'Team B 1'!M38-'Team B 1'!$AA38-('Team B 1'!M$2- 12.5)*'Team B 1'!$AC38</f>
        <v>23.093592084429858</v>
      </c>
      <c r="N38" s="1">
        <f>'Team B 1'!N38-'Team B 1'!$AA38-('Team B 1'!N$2- 12.5)*'Team B 1'!$AC38</f>
        <v>-52.260258751115927</v>
      </c>
      <c r="O38" s="1">
        <f>'Team B 1'!O38-'Team B 1'!$AA38-('Team B 1'!O$2- 12.5)*'Team B 1'!$AC38</f>
        <v>-17.614109586661698</v>
      </c>
      <c r="P38" s="1">
        <f>'Team B 1'!P38-'Team B 1'!$AA38-('Team B 1'!P$2- 12.5)*'Team B 1'!$AC38</f>
        <v>7.0320395777924887</v>
      </c>
      <c r="Q38" s="1">
        <f>'Team B 1'!Q38-'Team B 1'!$AA38-('Team B 1'!Q$2- 12.5)*'Team B 1'!$AC38</f>
        <v>1.6781887422466752</v>
      </c>
      <c r="R38" s="1">
        <f>'Team B 1'!R38-'Team B 1'!$AA38-('Team B 1'!R$2- 12.5)*'Team B 1'!$AC38</f>
        <v>6.3243379067009755</v>
      </c>
      <c r="S38" s="1">
        <f>'Team B 1'!S38-'Team B 1'!$AA38-('Team B 1'!S$2- 12.5)*'Team B 1'!$AC38</f>
        <v>0.9704870711550484</v>
      </c>
      <c r="T38" s="1">
        <f>'Team B 1'!T38-'Team B 1'!$AA38-('Team B 1'!T$2- 12.5)*'Team B 1'!$AC38</f>
        <v>-4.3833637643906513</v>
      </c>
      <c r="U38" s="1">
        <f>'Team B 1'!U38-'Team B 1'!$AA38-('Team B 1'!U$2- 12.5)*'Team B 1'!$AC38</f>
        <v>-29.737214599936351</v>
      </c>
      <c r="V38" s="1">
        <f>'Team B 1'!V38-'Team B 1'!$AA38-('Team B 1'!V$2- 12.5)*'Team B 1'!$AC38</f>
        <v>-5.0910654354822782</v>
      </c>
      <c r="W38" s="1">
        <f>'Team B 1'!W38-'Team B 1'!$AA38-('Team B 1'!W$2- 12.5)*'Team B 1'!$AC38</f>
        <v>-10.444916271027978</v>
      </c>
      <c r="X38" s="1">
        <f>'Team B 1'!X38-'Team B 1'!$AA38-('Team B 1'!X$2- 12.5)*'Team B 1'!$AC38</f>
        <v>-5.798767106573905</v>
      </c>
      <c r="Y38" s="1">
        <f>'Team B 1'!Y38-'Team B 1'!$AA38-('Team B 1'!Y$2- 12.5)*'Team B 1'!$AC38</f>
        <v>18.847382057880623</v>
      </c>
      <c r="AB38" s="1">
        <f>STDEV(B38:Y38)</f>
        <v>21.903387934064117</v>
      </c>
      <c r="AD38" s="5" t="s">
        <v>45</v>
      </c>
      <c r="AE38" s="5">
        <v>3</v>
      </c>
      <c r="AF38" s="5">
        <v>4</v>
      </c>
      <c r="AG38" s="5">
        <v>6</v>
      </c>
      <c r="AH38" s="5" t="s">
        <v>46</v>
      </c>
      <c r="AI38" s="5">
        <v>5</v>
      </c>
      <c r="AJ38" s="5">
        <v>8</v>
      </c>
      <c r="AK38" s="5">
        <v>2</v>
      </c>
      <c r="AL38" s="5">
        <v>9</v>
      </c>
      <c r="AM38" s="5" t="s">
        <v>47</v>
      </c>
      <c r="AN38" s="5">
        <v>7</v>
      </c>
      <c r="AO38" s="5">
        <v>1</v>
      </c>
      <c r="AP38" s="5" t="s">
        <v>45</v>
      </c>
      <c r="AQ38" s="5">
        <v>4</v>
      </c>
      <c r="AR38" s="5">
        <v>3</v>
      </c>
      <c r="AS38" s="5" t="s">
        <v>46</v>
      </c>
      <c r="AT38" s="5">
        <v>6</v>
      </c>
      <c r="AU38" s="5">
        <v>8</v>
      </c>
      <c r="AV38" s="5">
        <v>5</v>
      </c>
      <c r="AW38" s="5">
        <v>9</v>
      </c>
      <c r="AX38" s="5">
        <v>2</v>
      </c>
      <c r="AY38" s="5" t="s">
        <v>47</v>
      </c>
      <c r="AZ38" s="5">
        <v>1</v>
      </c>
      <c r="BA38" s="5">
        <v>7</v>
      </c>
      <c r="BB38" s="5"/>
      <c r="BC38" s="1">
        <f ca="1">OFFSET(A38,0, 12) -0</f>
        <v>23.093592084429858</v>
      </c>
      <c r="BD38" s="1">
        <f ca="1">OFFSET(A38,0, 8) -0</f>
        <v>14.508995426612955</v>
      </c>
      <c r="BE38" s="1">
        <f ca="1">OFFSET(A38,0, 2) -0</f>
        <v>-3.3678995601121642</v>
      </c>
      <c r="BF38" s="1">
        <f ca="1">OFFSET(A38,0, 3) -0</f>
        <v>41.278249604341909</v>
      </c>
      <c r="BG38" s="1">
        <f ca="1">OFFSET(A38,0, 6) -0</f>
        <v>5.2166970977045821</v>
      </c>
      <c r="BH38" s="1">
        <f ca="1">OFFSET(A38,0, 4) -0</f>
        <v>15.924398768796209</v>
      </c>
      <c r="BI38" s="1">
        <f ca="1">OFFSET(A38,0, 11) -0</f>
        <v>48.447442919975629</v>
      </c>
      <c r="BJ38" s="1">
        <f ca="1">OFFSET(A38,0, 7) -0</f>
        <v>-30.137153737841118</v>
      </c>
      <c r="BK38" s="1">
        <f ca="1">OFFSET(A38,0, 9) -0</f>
        <v>-20.844855408932744</v>
      </c>
      <c r="BL38" s="1">
        <f ca="1">OFFSET(A38,0, 1) -0</f>
        <v>1.9859512754333082</v>
      </c>
      <c r="BM38" s="1">
        <f ca="1">OFFSET(A38,0, 5) -0</f>
        <v>0.57054793325028186</v>
      </c>
      <c r="BN38" s="1">
        <f ca="1">OFFSET(A38,0, 10) -0</f>
        <v>-6.1987062444785579</v>
      </c>
      <c r="BO38" s="1">
        <f ca="1">OFFSET(A38,0, 23) -0</f>
        <v>-5.798767106573905</v>
      </c>
      <c r="BP38" s="1">
        <f ca="1">OFFSET(A38,0, 21) -0</f>
        <v>-5.0910654354822782</v>
      </c>
      <c r="BQ38" s="1">
        <f ca="1">OFFSET(A38,0, 15) -0</f>
        <v>7.0320395777924887</v>
      </c>
      <c r="BR38" s="1">
        <f ca="1">OFFSET(A38,0, 14) -0</f>
        <v>-17.614109586661698</v>
      </c>
      <c r="BS38" s="1">
        <f ca="1">OFFSET(A38,0, 19) -0</f>
        <v>-4.3833637643906513</v>
      </c>
      <c r="BT38" s="1">
        <f ca="1">OFFSET(A38,0, 17) -0</f>
        <v>6.3243379067009755</v>
      </c>
      <c r="BU38" s="1">
        <f ca="1">OFFSET(A38,0, 24) -0</f>
        <v>18.847382057880623</v>
      </c>
      <c r="BV38" s="1">
        <f ca="1">OFFSET(A38,0, 18) -0</f>
        <v>0.9704870711550484</v>
      </c>
      <c r="BW38" s="1">
        <f ca="1">OFFSET(A38,0, 20) -0</f>
        <v>-29.737214599936351</v>
      </c>
      <c r="BX38" s="1">
        <f ca="1">OFFSET(A38,0, 13) -0</f>
        <v>-52.260258751115927</v>
      </c>
      <c r="BY38" s="1">
        <f ca="1">OFFSET(A38,0, 16) -0</f>
        <v>1.6781887422466752</v>
      </c>
      <c r="BZ38" s="1">
        <f ca="1">OFFSET(A38,0, 22) -0</f>
        <v>-10.444916271027978</v>
      </c>
      <c r="CB38" s="1">
        <f>COUNTIF(B38,"&lt;-69")</f>
        <v>0</v>
      </c>
      <c r="CC38" s="1">
        <f ca="1">COUNTIF(BC38:BN38,"&lt;-49")</f>
        <v>0</v>
      </c>
      <c r="CD38" s="1">
        <f ca="1">COUNTIF(BC38:BN38,"&gt;+49")</f>
        <v>0</v>
      </c>
      <c r="CE38" s="1">
        <f ca="1">COUNTIF(BO38:BZ38,"&lt;-49")</f>
        <v>1</v>
      </c>
      <c r="CF38" s="1">
        <f ca="1">COUNTIF(BO38:BZ38,"&gt;+49")</f>
        <v>0</v>
      </c>
    </row>
    <row r="39" spans="1:84">
      <c r="A39" s="1">
        <v>36</v>
      </c>
      <c r="B39" s="1">
        <f>'Team B 1'!B39-'Team B 1'!$AA39-('Team B 1'!B$2- 12.5)*'Team B 1'!$AC39</f>
        <v>40.021533306746733</v>
      </c>
      <c r="C39" s="1">
        <f>'Team B 1'!C39-'Team B 1'!$AA39-('Team B 1'!C$2- 12.5)*'Team B 1'!$AC39</f>
        <v>13.932704323551206</v>
      </c>
      <c r="D39" s="1">
        <f>'Team B 1'!D39-'Team B 1'!$AA39-('Team B 1'!D$2- 12.5)*'Team B 1'!$AC39</f>
        <v>-2.1561246596440924</v>
      </c>
      <c r="E39" s="1">
        <f>'Team B 1'!E39-'Team B 1'!$AA39-('Team B 1'!E$2- 12.5)*'Team B 1'!$AC39</f>
        <v>31.755046357160609</v>
      </c>
      <c r="F39" s="1">
        <f>'Team B 1'!F39-'Team B 1'!$AA39-('Team B 1'!F$2- 12.5)*'Team B 1'!$AC39</f>
        <v>-24.333782626034917</v>
      </c>
      <c r="G39" s="1">
        <f>'Team B 1'!G39-'Team B 1'!$AA39-('Team B 1'!G$2- 12.5)*'Team B 1'!$AC39</f>
        <v>-0.42261160923021635</v>
      </c>
      <c r="H39" s="1">
        <f>'Team B 1'!H39-'Team B 1'!$AA39-('Team B 1'!H$2- 12.5)*'Team B 1'!$AC39</f>
        <v>-6.5114405924255152</v>
      </c>
      <c r="I39" s="1">
        <f>'Team B 1'!I39-'Team B 1'!$AA39-('Team B 1'!I$2- 12.5)*'Team B 1'!$AC39</f>
        <v>57.399730424379072</v>
      </c>
      <c r="J39" s="1">
        <f>'Team B 1'!J39-'Team B 1'!$AA39-('Team B 1'!J$2- 12.5)*'Team B 1'!$AC39</f>
        <v>31.310901441183773</v>
      </c>
      <c r="K39" s="1">
        <f>'Team B 1'!K39-'Team B 1'!$AA39-('Team B 1'!K$2- 12.5)*'Team B 1'!$AC39</f>
        <v>15.222072457988361</v>
      </c>
      <c r="L39" s="1">
        <f>'Team B 1'!L39-'Team B 1'!$AA39-('Team B 1'!L$2- 12.5)*'Team B 1'!$AC39</f>
        <v>19.133243474793062</v>
      </c>
      <c r="M39" s="1">
        <f>'Team B 1'!M39-'Team B 1'!$AA39-('Team B 1'!M$2- 12.5)*'Team B 1'!$AC39</f>
        <v>-6.9555855084023221</v>
      </c>
      <c r="N39" s="1">
        <f>'Team B 1'!N39-'Team B 1'!$AA39-('Team B 1'!N$2- 12.5)*'Team B 1'!$AC39</f>
        <v>-3.0444144915976779</v>
      </c>
      <c r="O39" s="1">
        <f>'Team B 1'!O39-'Team B 1'!$AA39-('Team B 1'!O$2- 12.5)*'Team B 1'!$AC39</f>
        <v>-39.133243474793062</v>
      </c>
      <c r="P39" s="1">
        <f>'Team B 1'!P39-'Team B 1'!$AA39-('Team B 1'!P$2- 12.5)*'Team B 1'!$AC39</f>
        <v>-5.2220724579883608</v>
      </c>
      <c r="Q39" s="1">
        <f>'Team B 1'!Q39-'Team B 1'!$AA39-('Team B 1'!Q$2- 12.5)*'Team B 1'!$AC39</f>
        <v>-11.310901441183773</v>
      </c>
      <c r="R39" s="1">
        <f>'Team B 1'!R39-'Team B 1'!$AA39-('Team B 1'!R$2- 12.5)*'Team B 1'!$AC39</f>
        <v>-37.399730424379072</v>
      </c>
      <c r="S39" s="1">
        <f>'Team B 1'!S39-'Team B 1'!$AA39-('Team B 1'!S$2- 12.5)*'Team B 1'!$AC39</f>
        <v>-23.488559407574485</v>
      </c>
      <c r="T39" s="1">
        <f>'Team B 1'!T39-'Team B 1'!$AA39-('Team B 1'!T$2- 12.5)*'Team B 1'!$AC39</f>
        <v>-29.577388390769784</v>
      </c>
      <c r="U39" s="1">
        <f>'Team B 1'!U39-'Team B 1'!$AA39-('Team B 1'!U$2- 12.5)*'Team B 1'!$AC39</f>
        <v>-5.6662173739650825</v>
      </c>
      <c r="V39" s="1">
        <f>'Team B 1'!V39-'Team B 1'!$AA39-('Team B 1'!V$2- 12.5)*'Team B 1'!$AC39</f>
        <v>8.2449536428393913</v>
      </c>
      <c r="W39" s="1">
        <f>'Team B 1'!W39-'Team B 1'!$AA39-('Team B 1'!W$2- 12.5)*'Team B 1'!$AC39</f>
        <v>-7.8438753403559076</v>
      </c>
      <c r="X39" s="1">
        <f>'Team B 1'!X39-'Team B 1'!$AA39-('Team B 1'!X$2- 12.5)*'Team B 1'!$AC39</f>
        <v>-3.9327043235512065</v>
      </c>
      <c r="Y39" s="1">
        <f>'Team B 1'!Y39-'Team B 1'!$AA39-('Team B 1'!Y$2- 12.5)*'Team B 1'!$AC39</f>
        <v>-10.021533306746733</v>
      </c>
      <c r="AB39" s="1">
        <f>STDEV(B39:Y39)</f>
        <v>23.923363854831763</v>
      </c>
      <c r="AD39" s="5">
        <v>4</v>
      </c>
      <c r="AE39" s="5" t="s">
        <v>45</v>
      </c>
      <c r="AF39" s="5" t="s">
        <v>46</v>
      </c>
      <c r="AG39" s="5">
        <v>3</v>
      </c>
      <c r="AH39" s="5">
        <v>8</v>
      </c>
      <c r="AI39" s="5">
        <v>6</v>
      </c>
      <c r="AJ39" s="5">
        <v>9</v>
      </c>
      <c r="AK39" s="5">
        <v>5</v>
      </c>
      <c r="AL39" s="5" t="s">
        <v>47</v>
      </c>
      <c r="AM39" s="5">
        <v>2</v>
      </c>
      <c r="AN39" s="5">
        <v>7</v>
      </c>
      <c r="AO39" s="5">
        <v>1</v>
      </c>
      <c r="AP39" s="5" t="s">
        <v>45</v>
      </c>
      <c r="AQ39" s="5">
        <v>4</v>
      </c>
      <c r="AR39" s="5">
        <v>3</v>
      </c>
      <c r="AS39" s="5" t="s">
        <v>46</v>
      </c>
      <c r="AT39" s="5">
        <v>6</v>
      </c>
      <c r="AU39" s="5">
        <v>8</v>
      </c>
      <c r="AV39" s="5">
        <v>5</v>
      </c>
      <c r="AW39" s="5">
        <v>9</v>
      </c>
      <c r="AX39" s="5">
        <v>2</v>
      </c>
      <c r="AY39" s="5" t="s">
        <v>47</v>
      </c>
      <c r="AZ39" s="5">
        <v>7</v>
      </c>
      <c r="BA39" s="5">
        <v>1</v>
      </c>
      <c r="BB39" s="5"/>
      <c r="BC39" s="1">
        <f ca="1">OFFSET(A39,0, 12) -0</f>
        <v>-6.9555855084023221</v>
      </c>
      <c r="BD39" s="1">
        <f ca="1">OFFSET(A39,0, 10) -0</f>
        <v>15.222072457988361</v>
      </c>
      <c r="BE39" s="1">
        <f ca="1">OFFSET(A39,0, 4) -0</f>
        <v>31.755046357160609</v>
      </c>
      <c r="BF39" s="1">
        <f ca="1">OFFSET(A39,0, 1) -0</f>
        <v>40.021533306746733</v>
      </c>
      <c r="BG39" s="1">
        <f ca="1">OFFSET(A39,0, 8) -0</f>
        <v>57.399730424379072</v>
      </c>
      <c r="BH39" s="1">
        <f ca="1">OFFSET(A39,0, 6) -0</f>
        <v>-0.42261160923021635</v>
      </c>
      <c r="BI39" s="1">
        <f ca="1">OFFSET(A39,0, 11) -0</f>
        <v>19.133243474793062</v>
      </c>
      <c r="BJ39" s="1">
        <f ca="1">OFFSET(A39,0, 5) -0</f>
        <v>-24.333782626034917</v>
      </c>
      <c r="BK39" s="1">
        <f ca="1">OFFSET(A39,0, 7) -0</f>
        <v>-6.5114405924255152</v>
      </c>
      <c r="BL39" s="1">
        <f ca="1">OFFSET(A39,0, 2) -0</f>
        <v>13.932704323551206</v>
      </c>
      <c r="BM39" s="1">
        <f ca="1">OFFSET(A39,0, 3) -0</f>
        <v>-2.1561246596440924</v>
      </c>
      <c r="BN39" s="1">
        <f ca="1">OFFSET(A39,0, 9) -0</f>
        <v>31.310901441183773</v>
      </c>
      <c r="BO39" s="1">
        <f ca="1">OFFSET(A39,0, 24) -0</f>
        <v>-10.021533306746733</v>
      </c>
      <c r="BP39" s="1">
        <f ca="1">OFFSET(A39,0, 21) -0</f>
        <v>8.2449536428393913</v>
      </c>
      <c r="BQ39" s="1">
        <f ca="1">OFFSET(A39,0, 15) -0</f>
        <v>-5.2220724579883608</v>
      </c>
      <c r="BR39" s="1">
        <f ca="1">OFFSET(A39,0, 14) -0</f>
        <v>-39.133243474793062</v>
      </c>
      <c r="BS39" s="1">
        <f ca="1">OFFSET(A39,0, 19) -0</f>
        <v>-29.577388390769784</v>
      </c>
      <c r="BT39" s="1">
        <f ca="1">OFFSET(A39,0, 17) -0</f>
        <v>-37.399730424379072</v>
      </c>
      <c r="BU39" s="1">
        <f ca="1">OFFSET(A39,0, 23) -0</f>
        <v>-3.9327043235512065</v>
      </c>
      <c r="BV39" s="1">
        <f ca="1">OFFSET(A39,0, 18) -0</f>
        <v>-23.488559407574485</v>
      </c>
      <c r="BW39" s="1">
        <f ca="1">OFFSET(A39,0, 20) -0</f>
        <v>-5.6662173739650825</v>
      </c>
      <c r="BX39" s="1">
        <f ca="1">OFFSET(A39,0, 13) -0</f>
        <v>-3.0444144915976779</v>
      </c>
      <c r="BY39" s="1">
        <f ca="1">OFFSET(A39,0, 16) -0</f>
        <v>-11.310901441183773</v>
      </c>
      <c r="BZ39" s="1">
        <f ca="1">OFFSET(A39,0, 22) -0</f>
        <v>-7.8438753403559076</v>
      </c>
      <c r="CB39" s="1">
        <f>COUNTIF(B39,"&lt;-69")</f>
        <v>0</v>
      </c>
      <c r="CC39" s="1">
        <f ca="1">COUNTIF(BC39:BN39,"&lt;-49")</f>
        <v>0</v>
      </c>
      <c r="CD39" s="1">
        <f ca="1">COUNTIF(BC39:BN39,"&gt;+49")</f>
        <v>1</v>
      </c>
      <c r="CE39" s="1">
        <f ca="1">COUNTIF(BO39:BZ39,"&lt;-49")</f>
        <v>0</v>
      </c>
      <c r="CF39" s="1">
        <f ca="1">COUNTIF(BO39:BZ39,"&gt;+49")</f>
        <v>0</v>
      </c>
    </row>
    <row r="40" spans="1:84">
      <c r="A40" s="1">
        <v>37</v>
      </c>
      <c r="B40" s="1">
        <f>'Team B 1'!B40-'Team B 1'!$AA40-('Team B 1'!B$2- 12.5)*'Team B 1'!$AC40</f>
        <v>30.627551831847086</v>
      </c>
      <c r="C40" s="1">
        <f>'Team B 1'!C40-'Team B 1'!$AA40-('Team B 1'!C$2- 12.5)*'Team B 1'!$AC40</f>
        <v>54.304866165308795</v>
      </c>
      <c r="D40" s="1">
        <f>'Team B 1'!D40-'Team B 1'!$AA40-('Team B 1'!D$2- 12.5)*'Team B 1'!$AC40</f>
        <v>27.982180498770504</v>
      </c>
      <c r="E40" s="1">
        <f>'Team B 1'!E40-'Team B 1'!$AA40-('Team B 1'!E$2- 12.5)*'Team B 1'!$AC40</f>
        <v>21.659494832232213</v>
      </c>
      <c r="F40" s="1">
        <f>'Team B 1'!F40-'Team B 1'!$AA40-('Team B 1'!F$2- 12.5)*'Team B 1'!$AC40</f>
        <v>-44.663190834306079</v>
      </c>
      <c r="G40" s="1">
        <f>'Team B 1'!G40-'Team B 1'!$AA40-('Team B 1'!G$2- 12.5)*'Team B 1'!$AC40</f>
        <v>-30.98587650084437</v>
      </c>
      <c r="H40" s="1">
        <f>'Team B 1'!H40-'Team B 1'!$AA40-('Team B 1'!H$2- 12.5)*'Team B 1'!$AC40</f>
        <v>-17.308562167382661</v>
      </c>
      <c r="I40" s="1">
        <f>'Team B 1'!I40-'Team B 1'!$AA40-('Team B 1'!I$2- 12.5)*'Team B 1'!$AC40</f>
        <v>-3.6312478339208383</v>
      </c>
      <c r="J40" s="1">
        <f>'Team B 1'!J40-'Team B 1'!$AA40-('Team B 1'!J$2- 12.5)*'Team B 1'!$AC40</f>
        <v>10.046066499540871</v>
      </c>
      <c r="K40" s="1">
        <f>'Team B 1'!K40-'Team B 1'!$AA40-('Team B 1'!K$2- 12.5)*'Team B 1'!$AC40</f>
        <v>33.723380833002636</v>
      </c>
      <c r="L40" s="1">
        <f>'Team B 1'!L40-'Team B 1'!$AA40-('Team B 1'!L$2- 12.5)*'Team B 1'!$AC40</f>
        <v>-2.5993048335356548</v>
      </c>
      <c r="M40" s="1">
        <f>'Team B 1'!M40-'Team B 1'!$AA40-('Team B 1'!M$2- 12.5)*'Team B 1'!$AC40</f>
        <v>21.078009499926097</v>
      </c>
      <c r="N40" s="1">
        <f>'Team B 1'!N40-'Team B 1'!$AA40-('Team B 1'!N$2- 12.5)*'Team B 1'!$AC40</f>
        <v>-45.244676166612166</v>
      </c>
      <c r="O40" s="1">
        <f>'Team B 1'!O40-'Team B 1'!$AA40-('Team B 1'!O$2- 12.5)*'Team B 1'!$AC40</f>
        <v>-21.567361833150414</v>
      </c>
      <c r="P40" s="1">
        <f>'Team B 1'!P40-'Team B 1'!$AA40-('Team B 1'!P$2- 12.5)*'Team B 1'!$AC40</f>
        <v>-17.890047499688706</v>
      </c>
      <c r="Q40" s="1">
        <f>'Team B 1'!Q40-'Team B 1'!$AA40-('Team B 1'!Q$2- 12.5)*'Team B 1'!$AC40</f>
        <v>-34.21273316622694</v>
      </c>
      <c r="R40" s="1">
        <f>'Team B 1'!R40-'Team B 1'!$AA40-('Team B 1'!R$2- 12.5)*'Team B 1'!$AC40</f>
        <v>-10.535418832765231</v>
      </c>
      <c r="S40" s="1">
        <f>'Team B 1'!S40-'Team B 1'!$AA40-('Team B 1'!S$2- 12.5)*'Team B 1'!$AC40</f>
        <v>-36.858104499303408</v>
      </c>
      <c r="T40" s="1">
        <f>'Team B 1'!T40-'Team B 1'!$AA40-('Team B 1'!T$2- 12.5)*'Team B 1'!$AC40</f>
        <v>6.8192098341583005</v>
      </c>
      <c r="U40" s="1">
        <f>'Team B 1'!U40-'Team B 1'!$AA40-('Team B 1'!U$2- 12.5)*'Team B 1'!$AC40</f>
        <v>0.49652416762000939</v>
      </c>
      <c r="V40" s="1">
        <f>'Team B 1'!V40-'Team B 1'!$AA40-('Team B 1'!V$2- 12.5)*'Team B 1'!$AC40</f>
        <v>-25.826161498918282</v>
      </c>
      <c r="W40" s="1">
        <f>'Team B 1'!W40-'Team B 1'!$AA40-('Team B 1'!W$2- 12.5)*'Team B 1'!$AC40</f>
        <v>-12.148847165456573</v>
      </c>
      <c r="X40" s="1">
        <f>'Team B 1'!X40-'Team B 1'!$AA40-('Team B 1'!X$2- 12.5)*'Team B 1'!$AC40</f>
        <v>61.528467168005136</v>
      </c>
      <c r="Y40" s="1">
        <f>'Team B 1'!Y40-'Team B 1'!$AA40-('Team B 1'!Y$2- 12.5)*'Team B 1'!$AC40</f>
        <v>35.205781501466845</v>
      </c>
      <c r="AB40" s="1">
        <f>STDEV(B40:Y40)</f>
        <v>30.542181789930069</v>
      </c>
      <c r="AD40" s="5">
        <v>4</v>
      </c>
      <c r="AE40" s="5" t="s">
        <v>45</v>
      </c>
      <c r="AF40" s="5" t="s">
        <v>46</v>
      </c>
      <c r="AG40" s="5">
        <v>3</v>
      </c>
      <c r="AH40" s="5">
        <v>8</v>
      </c>
      <c r="AI40" s="5">
        <v>6</v>
      </c>
      <c r="AJ40" s="5">
        <v>9</v>
      </c>
      <c r="AK40" s="5">
        <v>5</v>
      </c>
      <c r="AL40" s="5" t="s">
        <v>47</v>
      </c>
      <c r="AM40" s="5">
        <v>2</v>
      </c>
      <c r="AN40" s="5">
        <v>1</v>
      </c>
      <c r="AO40" s="5">
        <v>7</v>
      </c>
      <c r="AP40" s="5">
        <v>4</v>
      </c>
      <c r="AQ40" s="5" t="s">
        <v>46</v>
      </c>
      <c r="AR40" s="5" t="s">
        <v>45</v>
      </c>
      <c r="AS40" s="5">
        <v>8</v>
      </c>
      <c r="AT40" s="5">
        <v>3</v>
      </c>
      <c r="AU40" s="5">
        <v>9</v>
      </c>
      <c r="AV40" s="5">
        <v>6</v>
      </c>
      <c r="AW40" s="5" t="s">
        <v>47</v>
      </c>
      <c r="AX40" s="5">
        <v>5</v>
      </c>
      <c r="AY40" s="5">
        <v>2</v>
      </c>
      <c r="AZ40" s="5">
        <v>7</v>
      </c>
      <c r="BA40" s="5">
        <v>1</v>
      </c>
      <c r="BB40" s="5"/>
      <c r="BC40" s="1">
        <f ca="1">OFFSET(A40,0, 11) -0</f>
        <v>-2.5993048335356548</v>
      </c>
      <c r="BD40" s="1">
        <f ca="1">OFFSET(A40,0, 10) -0</f>
        <v>33.723380833002636</v>
      </c>
      <c r="BE40" s="1">
        <f ca="1">OFFSET(A40,0, 4) -0</f>
        <v>21.659494832232213</v>
      </c>
      <c r="BF40" s="1">
        <f ca="1">OFFSET(A40,0, 1) -0</f>
        <v>30.627551831847086</v>
      </c>
      <c r="BG40" s="1">
        <f ca="1">OFFSET(A40,0, 8) -0</f>
        <v>-3.6312478339208383</v>
      </c>
      <c r="BH40" s="1">
        <f ca="1">OFFSET(A40,0, 6) -0</f>
        <v>-30.98587650084437</v>
      </c>
      <c r="BI40" s="1">
        <f ca="1">OFFSET(A40,0, 12) -0</f>
        <v>21.078009499926097</v>
      </c>
      <c r="BJ40" s="1">
        <f ca="1">OFFSET(A40,0, 5) -0</f>
        <v>-44.663190834306079</v>
      </c>
      <c r="BK40" s="1">
        <f ca="1">OFFSET(A40,0, 7) -0</f>
        <v>-17.308562167382661</v>
      </c>
      <c r="BL40" s="1">
        <f ca="1">OFFSET(A40,0, 2) -0</f>
        <v>54.304866165308795</v>
      </c>
      <c r="BM40" s="1">
        <f ca="1">OFFSET(A40,0, 3) -0</f>
        <v>27.982180498770504</v>
      </c>
      <c r="BN40" s="1">
        <f ca="1">OFFSET(A40,0, 9) -0</f>
        <v>10.046066499540871</v>
      </c>
      <c r="BO40" s="1">
        <f ca="1">OFFSET(A40,0, 24) -0</f>
        <v>35.205781501466845</v>
      </c>
      <c r="BP40" s="1">
        <f ca="1">OFFSET(A40,0, 22) -0</f>
        <v>-12.148847165456573</v>
      </c>
      <c r="BQ40" s="1">
        <f ca="1">OFFSET(A40,0, 17) -0</f>
        <v>-10.535418832765231</v>
      </c>
      <c r="BR40" s="1">
        <f ca="1">OFFSET(A40,0, 13) -0</f>
        <v>-45.244676166612166</v>
      </c>
      <c r="BS40" s="1">
        <f ca="1">OFFSET(A40,0, 21) -0</f>
        <v>-25.826161498918282</v>
      </c>
      <c r="BT40" s="1">
        <f ca="1">OFFSET(A40,0, 19) -0</f>
        <v>6.8192098341583005</v>
      </c>
      <c r="BU40" s="1">
        <f ca="1">OFFSET(A40,0, 23) -0</f>
        <v>61.528467168005136</v>
      </c>
      <c r="BV40" s="1">
        <f ca="1">OFFSET(A40,0, 16) -0</f>
        <v>-34.21273316622694</v>
      </c>
      <c r="BW40" s="1">
        <f ca="1">OFFSET(A40,0, 18) -0</f>
        <v>-36.858104499303408</v>
      </c>
      <c r="BX40" s="1">
        <f ca="1">OFFSET(A40,0, 15) -0</f>
        <v>-17.890047499688706</v>
      </c>
      <c r="BY40" s="1">
        <f ca="1">OFFSET(A40,0, 14) -0</f>
        <v>-21.567361833150414</v>
      </c>
      <c r="BZ40" s="1">
        <f ca="1">OFFSET(A40,0, 20) -0</f>
        <v>0.49652416762000939</v>
      </c>
      <c r="CB40" s="1">
        <f>COUNTIF(B40,"&lt;-69")</f>
        <v>0</v>
      </c>
      <c r="CC40" s="1">
        <f ca="1">COUNTIF(BC40:BN40,"&lt;-49")</f>
        <v>0</v>
      </c>
      <c r="CD40" s="1">
        <f ca="1">COUNTIF(BC40:BN40,"&gt;+49")</f>
        <v>1</v>
      </c>
      <c r="CE40" s="1">
        <f ca="1">COUNTIF(BO40:BZ40,"&lt;-49")</f>
        <v>0</v>
      </c>
      <c r="CF40" s="1">
        <f ca="1">COUNTIF(BO40:BZ40,"&gt;+49")</f>
        <v>1</v>
      </c>
    </row>
    <row r="41" spans="1:84">
      <c r="A41" s="1">
        <v>38</v>
      </c>
      <c r="B41" s="1">
        <f>'Team B 1'!B41-'Team B 1'!$AA41-('Team B 1'!B$2- 12.5)*'Team B 1'!$AC41</f>
        <v>12.493176817029962</v>
      </c>
      <c r="C41" s="1">
        <f>'Team B 1'!C41-'Team B 1'!$AA41-('Team B 1'!C$2- 12.5)*'Team B 1'!$AC41</f>
        <v>6.6966686880141424</v>
      </c>
      <c r="D41" s="1">
        <f>'Team B 1'!D41-'Team B 1'!$AA41-('Team B 1'!D$2- 12.5)*'Team B 1'!$AC41</f>
        <v>-29.099839441002359</v>
      </c>
      <c r="E41" s="1">
        <f>'Team B 1'!E41-'Team B 1'!$AA41-('Team B 1'!E$2- 12.5)*'Team B 1'!$AC41</f>
        <v>5.1036524299813664</v>
      </c>
      <c r="F41" s="1">
        <f>'Team B 1'!F41-'Team B 1'!$AA41-('Team B 1'!F$2- 12.5)*'Team B 1'!$AC41</f>
        <v>-20.692855699034908</v>
      </c>
      <c r="G41" s="1">
        <f>'Team B 1'!G41-'Team B 1'!$AA41-('Team B 1'!G$2- 12.5)*'Team B 1'!$AC41</f>
        <v>-36.489363828051182</v>
      </c>
      <c r="H41" s="1">
        <f>'Team B 1'!H41-'Team B 1'!$AA41-('Team B 1'!H$2- 12.5)*'Team B 1'!$AC41</f>
        <v>27.714128042932543</v>
      </c>
      <c r="I41" s="1">
        <f>'Team B 1'!I41-'Team B 1'!$AA41-('Team B 1'!I$2- 12.5)*'Team B 1'!$AC41</f>
        <v>21.917619913916269</v>
      </c>
      <c r="J41" s="1">
        <f>'Team B 1'!J41-'Team B 1'!$AA41-('Team B 1'!J$2- 12.5)*'Team B 1'!$AC41</f>
        <v>6.1211117848999947</v>
      </c>
      <c r="K41" s="1">
        <f>'Team B 1'!K41-'Team B 1'!$AA41-('Team B 1'!K$2- 12.5)*'Team B 1'!$AC41</f>
        <v>-19.67539634411628</v>
      </c>
      <c r="L41" s="1">
        <f>'Team B 1'!L41-'Team B 1'!$AA41-('Team B 1'!L$2- 12.5)*'Team B 1'!$AC41</f>
        <v>14.528095526867446</v>
      </c>
      <c r="M41" s="1">
        <f>'Team B 1'!M41-'Team B 1'!$AA41-('Team B 1'!M$2- 12.5)*'Team B 1'!$AC41</f>
        <v>48.731587397851172</v>
      </c>
      <c r="N41" s="1">
        <f>'Team B 1'!N41-'Team B 1'!$AA41-('Team B 1'!N$2- 12.5)*'Team B 1'!$AC41</f>
        <v>-27.064920731165103</v>
      </c>
      <c r="O41" s="1">
        <f>'Team B 1'!O41-'Team B 1'!$AA41-('Team B 1'!O$2- 12.5)*'Team B 1'!$AC41</f>
        <v>-12.861428860181377</v>
      </c>
      <c r="P41" s="1">
        <f>'Team B 1'!P41-'Team B 1'!$AA41-('Team B 1'!P$2- 12.5)*'Team B 1'!$AC41</f>
        <v>-38.657936989197651</v>
      </c>
      <c r="Q41" s="1">
        <f>'Team B 1'!Q41-'Team B 1'!$AA41-('Team B 1'!Q$2- 12.5)*'Team B 1'!$AC41</f>
        <v>-34.454445118213926</v>
      </c>
      <c r="R41" s="1">
        <f>'Team B 1'!R41-'Team B 1'!$AA41-('Team B 1'!R$2- 12.5)*'Team B 1'!$AC41</f>
        <v>-20.2509532472302</v>
      </c>
      <c r="S41" s="1">
        <f>'Team B 1'!S41-'Team B 1'!$AA41-('Team B 1'!S$2- 12.5)*'Team B 1'!$AC41</f>
        <v>-36.047461376246474</v>
      </c>
      <c r="T41" s="1">
        <f>'Team B 1'!T41-'Team B 1'!$AA41-('Team B 1'!T$2- 12.5)*'Team B 1'!$AC41</f>
        <v>8.1560304947372515</v>
      </c>
      <c r="U41" s="1">
        <f>'Team B 1'!U41-'Team B 1'!$AA41-('Team B 1'!U$2- 12.5)*'Team B 1'!$AC41</f>
        <v>2.3595223657209772</v>
      </c>
      <c r="V41" s="1">
        <f>'Team B 1'!V41-'Team B 1'!$AA41-('Team B 1'!V$2- 12.5)*'Team B 1'!$AC41</f>
        <v>26.563014236704703</v>
      </c>
      <c r="W41" s="1">
        <f>'Team B 1'!W41-'Team B 1'!$AA41-('Team B 1'!W$2- 12.5)*'Team B 1'!$AC41</f>
        <v>40.766506107688429</v>
      </c>
      <c r="X41" s="1">
        <f>'Team B 1'!X41-'Team B 1'!$AA41-('Team B 1'!X$2- 12.5)*'Team B 1'!$AC41</f>
        <v>4.9699979786719268</v>
      </c>
      <c r="Y41" s="1">
        <f>'Team B 1'!Y41-'Team B 1'!$AA41-('Team B 1'!Y$2- 12.5)*'Team B 1'!$AC41</f>
        <v>49.173489849656107</v>
      </c>
      <c r="AB41" s="1">
        <f>STDEV(B41:Y41)</f>
        <v>27.396947404728419</v>
      </c>
      <c r="AD41" s="5" t="s">
        <v>46</v>
      </c>
      <c r="AE41" s="5">
        <v>4</v>
      </c>
      <c r="AF41" s="5">
        <v>8</v>
      </c>
      <c r="AG41" s="5" t="s">
        <v>45</v>
      </c>
      <c r="AH41" s="5">
        <v>9</v>
      </c>
      <c r="AI41" s="5">
        <v>3</v>
      </c>
      <c r="AJ41" s="5" t="s">
        <v>47</v>
      </c>
      <c r="AK41" s="5">
        <v>6</v>
      </c>
      <c r="AL41" s="5">
        <v>2</v>
      </c>
      <c r="AM41" s="5">
        <v>5</v>
      </c>
      <c r="AN41" s="5">
        <v>1</v>
      </c>
      <c r="AO41" s="5">
        <v>7</v>
      </c>
      <c r="AP41" s="5">
        <v>4</v>
      </c>
      <c r="AQ41" s="5" t="s">
        <v>46</v>
      </c>
      <c r="AR41" s="5" t="s">
        <v>45</v>
      </c>
      <c r="AS41" s="5">
        <v>8</v>
      </c>
      <c r="AT41" s="5">
        <v>3</v>
      </c>
      <c r="AU41" s="5">
        <v>9</v>
      </c>
      <c r="AV41" s="5">
        <v>6</v>
      </c>
      <c r="AW41" s="5" t="s">
        <v>47</v>
      </c>
      <c r="AX41" s="5">
        <v>2</v>
      </c>
      <c r="AY41" s="5">
        <v>1</v>
      </c>
      <c r="AZ41" s="5">
        <v>5</v>
      </c>
      <c r="BA41" s="5">
        <v>7</v>
      </c>
      <c r="BB41" s="5"/>
      <c r="BC41" s="1">
        <f ca="1">OFFSET(A41,0, 11) -0</f>
        <v>14.528095526867446</v>
      </c>
      <c r="BD41" s="1">
        <f ca="1">OFFSET(A41,0, 9) -0</f>
        <v>6.1211117848999947</v>
      </c>
      <c r="BE41" s="1">
        <f ca="1">OFFSET(A41,0, 6) -0</f>
        <v>-36.489363828051182</v>
      </c>
      <c r="BF41" s="1">
        <f ca="1">OFFSET(A41,0, 2) -0</f>
        <v>6.6966686880141424</v>
      </c>
      <c r="BG41" s="1">
        <f ca="1">OFFSET(A41,0, 10) -0</f>
        <v>-19.67539634411628</v>
      </c>
      <c r="BH41" s="1">
        <f ca="1">OFFSET(A41,0, 8) -0</f>
        <v>21.917619913916269</v>
      </c>
      <c r="BI41" s="1">
        <f ca="1">OFFSET(A41,0, 12) -0</f>
        <v>48.731587397851172</v>
      </c>
      <c r="BJ41" s="1">
        <f ca="1">OFFSET(A41,0, 3) -0</f>
        <v>-29.099839441002359</v>
      </c>
      <c r="BK41" s="1">
        <f ca="1">OFFSET(A41,0, 5) -0</f>
        <v>-20.692855699034908</v>
      </c>
      <c r="BL41" s="1">
        <f ca="1">OFFSET(A41,0, 4) -0</f>
        <v>5.1036524299813664</v>
      </c>
      <c r="BM41" s="1">
        <f ca="1">OFFSET(A41,0, 1) -0</f>
        <v>12.493176817029962</v>
      </c>
      <c r="BN41" s="1">
        <f ca="1">OFFSET(A41,0, 7) -0</f>
        <v>27.714128042932543</v>
      </c>
      <c r="BO41" s="1">
        <f ca="1">OFFSET(A41,0, 22) -0</f>
        <v>40.766506107688429</v>
      </c>
      <c r="BP41" s="1">
        <f ca="1">OFFSET(A41,0, 21) -0</f>
        <v>26.563014236704703</v>
      </c>
      <c r="BQ41" s="1">
        <f ca="1">OFFSET(A41,0, 17) -0</f>
        <v>-20.2509532472302</v>
      </c>
      <c r="BR41" s="1">
        <f ca="1">OFFSET(A41,0, 13) -0</f>
        <v>-27.064920731165103</v>
      </c>
      <c r="BS41" s="1">
        <f ca="1">OFFSET(A41,0, 23) -0</f>
        <v>4.9699979786719268</v>
      </c>
      <c r="BT41" s="1">
        <f ca="1">OFFSET(A41,0, 19) -0</f>
        <v>8.1560304947372515</v>
      </c>
      <c r="BU41" s="1">
        <f ca="1">OFFSET(A41,0, 24) -0</f>
        <v>49.173489849656107</v>
      </c>
      <c r="BV41" s="1">
        <f ca="1">OFFSET(A41,0, 16) -0</f>
        <v>-34.454445118213926</v>
      </c>
      <c r="BW41" s="1">
        <f ca="1">OFFSET(A41,0, 18) -0</f>
        <v>-36.047461376246474</v>
      </c>
      <c r="BX41" s="1">
        <f ca="1">OFFSET(A41,0, 15) -0</f>
        <v>-38.657936989197651</v>
      </c>
      <c r="BY41" s="1">
        <f ca="1">OFFSET(A41,0, 14) -0</f>
        <v>-12.861428860181377</v>
      </c>
      <c r="BZ41" s="1">
        <f ca="1">OFFSET(A41,0, 20) -0</f>
        <v>2.3595223657209772</v>
      </c>
      <c r="CB41" s="1">
        <f>COUNTIF(B41,"&lt;-69")</f>
        <v>0</v>
      </c>
      <c r="CC41" s="1">
        <f ca="1">COUNTIF(BC41:BN41,"&lt;-49")</f>
        <v>0</v>
      </c>
      <c r="CD41" s="1">
        <f ca="1">COUNTIF(BC41:BN41,"&gt;+49")</f>
        <v>0</v>
      </c>
      <c r="CE41" s="1">
        <f ca="1">COUNTIF(BO41:BZ41,"&lt;-49")</f>
        <v>0</v>
      </c>
      <c r="CF41" s="1">
        <f ca="1">COUNTIF(BO41:BZ41,"&gt;+49")</f>
        <v>1</v>
      </c>
    </row>
    <row r="42" spans="1:84">
      <c r="A42" s="1">
        <v>39</v>
      </c>
      <c r="B42" s="1">
        <f>'Team B 1'!B42-'Team B 1'!$AA42-('Team B 1'!B$2- 12.5)*'Team B 1'!$AC42</f>
        <v>24.642829589859502</v>
      </c>
      <c r="C42" s="1">
        <f>'Team B 1'!C42-'Team B 1'!$AA42-('Team B 1'!C$2- 12.5)*'Team B 1'!$AC42</f>
        <v>9.0217139733499607</v>
      </c>
      <c r="D42" s="1">
        <f>'Team B 1'!D42-'Team B 1'!$AA42-('Team B 1'!D$2- 12.5)*'Team B 1'!$AC42</f>
        <v>-6.599401643159581</v>
      </c>
      <c r="E42" s="1">
        <f>'Team B 1'!E42-'Team B 1'!$AA42-('Team B 1'!E$2- 12.5)*'Team B 1'!$AC42</f>
        <v>7.7794827403308773</v>
      </c>
      <c r="F42" s="1">
        <f>'Team B 1'!F42-'Team B 1'!$AA42-('Team B 1'!F$2- 12.5)*'Team B 1'!$AC42</f>
        <v>-27.841632876178664</v>
      </c>
      <c r="G42" s="1">
        <f>'Team B 1'!G42-'Team B 1'!$AA42-('Team B 1'!G$2- 12.5)*'Team B 1'!$AC42</f>
        <v>-13.462748492688206</v>
      </c>
      <c r="H42" s="1">
        <f>'Team B 1'!H42-'Team B 1'!$AA42-('Team B 1'!H$2- 12.5)*'Team B 1'!$AC42</f>
        <v>50.916135890802252</v>
      </c>
      <c r="I42" s="1">
        <f>'Team B 1'!I42-'Team B 1'!$AA42-('Team B 1'!I$2- 12.5)*'Team B 1'!$AC42</f>
        <v>15.295020274292824</v>
      </c>
      <c r="J42" s="1">
        <f>'Team B 1'!J42-'Team B 1'!$AA42-('Team B 1'!J$2- 12.5)*'Team B 1'!$AC42</f>
        <v>9.6739046577832823</v>
      </c>
      <c r="K42" s="1">
        <f>'Team B 1'!K42-'Team B 1'!$AA42-('Team B 1'!K$2- 12.5)*'Team B 1'!$AC42</f>
        <v>14.052789041273797</v>
      </c>
      <c r="L42" s="1">
        <f>'Team B 1'!L42-'Team B 1'!$AA42-('Team B 1'!L$2- 12.5)*'Team B 1'!$AC42</f>
        <v>18.431673424764256</v>
      </c>
      <c r="M42" s="1">
        <f>'Team B 1'!M42-'Team B 1'!$AA42-('Team B 1'!M$2- 12.5)*'Team B 1'!$AC42</f>
        <v>2.8105578082547567</v>
      </c>
      <c r="N42" s="1">
        <f>'Team B 1'!N42-'Team B 1'!$AA42-('Team B 1'!N$2- 12.5)*'Team B 1'!$AC42</f>
        <v>-22.810557808254757</v>
      </c>
      <c r="O42" s="1">
        <f>'Team B 1'!O42-'Team B 1'!$AA42-('Team B 1'!O$2- 12.5)*'Team B 1'!$AC42</f>
        <v>1.5683265752357443</v>
      </c>
      <c r="P42" s="1">
        <f>'Team B 1'!P42-'Team B 1'!$AA42-('Team B 1'!P$2- 12.5)*'Team B 1'!$AC42</f>
        <v>-54.052789041273797</v>
      </c>
      <c r="Q42" s="1">
        <f>'Team B 1'!Q42-'Team B 1'!$AA42-('Team B 1'!Q$2- 12.5)*'Team B 1'!$AC42</f>
        <v>-29.673904657783282</v>
      </c>
      <c r="R42" s="1">
        <f>'Team B 1'!R42-'Team B 1'!$AA42-('Team B 1'!R$2- 12.5)*'Team B 1'!$AC42</f>
        <v>-65.295020274292824</v>
      </c>
      <c r="S42" s="1">
        <f>'Team B 1'!S42-'Team B 1'!$AA42-('Team B 1'!S$2- 12.5)*'Team B 1'!$AC42</f>
        <v>19.083864109197748</v>
      </c>
      <c r="T42" s="1">
        <f>'Team B 1'!T42-'Team B 1'!$AA42-('Team B 1'!T$2- 12.5)*'Team B 1'!$AC42</f>
        <v>-6.5372515073117938</v>
      </c>
      <c r="U42" s="1">
        <f>'Team B 1'!U42-'Team B 1'!$AA42-('Team B 1'!U$2- 12.5)*'Team B 1'!$AC42</f>
        <v>17.841632876178664</v>
      </c>
      <c r="V42" s="1">
        <f>'Team B 1'!V42-'Team B 1'!$AA42-('Team B 1'!V$2- 12.5)*'Team B 1'!$AC42</f>
        <v>2.2205172596691227</v>
      </c>
      <c r="W42" s="1">
        <f>'Team B 1'!W42-'Team B 1'!$AA42-('Team B 1'!W$2- 12.5)*'Team B 1'!$AC42</f>
        <v>36.599401643159581</v>
      </c>
      <c r="X42" s="1">
        <f>'Team B 1'!X42-'Team B 1'!$AA42-('Team B 1'!X$2- 12.5)*'Team B 1'!$AC42</f>
        <v>-9.0217139733499607</v>
      </c>
      <c r="Y42" s="1">
        <f>'Team B 1'!Y42-'Team B 1'!$AA42-('Team B 1'!Y$2- 12.5)*'Team B 1'!$AC42</f>
        <v>5.3571704101404976</v>
      </c>
      <c r="AB42" s="1">
        <f>STDEV(B42:Y42)</f>
        <v>26.360768767917843</v>
      </c>
      <c r="AD42" s="5" t="s">
        <v>46</v>
      </c>
      <c r="AE42" s="5">
        <v>4</v>
      </c>
      <c r="AF42" s="5">
        <v>8</v>
      </c>
      <c r="AG42" s="5" t="s">
        <v>45</v>
      </c>
      <c r="AH42" s="5">
        <v>9</v>
      </c>
      <c r="AI42" s="5">
        <v>3</v>
      </c>
      <c r="AJ42" s="5" t="s">
        <v>47</v>
      </c>
      <c r="AK42" s="5">
        <v>6</v>
      </c>
      <c r="AL42" s="5">
        <v>1</v>
      </c>
      <c r="AM42" s="5">
        <v>2</v>
      </c>
      <c r="AN42" s="5">
        <v>7</v>
      </c>
      <c r="AO42" s="5">
        <v>5</v>
      </c>
      <c r="AP42" s="5" t="s">
        <v>46</v>
      </c>
      <c r="AQ42" s="5">
        <v>8</v>
      </c>
      <c r="AR42" s="5">
        <v>4</v>
      </c>
      <c r="AS42" s="5">
        <v>9</v>
      </c>
      <c r="AT42" s="5" t="s">
        <v>45</v>
      </c>
      <c r="AU42" s="5" t="s">
        <v>47</v>
      </c>
      <c r="AV42" s="5">
        <v>3</v>
      </c>
      <c r="AW42" s="5">
        <v>6</v>
      </c>
      <c r="AX42" s="5">
        <v>2</v>
      </c>
      <c r="AY42" s="5">
        <v>1</v>
      </c>
      <c r="AZ42" s="5">
        <v>5</v>
      </c>
      <c r="BA42" s="5">
        <v>7</v>
      </c>
      <c r="BB42" s="5"/>
      <c r="BC42" s="1">
        <f ca="1">OFFSET(A42,0, 9) -0</f>
        <v>9.6739046577832823</v>
      </c>
      <c r="BD42" s="1">
        <f ca="1">OFFSET(A42,0, 10) -0</f>
        <v>14.052789041273797</v>
      </c>
      <c r="BE42" s="1">
        <f ca="1">OFFSET(A42,0, 6) -0</f>
        <v>-13.462748492688206</v>
      </c>
      <c r="BF42" s="1">
        <f ca="1">OFFSET(A42,0, 2) -0</f>
        <v>9.0217139733499607</v>
      </c>
      <c r="BG42" s="1">
        <f ca="1">OFFSET(A42,0, 12) -0</f>
        <v>2.8105578082547567</v>
      </c>
      <c r="BH42" s="1">
        <f ca="1">OFFSET(A42,0, 8) -0</f>
        <v>15.295020274292824</v>
      </c>
      <c r="BI42" s="1">
        <f ca="1">OFFSET(A42,0, 11) -0</f>
        <v>18.431673424764256</v>
      </c>
      <c r="BJ42" s="1">
        <f ca="1">OFFSET(A42,0, 3) -0</f>
        <v>-6.599401643159581</v>
      </c>
      <c r="BK42" s="1">
        <f ca="1">OFFSET(A42,0, 5) -0</f>
        <v>-27.841632876178664</v>
      </c>
      <c r="BL42" s="1">
        <f ca="1">OFFSET(A42,0, 4) -0</f>
        <v>7.7794827403308773</v>
      </c>
      <c r="BM42" s="1">
        <f ca="1">OFFSET(A42,0, 1) -0</f>
        <v>24.642829589859502</v>
      </c>
      <c r="BN42" s="1">
        <f ca="1">OFFSET(A42,0, 7) -0</f>
        <v>50.916135890802252</v>
      </c>
      <c r="BO42" s="1">
        <f ca="1">OFFSET(A42,0, 22) -0</f>
        <v>36.599401643159581</v>
      </c>
      <c r="BP42" s="1">
        <f ca="1">OFFSET(A42,0, 21) -0</f>
        <v>2.2205172596691227</v>
      </c>
      <c r="BQ42" s="1">
        <f ca="1">OFFSET(A42,0, 19) -0</f>
        <v>-6.5372515073117938</v>
      </c>
      <c r="BR42" s="1">
        <f ca="1">OFFSET(A42,0, 15) -0</f>
        <v>-54.052789041273797</v>
      </c>
      <c r="BS42" s="1">
        <f ca="1">OFFSET(A42,0, 23) -0</f>
        <v>-9.0217139733499607</v>
      </c>
      <c r="BT42" s="1">
        <f ca="1">OFFSET(A42,0, 20) -0</f>
        <v>17.841632876178664</v>
      </c>
      <c r="BU42" s="1">
        <f ca="1">OFFSET(A42,0, 24) -0</f>
        <v>5.3571704101404976</v>
      </c>
      <c r="BV42" s="1">
        <f ca="1">OFFSET(A42,0, 14) -0</f>
        <v>1.5683265752357443</v>
      </c>
      <c r="BW42" s="1">
        <f ca="1">OFFSET(A42,0, 16) -0</f>
        <v>-29.673904657783282</v>
      </c>
      <c r="BX42" s="1">
        <f ca="1">OFFSET(A42,0, 17) -0</f>
        <v>-65.295020274292824</v>
      </c>
      <c r="BY42" s="1">
        <f ca="1">OFFSET(A42,0, 13) -0</f>
        <v>-22.810557808254757</v>
      </c>
      <c r="BZ42" s="1">
        <f ca="1">OFFSET(A42,0, 18) -0</f>
        <v>19.083864109197748</v>
      </c>
      <c r="CB42" s="1">
        <f>COUNTIF(B42,"&lt;-69")</f>
        <v>0</v>
      </c>
      <c r="CC42" s="1">
        <f ca="1">COUNTIF(BC42:BN42,"&lt;-49")</f>
        <v>0</v>
      </c>
      <c r="CD42" s="1">
        <f ca="1">COUNTIF(BC42:BN42,"&gt;+49")</f>
        <v>1</v>
      </c>
      <c r="CE42" s="1">
        <f ca="1">COUNTIF(BO42:BZ42,"&lt;-49")</f>
        <v>2</v>
      </c>
      <c r="CF42" s="1">
        <f ca="1">COUNTIF(BO42:BZ42,"&gt;+49")</f>
        <v>0</v>
      </c>
    </row>
    <row r="43" spans="1:84">
      <c r="A43" s="1">
        <v>40</v>
      </c>
      <c r="B43" s="1">
        <f>'Team B 1'!B43-'Team B 1'!$AA43-('Team B 1'!B$2- 12.5)*'Team B 1'!$AC43</f>
        <v>13.326510150343893</v>
      </c>
      <c r="C43" s="1">
        <f>'Team B 1'!C43-'Team B 1'!$AA43-('Team B 1'!C$2- 12.5)*'Team B 1'!$AC43</f>
        <v>7.5300020213280732</v>
      </c>
      <c r="D43" s="1">
        <f>'Team B 1'!D43-'Team B 1'!$AA43-('Team B 1'!D$2- 12.5)*'Team B 1'!$AC43</f>
        <v>1.7334938923115715</v>
      </c>
      <c r="E43" s="1">
        <f>'Team B 1'!E43-'Team B 1'!$AA43-('Team B 1'!E$2- 12.5)*'Team B 1'!$AC43</f>
        <v>-4.0630142367047029</v>
      </c>
      <c r="F43" s="1">
        <f>'Team B 1'!F43-'Team B 1'!$AA43-('Team B 1'!F$2- 12.5)*'Team B 1'!$AC43</f>
        <v>10.140477634279023</v>
      </c>
      <c r="G43" s="1">
        <f>'Team B 1'!G43-'Team B 1'!$AA43-('Team B 1'!G$2- 12.5)*'Team B 1'!$AC43</f>
        <v>14.343969505262748</v>
      </c>
      <c r="H43" s="1">
        <f>'Team B 1'!H43-'Team B 1'!$AA43-('Team B 1'!H$2- 12.5)*'Team B 1'!$AC43</f>
        <v>18.547461376246474</v>
      </c>
      <c r="I43" s="1">
        <f>'Team B 1'!I43-'Team B 1'!$AA43-('Team B 1'!I$2- 12.5)*'Team B 1'!$AC43</f>
        <v>2.7509532472301998</v>
      </c>
      <c r="J43" s="1">
        <f>'Team B 1'!J43-'Team B 1'!$AA43-('Team B 1'!J$2- 12.5)*'Team B 1'!$AC43</f>
        <v>36.954445118213926</v>
      </c>
      <c r="K43" s="1">
        <f>'Team B 1'!K43-'Team B 1'!$AA43-('Team B 1'!K$2- 12.5)*'Team B 1'!$AC43</f>
        <v>41.157936989197651</v>
      </c>
      <c r="L43" s="1">
        <f>'Team B 1'!L43-'Team B 1'!$AA43-('Team B 1'!L$2- 12.5)*'Team B 1'!$AC43</f>
        <v>-4.6385711398186231</v>
      </c>
      <c r="M43" s="1">
        <f>'Team B 1'!M43-'Team B 1'!$AA43-('Team B 1'!M$2- 12.5)*'Team B 1'!$AC43</f>
        <v>-20.435079268834897</v>
      </c>
      <c r="N43" s="1">
        <f>'Team B 1'!N43-'Team B 1'!$AA43-('Team B 1'!N$2- 12.5)*'Team B 1'!$AC43</f>
        <v>-46.231587397851172</v>
      </c>
      <c r="O43" s="1">
        <f>'Team B 1'!O43-'Team B 1'!$AA43-('Team B 1'!O$2- 12.5)*'Team B 1'!$AC43</f>
        <v>7.9719044731325539</v>
      </c>
      <c r="P43" s="1">
        <f>'Team B 1'!P43-'Team B 1'!$AA43-('Team B 1'!P$2- 12.5)*'Team B 1'!$AC43</f>
        <v>-37.82460365588372</v>
      </c>
      <c r="Q43" s="1">
        <f>'Team B 1'!Q43-'Team B 1'!$AA43-('Team B 1'!Q$2- 12.5)*'Team B 1'!$AC43</f>
        <v>-13.621111784899995</v>
      </c>
      <c r="R43" s="1">
        <f>'Team B 1'!R43-'Team B 1'!$AA43-('Team B 1'!R$2- 12.5)*'Team B 1'!$AC43</f>
        <v>-19.417619913916269</v>
      </c>
      <c r="S43" s="1">
        <f>'Team B 1'!S43-'Team B 1'!$AA43-('Team B 1'!S$2- 12.5)*'Team B 1'!$AC43</f>
        <v>-15.214128042932543</v>
      </c>
      <c r="T43" s="1">
        <f>'Team B 1'!T43-'Team B 1'!$AA43-('Team B 1'!T$2- 12.5)*'Team B 1'!$AC43</f>
        <v>-1.0106361719488177</v>
      </c>
      <c r="U43" s="1">
        <f>'Team B 1'!U43-'Team B 1'!$AA43-('Team B 1'!U$2- 12.5)*'Team B 1'!$AC43</f>
        <v>23.192855699034908</v>
      </c>
      <c r="V43" s="1">
        <f>'Team B 1'!V43-'Team B 1'!$AA43-('Team B 1'!V$2- 12.5)*'Team B 1'!$AC43</f>
        <v>-32.603652429981366</v>
      </c>
      <c r="W43" s="1">
        <f>'Team B 1'!W43-'Team B 1'!$AA43-('Team B 1'!W$2- 12.5)*'Team B 1'!$AC43</f>
        <v>-18.400160558997641</v>
      </c>
      <c r="X43" s="1">
        <f>'Team B 1'!X43-'Team B 1'!$AA43-('Team B 1'!X$2- 12.5)*'Team B 1'!$AC43</f>
        <v>-4.1966686880141424</v>
      </c>
      <c r="Y43" s="1">
        <f>'Team B 1'!Y43-'Team B 1'!$AA43-('Team B 1'!Y$2- 12.5)*'Team B 1'!$AC43</f>
        <v>40.006823182970038</v>
      </c>
      <c r="AB43" s="1">
        <f>STDEV(B43:Y43)</f>
        <v>23.216366182239689</v>
      </c>
      <c r="AD43" s="5">
        <v>8</v>
      </c>
      <c r="AE43" s="5" t="s">
        <v>46</v>
      </c>
      <c r="AF43" s="5">
        <v>9</v>
      </c>
      <c r="AG43" s="5">
        <v>4</v>
      </c>
      <c r="AH43" s="5" t="s">
        <v>47</v>
      </c>
      <c r="AI43" s="5" t="s">
        <v>45</v>
      </c>
      <c r="AJ43" s="5">
        <v>6</v>
      </c>
      <c r="AK43" s="5">
        <v>3</v>
      </c>
      <c r="AL43" s="5">
        <v>1</v>
      </c>
      <c r="AM43" s="5">
        <v>2</v>
      </c>
      <c r="AN43" s="5">
        <v>7</v>
      </c>
      <c r="AO43" s="5">
        <v>5</v>
      </c>
      <c r="AP43" s="5" t="s">
        <v>46</v>
      </c>
      <c r="AQ43" s="5">
        <v>8</v>
      </c>
      <c r="AR43" s="5">
        <v>4</v>
      </c>
      <c r="AS43" s="5">
        <v>9</v>
      </c>
      <c r="AT43" s="5" t="s">
        <v>45</v>
      </c>
      <c r="AU43" s="5" t="s">
        <v>47</v>
      </c>
      <c r="AV43" s="5">
        <v>6</v>
      </c>
      <c r="AW43" s="5">
        <v>1</v>
      </c>
      <c r="AX43" s="5">
        <v>3</v>
      </c>
      <c r="AY43" s="5">
        <v>2</v>
      </c>
      <c r="AZ43" s="5">
        <v>5</v>
      </c>
      <c r="BA43" s="5">
        <v>7</v>
      </c>
      <c r="BB43" s="5"/>
      <c r="BC43" s="1">
        <f ca="1">OFFSET(A43,0, 9) -0</f>
        <v>36.954445118213926</v>
      </c>
      <c r="BD43" s="1">
        <f ca="1">OFFSET(A43,0, 10) -0</f>
        <v>41.157936989197651</v>
      </c>
      <c r="BE43" s="1">
        <f ca="1">OFFSET(A43,0, 8) -0</f>
        <v>2.7509532472301998</v>
      </c>
      <c r="BF43" s="1">
        <f ca="1">OFFSET(A43,0, 4) -0</f>
        <v>-4.0630142367047029</v>
      </c>
      <c r="BG43" s="1">
        <f ca="1">OFFSET(A43,0, 12) -0</f>
        <v>-20.435079268834897</v>
      </c>
      <c r="BH43" s="1">
        <f ca="1">OFFSET(A43,0, 7) -0</f>
        <v>18.547461376246474</v>
      </c>
      <c r="BI43" s="1">
        <f ca="1">OFFSET(A43,0, 11) -0</f>
        <v>-4.6385711398186231</v>
      </c>
      <c r="BJ43" s="1">
        <f ca="1">OFFSET(A43,0, 1) -0</f>
        <v>13.326510150343893</v>
      </c>
      <c r="BK43" s="1">
        <f ca="1">OFFSET(A43,0, 3) -0</f>
        <v>1.7334938923115715</v>
      </c>
      <c r="BL43" s="1">
        <f ca="1">OFFSET(A43,0, 6) -0</f>
        <v>14.343969505262748</v>
      </c>
      <c r="BM43" s="1">
        <f ca="1">OFFSET(A43,0, 2) -0</f>
        <v>7.5300020213280732</v>
      </c>
      <c r="BN43" s="1">
        <f ca="1">OFFSET(A43,0, 5) -0</f>
        <v>10.140477634279023</v>
      </c>
      <c r="BO43" s="1">
        <f ca="1">OFFSET(A43,0, 20) -0</f>
        <v>23.192855699034908</v>
      </c>
      <c r="BP43" s="1">
        <f ca="1">OFFSET(A43,0, 22) -0</f>
        <v>-18.400160558997641</v>
      </c>
      <c r="BQ43" s="1">
        <f ca="1">OFFSET(A43,0, 21) -0</f>
        <v>-32.603652429981366</v>
      </c>
      <c r="BR43" s="1">
        <f ca="1">OFFSET(A43,0, 15) -0</f>
        <v>-37.82460365588372</v>
      </c>
      <c r="BS43" s="1">
        <f ca="1">OFFSET(A43,0, 23) -0</f>
        <v>-4.1966686880141424</v>
      </c>
      <c r="BT43" s="1">
        <f ca="1">OFFSET(A43,0, 19) -0</f>
        <v>-1.0106361719488177</v>
      </c>
      <c r="BU43" s="1">
        <f ca="1">OFFSET(A43,0, 24) -0</f>
        <v>40.006823182970038</v>
      </c>
      <c r="BV43" s="1">
        <f ca="1">OFFSET(A43,0, 14) -0</f>
        <v>7.9719044731325539</v>
      </c>
      <c r="BW43" s="1">
        <f ca="1">OFFSET(A43,0, 16) -0</f>
        <v>-13.621111784899995</v>
      </c>
      <c r="BX43" s="1">
        <f ca="1">OFFSET(A43,0, 17) -0</f>
        <v>-19.417619913916269</v>
      </c>
      <c r="BY43" s="1">
        <f ca="1">OFFSET(A43,0, 13) -0</f>
        <v>-46.231587397851172</v>
      </c>
      <c r="BZ43" s="1">
        <f ca="1">OFFSET(A43,0, 18) -0</f>
        <v>-15.214128042932543</v>
      </c>
      <c r="CB43" s="1">
        <f>COUNTIF(B43,"&lt;-69")</f>
        <v>0</v>
      </c>
      <c r="CC43" s="1">
        <f ca="1">COUNTIF(BC43:BN43,"&lt;-49")</f>
        <v>0</v>
      </c>
      <c r="CD43" s="1">
        <f ca="1">COUNTIF(BC43:BN43,"&gt;+49")</f>
        <v>0</v>
      </c>
      <c r="CE43" s="1">
        <f ca="1">COUNTIF(BO43:BZ43,"&lt;-49")</f>
        <v>0</v>
      </c>
      <c r="CF43" s="1">
        <f ca="1">COUNTIF(BO43:BZ43,"&gt;+49")</f>
        <v>0</v>
      </c>
    </row>
    <row r="44" spans="1:84">
      <c r="A44" s="1">
        <v>41</v>
      </c>
      <c r="B44" s="1">
        <f>'Team B 1'!B44-'Team B 1'!$AA44-('Team B 1'!B$2- 12.5)*'Team B 1'!$AC44</f>
        <v>18.743176817029962</v>
      </c>
      <c r="C44" s="1">
        <f>'Team B 1'!C44-'Team B 1'!$AA44-('Team B 1'!C$2- 12.5)*'Team B 1'!$AC44</f>
        <v>2.9466686880141424</v>
      </c>
      <c r="D44" s="1">
        <f>'Team B 1'!D44-'Team B 1'!$AA44-('Team B 1'!D$2- 12.5)*'Team B 1'!$AC44</f>
        <v>7.1501605589976407</v>
      </c>
      <c r="E44" s="1">
        <f>'Team B 1'!E44-'Team B 1'!$AA44-('Team B 1'!E$2- 12.5)*'Team B 1'!$AC44</f>
        <v>1.3536524299813664</v>
      </c>
      <c r="F44" s="1">
        <f>'Team B 1'!F44-'Team B 1'!$AA44-('Team B 1'!F$2- 12.5)*'Team B 1'!$AC44</f>
        <v>-14.442855699034908</v>
      </c>
      <c r="G44" s="1">
        <f>'Team B 1'!G44-'Team B 1'!$AA44-('Team B 1'!G$2- 12.5)*'Team B 1'!$AC44</f>
        <v>49.760636171948818</v>
      </c>
      <c r="H44" s="1">
        <f>'Team B 1'!H44-'Team B 1'!$AA44-('Team B 1'!H$2- 12.5)*'Team B 1'!$AC44</f>
        <v>-6.0358719570674566</v>
      </c>
      <c r="I44" s="1">
        <f>'Team B 1'!I44-'Team B 1'!$AA44-('Team B 1'!I$2- 12.5)*'Team B 1'!$AC44</f>
        <v>-11.832380086083731</v>
      </c>
      <c r="J44" s="1">
        <f>'Team B 1'!J44-'Team B 1'!$AA44-('Team B 1'!J$2- 12.5)*'Team B 1'!$AC44</f>
        <v>-17.628888215100005</v>
      </c>
      <c r="K44" s="1">
        <f>'Team B 1'!K44-'Team B 1'!$AA44-('Team B 1'!K$2- 12.5)*'Team B 1'!$AC44</f>
        <v>-23.42539634411628</v>
      </c>
      <c r="L44" s="1">
        <f>'Team B 1'!L44-'Team B 1'!$AA44-('Team B 1'!L$2- 12.5)*'Team B 1'!$AC44</f>
        <v>20.778095526867446</v>
      </c>
      <c r="M44" s="1">
        <f>'Team B 1'!M44-'Team B 1'!$AA44-('Team B 1'!M$2- 12.5)*'Team B 1'!$AC44</f>
        <v>34.981587397851172</v>
      </c>
      <c r="N44" s="1">
        <f>'Team B 1'!N44-'Team B 1'!$AA44-('Team B 1'!N$2- 12.5)*'Team B 1'!$AC44</f>
        <v>19.185079268834897</v>
      </c>
      <c r="O44" s="1">
        <f>'Team B 1'!O44-'Team B 1'!$AA44-('Team B 1'!O$2- 12.5)*'Team B 1'!$AC44</f>
        <v>-26.611428860181377</v>
      </c>
      <c r="P44" s="1">
        <f>'Team B 1'!P44-'Team B 1'!$AA44-('Team B 1'!P$2- 12.5)*'Team B 1'!$AC44</f>
        <v>-2.4079369891976512</v>
      </c>
      <c r="Q44" s="1">
        <f>'Team B 1'!Q44-'Team B 1'!$AA44-('Team B 1'!Q$2- 12.5)*'Team B 1'!$AC44</f>
        <v>-8.2044451182139255</v>
      </c>
      <c r="R44" s="1">
        <f>'Team B 1'!R44-'Team B 1'!$AA44-('Team B 1'!R$2- 12.5)*'Team B 1'!$AC44</f>
        <v>-54.0009532472302</v>
      </c>
      <c r="S44" s="1">
        <f>'Team B 1'!S44-'Team B 1'!$AA44-('Team B 1'!S$2- 12.5)*'Team B 1'!$AC44</f>
        <v>-9.7974613762464742</v>
      </c>
      <c r="T44" s="1">
        <f>'Team B 1'!T44-'Team B 1'!$AA44-('Team B 1'!T$2- 12.5)*'Team B 1'!$AC44</f>
        <v>14.406030494737252</v>
      </c>
      <c r="U44" s="1">
        <f>'Team B 1'!U44-'Team B 1'!$AA44-('Team B 1'!U$2- 12.5)*'Team B 1'!$AC44</f>
        <v>-11.390477634279023</v>
      </c>
      <c r="V44" s="1">
        <f>'Team B 1'!V44-'Team B 1'!$AA44-('Team B 1'!V$2- 12.5)*'Team B 1'!$AC44</f>
        <v>-7.1869857632952971</v>
      </c>
      <c r="W44" s="1">
        <f>'Team B 1'!W44-'Team B 1'!$AA44-('Team B 1'!W$2- 12.5)*'Team B 1'!$AC44</f>
        <v>27.016506107688429</v>
      </c>
      <c r="X44" s="1">
        <f>'Team B 1'!X44-'Team B 1'!$AA44-('Team B 1'!X$2- 12.5)*'Team B 1'!$AC44</f>
        <v>11.219997978671927</v>
      </c>
      <c r="Y44" s="1">
        <f>'Team B 1'!Y44-'Team B 1'!$AA44-('Team B 1'!Y$2- 12.5)*'Team B 1'!$AC44</f>
        <v>-14.576510150343893</v>
      </c>
      <c r="AB44" s="1">
        <f>STDEV(B44:Y44)</f>
        <v>22.270756833940908</v>
      </c>
      <c r="AD44" s="5">
        <v>8</v>
      </c>
      <c r="AE44" s="5" t="s">
        <v>46</v>
      </c>
      <c r="AF44" s="5">
        <v>9</v>
      </c>
      <c r="AG44" s="5">
        <v>4</v>
      </c>
      <c r="AH44" s="5" t="s">
        <v>47</v>
      </c>
      <c r="AI44" s="5" t="s">
        <v>45</v>
      </c>
      <c r="AJ44" s="5">
        <v>1</v>
      </c>
      <c r="AK44" s="5">
        <v>6</v>
      </c>
      <c r="AL44" s="5">
        <v>2</v>
      </c>
      <c r="AM44" s="5">
        <v>3</v>
      </c>
      <c r="AN44" s="5">
        <v>7</v>
      </c>
      <c r="AO44" s="5">
        <v>5</v>
      </c>
      <c r="AP44" s="5">
        <v>8</v>
      </c>
      <c r="AQ44" s="5">
        <v>9</v>
      </c>
      <c r="AR44" s="5" t="s">
        <v>46</v>
      </c>
      <c r="AS44" s="5" t="s">
        <v>47</v>
      </c>
      <c r="AT44" s="5">
        <v>4</v>
      </c>
      <c r="AU44" s="5" t="s">
        <v>45</v>
      </c>
      <c r="AV44" s="5">
        <v>6</v>
      </c>
      <c r="AW44" s="5">
        <v>1</v>
      </c>
      <c r="AX44" s="5">
        <v>2</v>
      </c>
      <c r="AY44" s="5">
        <v>7</v>
      </c>
      <c r="AZ44" s="5">
        <v>3</v>
      </c>
      <c r="BA44" s="5">
        <v>5</v>
      </c>
      <c r="BB44" s="5"/>
      <c r="BC44" s="1">
        <f ca="1">OFFSET(A44,0, 7) -0</f>
        <v>-6.0358719570674566</v>
      </c>
      <c r="BD44" s="1">
        <f ca="1">OFFSET(A44,0, 9) -0</f>
        <v>-17.628888215100005</v>
      </c>
      <c r="BE44" s="1">
        <f ca="1">OFFSET(A44,0, 10) -0</f>
        <v>-23.42539634411628</v>
      </c>
      <c r="BF44" s="1">
        <f ca="1">OFFSET(A44,0, 4) -0</f>
        <v>1.3536524299813664</v>
      </c>
      <c r="BG44" s="1">
        <f ca="1">OFFSET(A44,0, 12) -0</f>
        <v>34.981587397851172</v>
      </c>
      <c r="BH44" s="1">
        <f ca="1">OFFSET(A44,0, 8) -0</f>
        <v>-11.832380086083731</v>
      </c>
      <c r="BI44" s="1">
        <f ca="1">OFFSET(A44,0, 11) -0</f>
        <v>20.778095526867446</v>
      </c>
      <c r="BJ44" s="1">
        <f ca="1">OFFSET(A44,0, 1) -0</f>
        <v>18.743176817029962</v>
      </c>
      <c r="BK44" s="1">
        <f ca="1">OFFSET(A44,0, 3) -0</f>
        <v>7.1501605589976407</v>
      </c>
      <c r="BL44" s="1">
        <f ca="1">OFFSET(A44,0, 6) -0</f>
        <v>49.760636171948818</v>
      </c>
      <c r="BM44" s="1">
        <f ca="1">OFFSET(A44,0, 2) -0</f>
        <v>2.9466686880141424</v>
      </c>
      <c r="BN44" s="1">
        <f ca="1">OFFSET(A44,0, 5) -0</f>
        <v>-14.442855699034908</v>
      </c>
      <c r="BO44" s="1">
        <f ca="1">OFFSET(A44,0, 20) -0</f>
        <v>-11.390477634279023</v>
      </c>
      <c r="BP44" s="1">
        <f ca="1">OFFSET(A44,0, 21) -0</f>
        <v>-7.1869857632952971</v>
      </c>
      <c r="BQ44" s="1">
        <f ca="1">OFFSET(A44,0, 23) -0</f>
        <v>11.219997978671927</v>
      </c>
      <c r="BR44" s="1">
        <f ca="1">OFFSET(A44,0, 17) -0</f>
        <v>-54.0009532472302</v>
      </c>
      <c r="BS44" s="1">
        <f ca="1">OFFSET(A44,0, 24) -0</f>
        <v>-14.576510150343893</v>
      </c>
      <c r="BT44" s="1">
        <f ca="1">OFFSET(A44,0, 19) -0</f>
        <v>14.406030494737252</v>
      </c>
      <c r="BU44" s="1">
        <f ca="1">OFFSET(A44,0, 22) -0</f>
        <v>27.016506107688429</v>
      </c>
      <c r="BV44" s="1">
        <f ca="1">OFFSET(A44,0, 13) -0</f>
        <v>19.185079268834897</v>
      </c>
      <c r="BW44" s="1">
        <f ca="1">OFFSET(A44,0, 14) -0</f>
        <v>-26.611428860181377</v>
      </c>
      <c r="BX44" s="1">
        <f ca="1">OFFSET(A44,0, 18) -0</f>
        <v>-9.7974613762464742</v>
      </c>
      <c r="BY44" s="1">
        <f ca="1">OFFSET(A44,0, 15) -0</f>
        <v>-2.4079369891976512</v>
      </c>
      <c r="BZ44" s="1">
        <f ca="1">OFFSET(A44,0, 16) -0</f>
        <v>-8.2044451182139255</v>
      </c>
      <c r="CB44" s="1">
        <f>COUNTIF(B44,"&lt;-69")</f>
        <v>0</v>
      </c>
      <c r="CC44" s="1">
        <f ca="1">COUNTIF(BC44:BN44,"&lt;-49")</f>
        <v>0</v>
      </c>
      <c r="CD44" s="1">
        <f ca="1">COUNTIF(BC44:BN44,"&gt;+49")</f>
        <v>1</v>
      </c>
      <c r="CE44" s="1">
        <f ca="1">COUNTIF(BO44:BZ44,"&lt;-49")</f>
        <v>1</v>
      </c>
      <c r="CF44" s="1">
        <f ca="1">COUNTIF(BO44:BZ44,"&gt;+49")</f>
        <v>0</v>
      </c>
    </row>
    <row r="45" spans="1:84">
      <c r="A45" s="1">
        <v>42</v>
      </c>
      <c r="B45" s="1">
        <f>'Team B 1'!B45-'Team B 1'!$AA45-('Team B 1'!B$2- 12.5)*'Team B 1'!$AC45</f>
        <v>-20.064908513856608</v>
      </c>
      <c r="C45" s="1">
        <f>'Team B 1'!C45-'Team B 1'!$AA45-('Team B 1'!C$2- 12.5)*'Team B 1'!$AC45</f>
        <v>-35.385351251781685</v>
      </c>
      <c r="D45" s="1">
        <f>'Team B 1'!D45-'Team B 1'!$AA45-('Team B 1'!D$2- 12.5)*'Team B 1'!$AC45</f>
        <v>-10.705793989707445</v>
      </c>
      <c r="E45" s="1">
        <f>'Team B 1'!E45-'Team B 1'!$AA45-('Team B 1'!E$2- 12.5)*'Team B 1'!$AC45</f>
        <v>-6.0262367276329769</v>
      </c>
      <c r="F45" s="1">
        <f>'Team B 1'!F45-'Team B 1'!$AA45-('Team B 1'!F$2- 12.5)*'Team B 1'!$AC45</f>
        <v>-11.346679465558509</v>
      </c>
      <c r="G45" s="1">
        <f>'Team B 1'!G45-'Team B 1'!$AA45-('Team B 1'!G$2- 12.5)*'Team B 1'!$AC45</f>
        <v>23.332877796515959</v>
      </c>
      <c r="H45" s="1">
        <f>'Team B 1'!H45-'Team B 1'!$AA45-('Team B 1'!H$2- 12.5)*'Team B 1'!$AC45</f>
        <v>48.012435058590427</v>
      </c>
      <c r="I45" s="1">
        <f>'Team B 1'!I45-'Team B 1'!$AA45-('Team B 1'!I$2- 12.5)*'Team B 1'!$AC45</f>
        <v>52.691992320664895</v>
      </c>
      <c r="J45" s="1">
        <f>'Team B 1'!J45-'Team B 1'!$AA45-('Team B 1'!J$2- 12.5)*'Team B 1'!$AC45</f>
        <v>37.371549582739362</v>
      </c>
      <c r="K45" s="1">
        <f>'Team B 1'!K45-'Team B 1'!$AA45-('Team B 1'!K$2- 12.5)*'Team B 1'!$AC45</f>
        <v>32.05110684481383</v>
      </c>
      <c r="L45" s="1">
        <f>'Team B 1'!L45-'Team B 1'!$AA45-('Team B 1'!L$2- 12.5)*'Team B 1'!$AC45</f>
        <v>6.7306641068882982</v>
      </c>
      <c r="M45" s="1">
        <f>'Team B 1'!M45-'Team B 1'!$AA45-('Team B 1'!M$2- 12.5)*'Team B 1'!$AC45</f>
        <v>1.4102213689627661</v>
      </c>
      <c r="N45" s="1">
        <f>'Team B 1'!N45-'Team B 1'!$AA45-('Team B 1'!N$2- 12.5)*'Team B 1'!$AC45</f>
        <v>-43.910221368962766</v>
      </c>
      <c r="O45" s="1">
        <f>'Team B 1'!O45-'Team B 1'!$AA45-('Team B 1'!O$2- 12.5)*'Team B 1'!$AC45</f>
        <v>-39.230664106888298</v>
      </c>
      <c r="P45" s="1">
        <f>'Team B 1'!P45-'Team B 1'!$AA45-('Team B 1'!P$2- 12.5)*'Team B 1'!$AC45</f>
        <v>-34.55110684481383</v>
      </c>
      <c r="Q45" s="1">
        <f>'Team B 1'!Q45-'Team B 1'!$AA45-('Team B 1'!Q$2- 12.5)*'Team B 1'!$AC45</f>
        <v>-9.8715495827393624</v>
      </c>
      <c r="R45" s="1">
        <f>'Team B 1'!R45-'Team B 1'!$AA45-('Team B 1'!R$2- 12.5)*'Team B 1'!$AC45</f>
        <v>-15.191992320664895</v>
      </c>
      <c r="S45" s="1">
        <f>'Team B 1'!S45-'Team B 1'!$AA45-('Team B 1'!S$2- 12.5)*'Team B 1'!$AC45</f>
        <v>19.487564941409573</v>
      </c>
      <c r="T45" s="1">
        <f>'Team B 1'!T45-'Team B 1'!$AA45-('Team B 1'!T$2- 12.5)*'Team B 1'!$AC45</f>
        <v>-35.832877796515959</v>
      </c>
      <c r="U45" s="1">
        <f>'Team B 1'!U45-'Team B 1'!$AA45-('Team B 1'!U$2- 12.5)*'Team B 1'!$AC45</f>
        <v>18.846679465558509</v>
      </c>
      <c r="V45" s="1">
        <f>'Team B 1'!V45-'Team B 1'!$AA45-('Team B 1'!V$2- 12.5)*'Team B 1'!$AC45</f>
        <v>13.526236727632977</v>
      </c>
      <c r="W45" s="1">
        <f>'Team B 1'!W45-'Team B 1'!$AA45-('Team B 1'!W$2- 12.5)*'Team B 1'!$AC45</f>
        <v>8.2057939897074448</v>
      </c>
      <c r="X45" s="1">
        <f>'Team B 1'!X45-'Team B 1'!$AA45-('Team B 1'!X$2- 12.5)*'Team B 1'!$AC45</f>
        <v>2.8853512517816853</v>
      </c>
      <c r="Y45" s="1">
        <f>'Team B 1'!Y45-'Team B 1'!$AA45-('Team B 1'!Y$2- 12.5)*'Team B 1'!$AC45</f>
        <v>-2.4350914861433921</v>
      </c>
      <c r="AB45" s="1">
        <f>STDEV(B45:Y45)</f>
        <v>27.429231134648671</v>
      </c>
      <c r="AD45" s="5">
        <v>9</v>
      </c>
      <c r="AE45" s="5">
        <v>8</v>
      </c>
      <c r="AF45" s="5" t="s">
        <v>47</v>
      </c>
      <c r="AG45" s="5" t="s">
        <v>46</v>
      </c>
      <c r="AH45" s="5" t="s">
        <v>45</v>
      </c>
      <c r="AI45" s="5">
        <v>4</v>
      </c>
      <c r="AJ45" s="5">
        <v>1</v>
      </c>
      <c r="AK45" s="5">
        <v>6</v>
      </c>
      <c r="AL45" s="5">
        <v>7</v>
      </c>
      <c r="AM45" s="5">
        <v>2</v>
      </c>
      <c r="AN45" s="5">
        <v>5</v>
      </c>
      <c r="AO45" s="5">
        <v>3</v>
      </c>
      <c r="AP45" s="5">
        <v>8</v>
      </c>
      <c r="AQ45" s="5">
        <v>9</v>
      </c>
      <c r="AR45" s="5" t="s">
        <v>46</v>
      </c>
      <c r="AS45" s="5" t="s">
        <v>47</v>
      </c>
      <c r="AT45" s="5" t="s">
        <v>45</v>
      </c>
      <c r="AU45" s="5">
        <v>1</v>
      </c>
      <c r="AV45" s="5">
        <v>4</v>
      </c>
      <c r="AW45" s="5">
        <v>6</v>
      </c>
      <c r="AX45" s="5">
        <v>2</v>
      </c>
      <c r="AY45" s="5">
        <v>7</v>
      </c>
      <c r="AZ45" s="5">
        <v>3</v>
      </c>
      <c r="BA45" s="5">
        <v>5</v>
      </c>
      <c r="BB45" s="5"/>
      <c r="BC45" s="1">
        <f ca="1">OFFSET(A45,0, 7) -0</f>
        <v>48.012435058590427</v>
      </c>
      <c r="BD45" s="1">
        <f ca="1">OFFSET(A45,0, 10) -0</f>
        <v>32.05110684481383</v>
      </c>
      <c r="BE45" s="1">
        <f ca="1">OFFSET(A45,0, 12) -0</f>
        <v>1.4102213689627661</v>
      </c>
      <c r="BF45" s="1">
        <f ca="1">OFFSET(A45,0, 6) -0</f>
        <v>23.332877796515959</v>
      </c>
      <c r="BG45" s="1">
        <f ca="1">OFFSET(A45,0, 11) -0</f>
        <v>6.7306641068882982</v>
      </c>
      <c r="BH45" s="1">
        <f ca="1">OFFSET(A45,0, 8) -0</f>
        <v>52.691992320664895</v>
      </c>
      <c r="BI45" s="1">
        <f ca="1">OFFSET(A45,0, 9) -0</f>
        <v>37.371549582739362</v>
      </c>
      <c r="BJ45" s="1">
        <f ca="1">OFFSET(A45,0, 2) -0</f>
        <v>-35.385351251781685</v>
      </c>
      <c r="BK45" s="1">
        <f ca="1">OFFSET(A45,0, 1) -0</f>
        <v>-20.064908513856608</v>
      </c>
      <c r="BL45" s="1">
        <f ca="1">OFFSET(A45,0, 5) -0</f>
        <v>-11.346679465558509</v>
      </c>
      <c r="BM45" s="1">
        <f ca="1">OFFSET(A45,0, 4) -0</f>
        <v>-6.0262367276329769</v>
      </c>
      <c r="BN45" s="1">
        <f ca="1">OFFSET(A45,0, 3) -0</f>
        <v>-10.705793989707445</v>
      </c>
      <c r="BO45" s="1">
        <f ca="1">OFFSET(A45,0, 18) -0</f>
        <v>19.487564941409573</v>
      </c>
      <c r="BP45" s="1">
        <f ca="1">OFFSET(A45,0, 21) -0</f>
        <v>13.526236727632977</v>
      </c>
      <c r="BQ45" s="1">
        <f ca="1">OFFSET(A45,0, 23) -0</f>
        <v>2.8853512517816853</v>
      </c>
      <c r="BR45" s="1">
        <f ca="1">OFFSET(A45,0, 19) -0</f>
        <v>-35.832877796515959</v>
      </c>
      <c r="BS45" s="1">
        <f ca="1">OFFSET(A45,0, 24) -0</f>
        <v>-2.4350914861433921</v>
      </c>
      <c r="BT45" s="1">
        <f ca="1">OFFSET(A45,0, 20) -0</f>
        <v>18.846679465558509</v>
      </c>
      <c r="BU45" s="1">
        <f ca="1">OFFSET(A45,0, 22) -0</f>
        <v>8.2057939897074448</v>
      </c>
      <c r="BV45" s="1">
        <f ca="1">OFFSET(A45,0, 13) -0</f>
        <v>-43.910221368962766</v>
      </c>
      <c r="BW45" s="1">
        <f ca="1">OFFSET(A45,0, 14) -0</f>
        <v>-39.230664106888298</v>
      </c>
      <c r="BX45" s="1">
        <f ca="1">OFFSET(A45,0, 17) -0</f>
        <v>-15.191992320664895</v>
      </c>
      <c r="BY45" s="1">
        <f ca="1">OFFSET(A45,0, 15) -0</f>
        <v>-34.55110684481383</v>
      </c>
      <c r="BZ45" s="1">
        <f ca="1">OFFSET(A45,0, 16) -0</f>
        <v>-9.8715495827393624</v>
      </c>
      <c r="CB45" s="1">
        <f>COUNTIF(B45,"&lt;-69")</f>
        <v>0</v>
      </c>
      <c r="CC45" s="1">
        <f ca="1">COUNTIF(BC45:BN45,"&lt;-49")</f>
        <v>0</v>
      </c>
      <c r="CD45" s="1">
        <f ca="1">COUNTIF(BC45:BN45,"&gt;+49")</f>
        <v>1</v>
      </c>
      <c r="CE45" s="1">
        <f ca="1">COUNTIF(BO45:BZ45,"&lt;-49")</f>
        <v>0</v>
      </c>
      <c r="CF45" s="1">
        <f ca="1">COUNTIF(BO45:BZ45,"&gt;+49")</f>
        <v>0</v>
      </c>
    </row>
    <row r="46" spans="1:84">
      <c r="A46" s="1">
        <v>43</v>
      </c>
      <c r="B46" s="1">
        <f>'Team B 1'!B46-'Team B 1'!$AA46-('Team B 1'!B$2- 12.5)*'Team B 1'!$AC46</f>
        <v>-6.5650904060694302</v>
      </c>
      <c r="C46" s="1">
        <f>'Team B 1'!C46-'Team B 1'!$AA46-('Team B 1'!C$2- 12.5)*'Team B 1'!$AC46</f>
        <v>-21.392763704093113</v>
      </c>
      <c r="D46" s="1">
        <f>'Team B 1'!D46-'Team B 1'!$AA46-('Team B 1'!D$2- 12.5)*'Team B 1'!$AC46</f>
        <v>-36.220437002117023</v>
      </c>
      <c r="E46" s="1">
        <f>'Team B 1'!E46-'Team B 1'!$AA46-('Team B 1'!E$2- 12.5)*'Team B 1'!$AC46</f>
        <v>-11.048110300140706</v>
      </c>
      <c r="F46" s="1">
        <f>'Team B 1'!F46-'Team B 1'!$AA46-('Team B 1'!F$2- 12.5)*'Team B 1'!$AC46</f>
        <v>44.124216401835383</v>
      </c>
      <c r="G46" s="1">
        <f>'Team B 1'!G46-'Team B 1'!$AA46-('Team B 1'!G$2- 12.5)*'Team B 1'!$AC46</f>
        <v>59.2965431038117</v>
      </c>
      <c r="H46" s="1">
        <f>'Team B 1'!H46-'Team B 1'!$AA46-('Team B 1'!H$2- 12.5)*'Team B 1'!$AC46</f>
        <v>14.46886980578779</v>
      </c>
      <c r="I46" s="1">
        <f>'Team B 1'!I46-'Team B 1'!$AA46-('Team B 1'!I$2- 12.5)*'Team B 1'!$AC46</f>
        <v>-10.358803492235893</v>
      </c>
      <c r="J46" s="1">
        <f>'Team B 1'!J46-'Team B 1'!$AA46-('Team B 1'!J$2- 12.5)*'Team B 1'!$AC46</f>
        <v>-5.1864767902598032</v>
      </c>
      <c r="K46" s="1">
        <f>'Team B 1'!K46-'Team B 1'!$AA46-('Team B 1'!K$2- 12.5)*'Team B 1'!$AC46</f>
        <v>29.985849911716457</v>
      </c>
      <c r="L46" s="1">
        <f>'Team B 1'!L46-'Team B 1'!$AA46-('Team B 1'!L$2- 12.5)*'Team B 1'!$AC46</f>
        <v>5.1581766136926603</v>
      </c>
      <c r="M46" s="1">
        <f>'Team B 1'!M46-'Team B 1'!$AA46-('Team B 1'!M$2- 12.5)*'Team B 1'!$AC46</f>
        <v>-29.669496684331136</v>
      </c>
      <c r="N46" s="1">
        <f>'Team B 1'!N46-'Team B 1'!$AA46-('Team B 1'!N$2- 12.5)*'Team B 1'!$AC46</f>
        <v>-24.497169982354933</v>
      </c>
      <c r="O46" s="1">
        <f>'Team B 1'!O46-'Team B 1'!$AA46-('Team B 1'!O$2- 12.5)*'Team B 1'!$AC46</f>
        <v>0.67515671962127044</v>
      </c>
      <c r="P46" s="1">
        <f>'Team B 1'!P46-'Team B 1'!$AA46-('Team B 1'!P$2- 12.5)*'Team B 1'!$AC46</f>
        <v>-24.152516578402526</v>
      </c>
      <c r="Q46" s="1">
        <f>'Team B 1'!Q46-'Team B 1'!$AA46-('Team B 1'!Q$2- 12.5)*'Team B 1'!$AC46</f>
        <v>-38.980189876426266</v>
      </c>
      <c r="R46" s="1">
        <f>'Team B 1'!R46-'Team B 1'!$AA46-('Team B 1'!R$2- 12.5)*'Team B 1'!$AC46</f>
        <v>-23.807863174450176</v>
      </c>
      <c r="S46" s="1">
        <f>'Team B 1'!S46-'Team B 1'!$AA46-('Team B 1'!S$2- 12.5)*'Team B 1'!$AC46</f>
        <v>31.364463527526141</v>
      </c>
      <c r="T46" s="1">
        <f>'Team B 1'!T46-'Team B 1'!$AA46-('Team B 1'!T$2- 12.5)*'Team B 1'!$AC46</f>
        <v>36.53679022950223</v>
      </c>
      <c r="U46" s="1">
        <f>'Team B 1'!U46-'Team B 1'!$AA46-('Team B 1'!U$2- 12.5)*'Team B 1'!$AC46</f>
        <v>51.709116931478547</v>
      </c>
      <c r="V46" s="1">
        <f>'Team B 1'!V46-'Team B 1'!$AA46-('Team B 1'!V$2- 12.5)*'Team B 1'!$AC46</f>
        <v>-53.118556366545363</v>
      </c>
      <c r="W46" s="1">
        <f>'Team B 1'!W46-'Team B 1'!$AA46-('Team B 1'!W$2- 12.5)*'Team B 1'!$AC46</f>
        <v>-17.946229664569046</v>
      </c>
      <c r="X46" s="1">
        <f>'Team B 1'!X46-'Team B 1'!$AA46-('Team B 1'!X$2- 12.5)*'Team B 1'!$AC46</f>
        <v>-2.7739029625929561</v>
      </c>
      <c r="Y46" s="1">
        <f>'Team B 1'!Y46-'Team B 1'!$AA46-('Team B 1'!Y$2- 12.5)*'Team B 1'!$AC46</f>
        <v>32.398423739383361</v>
      </c>
      <c r="AB46" s="1">
        <f>STDEV(B46:Y46)</f>
        <v>30.935436527346447</v>
      </c>
      <c r="AD46" s="5">
        <v>9</v>
      </c>
      <c r="AE46" s="5">
        <v>8</v>
      </c>
      <c r="AF46" s="5" t="s">
        <v>47</v>
      </c>
      <c r="AG46" s="5" t="s">
        <v>46</v>
      </c>
      <c r="AH46" s="5">
        <v>1</v>
      </c>
      <c r="AI46" s="5" t="s">
        <v>45</v>
      </c>
      <c r="AJ46" s="5">
        <v>6</v>
      </c>
      <c r="AK46" s="5">
        <v>4</v>
      </c>
      <c r="AL46" s="5">
        <v>7</v>
      </c>
      <c r="AM46" s="5">
        <v>2</v>
      </c>
      <c r="AN46" s="5">
        <v>5</v>
      </c>
      <c r="AO46" s="5">
        <v>3</v>
      </c>
      <c r="AP46" s="5">
        <v>9</v>
      </c>
      <c r="AQ46" s="5" t="s">
        <v>47</v>
      </c>
      <c r="AR46" s="5">
        <v>8</v>
      </c>
      <c r="AS46" s="5" t="s">
        <v>46</v>
      </c>
      <c r="AT46" s="5" t="s">
        <v>45</v>
      </c>
      <c r="AU46" s="5">
        <v>1</v>
      </c>
      <c r="AV46" s="5">
        <v>6</v>
      </c>
      <c r="AW46" s="5">
        <v>7</v>
      </c>
      <c r="AX46" s="5">
        <v>4</v>
      </c>
      <c r="AY46" s="5">
        <v>5</v>
      </c>
      <c r="AZ46" s="5">
        <v>2</v>
      </c>
      <c r="BA46" s="5">
        <v>3</v>
      </c>
      <c r="BB46" s="5"/>
      <c r="BC46" s="1">
        <f ca="1">OFFSET(A46,0, 5) -0</f>
        <v>44.124216401835383</v>
      </c>
      <c r="BD46" s="1">
        <f ca="1">OFFSET(A46,0, 10) -0</f>
        <v>29.985849911716457</v>
      </c>
      <c r="BE46" s="1">
        <f ca="1">OFFSET(A46,0, 12) -0</f>
        <v>-29.669496684331136</v>
      </c>
      <c r="BF46" s="1">
        <f ca="1">OFFSET(A46,0, 8) -0</f>
        <v>-10.358803492235893</v>
      </c>
      <c r="BG46" s="1">
        <f ca="1">OFFSET(A46,0, 11) -0</f>
        <v>5.1581766136926603</v>
      </c>
      <c r="BH46" s="1">
        <f ca="1">OFFSET(A46,0, 7) -0</f>
        <v>14.46886980578779</v>
      </c>
      <c r="BI46" s="1">
        <f ca="1">OFFSET(A46,0, 9) -0</f>
        <v>-5.1864767902598032</v>
      </c>
      <c r="BJ46" s="1">
        <f ca="1">OFFSET(A46,0, 2) -0</f>
        <v>-21.392763704093113</v>
      </c>
      <c r="BK46" s="1">
        <f ca="1">OFFSET(A46,0, 1) -0</f>
        <v>-6.5650904060694302</v>
      </c>
      <c r="BL46" s="1">
        <f ca="1">OFFSET(A46,0, 6) -0</f>
        <v>59.2965431038117</v>
      </c>
      <c r="BM46" s="1">
        <f ca="1">OFFSET(A46,0, 4) -0</f>
        <v>-11.048110300140706</v>
      </c>
      <c r="BN46" s="1">
        <f ca="1">OFFSET(A46,0, 3) -0</f>
        <v>-36.220437002117023</v>
      </c>
      <c r="BO46" s="1">
        <f ca="1">OFFSET(A46,0, 18) -0</f>
        <v>31.364463527526141</v>
      </c>
      <c r="BP46" s="1">
        <f ca="1">OFFSET(A46,0, 23) -0</f>
        <v>-2.7739029625929561</v>
      </c>
      <c r="BQ46" s="1">
        <f ca="1">OFFSET(A46,0, 24) -0</f>
        <v>32.398423739383361</v>
      </c>
      <c r="BR46" s="1">
        <f ca="1">OFFSET(A46,0, 21) -0</f>
        <v>-53.118556366545363</v>
      </c>
      <c r="BS46" s="1">
        <f ca="1">OFFSET(A46,0, 22) -0</f>
        <v>-17.946229664569046</v>
      </c>
      <c r="BT46" s="1">
        <f ca="1">OFFSET(A46,0, 19) -0</f>
        <v>36.53679022950223</v>
      </c>
      <c r="BU46" s="1">
        <f ca="1">OFFSET(A46,0, 20) -0</f>
        <v>51.709116931478547</v>
      </c>
      <c r="BV46" s="1">
        <f ca="1">OFFSET(A46,0, 15) -0</f>
        <v>-24.152516578402526</v>
      </c>
      <c r="BW46" s="1">
        <f ca="1">OFFSET(A46,0, 13) -0</f>
        <v>-24.497169982354933</v>
      </c>
      <c r="BX46" s="1">
        <f ca="1">OFFSET(A46,0, 17) -0</f>
        <v>-23.807863174450176</v>
      </c>
      <c r="BY46" s="1">
        <f ca="1">OFFSET(A46,0, 16) -0</f>
        <v>-38.980189876426266</v>
      </c>
      <c r="BZ46" s="1">
        <f ca="1">OFFSET(A46,0, 14) -0</f>
        <v>0.67515671962127044</v>
      </c>
      <c r="CB46" s="1">
        <f>COUNTIF(B46,"&lt;-69")</f>
        <v>0</v>
      </c>
      <c r="CC46" s="1">
        <f ca="1">COUNTIF(BC46:BN46,"&lt;-49")</f>
        <v>0</v>
      </c>
      <c r="CD46" s="1">
        <f ca="1">COUNTIF(BC46:BN46,"&gt;+49")</f>
        <v>1</v>
      </c>
      <c r="CE46" s="1">
        <f ca="1">COUNTIF(BO46:BZ46,"&lt;-49")</f>
        <v>1</v>
      </c>
      <c r="CF46" s="1">
        <f ca="1">COUNTIF(BO46:BZ46,"&gt;+49")</f>
        <v>1</v>
      </c>
    </row>
    <row r="47" spans="1:84">
      <c r="A47" s="1">
        <v>44</v>
      </c>
      <c r="B47" s="1">
        <f>'Team B 1'!B47-'Team B 1'!$AA47-('Team B 1'!B$2- 12.5)*'Team B 1'!$AC47</f>
        <v>11.707412893503715</v>
      </c>
      <c r="C47" s="1">
        <f>'Team B 1'!C47-'Team B 1'!$AA47-('Team B 1'!C$2- 12.5)*'Team B 1'!$AC47</f>
        <v>-2.8613476479611109</v>
      </c>
      <c r="D47" s="1">
        <f>'Team B 1'!D47-'Team B 1'!$AA47-('Team B 1'!D$2- 12.5)*'Team B 1'!$AC47</f>
        <v>-7.4301081894261642</v>
      </c>
      <c r="E47" s="1">
        <f>'Team B 1'!E47-'Team B 1'!$AA47-('Team B 1'!E$2- 12.5)*'Team B 1'!$AC47</f>
        <v>-11.99886873089099</v>
      </c>
      <c r="F47" s="1">
        <f>'Team B 1'!F47-'Team B 1'!$AA47-('Team B 1'!F$2- 12.5)*'Team B 1'!$AC47</f>
        <v>23.432370727643956</v>
      </c>
      <c r="G47" s="1">
        <f>'Team B 1'!G47-'Team B 1'!$AA47-('Team B 1'!G$2- 12.5)*'Team B 1'!$AC47</f>
        <v>28.86361018617913</v>
      </c>
      <c r="H47" s="1">
        <f>'Team B 1'!H47-'Team B 1'!$AA47-('Team B 1'!H$2- 12.5)*'Team B 1'!$AC47</f>
        <v>34.294849644714077</v>
      </c>
      <c r="I47" s="1">
        <f>'Team B 1'!I47-'Team B 1'!$AA47-('Team B 1'!I$2- 12.5)*'Team B 1'!$AC47</f>
        <v>29.726089103249251</v>
      </c>
      <c r="J47" s="1">
        <f>'Team B 1'!J47-'Team B 1'!$AA47-('Team B 1'!J$2- 12.5)*'Team B 1'!$AC47</f>
        <v>-4.8426714382158025</v>
      </c>
      <c r="K47" s="1">
        <f>'Team B 1'!K47-'Team B 1'!$AA47-('Team B 1'!K$2- 12.5)*'Team B 1'!$AC47</f>
        <v>-29.411431979680685</v>
      </c>
      <c r="L47" s="1">
        <f>'Team B 1'!L47-'Team B 1'!$AA47-('Team B 1'!L$2- 12.5)*'Team B 1'!$AC47</f>
        <v>-3.9801925211456251</v>
      </c>
      <c r="M47" s="1">
        <f>'Team B 1'!M47-'Team B 1'!$AA47-('Team B 1'!M$2- 12.5)*'Team B 1'!$AC47</f>
        <v>1.4510469373894352</v>
      </c>
      <c r="N47" s="1">
        <f>'Team B 1'!N47-'Team B 1'!$AA47-('Team B 1'!N$2- 12.5)*'Team B 1'!$AC47</f>
        <v>-23.117713604075504</v>
      </c>
      <c r="O47" s="1">
        <f>'Team B 1'!O47-'Team B 1'!$AA47-('Team B 1'!O$2- 12.5)*'Team B 1'!$AC47</f>
        <v>-17.686474145540444</v>
      </c>
      <c r="P47" s="1">
        <f>'Team B 1'!P47-'Team B 1'!$AA47-('Team B 1'!P$2- 12.5)*'Team B 1'!$AC47</f>
        <v>-2.2552346870053839</v>
      </c>
      <c r="Q47" s="1">
        <f>'Team B 1'!Q47-'Team B 1'!$AA47-('Team B 1'!Q$2- 12.5)*'Team B 1'!$AC47</f>
        <v>23.176004771529733</v>
      </c>
      <c r="R47" s="1">
        <f>'Team B 1'!R47-'Team B 1'!$AA47-('Team B 1'!R$2- 12.5)*'Team B 1'!$AC47</f>
        <v>-1.3927557699353201</v>
      </c>
      <c r="S47" s="1">
        <f>'Team B 1'!S47-'Team B 1'!$AA47-('Team B 1'!S$2- 12.5)*'Team B 1'!$AC47</f>
        <v>-25.961516311400146</v>
      </c>
      <c r="T47" s="1">
        <f>'Team B 1'!T47-'Team B 1'!$AA47-('Team B 1'!T$2- 12.5)*'Team B 1'!$AC47</f>
        <v>9.4697231471348005</v>
      </c>
      <c r="U47" s="1">
        <f>'Team B 1'!U47-'Team B 1'!$AA47-('Team B 1'!U$2- 12.5)*'Team B 1'!$AC47</f>
        <v>24.900962605669974</v>
      </c>
      <c r="V47" s="1">
        <f>'Team B 1'!V47-'Team B 1'!$AA47-('Team B 1'!V$2- 12.5)*'Team B 1'!$AC47</f>
        <v>-29.667797935795079</v>
      </c>
      <c r="W47" s="1">
        <f>'Team B 1'!W47-'Team B 1'!$AA47-('Team B 1'!W$2- 12.5)*'Team B 1'!$AC47</f>
        <v>-24.236558477259905</v>
      </c>
      <c r="X47" s="1">
        <f>'Team B 1'!X47-'Team B 1'!$AA47-('Team B 1'!X$2- 12.5)*'Team B 1'!$AC47</f>
        <v>-8.8053190187249584</v>
      </c>
      <c r="Y47" s="1">
        <f>'Team B 1'!Y47-'Team B 1'!$AA47-('Team B 1'!Y$2- 12.5)*'Team B 1'!$AC47</f>
        <v>6.6259204398102156</v>
      </c>
      <c r="AB47" s="1">
        <f>STDEV(B47:Y47)</f>
        <v>19.843929111031528</v>
      </c>
      <c r="AD47" s="5" t="s">
        <v>47</v>
      </c>
      <c r="AE47" s="5">
        <v>9</v>
      </c>
      <c r="AF47" s="5" t="s">
        <v>46</v>
      </c>
      <c r="AG47" s="5">
        <v>8</v>
      </c>
      <c r="AH47" s="5">
        <v>1</v>
      </c>
      <c r="AI47" s="5" t="s">
        <v>45</v>
      </c>
      <c r="AJ47" s="5">
        <v>7</v>
      </c>
      <c r="AK47" s="5">
        <v>6</v>
      </c>
      <c r="AL47" s="5">
        <v>5</v>
      </c>
      <c r="AM47" s="5">
        <v>4</v>
      </c>
      <c r="AN47" s="5">
        <v>3</v>
      </c>
      <c r="AO47" s="5">
        <v>2</v>
      </c>
      <c r="AP47" s="5">
        <v>9</v>
      </c>
      <c r="AQ47" s="5" t="s">
        <v>47</v>
      </c>
      <c r="AR47" s="5" t="s">
        <v>46</v>
      </c>
      <c r="AS47" s="5">
        <v>1</v>
      </c>
      <c r="AT47" s="5">
        <v>8</v>
      </c>
      <c r="AU47" s="5" t="s">
        <v>45</v>
      </c>
      <c r="AV47" s="5">
        <v>6</v>
      </c>
      <c r="AW47" s="5">
        <v>7</v>
      </c>
      <c r="AX47" s="5">
        <v>4</v>
      </c>
      <c r="AY47" s="5">
        <v>5</v>
      </c>
      <c r="AZ47" s="5">
        <v>2</v>
      </c>
      <c r="BA47" s="5">
        <v>3</v>
      </c>
      <c r="BB47" s="5"/>
      <c r="BC47" s="1">
        <f ca="1">OFFSET(A47,0, 5) -0</f>
        <v>23.432370727643956</v>
      </c>
      <c r="BD47" s="1">
        <f ca="1">OFFSET(A47,0, 12) -0</f>
        <v>1.4510469373894352</v>
      </c>
      <c r="BE47" s="1">
        <f ca="1">OFFSET(A47,0, 11) -0</f>
        <v>-3.9801925211456251</v>
      </c>
      <c r="BF47" s="1">
        <f ca="1">OFFSET(A47,0, 10) -0</f>
        <v>-29.411431979680685</v>
      </c>
      <c r="BG47" s="1">
        <f ca="1">OFFSET(A47,0, 9) -0</f>
        <v>-4.8426714382158025</v>
      </c>
      <c r="BH47" s="1">
        <f ca="1">OFFSET(A47,0, 8) -0</f>
        <v>29.726089103249251</v>
      </c>
      <c r="BI47" s="1">
        <f ca="1">OFFSET(A47,0, 7) -0</f>
        <v>34.294849644714077</v>
      </c>
      <c r="BJ47" s="1">
        <f ca="1">OFFSET(A47,0, 4) -0</f>
        <v>-11.99886873089099</v>
      </c>
      <c r="BK47" s="1">
        <f ca="1">OFFSET(A47,0, 2) -0</f>
        <v>-2.8613476479611109</v>
      </c>
      <c r="BL47" s="1">
        <f ca="1">OFFSET(A47,0, 6) -0</f>
        <v>28.86361018617913</v>
      </c>
      <c r="BM47" s="1">
        <f ca="1">OFFSET(A47,0, 3) -0</f>
        <v>-7.4301081894261642</v>
      </c>
      <c r="BN47" s="1">
        <f ca="1">OFFSET(A47,0, 1) -0</f>
        <v>11.707412893503715</v>
      </c>
      <c r="BO47" s="1">
        <f ca="1">OFFSET(A47,0, 16) -0</f>
        <v>23.176004771529733</v>
      </c>
      <c r="BP47" s="1">
        <f ca="1">OFFSET(A47,0, 23) -0</f>
        <v>-8.8053190187249584</v>
      </c>
      <c r="BQ47" s="1">
        <f ca="1">OFFSET(A47,0, 24) -0</f>
        <v>6.6259204398102156</v>
      </c>
      <c r="BR47" s="1">
        <f ca="1">OFFSET(A47,0, 21) -0</f>
        <v>-29.667797935795079</v>
      </c>
      <c r="BS47" s="1">
        <f ca="1">OFFSET(A47,0, 22) -0</f>
        <v>-24.236558477259905</v>
      </c>
      <c r="BT47" s="1">
        <f ca="1">OFFSET(A47,0, 19) -0</f>
        <v>9.4697231471348005</v>
      </c>
      <c r="BU47" s="1">
        <f ca="1">OFFSET(A47,0, 20) -0</f>
        <v>24.900962605669974</v>
      </c>
      <c r="BV47" s="1">
        <f ca="1">OFFSET(A47,0, 17) -0</f>
        <v>-1.3927557699353201</v>
      </c>
      <c r="BW47" s="1">
        <f ca="1">OFFSET(A47,0, 13) -0</f>
        <v>-23.117713604075504</v>
      </c>
      <c r="BX47" s="1">
        <f ca="1">OFFSET(A47,0, 18) -0</f>
        <v>-25.961516311400146</v>
      </c>
      <c r="BY47" s="1">
        <f ca="1">OFFSET(A47,0, 15) -0</f>
        <v>-2.2552346870053839</v>
      </c>
      <c r="BZ47" s="1">
        <f ca="1">OFFSET(A47,0, 14) -0</f>
        <v>-17.686474145540444</v>
      </c>
      <c r="CB47" s="1">
        <f>COUNTIF(B47,"&lt;-69")</f>
        <v>0</v>
      </c>
      <c r="CC47" s="1">
        <f ca="1">COUNTIF(BC47:BN47,"&lt;-49")</f>
        <v>0</v>
      </c>
      <c r="CD47" s="1">
        <f ca="1">COUNTIF(BC47:BN47,"&gt;+49")</f>
        <v>0</v>
      </c>
      <c r="CE47" s="1">
        <f ca="1">COUNTIF(BO47:BZ47,"&lt;-49")</f>
        <v>0</v>
      </c>
      <c r="CF47" s="1">
        <f ca="1">COUNTIF(BO47:BZ47,"&gt;+49")</f>
        <v>0</v>
      </c>
    </row>
    <row r="48" spans="1:84">
      <c r="A48" s="1">
        <v>45</v>
      </c>
      <c r="B48" s="1">
        <f>'Team B 1'!B48-'Team B 1'!$AA48-('Team B 1'!B$2- 12.5)*'Team B 1'!$AC48</f>
        <v>35.039373875408728</v>
      </c>
      <c r="C48" s="1">
        <f>'Team B 1'!C48-'Team B 1'!$AA48-('Team B 1'!C$2- 12.5)*'Team B 1'!$AC48</f>
        <v>-49.637962983322495</v>
      </c>
      <c r="D48" s="1">
        <f>'Team B 1'!D48-'Team B 1'!$AA48-('Team B 1'!D$2- 12.5)*'Team B 1'!$AC48</f>
        <v>35.684700157946281</v>
      </c>
      <c r="E48" s="1">
        <f>'Team B 1'!E48-'Team B 1'!$AA48-('Team B 1'!E$2- 12.5)*'Team B 1'!$AC48</f>
        <v>-28.992636700784942</v>
      </c>
      <c r="F48" s="1">
        <f>'Team B 1'!F48-'Team B 1'!$AA48-('Team B 1'!F$2- 12.5)*'Team B 1'!$AC48</f>
        <v>16.330026440484062</v>
      </c>
      <c r="G48" s="1">
        <f>'Team B 1'!G48-'Team B 1'!$AA48-('Team B 1'!G$2- 12.5)*'Team B 1'!$AC48</f>
        <v>-18.347310418247162</v>
      </c>
      <c r="H48" s="1">
        <f>'Team B 1'!H48-'Team B 1'!$AA48-('Team B 1'!H$2- 12.5)*'Team B 1'!$AC48</f>
        <v>36.975352723021615</v>
      </c>
      <c r="I48" s="1">
        <f>'Team B 1'!I48-'Team B 1'!$AA48-('Team B 1'!I$2- 12.5)*'Team B 1'!$AC48</f>
        <v>2.2980158642903916</v>
      </c>
      <c r="J48" s="1">
        <f>'Team B 1'!J48-'Team B 1'!$AA48-('Team B 1'!J$2- 12.5)*'Team B 1'!$AC48</f>
        <v>-2.3793209944408318</v>
      </c>
      <c r="K48" s="1">
        <f>'Team B 1'!K48-'Team B 1'!$AA48-('Team B 1'!K$2- 12.5)*'Team B 1'!$AC48</f>
        <v>-17.056657853171998</v>
      </c>
      <c r="L48" s="1">
        <f>'Team B 1'!L48-'Team B 1'!$AA48-('Team B 1'!L$2- 12.5)*'Team B 1'!$AC48</f>
        <v>-11.733994711903222</v>
      </c>
      <c r="M48" s="1">
        <f>'Team B 1'!M48-'Team B 1'!$AA48-('Team B 1'!M$2- 12.5)*'Team B 1'!$AC48</f>
        <v>-16.411331570634403</v>
      </c>
      <c r="N48" s="1">
        <f>'Team B 1'!N48-'Team B 1'!$AA48-('Team B 1'!N$2- 12.5)*'Team B 1'!$AC48</f>
        <v>-31.088668429365597</v>
      </c>
      <c r="O48" s="1">
        <f>'Team B 1'!O48-'Team B 1'!$AA48-('Team B 1'!O$2- 12.5)*'Team B 1'!$AC48</f>
        <v>4.2339947119032217</v>
      </c>
      <c r="P48" s="1">
        <f>'Team B 1'!P48-'Team B 1'!$AA48-('Team B 1'!P$2- 12.5)*'Team B 1'!$AC48</f>
        <v>-20.443342146828002</v>
      </c>
      <c r="Q48" s="1">
        <f>'Team B 1'!Q48-'Team B 1'!$AA48-('Team B 1'!Q$2- 12.5)*'Team B 1'!$AC48</f>
        <v>14.879320994440832</v>
      </c>
      <c r="R48" s="1">
        <f>'Team B 1'!R48-'Team B 1'!$AA48-('Team B 1'!R$2- 12.5)*'Team B 1'!$AC48</f>
        <v>-19.798015864290392</v>
      </c>
      <c r="S48" s="1">
        <f>'Team B 1'!S48-'Team B 1'!$AA48-('Team B 1'!S$2- 12.5)*'Team B 1'!$AC48</f>
        <v>45.524647276978385</v>
      </c>
      <c r="T48" s="1">
        <f>'Team B 1'!T48-'Team B 1'!$AA48-('Team B 1'!T$2- 12.5)*'Team B 1'!$AC48</f>
        <v>30.847310418247162</v>
      </c>
      <c r="U48" s="1">
        <f>'Team B 1'!U48-'Team B 1'!$AA48-('Team B 1'!U$2- 12.5)*'Team B 1'!$AC48</f>
        <v>-33.830026440484062</v>
      </c>
      <c r="V48" s="1">
        <f>'Team B 1'!V48-'Team B 1'!$AA48-('Team B 1'!V$2- 12.5)*'Team B 1'!$AC48</f>
        <v>-8.5073632992150579</v>
      </c>
      <c r="W48" s="1">
        <f>'Team B 1'!W48-'Team B 1'!$AA48-('Team B 1'!W$2- 12.5)*'Team B 1'!$AC48</f>
        <v>6.8152998420537187</v>
      </c>
      <c r="X48" s="1">
        <f>'Team B 1'!X48-'Team B 1'!$AA48-('Team B 1'!X$2- 12.5)*'Team B 1'!$AC48</f>
        <v>-7.8620370166775047</v>
      </c>
      <c r="Y48" s="1">
        <f>'Team B 1'!Y48-'Team B 1'!$AA48-('Team B 1'!Y$2- 12.5)*'Team B 1'!$AC48</f>
        <v>37.460626124591272</v>
      </c>
      <c r="AB48" s="1">
        <f>STDEV(B48:Y48)</f>
        <v>26.583084312028276</v>
      </c>
      <c r="AD48" s="5" t="s">
        <v>47</v>
      </c>
      <c r="AE48" s="5">
        <v>9</v>
      </c>
      <c r="AF48" s="5">
        <v>1</v>
      </c>
      <c r="AG48" s="5" t="s">
        <v>46</v>
      </c>
      <c r="AH48" s="5" t="s">
        <v>45</v>
      </c>
      <c r="AI48" s="5">
        <v>8</v>
      </c>
      <c r="AJ48" s="5">
        <v>7</v>
      </c>
      <c r="AK48" s="5">
        <v>6</v>
      </c>
      <c r="AL48" s="5">
        <v>5</v>
      </c>
      <c r="AM48" s="5">
        <v>4</v>
      </c>
      <c r="AN48" s="5">
        <v>3</v>
      </c>
      <c r="AO48" s="5">
        <v>2</v>
      </c>
      <c r="AP48" s="5" t="s">
        <v>47</v>
      </c>
      <c r="AQ48" s="5">
        <v>9</v>
      </c>
      <c r="AR48" s="5" t="s">
        <v>46</v>
      </c>
      <c r="AS48" s="5">
        <v>1</v>
      </c>
      <c r="AT48" s="5" t="s">
        <v>45</v>
      </c>
      <c r="AU48" s="5">
        <v>7</v>
      </c>
      <c r="AV48" s="5">
        <v>8</v>
      </c>
      <c r="AW48" s="5">
        <v>5</v>
      </c>
      <c r="AX48" s="5">
        <v>6</v>
      </c>
      <c r="AY48" s="5">
        <v>3</v>
      </c>
      <c r="AZ48" s="5">
        <v>4</v>
      </c>
      <c r="BA48" s="5">
        <v>2</v>
      </c>
      <c r="BB48" s="5"/>
      <c r="BC48" s="1">
        <f ca="1">OFFSET(A48,0, 3) -0</f>
        <v>35.684700157946281</v>
      </c>
      <c r="BD48" s="1">
        <f ca="1">OFFSET(A48,0, 12) -0</f>
        <v>-16.411331570634403</v>
      </c>
      <c r="BE48" s="1">
        <f ca="1">OFFSET(A48,0, 11) -0</f>
        <v>-11.733994711903222</v>
      </c>
      <c r="BF48" s="1">
        <f ca="1">OFFSET(A48,0, 10) -0</f>
        <v>-17.056657853171998</v>
      </c>
      <c r="BG48" s="1">
        <f ca="1">OFFSET(A48,0, 9) -0</f>
        <v>-2.3793209944408318</v>
      </c>
      <c r="BH48" s="1">
        <f ca="1">OFFSET(A48,0, 8) -0</f>
        <v>2.2980158642903916</v>
      </c>
      <c r="BI48" s="1">
        <f ca="1">OFFSET(A48,0, 7) -0</f>
        <v>36.975352723021615</v>
      </c>
      <c r="BJ48" s="1">
        <f ca="1">OFFSET(A48,0, 6) -0</f>
        <v>-18.347310418247162</v>
      </c>
      <c r="BK48" s="1">
        <f ca="1">OFFSET(A48,0, 2) -0</f>
        <v>-49.637962983322495</v>
      </c>
      <c r="BL48" s="1">
        <f ca="1">OFFSET(A48,0, 5) -0</f>
        <v>16.330026440484062</v>
      </c>
      <c r="BM48" s="1">
        <f ca="1">OFFSET(A48,0, 4) -0</f>
        <v>-28.992636700784942</v>
      </c>
      <c r="BN48" s="1">
        <f ca="1">OFFSET(A48,0, 1) -0</f>
        <v>35.039373875408728</v>
      </c>
      <c r="BO48" s="1">
        <f ca="1">OFFSET(A48,0, 16) -0</f>
        <v>14.879320994440832</v>
      </c>
      <c r="BP48" s="1">
        <f ca="1">OFFSET(A48,0, 24) -0</f>
        <v>37.460626124591272</v>
      </c>
      <c r="BQ48" s="1">
        <f ca="1">OFFSET(A48,0, 22) -0</f>
        <v>6.8152998420537187</v>
      </c>
      <c r="BR48" s="1">
        <f ca="1">OFFSET(A48,0, 23) -0</f>
        <v>-7.8620370166775047</v>
      </c>
      <c r="BS48" s="1">
        <f ca="1">OFFSET(A48,0, 20) -0</f>
        <v>-33.830026440484062</v>
      </c>
      <c r="BT48" s="1">
        <f ca="1">OFFSET(A48,0, 21) -0</f>
        <v>-8.5073632992150579</v>
      </c>
      <c r="BU48" s="1">
        <f ca="1">OFFSET(A48,0, 18) -0</f>
        <v>45.524647276978385</v>
      </c>
      <c r="BV48" s="1">
        <f ca="1">OFFSET(A48,0, 19) -0</f>
        <v>30.847310418247162</v>
      </c>
      <c r="BW48" s="1">
        <f ca="1">OFFSET(A48,0, 14) -0</f>
        <v>4.2339947119032217</v>
      </c>
      <c r="BX48" s="1">
        <f ca="1">OFFSET(A48,0, 17) -0</f>
        <v>-19.798015864290392</v>
      </c>
      <c r="BY48" s="1">
        <f ca="1">OFFSET(A48,0, 15) -0</f>
        <v>-20.443342146828002</v>
      </c>
      <c r="BZ48" s="1">
        <f ca="1">OFFSET(A48,0, 13) -0</f>
        <v>-31.088668429365597</v>
      </c>
      <c r="CB48" s="1">
        <f>COUNTIF(B48,"&lt;-69")</f>
        <v>0</v>
      </c>
      <c r="CC48" s="1">
        <f ca="1">COUNTIF(BC48:BN48,"&lt;-49")</f>
        <v>1</v>
      </c>
      <c r="CD48" s="1">
        <f ca="1">COUNTIF(BC48:BN48,"&gt;+49")</f>
        <v>0</v>
      </c>
      <c r="CE48" s="1">
        <f ca="1">COUNTIF(BO48:BZ48,"&lt;-49")</f>
        <v>0</v>
      </c>
      <c r="CF48" s="1">
        <f ca="1">COUNTIF(BO48:BZ48,"&gt;+49")</f>
        <v>0</v>
      </c>
    </row>
    <row r="49" spans="1:84">
      <c r="A49" s="1">
        <v>46</v>
      </c>
      <c r="B49" s="1">
        <f>'Team B 1'!B49-'Team B 1'!$AA49-('Team B 1'!B$2- 12.5)*'Team B 1'!$AC49</f>
        <v>-37.014230616750865</v>
      </c>
      <c r="C49" s="1">
        <f>'Team B 1'!C49-'Team B 1'!$AA49-('Team B 1'!C$2- 12.5)*'Team B 1'!$AC49</f>
        <v>-11.875312012394716</v>
      </c>
      <c r="D49" s="1">
        <f>'Team B 1'!D49-'Team B 1'!$AA49-('Team B 1'!D$2- 12.5)*'Team B 1'!$AC49</f>
        <v>43.263606591961207</v>
      </c>
      <c r="E49" s="1">
        <f>'Team B 1'!E49-'Team B 1'!$AA49-('Team B 1'!E$2- 12.5)*'Team B 1'!$AC49</f>
        <v>-11.597474803682871</v>
      </c>
      <c r="F49" s="1">
        <f>'Team B 1'!F49-'Team B 1'!$AA49-('Team B 1'!F$2- 12.5)*'Team B 1'!$AC49</f>
        <v>63.541443800673278</v>
      </c>
      <c r="G49" s="1">
        <f>'Team B 1'!G49-'Team B 1'!$AA49-('Team B 1'!G$2- 12.5)*'Team B 1'!$AC49</f>
        <v>48.6803624050292</v>
      </c>
      <c r="H49" s="1">
        <f>'Team B 1'!H49-'Team B 1'!$AA49-('Team B 1'!H$2- 12.5)*'Team B 1'!$AC49</f>
        <v>13.819281009385122</v>
      </c>
      <c r="I49" s="1">
        <f>'Team B 1'!I49-'Team B 1'!$AA49-('Team B 1'!I$2- 12.5)*'Team B 1'!$AC49</f>
        <v>-11.041800386258842</v>
      </c>
      <c r="J49" s="1">
        <f>'Team B 1'!J49-'Team B 1'!$AA49-('Team B 1'!J$2- 12.5)*'Team B 1'!$AC49</f>
        <v>-25.90288178190292</v>
      </c>
      <c r="K49" s="1">
        <f>'Team B 1'!K49-'Team B 1'!$AA49-('Team B 1'!K$2- 12.5)*'Team B 1'!$AC49</f>
        <v>-0.76396317754688425</v>
      </c>
      <c r="L49" s="1">
        <f>'Team B 1'!L49-'Team B 1'!$AA49-('Team B 1'!L$2- 12.5)*'Team B 1'!$AC49</f>
        <v>4.3749554268090378</v>
      </c>
      <c r="M49" s="1">
        <f>'Team B 1'!M49-'Team B 1'!$AA49-('Team B 1'!M$2- 12.5)*'Team B 1'!$AC49</f>
        <v>19.513874031165045</v>
      </c>
      <c r="N49" s="1">
        <f>'Team B 1'!N49-'Team B 1'!$AA49-('Team B 1'!N$2- 12.5)*'Team B 1'!$AC49</f>
        <v>-15.347207364478976</v>
      </c>
      <c r="O49" s="1">
        <f>'Team B 1'!O49-'Team B 1'!$AA49-('Team B 1'!O$2- 12.5)*'Team B 1'!$AC49</f>
        <v>-0.2082887601229686</v>
      </c>
      <c r="P49" s="1">
        <f>'Team B 1'!P49-'Team B 1'!$AA49-('Team B 1'!P$2- 12.5)*'Team B 1'!$AC49</f>
        <v>-5.0693701557670465</v>
      </c>
      <c r="Q49" s="1">
        <f>'Team B 1'!Q49-'Team B 1'!$AA49-('Team B 1'!Q$2- 12.5)*'Team B 1'!$AC49</f>
        <v>6.9548448588989231E-2</v>
      </c>
      <c r="R49" s="1">
        <f>'Team B 1'!R49-'Team B 1'!$AA49-('Team B 1'!R$2- 12.5)*'Team B 1'!$AC49</f>
        <v>-14.791532947055089</v>
      </c>
      <c r="S49" s="1">
        <f>'Team B 1'!S49-'Team B 1'!$AA49-('Team B 1'!S$2- 12.5)*'Team B 1'!$AC49</f>
        <v>0.34738565730094706</v>
      </c>
      <c r="T49" s="1">
        <f>'Team B 1'!T49-'Team B 1'!$AA49-('Team B 1'!T$2- 12.5)*'Team B 1'!$AC49</f>
        <v>25.486304261656869</v>
      </c>
      <c r="U49" s="1">
        <f>'Team B 1'!U49-'Team B 1'!$AA49-('Team B 1'!U$2- 12.5)*'Team B 1'!$AC49</f>
        <v>-49.374777133987209</v>
      </c>
      <c r="V49" s="1">
        <f>'Team B 1'!V49-'Team B 1'!$AA49-('Team B 1'!V$2- 12.5)*'Team B 1'!$AC49</f>
        <v>-24.235858529631059</v>
      </c>
      <c r="W49" s="1">
        <f>'Team B 1'!W49-'Team B 1'!$AA49-('Team B 1'!W$2- 12.5)*'Team B 1'!$AC49</f>
        <v>-39.096939925275137</v>
      </c>
      <c r="X49" s="1">
        <f>'Team B 1'!X49-'Team B 1'!$AA49-('Team B 1'!X$2- 12.5)*'Team B 1'!$AC49</f>
        <v>-3.9580213209192152</v>
      </c>
      <c r="Y49" s="1">
        <f>'Team B 1'!Y49-'Team B 1'!$AA49-('Team B 1'!Y$2- 12.5)*'Team B 1'!$AC49</f>
        <v>31.180897283436934</v>
      </c>
      <c r="AB49" s="1">
        <f>STDEV(B49:Y49)</f>
        <v>27.959951374732228</v>
      </c>
      <c r="AD49" s="5">
        <v>9</v>
      </c>
      <c r="AE49" s="5" t="s">
        <v>47</v>
      </c>
      <c r="AF49" s="5">
        <v>1</v>
      </c>
      <c r="AG49" s="5" t="s">
        <v>46</v>
      </c>
      <c r="AH49" s="5">
        <v>7</v>
      </c>
      <c r="AI49" s="5" t="s">
        <v>45</v>
      </c>
      <c r="AJ49" s="5">
        <v>5</v>
      </c>
      <c r="AK49" s="5">
        <v>8</v>
      </c>
      <c r="AL49" s="5">
        <v>3</v>
      </c>
      <c r="AM49" s="5">
        <v>6</v>
      </c>
      <c r="AN49" s="5">
        <v>2</v>
      </c>
      <c r="AO49" s="5">
        <v>4</v>
      </c>
      <c r="AP49" s="5">
        <v>9</v>
      </c>
      <c r="AQ49" s="5">
        <v>1</v>
      </c>
      <c r="AR49" s="5" t="s">
        <v>47</v>
      </c>
      <c r="AS49" s="5" t="s">
        <v>46</v>
      </c>
      <c r="AT49" s="5" t="s">
        <v>45</v>
      </c>
      <c r="AU49" s="5">
        <v>7</v>
      </c>
      <c r="AV49" s="5">
        <v>8</v>
      </c>
      <c r="AW49" s="5">
        <v>5</v>
      </c>
      <c r="AX49" s="5">
        <v>6</v>
      </c>
      <c r="AY49" s="5">
        <v>3</v>
      </c>
      <c r="AZ49" s="5">
        <v>4</v>
      </c>
      <c r="BA49" s="5">
        <v>2</v>
      </c>
      <c r="BB49" s="5"/>
      <c r="BC49" s="1">
        <f ca="1">OFFSET(A49,0, 3) -0</f>
        <v>43.263606591961207</v>
      </c>
      <c r="BD49" s="1">
        <f ca="1">OFFSET(A49,0, 11) -0</f>
        <v>4.3749554268090378</v>
      </c>
      <c r="BE49" s="1">
        <f ca="1">OFFSET(A49,0, 9) -0</f>
        <v>-25.90288178190292</v>
      </c>
      <c r="BF49" s="1">
        <f ca="1">OFFSET(A49,0, 12) -0</f>
        <v>19.513874031165045</v>
      </c>
      <c r="BG49" s="1">
        <f ca="1">OFFSET(A49,0, 7) -0</f>
        <v>13.819281009385122</v>
      </c>
      <c r="BH49" s="1">
        <f ca="1">OFFSET(A49,0, 10) -0</f>
        <v>-0.76396317754688425</v>
      </c>
      <c r="BI49" s="1">
        <f ca="1">OFFSET(A49,0, 5) -0</f>
        <v>63.541443800673278</v>
      </c>
      <c r="BJ49" s="1">
        <f ca="1">OFFSET(A49,0, 8) -0</f>
        <v>-11.041800386258842</v>
      </c>
      <c r="BK49" s="1">
        <f ca="1">OFFSET(A49,0, 1) -0</f>
        <v>-37.014230616750865</v>
      </c>
      <c r="BL49" s="1">
        <f ca="1">OFFSET(A49,0, 6) -0</f>
        <v>48.6803624050292</v>
      </c>
      <c r="BM49" s="1">
        <f ca="1">OFFSET(A49,0, 4) -0</f>
        <v>-11.597474803682871</v>
      </c>
      <c r="BN49" s="1">
        <f ca="1">OFFSET(A49,0, 2) -0</f>
        <v>-11.875312012394716</v>
      </c>
      <c r="BO49" s="1">
        <f ca="1">OFFSET(A49,0, 14) -0</f>
        <v>-0.2082887601229686</v>
      </c>
      <c r="BP49" s="1">
        <f ca="1">OFFSET(A49,0, 24) -0</f>
        <v>31.180897283436934</v>
      </c>
      <c r="BQ49" s="1">
        <f ca="1">OFFSET(A49,0, 22) -0</f>
        <v>-39.096939925275137</v>
      </c>
      <c r="BR49" s="1">
        <f ca="1">OFFSET(A49,0, 23) -0</f>
        <v>-3.9580213209192152</v>
      </c>
      <c r="BS49" s="1">
        <f ca="1">OFFSET(A49,0, 20) -0</f>
        <v>-49.374777133987209</v>
      </c>
      <c r="BT49" s="1">
        <f ca="1">OFFSET(A49,0, 21) -0</f>
        <v>-24.235858529631059</v>
      </c>
      <c r="BU49" s="1">
        <f ca="1">OFFSET(A49,0, 18) -0</f>
        <v>0.34738565730094706</v>
      </c>
      <c r="BV49" s="1">
        <f ca="1">OFFSET(A49,0, 19) -0</f>
        <v>25.486304261656869</v>
      </c>
      <c r="BW49" s="1">
        <f ca="1">OFFSET(A49,0, 13) -0</f>
        <v>-15.347207364478976</v>
      </c>
      <c r="BX49" s="1">
        <f ca="1">OFFSET(A49,0, 17) -0</f>
        <v>-14.791532947055089</v>
      </c>
      <c r="BY49" s="1">
        <f ca="1">OFFSET(A49,0, 16) -0</f>
        <v>6.9548448588989231E-2</v>
      </c>
      <c r="BZ49" s="1">
        <f ca="1">OFFSET(A49,0, 15) -0</f>
        <v>-5.0693701557670465</v>
      </c>
      <c r="CB49" s="1">
        <f>COUNTIF(B49,"&lt;-69")</f>
        <v>0</v>
      </c>
      <c r="CC49" s="1">
        <f ca="1">COUNTIF(BC49:BN49,"&lt;-49")</f>
        <v>0</v>
      </c>
      <c r="CD49" s="1">
        <f ca="1">COUNTIF(BC49:BN49,"&gt;+49")</f>
        <v>1</v>
      </c>
      <c r="CE49" s="1">
        <f ca="1">COUNTIF(BO49:BZ49,"&lt;-49")</f>
        <v>1</v>
      </c>
      <c r="CF49" s="1">
        <f ca="1">COUNTIF(BO49:BZ49,"&gt;+49")</f>
        <v>0</v>
      </c>
    </row>
    <row r="50" spans="1:84">
      <c r="A50" s="1">
        <v>47</v>
      </c>
      <c r="B50" s="1">
        <f>'Team B 1'!B50-'Team B 1'!$AA50-('Team B 1'!B$2- 12.5)*'Team B 1'!$AC50</f>
        <v>19.168077592302325</v>
      </c>
      <c r="C50" s="1">
        <f>'Team B 1'!C50-'Team B 1'!$AA50-('Team B 1'!C$2- 12.5)*'Team B 1'!$AC50</f>
        <v>-45.976972633115111</v>
      </c>
      <c r="D50" s="1">
        <f>'Team B 1'!D50-'Team B 1'!$AA50-('Team B 1'!D$2- 12.5)*'Team B 1'!$AC50</f>
        <v>-21.122022858532773</v>
      </c>
      <c r="E50" s="1">
        <f>'Team B 1'!E50-'Team B 1'!$AA50-('Team B 1'!E$2- 12.5)*'Team B 1'!$AC50</f>
        <v>33.732926916049564</v>
      </c>
      <c r="F50" s="1">
        <f>'Team B 1'!F50-'Team B 1'!$AA50-('Team B 1'!F$2- 12.5)*'Team B 1'!$AC50</f>
        <v>28.587876690632129</v>
      </c>
      <c r="G50" s="1">
        <f>'Team B 1'!G50-'Team B 1'!$AA50-('Team B 1'!G$2- 12.5)*'Team B 1'!$AC50</f>
        <v>33.442826465214466</v>
      </c>
      <c r="H50" s="1">
        <f>'Team B 1'!H50-'Team B 1'!$AA50-('Team B 1'!H$2- 12.5)*'Team B 1'!$AC50</f>
        <v>-1.7022237602031964</v>
      </c>
      <c r="I50" s="1">
        <f>'Team B 1'!I50-'Team B 1'!$AA50-('Team B 1'!I$2- 12.5)*'Team B 1'!$AC50</f>
        <v>-36.847273985620745</v>
      </c>
      <c r="J50" s="1">
        <f>'Team B 1'!J50-'Team B 1'!$AA50-('Team B 1'!J$2- 12.5)*'Team B 1'!$AC50</f>
        <v>-1.9923242110384081</v>
      </c>
      <c r="K50" s="1">
        <f>'Team B 1'!K50-'Team B 1'!$AA50-('Team B 1'!K$2- 12.5)*'Team B 1'!$AC50</f>
        <v>2.862625563544043</v>
      </c>
      <c r="L50" s="1">
        <f>'Team B 1'!L50-'Team B 1'!$AA50-('Team B 1'!L$2- 12.5)*'Team B 1'!$AC50</f>
        <v>7.7175753381263803</v>
      </c>
      <c r="M50" s="1">
        <f>'Team B 1'!M50-'Team B 1'!$AA50-('Team B 1'!M$2- 12.5)*'Team B 1'!$AC50</f>
        <v>2.5725251127088029</v>
      </c>
      <c r="N50" s="1">
        <f>'Team B 1'!N50-'Team B 1'!$AA50-('Team B 1'!N$2- 12.5)*'Team B 1'!$AC50</f>
        <v>-22.572525112708803</v>
      </c>
      <c r="O50" s="1">
        <f>'Team B 1'!O50-'Team B 1'!$AA50-('Team B 1'!O$2- 12.5)*'Team B 1'!$AC50</f>
        <v>22.28242466187362</v>
      </c>
      <c r="P50" s="1">
        <f>'Team B 1'!P50-'Team B 1'!$AA50-('Team B 1'!P$2- 12.5)*'Team B 1'!$AC50</f>
        <v>-2.862625563544043</v>
      </c>
      <c r="Q50" s="1">
        <f>'Team B 1'!Q50-'Team B 1'!$AA50-('Team B 1'!Q$2- 12.5)*'Team B 1'!$AC50</f>
        <v>11.992324211038408</v>
      </c>
      <c r="R50" s="1">
        <f>'Team B 1'!R50-'Team B 1'!$AA50-('Team B 1'!R$2- 12.5)*'Team B 1'!$AC50</f>
        <v>-13.152726014379255</v>
      </c>
      <c r="S50" s="1">
        <f>'Team B 1'!S50-'Team B 1'!$AA50-('Team B 1'!S$2- 12.5)*'Team B 1'!$AC50</f>
        <v>1.7022237602031964</v>
      </c>
      <c r="T50" s="1">
        <f>'Team B 1'!T50-'Team B 1'!$AA50-('Team B 1'!T$2- 12.5)*'Team B 1'!$AC50</f>
        <v>6.5571735347855338</v>
      </c>
      <c r="U50" s="1">
        <f>'Team B 1'!U50-'Team B 1'!$AA50-('Team B 1'!U$2- 12.5)*'Team B 1'!$AC50</f>
        <v>11.412123309367871</v>
      </c>
      <c r="V50" s="1">
        <f>'Team B 1'!V50-'Team B 1'!$AA50-('Team B 1'!V$2- 12.5)*'Team B 1'!$AC50</f>
        <v>-43.732926916049564</v>
      </c>
      <c r="W50" s="1">
        <f>'Team B 1'!W50-'Team B 1'!$AA50-('Team B 1'!W$2- 12.5)*'Team B 1'!$AC50</f>
        <v>1.1220228585327732</v>
      </c>
      <c r="X50" s="1">
        <f>'Team B 1'!X50-'Team B 1'!$AA50-('Team B 1'!X$2- 12.5)*'Team B 1'!$AC50</f>
        <v>5.9769726331151105</v>
      </c>
      <c r="Y50" s="1">
        <f>'Team B 1'!Y50-'Team B 1'!$AA50-('Team B 1'!Y$2- 12.5)*'Team B 1'!$AC50</f>
        <v>0.83192240769767523</v>
      </c>
      <c r="AB50" s="1">
        <f>STDEV(B50:Y50)</f>
        <v>21.766950954964965</v>
      </c>
      <c r="AD50" s="5">
        <v>1</v>
      </c>
      <c r="AE50" s="5">
        <v>9</v>
      </c>
      <c r="AF50" s="5" t="s">
        <v>46</v>
      </c>
      <c r="AG50" s="5" t="s">
        <v>47</v>
      </c>
      <c r="AH50" s="5">
        <v>7</v>
      </c>
      <c r="AI50" s="5" t="s">
        <v>45</v>
      </c>
      <c r="AJ50" s="5">
        <v>5</v>
      </c>
      <c r="AK50" s="5">
        <v>8</v>
      </c>
      <c r="AL50" s="5">
        <v>3</v>
      </c>
      <c r="AM50" s="5">
        <v>6</v>
      </c>
      <c r="AN50" s="5">
        <v>2</v>
      </c>
      <c r="AO50" s="5">
        <v>4</v>
      </c>
      <c r="AP50" s="5">
        <v>9</v>
      </c>
      <c r="AQ50" s="5">
        <v>1</v>
      </c>
      <c r="AR50" s="5" t="s">
        <v>46</v>
      </c>
      <c r="AS50" s="5">
        <v>7</v>
      </c>
      <c r="AT50" s="5" t="s">
        <v>47</v>
      </c>
      <c r="AU50" s="5">
        <v>5</v>
      </c>
      <c r="AV50" s="5" t="s">
        <v>45</v>
      </c>
      <c r="AW50" s="5">
        <v>3</v>
      </c>
      <c r="AX50" s="5">
        <v>8</v>
      </c>
      <c r="AY50" s="5">
        <v>2</v>
      </c>
      <c r="AZ50" s="5">
        <v>6</v>
      </c>
      <c r="BA50" s="5">
        <v>4</v>
      </c>
      <c r="BB50" s="5"/>
      <c r="BC50" s="1">
        <f ca="1">OFFSET(A50,0, 1) -0</f>
        <v>19.168077592302325</v>
      </c>
      <c r="BD50" s="1">
        <f ca="1">OFFSET(A50,0, 11) -0</f>
        <v>7.7175753381263803</v>
      </c>
      <c r="BE50" s="1">
        <f ca="1">OFFSET(A50,0, 9) -0</f>
        <v>-1.9923242110384081</v>
      </c>
      <c r="BF50" s="1">
        <f ca="1">OFFSET(A50,0, 12) -0</f>
        <v>2.5725251127088029</v>
      </c>
      <c r="BG50" s="1">
        <f ca="1">OFFSET(A50,0, 7) -0</f>
        <v>-1.7022237602031964</v>
      </c>
      <c r="BH50" s="1">
        <f ca="1">OFFSET(A50,0, 10) -0</f>
        <v>2.862625563544043</v>
      </c>
      <c r="BI50" s="1">
        <f ca="1">OFFSET(A50,0, 5) -0</f>
        <v>28.587876690632129</v>
      </c>
      <c r="BJ50" s="1">
        <f ca="1">OFFSET(A50,0, 8) -0</f>
        <v>-36.847273985620745</v>
      </c>
      <c r="BK50" s="1">
        <f ca="1">OFFSET(A50,0, 2) -0</f>
        <v>-45.976972633115111</v>
      </c>
      <c r="BL50" s="1">
        <f ca="1">OFFSET(A50,0, 6) -0</f>
        <v>33.442826465214466</v>
      </c>
      <c r="BM50" s="1">
        <f ca="1">OFFSET(A50,0, 3) -0</f>
        <v>-21.122022858532773</v>
      </c>
      <c r="BN50" s="1">
        <f ca="1">OFFSET(A50,0, 4) -0</f>
        <v>33.732926916049564</v>
      </c>
      <c r="BO50" s="1">
        <f ca="1">OFFSET(A50,0, 14) -0</f>
        <v>22.28242466187362</v>
      </c>
      <c r="BP50" s="1">
        <f ca="1">OFFSET(A50,0, 22) -0</f>
        <v>1.1220228585327732</v>
      </c>
      <c r="BQ50" s="1">
        <f ca="1">OFFSET(A50,0, 20) -0</f>
        <v>11.412123309367871</v>
      </c>
      <c r="BR50" s="1">
        <f ca="1">OFFSET(A50,0, 24) -0</f>
        <v>0.83192240769767523</v>
      </c>
      <c r="BS50" s="1">
        <f ca="1">OFFSET(A50,0, 18) -0</f>
        <v>1.7022237602031964</v>
      </c>
      <c r="BT50" s="1">
        <f ca="1">OFFSET(A50,0, 23) -0</f>
        <v>5.9769726331151105</v>
      </c>
      <c r="BU50" s="1">
        <f ca="1">OFFSET(A50,0, 16) -0</f>
        <v>11.992324211038408</v>
      </c>
      <c r="BV50" s="1">
        <f ca="1">OFFSET(A50,0, 21) -0</f>
        <v>-43.732926916049564</v>
      </c>
      <c r="BW50" s="1">
        <f ca="1">OFFSET(A50,0, 13) -0</f>
        <v>-22.572525112708803</v>
      </c>
      <c r="BX50" s="1">
        <f ca="1">OFFSET(A50,0, 19) -0</f>
        <v>6.5571735347855338</v>
      </c>
      <c r="BY50" s="1">
        <f ca="1">OFFSET(A50,0, 15) -0</f>
        <v>-2.862625563544043</v>
      </c>
      <c r="BZ50" s="1">
        <f ca="1">OFFSET(A50,0, 17) -0</f>
        <v>-13.152726014379255</v>
      </c>
      <c r="CB50" s="1">
        <f>COUNTIF(B50,"&lt;-69")</f>
        <v>0</v>
      </c>
      <c r="CC50" s="1">
        <f ca="1">COUNTIF(BC50:BN50,"&lt;-49")</f>
        <v>0</v>
      </c>
      <c r="CD50" s="1">
        <f ca="1">COUNTIF(BC50:BN50,"&gt;+49")</f>
        <v>0</v>
      </c>
      <c r="CE50" s="1">
        <f ca="1">COUNTIF(BO50:BZ50,"&lt;-49")</f>
        <v>0</v>
      </c>
      <c r="CF50" s="1">
        <f ca="1">COUNTIF(BO50:BZ50,"&gt;+49")</f>
        <v>0</v>
      </c>
    </row>
    <row r="51" spans="1:84">
      <c r="A51" s="1">
        <v>48</v>
      </c>
      <c r="B51" s="1">
        <f>'Team B 1'!B51-'Team B 1'!$AA51-('Team B 1'!B$2- 12.5)*'Team B 1'!$AC51</f>
        <v>13.812240959408427</v>
      </c>
      <c r="C51" s="1">
        <f>'Team B 1'!C51-'Team B 1'!$AA51-('Team B 1'!C$2- 12.5)*'Team B 1'!$AC51</f>
        <v>-1.59172202256741</v>
      </c>
      <c r="D51" s="1">
        <f>'Team B 1'!D51-'Team B 1'!$AA51-('Team B 1'!D$2- 12.5)*'Team B 1'!$AC51</f>
        <v>23.004314995456753</v>
      </c>
      <c r="E51" s="1">
        <f>'Team B 1'!E51-'Team B 1'!$AA51-('Team B 1'!E$2- 12.5)*'Team B 1'!$AC51</f>
        <v>-32.399647986519085</v>
      </c>
      <c r="F51" s="1">
        <f>'Team B 1'!F51-'Team B 1'!$AA51-('Team B 1'!F$2- 12.5)*'Team B 1'!$AC51</f>
        <v>2.1963890315050776</v>
      </c>
      <c r="G51" s="1">
        <f>'Team B 1'!G51-'Team B 1'!$AA51-('Team B 1'!G$2- 12.5)*'Team B 1'!$AC51</f>
        <v>16.79242604952924</v>
      </c>
      <c r="H51" s="1">
        <f>'Team B 1'!H51-'Team B 1'!$AA51-('Team B 1'!H$2- 12.5)*'Team B 1'!$AC51</f>
        <v>21.388463067553403</v>
      </c>
      <c r="I51" s="1">
        <f>'Team B 1'!I51-'Team B 1'!$AA51-('Team B 1'!I$2- 12.5)*'Team B 1'!$AC51</f>
        <v>55.984500085577452</v>
      </c>
      <c r="J51" s="1">
        <f>'Team B 1'!J51-'Team B 1'!$AA51-('Team B 1'!J$2- 12.5)*'Team B 1'!$AC51</f>
        <v>20.580537103601614</v>
      </c>
      <c r="K51" s="1">
        <f>'Team B 1'!K51-'Team B 1'!$AA51-('Team B 1'!K$2- 12.5)*'Team B 1'!$AC51</f>
        <v>5.1765741216257197</v>
      </c>
      <c r="L51" s="1">
        <f>'Team B 1'!L51-'Team B 1'!$AA51-('Team B 1'!L$2- 12.5)*'Team B 1'!$AC51</f>
        <v>-0.22738886035011774</v>
      </c>
      <c r="M51" s="1">
        <f>'Team B 1'!M51-'Team B 1'!$AA51-('Team B 1'!M$2- 12.5)*'Team B 1'!$AC51</f>
        <v>4.3686481576740022</v>
      </c>
      <c r="N51" s="1">
        <f>'Team B 1'!N51-'Team B 1'!$AA51-('Team B 1'!N$2- 12.5)*'Team B 1'!$AC51</f>
        <v>-21.035314824301864</v>
      </c>
      <c r="O51" s="1">
        <f>'Team B 1'!O51-'Team B 1'!$AA51-('Team B 1'!O$2- 12.5)*'Team B 1'!$AC51</f>
        <v>-36.439277806277744</v>
      </c>
      <c r="P51" s="1">
        <f>'Team B 1'!P51-'Team B 1'!$AA51-('Team B 1'!P$2- 12.5)*'Team B 1'!$AC51</f>
        <v>-41.843240788253581</v>
      </c>
      <c r="Q51" s="1">
        <f>'Team B 1'!Q51-'Team B 1'!$AA51-('Team B 1'!Q$2- 12.5)*'Team B 1'!$AC51</f>
        <v>-57.247203770229476</v>
      </c>
      <c r="R51" s="1">
        <f>'Team B 1'!R51-'Team B 1'!$AA51-('Team B 1'!R$2- 12.5)*'Team B 1'!$AC51</f>
        <v>7.3488332477946869</v>
      </c>
      <c r="S51" s="1">
        <f>'Team B 1'!S51-'Team B 1'!$AA51-('Team B 1'!S$2- 12.5)*'Team B 1'!$AC51</f>
        <v>-8.0551297341812642</v>
      </c>
      <c r="T51" s="1">
        <f>'Team B 1'!T51-'Team B 1'!$AA51-('Team B 1'!T$2- 12.5)*'Team B 1'!$AC51</f>
        <v>-3.4590927161571017</v>
      </c>
      <c r="U51" s="1">
        <f>'Team B 1'!U51-'Team B 1'!$AA51-('Team B 1'!U$2- 12.5)*'Team B 1'!$AC51</f>
        <v>21.136944301867061</v>
      </c>
      <c r="V51" s="1">
        <f>'Team B 1'!V51-'Team B 1'!$AA51-('Team B 1'!V$2- 12.5)*'Team B 1'!$AC51</f>
        <v>-4.2670186801087766</v>
      </c>
      <c r="W51" s="1">
        <f>'Team B 1'!W51-'Team B 1'!$AA51-('Team B 1'!W$2- 12.5)*'Team B 1'!$AC51</f>
        <v>30.329018337915386</v>
      </c>
      <c r="X51" s="1">
        <f>'Team B 1'!X51-'Team B 1'!$AA51-('Team B 1'!X$2- 12.5)*'Team B 1'!$AC51</f>
        <v>-5.0749446440604515</v>
      </c>
      <c r="Y51" s="1">
        <f>'Team B 1'!Y51-'Team B 1'!$AA51-('Team B 1'!Y$2- 12.5)*'Team B 1'!$AC51</f>
        <v>-10.478907626036289</v>
      </c>
      <c r="AB51" s="1">
        <f>STDEV(B51:Y51)</f>
        <v>25.168933528755794</v>
      </c>
      <c r="AD51" s="5">
        <v>1</v>
      </c>
      <c r="AE51" s="5">
        <v>9</v>
      </c>
      <c r="AF51" s="5">
        <v>7</v>
      </c>
      <c r="AG51" s="5" t="s">
        <v>46</v>
      </c>
      <c r="AH51" s="5">
        <v>5</v>
      </c>
      <c r="AI51" s="5" t="s">
        <v>47</v>
      </c>
      <c r="AJ51" s="5">
        <v>3</v>
      </c>
      <c r="AK51" s="5" t="s">
        <v>45</v>
      </c>
      <c r="AL51" s="5">
        <v>2</v>
      </c>
      <c r="AM51" s="5">
        <v>8</v>
      </c>
      <c r="AN51" s="5">
        <v>4</v>
      </c>
      <c r="AO51" s="5">
        <v>6</v>
      </c>
      <c r="AP51" s="5">
        <v>1</v>
      </c>
      <c r="AQ51" s="5">
        <v>9</v>
      </c>
      <c r="AR51" s="5" t="s">
        <v>46</v>
      </c>
      <c r="AS51" s="5">
        <v>7</v>
      </c>
      <c r="AT51" s="5" t="s">
        <v>47</v>
      </c>
      <c r="AU51" s="5">
        <v>5</v>
      </c>
      <c r="AV51" s="5" t="s">
        <v>45</v>
      </c>
      <c r="AW51" s="5">
        <v>3</v>
      </c>
      <c r="AX51" s="5">
        <v>8</v>
      </c>
      <c r="AY51" s="5">
        <v>2</v>
      </c>
      <c r="AZ51" s="5">
        <v>6</v>
      </c>
      <c r="BA51" s="5">
        <v>4</v>
      </c>
      <c r="BB51" s="5"/>
      <c r="BC51" s="1">
        <f ca="1">OFFSET(A51,0, 1) -0</f>
        <v>13.812240959408427</v>
      </c>
      <c r="BD51" s="1">
        <f ca="1">OFFSET(A51,0, 9) -0</f>
        <v>20.580537103601614</v>
      </c>
      <c r="BE51" s="1">
        <f ca="1">OFFSET(A51,0, 7) -0</f>
        <v>21.388463067553403</v>
      </c>
      <c r="BF51" s="1">
        <f ca="1">OFFSET(A51,0, 11) -0</f>
        <v>-0.22738886035011774</v>
      </c>
      <c r="BG51" s="1">
        <f ca="1">OFFSET(A51,0, 5) -0</f>
        <v>2.1963890315050776</v>
      </c>
      <c r="BH51" s="1">
        <f ca="1">OFFSET(A51,0, 12) -0</f>
        <v>4.3686481576740022</v>
      </c>
      <c r="BI51" s="1">
        <f ca="1">OFFSET(A51,0, 3) -0</f>
        <v>23.004314995456753</v>
      </c>
      <c r="BJ51" s="1">
        <f ca="1">OFFSET(A51,0, 10) -0</f>
        <v>5.1765741216257197</v>
      </c>
      <c r="BK51" s="1">
        <f ca="1">OFFSET(A51,0, 2) -0</f>
        <v>-1.59172202256741</v>
      </c>
      <c r="BL51" s="1">
        <f ca="1">OFFSET(A51,0, 8) -0</f>
        <v>55.984500085577452</v>
      </c>
      <c r="BM51" s="1">
        <f ca="1">OFFSET(A51,0, 4) -0</f>
        <v>-32.399647986519085</v>
      </c>
      <c r="BN51" s="1">
        <f ca="1">OFFSET(A51,0, 6) -0</f>
        <v>16.79242604952924</v>
      </c>
      <c r="BO51" s="1">
        <f ca="1">OFFSET(A51,0, 13) -0</f>
        <v>-21.035314824301864</v>
      </c>
      <c r="BP51" s="1">
        <f ca="1">OFFSET(A51,0, 22) -0</f>
        <v>30.329018337915386</v>
      </c>
      <c r="BQ51" s="1">
        <f ca="1">OFFSET(A51,0, 20) -0</f>
        <v>21.136944301867061</v>
      </c>
      <c r="BR51" s="1">
        <f ca="1">OFFSET(A51,0, 24) -0</f>
        <v>-10.478907626036289</v>
      </c>
      <c r="BS51" s="1">
        <f ca="1">OFFSET(A51,0, 18) -0</f>
        <v>-8.0551297341812642</v>
      </c>
      <c r="BT51" s="1">
        <f ca="1">OFFSET(A51,0, 23) -0</f>
        <v>-5.0749446440604515</v>
      </c>
      <c r="BU51" s="1">
        <f ca="1">OFFSET(A51,0, 16) -0</f>
        <v>-57.247203770229476</v>
      </c>
      <c r="BV51" s="1">
        <f ca="1">OFFSET(A51,0, 21) -0</f>
        <v>-4.2670186801087766</v>
      </c>
      <c r="BW51" s="1">
        <f ca="1">OFFSET(A51,0, 14) -0</f>
        <v>-36.439277806277744</v>
      </c>
      <c r="BX51" s="1">
        <f ca="1">OFFSET(A51,0, 19) -0</f>
        <v>-3.4590927161571017</v>
      </c>
      <c r="BY51" s="1">
        <f ca="1">OFFSET(A51,0, 15) -0</f>
        <v>-41.843240788253581</v>
      </c>
      <c r="BZ51" s="1">
        <f ca="1">OFFSET(A51,0, 17) -0</f>
        <v>7.3488332477946869</v>
      </c>
      <c r="CB51" s="1">
        <f>COUNTIF(B51,"&lt;-69")</f>
        <v>0</v>
      </c>
      <c r="CC51" s="1">
        <f ca="1">COUNTIF(BC51:BN51,"&lt;-49")</f>
        <v>0</v>
      </c>
      <c r="CD51" s="1">
        <f ca="1">COUNTIF(BC51:BN51,"&gt;+49")</f>
        <v>1</v>
      </c>
      <c r="CE51" s="1">
        <f ca="1">COUNTIF(BO51:BZ51,"&lt;-49")</f>
        <v>1</v>
      </c>
      <c r="CF51" s="1">
        <f ca="1">COUNTIF(BO51:BZ51,"&gt;+49")</f>
        <v>0</v>
      </c>
    </row>
    <row r="52" spans="1:84">
      <c r="A52" s="1">
        <v>49</v>
      </c>
      <c r="B52" s="1">
        <f>'Team B 1'!B52-'Team B 1'!$AA52-('Team B 1'!B$2- 12.5)*'Team B 1'!$AC52</f>
        <v>-21.385345007643537</v>
      </c>
      <c r="C52" s="1">
        <f>'Team B 1'!C52-'Team B 1'!$AA52-('Team B 1'!C$2- 12.5)*'Team B 1'!$AC52</f>
        <v>12.793090790124097</v>
      </c>
      <c r="D52" s="1">
        <f>'Team B 1'!D52-'Team B 1'!$AA52-('Team B 1'!D$2- 12.5)*'Team B 1'!$AC52</f>
        <v>-13.028473412108042</v>
      </c>
      <c r="E52" s="1">
        <f>'Team B 1'!E52-'Team B 1'!$AA52-('Team B 1'!E$2- 12.5)*'Team B 1'!$AC52</f>
        <v>-18.850037614340181</v>
      </c>
      <c r="F52" s="1">
        <f>'Team B 1'!F52-'Team B 1'!$AA52-('Team B 1'!F$2- 12.5)*'Team B 1'!$AC52</f>
        <v>25.328398183427453</v>
      </c>
      <c r="G52" s="1">
        <f>'Team B 1'!G52-'Team B 1'!$AA52-('Team B 1'!G$2- 12.5)*'Team B 1'!$AC52</f>
        <v>49.506833981195314</v>
      </c>
      <c r="H52" s="1">
        <f>'Team B 1'!H52-'Team B 1'!$AA52-('Team B 1'!H$2- 12.5)*'Team B 1'!$AC52</f>
        <v>23.685269778963175</v>
      </c>
      <c r="I52" s="1">
        <f>'Team B 1'!I52-'Team B 1'!$AA52-('Team B 1'!I$2- 12.5)*'Team B 1'!$AC52</f>
        <v>37.863705576730922</v>
      </c>
      <c r="J52" s="1">
        <f>'Team B 1'!J52-'Team B 1'!$AA52-('Team B 1'!J$2- 12.5)*'Team B 1'!$AC52</f>
        <v>12.042141374498783</v>
      </c>
      <c r="K52" s="1">
        <f>'Team B 1'!K52-'Team B 1'!$AA52-('Team B 1'!K$2- 12.5)*'Team B 1'!$AC52</f>
        <v>-3.7794228277334696</v>
      </c>
      <c r="L52" s="1">
        <f>'Team B 1'!L52-'Team B 1'!$AA52-('Team B 1'!L$2- 12.5)*'Team B 1'!$AC52</f>
        <v>10.399012970034391</v>
      </c>
      <c r="M52" s="1">
        <f>'Team B 1'!M52-'Team B 1'!$AA52-('Team B 1'!M$2- 12.5)*'Team B 1'!$AC52</f>
        <v>14.577448767802167</v>
      </c>
      <c r="N52" s="1">
        <f>'Team B 1'!N52-'Team B 1'!$AA52-('Team B 1'!N$2- 12.5)*'Team B 1'!$AC52</f>
        <v>-11.244115434430029</v>
      </c>
      <c r="O52" s="1">
        <f>'Team B 1'!O52-'Team B 1'!$AA52-('Team B 1'!O$2- 12.5)*'Team B 1'!$AC52</f>
        <v>-27.065679636662253</v>
      </c>
      <c r="P52" s="1">
        <f>'Team B 1'!P52-'Team B 1'!$AA52-('Team B 1'!P$2- 12.5)*'Team B 1'!$AC52</f>
        <v>-62.887243838894392</v>
      </c>
      <c r="Q52" s="1">
        <f>'Team B 1'!Q52-'Team B 1'!$AA52-('Team B 1'!Q$2- 12.5)*'Team B 1'!$AC52</f>
        <v>-38.708808041126645</v>
      </c>
      <c r="R52" s="1">
        <f>'Team B 1'!R52-'Team B 1'!$AA52-('Team B 1'!R$2- 12.5)*'Team B 1'!$AC52</f>
        <v>-14.530372243358784</v>
      </c>
      <c r="S52" s="1">
        <f>'Team B 1'!S52-'Team B 1'!$AA52-('Team B 1'!S$2- 12.5)*'Team B 1'!$AC52</f>
        <v>-0.35193644559103632</v>
      </c>
      <c r="T52" s="1">
        <f>'Team B 1'!T52-'Team B 1'!$AA52-('Team B 1'!T$2- 12.5)*'Team B 1'!$AC52</f>
        <v>13.826499352176825</v>
      </c>
      <c r="U52" s="1">
        <f>'Team B 1'!U52-'Team B 1'!$AA52-('Team B 1'!U$2- 12.5)*'Team B 1'!$AC52</f>
        <v>28.004935149944686</v>
      </c>
      <c r="V52" s="1">
        <f>'Team B 1'!V52-'Team B 1'!$AA52-('Team B 1'!V$2- 12.5)*'Team B 1'!$AC52</f>
        <v>-27.816629052287681</v>
      </c>
      <c r="W52" s="1">
        <f>'Team B 1'!W52-'Team B 1'!$AA52-('Team B 1'!W$2- 12.5)*'Team B 1'!$AC52</f>
        <v>6.3618067454801803</v>
      </c>
      <c r="X52" s="1">
        <f>'Team B 1'!X52-'Team B 1'!$AA52-('Team B 1'!X$2- 12.5)*'Team B 1'!$AC52</f>
        <v>-9.4597574567519587</v>
      </c>
      <c r="Y52" s="1">
        <f>'Team B 1'!Y52-'Team B 1'!$AA52-('Team B 1'!Y$2- 12.5)*'Team B 1'!$AC52</f>
        <v>14.718678341015675</v>
      </c>
      <c r="AB52" s="1">
        <f>STDEV(B52:Y52)</f>
        <v>25.819046598873488</v>
      </c>
      <c r="AD52" s="5">
        <v>9</v>
      </c>
      <c r="AE52" s="5">
        <v>1</v>
      </c>
      <c r="AF52" s="5">
        <v>7</v>
      </c>
      <c r="AG52" s="5" t="s">
        <v>46</v>
      </c>
      <c r="AH52" s="5">
        <v>5</v>
      </c>
      <c r="AI52" s="5" t="s">
        <v>47</v>
      </c>
      <c r="AJ52" s="5">
        <v>3</v>
      </c>
      <c r="AK52" s="5" t="s">
        <v>45</v>
      </c>
      <c r="AL52" s="5">
        <v>2</v>
      </c>
      <c r="AM52" s="5">
        <v>8</v>
      </c>
      <c r="AN52" s="5">
        <v>4</v>
      </c>
      <c r="AO52" s="5">
        <v>6</v>
      </c>
      <c r="AP52" s="5">
        <v>1</v>
      </c>
      <c r="AQ52" s="5">
        <v>9</v>
      </c>
      <c r="AR52" s="5">
        <v>7</v>
      </c>
      <c r="AS52" s="5">
        <v>5</v>
      </c>
      <c r="AT52" s="5" t="s">
        <v>46</v>
      </c>
      <c r="AU52" s="5">
        <v>3</v>
      </c>
      <c r="AV52" s="5" t="s">
        <v>47</v>
      </c>
      <c r="AW52" s="5">
        <v>2</v>
      </c>
      <c r="AX52" s="5" t="s">
        <v>45</v>
      </c>
      <c r="AY52" s="5">
        <v>4</v>
      </c>
      <c r="AZ52" s="5">
        <v>8</v>
      </c>
      <c r="BA52" s="5">
        <v>6</v>
      </c>
      <c r="BB52" s="5"/>
      <c r="BC52" s="1">
        <f ca="1">OFFSET(A52,0, 2) -0</f>
        <v>12.793090790124097</v>
      </c>
      <c r="BD52" s="1">
        <f ca="1">OFFSET(A52,0, 9) -0</f>
        <v>12.042141374498783</v>
      </c>
      <c r="BE52" s="1">
        <f ca="1">OFFSET(A52,0, 7) -0</f>
        <v>23.685269778963175</v>
      </c>
      <c r="BF52" s="1">
        <f ca="1">OFFSET(A52,0, 11) -0</f>
        <v>10.399012970034391</v>
      </c>
      <c r="BG52" s="1">
        <f ca="1">OFFSET(A52,0, 5) -0</f>
        <v>25.328398183427453</v>
      </c>
      <c r="BH52" s="1">
        <f ca="1">OFFSET(A52,0, 12) -0</f>
        <v>14.577448767802167</v>
      </c>
      <c r="BI52" s="1">
        <f ca="1">OFFSET(A52,0, 3) -0</f>
        <v>-13.028473412108042</v>
      </c>
      <c r="BJ52" s="1">
        <f ca="1">OFFSET(A52,0, 10) -0</f>
        <v>-3.7794228277334696</v>
      </c>
      <c r="BK52" s="1">
        <f ca="1">OFFSET(A52,0, 1) -0</f>
        <v>-21.385345007643537</v>
      </c>
      <c r="BL52" s="1">
        <f ca="1">OFFSET(A52,0, 8) -0</f>
        <v>37.863705576730922</v>
      </c>
      <c r="BM52" s="1">
        <f ca="1">OFFSET(A52,0, 4) -0</f>
        <v>-18.850037614340181</v>
      </c>
      <c r="BN52" s="1">
        <f ca="1">OFFSET(A52,0, 6) -0</f>
        <v>49.506833981195314</v>
      </c>
      <c r="BO52" s="1">
        <f ca="1">OFFSET(A52,0, 13) -0</f>
        <v>-11.244115434430029</v>
      </c>
      <c r="BP52" s="1">
        <f ca="1">OFFSET(A52,0, 20) -0</f>
        <v>28.004935149944686</v>
      </c>
      <c r="BQ52" s="1">
        <f ca="1">OFFSET(A52,0, 18) -0</f>
        <v>-0.35193644559103632</v>
      </c>
      <c r="BR52" s="1">
        <f ca="1">OFFSET(A52,0, 22) -0</f>
        <v>6.3618067454801803</v>
      </c>
      <c r="BS52" s="1">
        <f ca="1">OFFSET(A52,0, 16) -0</f>
        <v>-38.708808041126645</v>
      </c>
      <c r="BT52" s="1">
        <f ca="1">OFFSET(A52,0, 24) -0</f>
        <v>14.718678341015675</v>
      </c>
      <c r="BU52" s="1">
        <f ca="1">OFFSET(A52,0, 15) -0</f>
        <v>-62.887243838894392</v>
      </c>
      <c r="BV52" s="1">
        <f ca="1">OFFSET(A52,0, 23) -0</f>
        <v>-9.4597574567519587</v>
      </c>
      <c r="BW52" s="1">
        <f ca="1">OFFSET(A52,0, 14) -0</f>
        <v>-27.065679636662253</v>
      </c>
      <c r="BX52" s="1">
        <f ca="1">OFFSET(A52,0, 21) -0</f>
        <v>-27.816629052287681</v>
      </c>
      <c r="BY52" s="1">
        <f ca="1">OFFSET(A52,0, 17) -0</f>
        <v>-14.530372243358784</v>
      </c>
      <c r="BZ52" s="1">
        <f ca="1">OFFSET(A52,0, 19) -0</f>
        <v>13.826499352176825</v>
      </c>
      <c r="CB52" s="1">
        <f>COUNTIF(B52,"&lt;-69")</f>
        <v>0</v>
      </c>
      <c r="CC52" s="1">
        <f ca="1">COUNTIF(BC52:BN52,"&lt;-49")</f>
        <v>0</v>
      </c>
      <c r="CD52" s="1">
        <f ca="1">COUNTIF(BC52:BN52,"&gt;+49")</f>
        <v>1</v>
      </c>
      <c r="CE52" s="1">
        <f ca="1">COUNTIF(BO52:BZ52,"&lt;-49")</f>
        <v>1</v>
      </c>
      <c r="CF52" s="1">
        <f ca="1">COUNTIF(BO52:BZ52,"&gt;+49")</f>
        <v>0</v>
      </c>
    </row>
    <row r="53" spans="1:84">
      <c r="A53" s="1">
        <v>50</v>
      </c>
      <c r="B53" s="1">
        <f>'Team B 1'!B53-'Team B 1'!$AA53-('Team B 1'!B$2- 12.5)*'Team B 1'!$AC53</f>
        <v>7.4199956203442525</v>
      </c>
      <c r="C53" s="1">
        <f>'Team B 1'!C53-'Team B 1'!$AA53-('Team B 1'!C$2- 12.5)*'Team B 1'!$AC53</f>
        <v>40.905213392488349</v>
      </c>
      <c r="D53" s="1">
        <f>'Team B 1'!D53-'Team B 1'!$AA53-('Team B 1'!D$2- 12.5)*'Team B 1'!$AC53</f>
        <v>34.390431164632218</v>
      </c>
      <c r="E53" s="1">
        <f>'Team B 1'!E53-'Team B 1'!$AA53-('Team B 1'!E$2- 12.5)*'Team B 1'!$AC53</f>
        <v>7.8756489367760878</v>
      </c>
      <c r="F53" s="1">
        <f>'Team B 1'!F53-'Team B 1'!$AA53-('Team B 1'!F$2- 12.5)*'Team B 1'!$AC53</f>
        <v>-18.639133291079816</v>
      </c>
      <c r="G53" s="1">
        <f>'Team B 1'!G53-'Team B 1'!$AA53-('Team B 1'!G$2- 12.5)*'Team B 1'!$AC53</f>
        <v>-25.153915518935946</v>
      </c>
      <c r="H53" s="1">
        <f>'Team B 1'!H53-'Team B 1'!$AA53-('Team B 1'!H$2- 12.5)*'Team B 1'!$AC53</f>
        <v>-31.66869774679185</v>
      </c>
      <c r="I53" s="1">
        <f>'Team B 1'!I53-'Team B 1'!$AA53-('Team B 1'!I$2- 12.5)*'Team B 1'!$AC53</f>
        <v>41.81652002535202</v>
      </c>
      <c r="J53" s="1">
        <f>'Team B 1'!J53-'Team B 1'!$AA53-('Team B 1'!J$2- 12.5)*'Team B 1'!$AC53</f>
        <v>35.301737797496116</v>
      </c>
      <c r="K53" s="1">
        <f>'Team B 1'!K53-'Team B 1'!$AA53-('Team B 1'!K$2- 12.5)*'Team B 1'!$AC53</f>
        <v>8.7869555696400425</v>
      </c>
      <c r="L53" s="1">
        <f>'Team B 1'!L53-'Team B 1'!$AA53-('Team B 1'!L$2- 12.5)*'Team B 1'!$AC53</f>
        <v>-17.727826658215974</v>
      </c>
      <c r="M53" s="1">
        <f>'Team B 1'!M53-'Team B 1'!$AA53-('Team B 1'!M$2- 12.5)*'Team B 1'!$AC53</f>
        <v>-54.242608886071991</v>
      </c>
      <c r="N53" s="1">
        <f>'Team B 1'!N53-'Team B 1'!$AA53-('Team B 1'!N$2- 12.5)*'Team B 1'!$AC53</f>
        <v>-10.757391113928009</v>
      </c>
      <c r="O53" s="1">
        <f>'Team B 1'!O53-'Team B 1'!$AA53-('Team B 1'!O$2- 12.5)*'Team B 1'!$AC53</f>
        <v>-27.272173341784026</v>
      </c>
      <c r="P53" s="1">
        <f>'Team B 1'!P53-'Team B 1'!$AA53-('Team B 1'!P$2- 12.5)*'Team B 1'!$AC53</f>
        <v>-23.786955569640043</v>
      </c>
      <c r="Q53" s="1">
        <f>'Team B 1'!Q53-'Team B 1'!$AA53-('Team B 1'!Q$2- 12.5)*'Team B 1'!$AC53</f>
        <v>19.698262202503884</v>
      </c>
      <c r="R53" s="1">
        <f>'Team B 1'!R53-'Team B 1'!$AA53-('Team B 1'!R$2- 12.5)*'Team B 1'!$AC53</f>
        <v>3.1834799746479803</v>
      </c>
      <c r="S53" s="1">
        <f>'Team B 1'!S53-'Team B 1'!$AA53-('Team B 1'!S$2- 12.5)*'Team B 1'!$AC53</f>
        <v>-13.33130225320815</v>
      </c>
      <c r="T53" s="1">
        <f>'Team B 1'!T53-'Team B 1'!$AA53-('Team B 1'!T$2- 12.5)*'Team B 1'!$AC53</f>
        <v>-9.8460844810640538</v>
      </c>
      <c r="U53" s="1">
        <f>'Team B 1'!U53-'Team B 1'!$AA53-('Team B 1'!U$2- 12.5)*'Team B 1'!$AC53</f>
        <v>3.6391332910798155</v>
      </c>
      <c r="V53" s="1">
        <f>'Team B 1'!V53-'Team B 1'!$AA53-('Team B 1'!V$2- 12.5)*'Team B 1'!$AC53</f>
        <v>-2.8756489367760878</v>
      </c>
      <c r="W53" s="1">
        <f>'Team B 1'!W53-'Team B 1'!$AA53-('Team B 1'!W$2- 12.5)*'Team B 1'!$AC53</f>
        <v>20.609568835367782</v>
      </c>
      <c r="X53" s="1">
        <f>'Team B 1'!X53-'Team B 1'!$AA53-('Team B 1'!X$2- 12.5)*'Team B 1'!$AC53</f>
        <v>-5.9052133924883492</v>
      </c>
      <c r="Y53" s="1">
        <f>'Team B 1'!Y53-'Team B 1'!$AA53-('Team B 1'!Y$2- 12.5)*'Team B 1'!$AC53</f>
        <v>17.580004379655747</v>
      </c>
      <c r="AB53" s="1">
        <f>STDEV(B53:Y53)</f>
        <v>24.823706224083772</v>
      </c>
      <c r="AD53" s="5">
        <v>9</v>
      </c>
      <c r="AE53" s="5">
        <v>1</v>
      </c>
      <c r="AF53" s="5">
        <v>5</v>
      </c>
      <c r="AG53" s="5">
        <v>7</v>
      </c>
      <c r="AH53" s="5">
        <v>3</v>
      </c>
      <c r="AI53" s="5" t="s">
        <v>46</v>
      </c>
      <c r="AJ53" s="5">
        <v>2</v>
      </c>
      <c r="AK53" s="5" t="s">
        <v>47</v>
      </c>
      <c r="AL53" s="5">
        <v>4</v>
      </c>
      <c r="AM53" s="5" t="s">
        <v>45</v>
      </c>
      <c r="AN53" s="5">
        <v>6</v>
      </c>
      <c r="AO53" s="5">
        <v>8</v>
      </c>
      <c r="AP53" s="5">
        <v>9</v>
      </c>
      <c r="AQ53" s="5">
        <v>5</v>
      </c>
      <c r="AR53" s="5">
        <v>1</v>
      </c>
      <c r="AS53" s="5">
        <v>7</v>
      </c>
      <c r="AT53" s="5" t="s">
        <v>46</v>
      </c>
      <c r="AU53" s="5">
        <v>3</v>
      </c>
      <c r="AV53" s="5" t="s">
        <v>47</v>
      </c>
      <c r="AW53" s="5">
        <v>2</v>
      </c>
      <c r="AX53" s="5" t="s">
        <v>45</v>
      </c>
      <c r="AY53" s="5">
        <v>4</v>
      </c>
      <c r="AZ53" s="5">
        <v>8</v>
      </c>
      <c r="BA53" s="5">
        <v>6</v>
      </c>
      <c r="BB53" s="5"/>
      <c r="BC53" s="1">
        <f ca="1">OFFSET(A53,0, 2) -0</f>
        <v>40.905213392488349</v>
      </c>
      <c r="BD53" s="1">
        <f ca="1">OFFSET(A53,0, 7) -0</f>
        <v>-31.66869774679185</v>
      </c>
      <c r="BE53" s="1">
        <f ca="1">OFFSET(A53,0, 5) -0</f>
        <v>-18.639133291079816</v>
      </c>
      <c r="BF53" s="1">
        <f ca="1">OFFSET(A53,0, 9) -0</f>
        <v>35.301737797496116</v>
      </c>
      <c r="BG53" s="1">
        <f ca="1">OFFSET(A53,0, 3) -0</f>
        <v>34.390431164632218</v>
      </c>
      <c r="BH53" s="1">
        <f ca="1">OFFSET(A53,0, 11) -0</f>
        <v>-17.727826658215974</v>
      </c>
      <c r="BI53" s="1">
        <f ca="1">OFFSET(A53,0, 4) -0</f>
        <v>7.8756489367760878</v>
      </c>
      <c r="BJ53" s="1">
        <f ca="1">OFFSET(A53,0, 12) -0</f>
        <v>-54.242608886071991</v>
      </c>
      <c r="BK53" s="1">
        <f ca="1">OFFSET(A53,0, 1) -0</f>
        <v>7.4199956203442525</v>
      </c>
      <c r="BL53" s="1">
        <f ca="1">OFFSET(A53,0, 10) -0</f>
        <v>8.7869555696400425</v>
      </c>
      <c r="BM53" s="1">
        <f ca="1">OFFSET(A53,0, 6) -0</f>
        <v>-25.153915518935946</v>
      </c>
      <c r="BN53" s="1">
        <f ca="1">OFFSET(A53,0, 8) -0</f>
        <v>41.81652002535202</v>
      </c>
      <c r="BO53" s="1">
        <f ca="1">OFFSET(A53,0, 15) -0</f>
        <v>-23.786955569640043</v>
      </c>
      <c r="BP53" s="1">
        <f ca="1">OFFSET(A53,0, 20) -0</f>
        <v>3.6391332910798155</v>
      </c>
      <c r="BQ53" s="1">
        <f ca="1">OFFSET(A53,0, 18) -0</f>
        <v>-13.33130225320815</v>
      </c>
      <c r="BR53" s="1">
        <f ca="1">OFFSET(A53,0, 22) -0</f>
        <v>20.609568835367782</v>
      </c>
      <c r="BS53" s="1">
        <f ca="1">OFFSET(A53,0, 14) -0</f>
        <v>-27.272173341784026</v>
      </c>
      <c r="BT53" s="1">
        <f ca="1">OFFSET(A53,0, 24) -0</f>
        <v>17.580004379655747</v>
      </c>
      <c r="BU53" s="1">
        <f ca="1">OFFSET(A53,0, 16) -0</f>
        <v>19.698262202503884</v>
      </c>
      <c r="BV53" s="1">
        <f ca="1">OFFSET(A53,0, 23) -0</f>
        <v>-5.9052133924883492</v>
      </c>
      <c r="BW53" s="1">
        <f ca="1">OFFSET(A53,0, 13) -0</f>
        <v>-10.757391113928009</v>
      </c>
      <c r="BX53" s="1">
        <f ca="1">OFFSET(A53,0, 21) -0</f>
        <v>-2.8756489367760878</v>
      </c>
      <c r="BY53" s="1">
        <f ca="1">OFFSET(A53,0, 17) -0</f>
        <v>3.1834799746479803</v>
      </c>
      <c r="BZ53" s="1">
        <f ca="1">OFFSET(A53,0, 19) -0</f>
        <v>-9.8460844810640538</v>
      </c>
      <c r="CB53" s="1">
        <f>COUNTIF(B53,"&lt;-69")</f>
        <v>0</v>
      </c>
      <c r="CC53" s="1">
        <f ca="1">COUNTIF(BC53:BN53,"&lt;-49")</f>
        <v>1</v>
      </c>
      <c r="CD53" s="1">
        <f ca="1">COUNTIF(BC53:BN53,"&gt;+49")</f>
        <v>0</v>
      </c>
      <c r="CE53" s="1">
        <f ca="1">COUNTIF(BO53:BZ53,"&lt;-49")</f>
        <v>0</v>
      </c>
      <c r="CF53" s="1">
        <f ca="1">COUNTIF(BO53:BZ53,"&gt;+49")</f>
        <v>0</v>
      </c>
    </row>
    <row r="54" spans="1:84">
      <c r="A54" s="1">
        <v>51</v>
      </c>
      <c r="B54" s="1">
        <f>'Team B 1'!B54-'Team B 1'!$AA54-('Team B 1'!B$2- 12.5)*'Team B 1'!$AC54</f>
        <v>19.859165586603922</v>
      </c>
      <c r="C54" s="1">
        <f>'Team B 1'!C54-'Team B 1'!$AA54-('Team B 1'!C$2- 12.5)*'Team B 1'!$AC54</f>
        <v>3.6032961153064207</v>
      </c>
      <c r="D54" s="1">
        <f>'Team B 1'!D54-'Team B 1'!$AA54-('Team B 1'!D$2- 12.5)*'Team B 1'!$AC54</f>
        <v>37.347426644009374</v>
      </c>
      <c r="E54" s="1">
        <f>'Team B 1'!E54-'Team B 1'!$AA54-('Team B 1'!E$2- 12.5)*'Team B 1'!$AC54</f>
        <v>31.091557172712101</v>
      </c>
      <c r="F54" s="1">
        <f>'Team B 1'!F54-'Team B 1'!$AA54-('Team B 1'!F$2- 12.5)*'Team B 1'!$AC54</f>
        <v>4.8356877014150541</v>
      </c>
      <c r="G54" s="1">
        <f>'Team B 1'!G54-'Team B 1'!$AA54-('Team B 1'!G$2- 12.5)*'Team B 1'!$AC54</f>
        <v>-11.42018176988222</v>
      </c>
      <c r="H54" s="1">
        <f>'Team B 1'!H54-'Team B 1'!$AA54-('Team B 1'!H$2- 12.5)*'Team B 1'!$AC54</f>
        <v>12.323948758820507</v>
      </c>
      <c r="I54" s="1">
        <f>'Team B 1'!I54-'Team B 1'!$AA54-('Team B 1'!I$2- 12.5)*'Team B 1'!$AC54</f>
        <v>56.06807928752346</v>
      </c>
      <c r="J54" s="1">
        <f>'Team B 1'!J54-'Team B 1'!$AA54-('Team B 1'!J$2- 12.5)*'Team B 1'!$AC54</f>
        <v>19.812209816226186</v>
      </c>
      <c r="K54" s="1">
        <f>'Team B 1'!K54-'Team B 1'!$AA54-('Team B 1'!K$2- 12.5)*'Team B 1'!$AC54</f>
        <v>-6.4436596550709737</v>
      </c>
      <c r="L54" s="1">
        <f>'Team B 1'!L54-'Team B 1'!$AA54-('Team B 1'!L$2- 12.5)*'Team B 1'!$AC54</f>
        <v>-12.699529126368134</v>
      </c>
      <c r="M54" s="1">
        <f>'Team B 1'!M54-'Team B 1'!$AA54-('Team B 1'!M$2- 12.5)*'Team B 1'!$AC54</f>
        <v>-18.955398597665337</v>
      </c>
      <c r="N54" s="1">
        <f>'Team B 1'!N54-'Team B 1'!$AA54-('Team B 1'!N$2- 12.5)*'Team B 1'!$AC54</f>
        <v>-35.211268068962525</v>
      </c>
      <c r="O54" s="1">
        <f>'Team B 1'!O54-'Team B 1'!$AA54-('Team B 1'!O$2- 12.5)*'Team B 1'!$AC54</f>
        <v>-11.467137540259728</v>
      </c>
      <c r="P54" s="1">
        <f>'Team B 1'!P54-'Team B 1'!$AA54-('Team B 1'!P$2- 12.5)*'Team B 1'!$AC54</f>
        <v>-7.7230070115568878</v>
      </c>
      <c r="Q54" s="1">
        <f>'Team B 1'!Q54-'Team B 1'!$AA54-('Team B 1'!Q$2- 12.5)*'Team B 1'!$AC54</f>
        <v>36.021123517145952</v>
      </c>
      <c r="R54" s="1">
        <f>'Team B 1'!R54-'Team B 1'!$AA54-('Team B 1'!R$2- 12.5)*'Team B 1'!$AC54</f>
        <v>-0.23474595415132171</v>
      </c>
      <c r="S54" s="1">
        <f>'Team B 1'!S54-'Team B 1'!$AA54-('Team B 1'!S$2- 12.5)*'Team B 1'!$AC54</f>
        <v>-6.4906154254483681</v>
      </c>
      <c r="T54" s="1">
        <f>'Team B 1'!T54-'Team B 1'!$AA54-('Team B 1'!T$2- 12.5)*'Team B 1'!$AC54</f>
        <v>-12.746484896745642</v>
      </c>
      <c r="U54" s="1">
        <f>'Team B 1'!U54-'Team B 1'!$AA54-('Team B 1'!U$2- 12.5)*'Team B 1'!$AC54</f>
        <v>-59.002354368042916</v>
      </c>
      <c r="V54" s="1">
        <f>'Team B 1'!V54-'Team B 1'!$AA54-('Team B 1'!V$2- 12.5)*'Team B 1'!$AC54</f>
        <v>4.7417761606600379</v>
      </c>
      <c r="W54" s="1">
        <f>'Team B 1'!W54-'Team B 1'!$AA54-('Team B 1'!W$2- 12.5)*'Team B 1'!$AC54</f>
        <v>-11.514093310637236</v>
      </c>
      <c r="X54" s="1">
        <f>'Team B 1'!X54-'Team B 1'!$AA54-('Team B 1'!X$2- 12.5)*'Team B 1'!$AC54</f>
        <v>-37.769962781934282</v>
      </c>
      <c r="Y54" s="1">
        <f>'Team B 1'!Y54-'Team B 1'!$AA54-('Team B 1'!Y$2- 12.5)*'Team B 1'!$AC54</f>
        <v>5.9741677467682166</v>
      </c>
      <c r="AB54" s="1">
        <f>STDEV(B54:Y54)</f>
        <v>25.711253592759633</v>
      </c>
      <c r="AD54" s="5">
        <v>5</v>
      </c>
      <c r="AE54" s="5">
        <v>9</v>
      </c>
      <c r="AF54" s="5">
        <v>7</v>
      </c>
      <c r="AG54" s="5">
        <v>1</v>
      </c>
      <c r="AH54" s="5">
        <v>3</v>
      </c>
      <c r="AI54" s="5" t="s">
        <v>46</v>
      </c>
      <c r="AJ54" s="5">
        <v>2</v>
      </c>
      <c r="AK54" s="5" t="s">
        <v>47</v>
      </c>
      <c r="AL54" s="5">
        <v>4</v>
      </c>
      <c r="AM54" s="5" t="s">
        <v>45</v>
      </c>
      <c r="AN54" s="5">
        <v>6</v>
      </c>
      <c r="AO54" s="5">
        <v>8</v>
      </c>
      <c r="AP54" s="5">
        <v>5</v>
      </c>
      <c r="AQ54" s="5">
        <v>9</v>
      </c>
      <c r="AR54" s="5">
        <v>1</v>
      </c>
      <c r="AS54" s="5">
        <v>7</v>
      </c>
      <c r="AT54" s="5">
        <v>3</v>
      </c>
      <c r="AU54" s="5">
        <v>2</v>
      </c>
      <c r="AV54" s="5" t="s">
        <v>46</v>
      </c>
      <c r="AW54" s="5">
        <v>4</v>
      </c>
      <c r="AX54" s="5" t="s">
        <v>47</v>
      </c>
      <c r="AY54" s="5">
        <v>6</v>
      </c>
      <c r="AZ54" s="5" t="s">
        <v>45</v>
      </c>
      <c r="BA54" s="5">
        <v>8</v>
      </c>
      <c r="BB54" s="5"/>
      <c r="BC54" s="1">
        <f ca="1">OFFSET(A54,0, 4) -0</f>
        <v>31.091557172712101</v>
      </c>
      <c r="BD54" s="1">
        <f ca="1">OFFSET(A54,0, 7) -0</f>
        <v>12.323948758820507</v>
      </c>
      <c r="BE54" s="1">
        <f ca="1">OFFSET(A54,0, 5) -0</f>
        <v>4.8356877014150541</v>
      </c>
      <c r="BF54" s="1">
        <f ca="1">OFFSET(A54,0, 9) -0</f>
        <v>19.812209816226186</v>
      </c>
      <c r="BG54" s="1">
        <f ca="1">OFFSET(A54,0, 1) -0</f>
        <v>19.859165586603922</v>
      </c>
      <c r="BH54" s="1">
        <f ca="1">OFFSET(A54,0, 11) -0</f>
        <v>-12.699529126368134</v>
      </c>
      <c r="BI54" s="1">
        <f ca="1">OFFSET(A54,0, 3) -0</f>
        <v>37.347426644009374</v>
      </c>
      <c r="BJ54" s="1">
        <f ca="1">OFFSET(A54,0, 12) -0</f>
        <v>-18.955398597665337</v>
      </c>
      <c r="BK54" s="1">
        <f ca="1">OFFSET(A54,0, 2) -0</f>
        <v>3.6032961153064207</v>
      </c>
      <c r="BL54" s="1">
        <f ca="1">OFFSET(A54,0, 10) -0</f>
        <v>-6.4436596550709737</v>
      </c>
      <c r="BM54" s="1">
        <f ca="1">OFFSET(A54,0, 6) -0</f>
        <v>-11.42018176988222</v>
      </c>
      <c r="BN54" s="1">
        <f ca="1">OFFSET(A54,0, 8) -0</f>
        <v>56.06807928752346</v>
      </c>
      <c r="BO54" s="1">
        <f ca="1">OFFSET(A54,0, 15) -0</f>
        <v>-7.7230070115568878</v>
      </c>
      <c r="BP54" s="1">
        <f ca="1">OFFSET(A54,0, 18) -0</f>
        <v>-6.4906154254483681</v>
      </c>
      <c r="BQ54" s="1">
        <f ca="1">OFFSET(A54,0, 17) -0</f>
        <v>-0.23474595415132171</v>
      </c>
      <c r="BR54" s="1">
        <f ca="1">OFFSET(A54,0, 20) -0</f>
        <v>-59.002354368042916</v>
      </c>
      <c r="BS54" s="1">
        <f ca="1">OFFSET(A54,0, 13) -0</f>
        <v>-35.211268068962525</v>
      </c>
      <c r="BT54" s="1">
        <f ca="1">OFFSET(A54,0, 22) -0</f>
        <v>-11.514093310637236</v>
      </c>
      <c r="BU54" s="1">
        <f ca="1">OFFSET(A54,0, 16) -0</f>
        <v>36.021123517145952</v>
      </c>
      <c r="BV54" s="1">
        <f ca="1">OFFSET(A54,0, 24) -0</f>
        <v>5.9741677467682166</v>
      </c>
      <c r="BW54" s="1">
        <f ca="1">OFFSET(A54,0, 14) -0</f>
        <v>-11.467137540259728</v>
      </c>
      <c r="BX54" s="1">
        <f ca="1">OFFSET(A54,0, 23) -0</f>
        <v>-37.769962781934282</v>
      </c>
      <c r="BY54" s="1">
        <f ca="1">OFFSET(A54,0, 19) -0</f>
        <v>-12.746484896745642</v>
      </c>
      <c r="BZ54" s="1">
        <f ca="1">OFFSET(A54,0, 21) -0</f>
        <v>4.7417761606600379</v>
      </c>
      <c r="CB54" s="1">
        <f>COUNTIF(B54,"&lt;-69")</f>
        <v>0</v>
      </c>
      <c r="CC54" s="1">
        <f ca="1">COUNTIF(BC54:BN54,"&lt;-49")</f>
        <v>0</v>
      </c>
      <c r="CD54" s="1">
        <f ca="1">COUNTIF(BC54:BN54,"&gt;+49")</f>
        <v>1</v>
      </c>
      <c r="CE54" s="1">
        <f ca="1">COUNTIF(BO54:BZ54,"&lt;-49")</f>
        <v>1</v>
      </c>
      <c r="CF54" s="1">
        <f ca="1">COUNTIF(BO54:BZ54,"&gt;+49")</f>
        <v>0</v>
      </c>
    </row>
    <row r="55" spans="1:84">
      <c r="A55" s="1">
        <v>52</v>
      </c>
      <c r="B55" s="1">
        <f>'Team B 1'!B55-'Team B 1'!$AA55-('Team B 1'!B$2- 12.5)*'Team B 1'!$AC55</f>
        <v>16.693689379185344</v>
      </c>
      <c r="C55" s="1">
        <f>'Team B 1'!C55-'Team B 1'!$AA55-('Team B 1'!C$2- 12.5)*'Team B 1'!$AC55</f>
        <v>51.039165665054952</v>
      </c>
      <c r="D55" s="1">
        <f>'Team B 1'!D55-'Team B 1'!$AA55-('Team B 1'!D$2- 12.5)*'Team B 1'!$AC55</f>
        <v>25.384641950924561</v>
      </c>
      <c r="E55" s="1">
        <f>'Team B 1'!E55-'Team B 1'!$AA55-('Team B 1'!E$2- 12.5)*'Team B 1'!$AC55</f>
        <v>19.730118236794169</v>
      </c>
      <c r="F55" s="1">
        <f>'Team B 1'!F55-'Team B 1'!$AA55-('Team B 1'!F$2- 12.5)*'Team B 1'!$AC55</f>
        <v>-5.9244054773362222</v>
      </c>
      <c r="G55" s="1">
        <f>'Team B 1'!G55-'Team B 1'!$AA55-('Team B 1'!G$2- 12.5)*'Team B 1'!$AC55</f>
        <v>-41.578929191466614</v>
      </c>
      <c r="H55" s="1">
        <f>'Team B 1'!H55-'Team B 1'!$AA55-('Team B 1'!H$2- 12.5)*'Team B 1'!$AC55</f>
        <v>-7.2334529055970052</v>
      </c>
      <c r="I55" s="1">
        <f>'Team B 1'!I55-'Team B 1'!$AA55-('Team B 1'!I$2- 12.5)*'Team B 1'!$AC55</f>
        <v>-22.887976619727283</v>
      </c>
      <c r="J55" s="1">
        <f>'Team B 1'!J55-'Team B 1'!$AA55-('Team B 1'!J$2- 12.5)*'Team B 1'!$AC55</f>
        <v>-8.5425003338576744</v>
      </c>
      <c r="K55" s="1">
        <f>'Team B 1'!K55-'Team B 1'!$AA55-('Team B 1'!K$2- 12.5)*'Team B 1'!$AC55</f>
        <v>25.802975952011991</v>
      </c>
      <c r="L55" s="1">
        <f>'Team B 1'!L55-'Team B 1'!$AA55-('Team B 1'!L$2- 12.5)*'Team B 1'!$AC55</f>
        <v>-29.8515477621184</v>
      </c>
      <c r="M55" s="1">
        <f>'Team B 1'!M55-'Team B 1'!$AA55-('Team B 1'!M$2- 12.5)*'Team B 1'!$AC55</f>
        <v>14.493928523751251</v>
      </c>
      <c r="N55" s="1">
        <f>'Team B 1'!N55-'Team B 1'!$AA55-('Team B 1'!N$2- 12.5)*'Team B 1'!$AC55</f>
        <v>-1.1605951903791123</v>
      </c>
      <c r="O55" s="1">
        <f>'Team B 1'!O55-'Team B 1'!$AA55-('Team B 1'!O$2- 12.5)*'Team B 1'!$AC55</f>
        <v>-26.815118904509461</v>
      </c>
      <c r="P55" s="1">
        <f>'Team B 1'!P55-'Team B 1'!$AA55-('Team B 1'!P$2- 12.5)*'Team B 1'!$AC55</f>
        <v>7.5303573813601474</v>
      </c>
      <c r="Q55" s="1">
        <f>'Team B 1'!Q55-'Team B 1'!$AA55-('Team B 1'!Q$2- 12.5)*'Team B 1'!$AC55</f>
        <v>31.875833667229813</v>
      </c>
      <c r="R55" s="1">
        <f>'Team B 1'!R55-'Team B 1'!$AA55-('Team B 1'!R$2- 12.5)*'Team B 1'!$AC55</f>
        <v>46.221309953099421</v>
      </c>
      <c r="S55" s="1">
        <f>'Team B 1'!S55-'Team B 1'!$AA55-('Team B 1'!S$2- 12.5)*'Team B 1'!$AC55</f>
        <v>10.566786238969144</v>
      </c>
      <c r="T55" s="1">
        <f>'Team B 1'!T55-'Team B 1'!$AA55-('Team B 1'!T$2- 12.5)*'Team B 1'!$AC55</f>
        <v>-15.087737475161248</v>
      </c>
      <c r="U55" s="1">
        <f>'Team B 1'!U55-'Team B 1'!$AA55-('Team B 1'!U$2- 12.5)*'Team B 1'!$AC55</f>
        <v>-50.742261189291639</v>
      </c>
      <c r="V55" s="1">
        <f>'Team B 1'!V55-'Team B 1'!$AA55-('Team B 1'!V$2- 12.5)*'Team B 1'!$AC55</f>
        <v>-16.396784903422031</v>
      </c>
      <c r="W55" s="1">
        <f>'Team B 1'!W55-'Team B 1'!$AA55-('Team B 1'!W$2- 12.5)*'Team B 1'!$AC55</f>
        <v>-12.051308617552422</v>
      </c>
      <c r="X55" s="1">
        <f>'Team B 1'!X55-'Team B 1'!$AA55-('Team B 1'!X$2- 12.5)*'Team B 1'!$AC55</f>
        <v>2.2941676683171863</v>
      </c>
      <c r="Y55" s="1">
        <f>'Team B 1'!Y55-'Team B 1'!$AA55-('Team B 1'!Y$2- 12.5)*'Team B 1'!$AC55</f>
        <v>-13.360356045813205</v>
      </c>
      <c r="AB55" s="1">
        <f>STDEV(B55:Y55)</f>
        <v>25.992377823958414</v>
      </c>
      <c r="AD55" s="5">
        <v>9</v>
      </c>
      <c r="AE55" s="5">
        <v>5</v>
      </c>
      <c r="AF55" s="5">
        <v>7</v>
      </c>
      <c r="AG55" s="5">
        <v>1</v>
      </c>
      <c r="AH55" s="5">
        <v>2</v>
      </c>
      <c r="AI55" s="5">
        <v>3</v>
      </c>
      <c r="AJ55" s="5">
        <v>4</v>
      </c>
      <c r="AK55" s="5" t="s">
        <v>46</v>
      </c>
      <c r="AL55" s="5">
        <v>6</v>
      </c>
      <c r="AM55" s="5" t="s">
        <v>47</v>
      </c>
      <c r="AN55" s="5">
        <v>8</v>
      </c>
      <c r="AO55" s="5" t="s">
        <v>45</v>
      </c>
      <c r="AP55" s="5">
        <v>5</v>
      </c>
      <c r="AQ55" s="5">
        <v>9</v>
      </c>
      <c r="AR55" s="5">
        <v>7</v>
      </c>
      <c r="AS55" s="5">
        <v>2</v>
      </c>
      <c r="AT55" s="5">
        <v>1</v>
      </c>
      <c r="AU55" s="5">
        <v>3</v>
      </c>
      <c r="AV55" s="5" t="s">
        <v>46</v>
      </c>
      <c r="AW55" s="5">
        <v>4</v>
      </c>
      <c r="AX55" s="5" t="s">
        <v>47</v>
      </c>
      <c r="AY55" s="5">
        <v>6</v>
      </c>
      <c r="AZ55" s="5" t="s">
        <v>45</v>
      </c>
      <c r="BA55" s="5">
        <v>8</v>
      </c>
      <c r="BB55" s="5"/>
      <c r="BC55" s="1">
        <f ca="1">OFFSET(A55,0, 4) -0</f>
        <v>19.730118236794169</v>
      </c>
      <c r="BD55" s="1">
        <f ca="1">OFFSET(A55,0, 5) -0</f>
        <v>-5.9244054773362222</v>
      </c>
      <c r="BE55" s="1">
        <f ca="1">OFFSET(A55,0, 6) -0</f>
        <v>-41.578929191466614</v>
      </c>
      <c r="BF55" s="1">
        <f ca="1">OFFSET(A55,0, 7) -0</f>
        <v>-7.2334529055970052</v>
      </c>
      <c r="BG55" s="1">
        <f ca="1">OFFSET(A55,0, 2) -0</f>
        <v>51.039165665054952</v>
      </c>
      <c r="BH55" s="1">
        <f ca="1">OFFSET(A55,0, 9) -0</f>
        <v>-8.5425003338576744</v>
      </c>
      <c r="BI55" s="1">
        <f ca="1">OFFSET(A55,0, 3) -0</f>
        <v>25.384641950924561</v>
      </c>
      <c r="BJ55" s="1">
        <f ca="1">OFFSET(A55,0, 11) -0</f>
        <v>-29.8515477621184</v>
      </c>
      <c r="BK55" s="1">
        <f ca="1">OFFSET(A55,0, 1) -0</f>
        <v>16.693689379185344</v>
      </c>
      <c r="BL55" s="1">
        <f ca="1">OFFSET(A55,0, 12) -0</f>
        <v>14.493928523751251</v>
      </c>
      <c r="BM55" s="1">
        <f ca="1">OFFSET(A55,0, 8) -0</f>
        <v>-22.887976619727283</v>
      </c>
      <c r="BN55" s="1">
        <f ca="1">OFFSET(A55,0, 10) -0</f>
        <v>25.802975952011991</v>
      </c>
      <c r="BO55" s="1">
        <f ca="1">OFFSET(A55,0, 17) -0</f>
        <v>46.221309953099421</v>
      </c>
      <c r="BP55" s="1">
        <f ca="1">OFFSET(A55,0, 16) -0</f>
        <v>31.875833667229813</v>
      </c>
      <c r="BQ55" s="1">
        <f ca="1">OFFSET(A55,0, 18) -0</f>
        <v>10.566786238969144</v>
      </c>
      <c r="BR55" s="1">
        <f ca="1">OFFSET(A55,0, 20) -0</f>
        <v>-50.742261189291639</v>
      </c>
      <c r="BS55" s="1">
        <f ca="1">OFFSET(A55,0, 13) -0</f>
        <v>-1.1605951903791123</v>
      </c>
      <c r="BT55" s="1">
        <f ca="1">OFFSET(A55,0, 22) -0</f>
        <v>-12.051308617552422</v>
      </c>
      <c r="BU55" s="1">
        <f ca="1">OFFSET(A55,0, 15) -0</f>
        <v>7.5303573813601474</v>
      </c>
      <c r="BV55" s="1">
        <f ca="1">OFFSET(A55,0, 24) -0</f>
        <v>-13.360356045813205</v>
      </c>
      <c r="BW55" s="1">
        <f ca="1">OFFSET(A55,0, 14) -0</f>
        <v>-26.815118904509461</v>
      </c>
      <c r="BX55" s="1">
        <f ca="1">OFFSET(A55,0, 23) -0</f>
        <v>2.2941676683171863</v>
      </c>
      <c r="BY55" s="1">
        <f ca="1">OFFSET(A55,0, 19) -0</f>
        <v>-15.087737475161248</v>
      </c>
      <c r="BZ55" s="1">
        <f ca="1">OFFSET(A55,0, 21) -0</f>
        <v>-16.396784903422031</v>
      </c>
      <c r="CB55" s="1">
        <f>COUNTIF(B55,"&lt;-69")</f>
        <v>0</v>
      </c>
      <c r="CC55" s="1">
        <f ca="1">COUNTIF(BC55:BN55,"&lt;-49")</f>
        <v>0</v>
      </c>
      <c r="CD55" s="1">
        <f ca="1">COUNTIF(BC55:BN55,"&gt;+49")</f>
        <v>1</v>
      </c>
      <c r="CE55" s="1">
        <f ca="1">COUNTIF(BO55:BZ55,"&lt;-49")</f>
        <v>1</v>
      </c>
      <c r="CF55" s="1">
        <f ca="1">COUNTIF(BO55:BZ55,"&gt;+49")</f>
        <v>0</v>
      </c>
    </row>
    <row r="56" spans="1:84">
      <c r="A56" s="1">
        <v>53</v>
      </c>
      <c r="B56" s="1">
        <f>'Team B 1'!B56-'Team B 1'!$AA56-('Team B 1'!B$2- 12.5)*'Team B 1'!$AC56</f>
        <v>22.014307765149624</v>
      </c>
      <c r="C56" s="1">
        <f>'Team B 1'!C56-'Team B 1'!$AA56-('Team B 1'!C$2- 12.5)*'Team B 1'!$AC56</f>
        <v>16.3681360754249</v>
      </c>
      <c r="D56" s="1">
        <f>'Team B 1'!D56-'Team B 1'!$AA56-('Team B 1'!D$2- 12.5)*'Team B 1'!$AC56</f>
        <v>0.72196438569994825</v>
      </c>
      <c r="E56" s="1">
        <f>'Team B 1'!E56-'Team B 1'!$AA56-('Team B 1'!E$2- 12.5)*'Team B 1'!$AC56</f>
        <v>15.075792695974997</v>
      </c>
      <c r="F56" s="1">
        <f>'Team B 1'!F56-'Team B 1'!$AA56-('Team B 1'!F$2- 12.5)*'Team B 1'!$AC56</f>
        <v>19.429621006250272</v>
      </c>
      <c r="G56" s="1">
        <f>'Team B 1'!G56-'Team B 1'!$AA56-('Team B 1'!G$2- 12.5)*'Team B 1'!$AC56</f>
        <v>53.783449316525321</v>
      </c>
      <c r="H56" s="1">
        <f>'Team B 1'!H56-'Team B 1'!$AA56-('Team B 1'!H$2- 12.5)*'Team B 1'!$AC56</f>
        <v>28.137277626800596</v>
      </c>
      <c r="I56" s="1">
        <f>'Team B 1'!I56-'Team B 1'!$AA56-('Team B 1'!I$2- 12.5)*'Team B 1'!$AC56</f>
        <v>2.4911059370756448</v>
      </c>
      <c r="J56" s="1">
        <f>'Team B 1'!J56-'Team B 1'!$AA56-('Team B 1'!J$2- 12.5)*'Team B 1'!$AC56</f>
        <v>-33.15506575264908</v>
      </c>
      <c r="K56" s="1">
        <f>'Team B 1'!K56-'Team B 1'!$AA56-('Team B 1'!K$2- 12.5)*'Team B 1'!$AC56</f>
        <v>21.198762557626026</v>
      </c>
      <c r="L56" s="1">
        <f>'Team B 1'!L56-'Team B 1'!$AA56-('Team B 1'!L$2- 12.5)*'Team B 1'!$AC56</f>
        <v>-44.447409132098812</v>
      </c>
      <c r="M56" s="1">
        <f>'Team B 1'!M56-'Team B 1'!$AA56-('Team B 1'!M$2- 12.5)*'Team B 1'!$AC56</f>
        <v>9.9064191781763498</v>
      </c>
      <c r="N56" s="1">
        <f>'Team B 1'!N56-'Team B 1'!$AA56-('Team B 1'!N$2- 12.5)*'Team B 1'!$AC56</f>
        <v>-25.739752511548488</v>
      </c>
      <c r="O56" s="1">
        <f>'Team B 1'!O56-'Team B 1'!$AA56-('Team B 1'!O$2- 12.5)*'Team B 1'!$AC56</f>
        <v>8.6140757987266738</v>
      </c>
      <c r="P56" s="1">
        <f>'Team B 1'!P56-'Team B 1'!$AA56-('Team B 1'!P$2- 12.5)*'Team B 1'!$AC56</f>
        <v>2.9679041090018359</v>
      </c>
      <c r="Q56" s="1">
        <f>'Team B 1'!Q56-'Team B 1'!$AA56-('Team B 1'!Q$2- 12.5)*'Team B 1'!$AC56</f>
        <v>17.321732419276941</v>
      </c>
      <c r="R56" s="1">
        <f>'Team B 1'!R56-'Team B 1'!$AA56-('Team B 1'!R$2- 12.5)*'Team B 1'!$AC56</f>
        <v>11.675560729552217</v>
      </c>
      <c r="S56" s="1">
        <f>'Team B 1'!S56-'Team B 1'!$AA56-('Team B 1'!S$2- 12.5)*'Team B 1'!$AC56</f>
        <v>26.029389039827265</v>
      </c>
      <c r="T56" s="1">
        <f>'Team B 1'!T56-'Team B 1'!$AA56-('Team B 1'!T$2- 12.5)*'Team B 1'!$AC56</f>
        <v>-19.616782649897459</v>
      </c>
      <c r="U56" s="1">
        <f>'Team B 1'!U56-'Team B 1'!$AA56-('Team B 1'!U$2- 12.5)*'Team B 1'!$AC56</f>
        <v>-15.262954339622411</v>
      </c>
      <c r="V56" s="1">
        <f>'Team B 1'!V56-'Team B 1'!$AA56-('Team B 1'!V$2- 12.5)*'Team B 1'!$AC56</f>
        <v>-30.909126029347135</v>
      </c>
      <c r="W56" s="1">
        <f>'Team B 1'!W56-'Team B 1'!$AA56-('Team B 1'!W$2- 12.5)*'Team B 1'!$AC56</f>
        <v>-86.555297719072087</v>
      </c>
      <c r="X56" s="1">
        <f>'Team B 1'!X56-'Team B 1'!$AA56-('Team B 1'!X$2- 12.5)*'Team B 1'!$AC56</f>
        <v>-22.201469408797038</v>
      </c>
      <c r="Y56" s="1">
        <f>'Team B 1'!Y56-'Team B 1'!$AA56-('Team B 1'!Y$2- 12.5)*'Team B 1'!$AC56</f>
        <v>22.152358901478237</v>
      </c>
      <c r="AB56" s="1">
        <f>STDEV(B56:Y56)</f>
        <v>29.912060151861802</v>
      </c>
      <c r="AD56" s="5">
        <v>9</v>
      </c>
      <c r="AE56" s="5">
        <v>5</v>
      </c>
      <c r="AF56" s="5">
        <v>2</v>
      </c>
      <c r="AG56" s="5">
        <v>7</v>
      </c>
      <c r="AH56" s="5">
        <v>3</v>
      </c>
      <c r="AI56" s="5">
        <v>1</v>
      </c>
      <c r="AJ56" s="5">
        <v>4</v>
      </c>
      <c r="AK56" s="5" t="s">
        <v>46</v>
      </c>
      <c r="AL56" s="5">
        <v>6</v>
      </c>
      <c r="AM56" s="5" t="s">
        <v>47</v>
      </c>
      <c r="AN56" s="5">
        <v>8</v>
      </c>
      <c r="AO56" s="5" t="s">
        <v>45</v>
      </c>
      <c r="AP56" s="5">
        <v>9</v>
      </c>
      <c r="AQ56" s="5">
        <v>2</v>
      </c>
      <c r="AR56" s="5">
        <v>5</v>
      </c>
      <c r="AS56" s="5">
        <v>7</v>
      </c>
      <c r="AT56" s="5">
        <v>1</v>
      </c>
      <c r="AU56" s="5">
        <v>3</v>
      </c>
      <c r="AV56" s="5">
        <v>4</v>
      </c>
      <c r="AW56" s="5">
        <v>6</v>
      </c>
      <c r="AX56" s="5" t="s">
        <v>46</v>
      </c>
      <c r="AY56" s="5">
        <v>8</v>
      </c>
      <c r="AZ56" s="5" t="s">
        <v>47</v>
      </c>
      <c r="BA56" s="5" t="s">
        <v>45</v>
      </c>
      <c r="BB56" s="5"/>
      <c r="BC56" s="1">
        <f ca="1">OFFSET(A56,0, 6) -0</f>
        <v>53.783449316525321</v>
      </c>
      <c r="BD56" s="1">
        <f ca="1">OFFSET(A56,0, 3) -0</f>
        <v>0.72196438569994825</v>
      </c>
      <c r="BE56" s="1">
        <f ca="1">OFFSET(A56,0, 5) -0</f>
        <v>19.429621006250272</v>
      </c>
      <c r="BF56" s="1">
        <f ca="1">OFFSET(A56,0, 7) -0</f>
        <v>28.137277626800596</v>
      </c>
      <c r="BG56" s="1">
        <f ca="1">OFFSET(A56,0, 2) -0</f>
        <v>16.3681360754249</v>
      </c>
      <c r="BH56" s="1">
        <f ca="1">OFFSET(A56,0, 9) -0</f>
        <v>-33.15506575264908</v>
      </c>
      <c r="BI56" s="1">
        <f ca="1">OFFSET(A56,0, 4) -0</f>
        <v>15.075792695974997</v>
      </c>
      <c r="BJ56" s="1">
        <f ca="1">OFFSET(A56,0, 11) -0</f>
        <v>-44.447409132098812</v>
      </c>
      <c r="BK56" s="1">
        <f ca="1">OFFSET(A56,0, 1) -0</f>
        <v>22.014307765149624</v>
      </c>
      <c r="BL56" s="1">
        <f ca="1">OFFSET(A56,0, 12) -0</f>
        <v>9.9064191781763498</v>
      </c>
      <c r="BM56" s="1">
        <f ca="1">OFFSET(A56,0, 8) -0</f>
        <v>2.4911059370756448</v>
      </c>
      <c r="BN56" s="1">
        <f ca="1">OFFSET(A56,0, 10) -0</f>
        <v>21.198762557626026</v>
      </c>
      <c r="BO56" s="1">
        <f ca="1">OFFSET(A56,0, 17) -0</f>
        <v>11.675560729552217</v>
      </c>
      <c r="BP56" s="1">
        <f ca="1">OFFSET(A56,0, 14) -0</f>
        <v>8.6140757987266738</v>
      </c>
      <c r="BQ56" s="1">
        <f ca="1">OFFSET(A56,0, 18) -0</f>
        <v>26.029389039827265</v>
      </c>
      <c r="BR56" s="1">
        <f ca="1">OFFSET(A56,0, 19) -0</f>
        <v>-19.616782649897459</v>
      </c>
      <c r="BS56" s="1">
        <f ca="1">OFFSET(A56,0, 15) -0</f>
        <v>2.9679041090018359</v>
      </c>
      <c r="BT56" s="1">
        <f ca="1">OFFSET(A56,0, 20) -0</f>
        <v>-15.262954339622411</v>
      </c>
      <c r="BU56" s="1">
        <f ca="1">OFFSET(A56,0, 16) -0</f>
        <v>17.321732419276941</v>
      </c>
      <c r="BV56" s="1">
        <f ca="1">OFFSET(A56,0, 22) -0</f>
        <v>-86.555297719072087</v>
      </c>
      <c r="BW56" s="1">
        <f ca="1">OFFSET(A56,0, 13) -0</f>
        <v>-25.739752511548488</v>
      </c>
      <c r="BX56" s="1">
        <f ca="1">OFFSET(A56,0, 24) -0</f>
        <v>22.152358901478237</v>
      </c>
      <c r="BY56" s="1">
        <f ca="1">OFFSET(A56,0, 21) -0</f>
        <v>-30.909126029347135</v>
      </c>
      <c r="BZ56" s="1">
        <f ca="1">OFFSET(A56,0, 23) -0</f>
        <v>-22.201469408797038</v>
      </c>
      <c r="CB56" s="1">
        <f>COUNTIF(B56,"&lt;-69")</f>
        <v>0</v>
      </c>
      <c r="CC56" s="1">
        <f ca="1">COUNTIF(BC56:BN56,"&lt;-49")</f>
        <v>0</v>
      </c>
      <c r="CD56" s="1">
        <f ca="1">COUNTIF(BC56:BN56,"&gt;+49")</f>
        <v>1</v>
      </c>
      <c r="CE56" s="1">
        <f ca="1">COUNTIF(BO56:BZ56,"&lt;-49")</f>
        <v>1</v>
      </c>
      <c r="CF56" s="1">
        <f ca="1">COUNTIF(BO56:BZ56,"&gt;+49")</f>
        <v>0</v>
      </c>
    </row>
    <row r="57" spans="1:84">
      <c r="A57" s="1">
        <v>54</v>
      </c>
      <c r="B57" s="1">
        <f>'Team B 1'!B57-'Team B 1'!$AA57-('Team B 1'!B$2- 12.5)*'Team B 1'!$AC57</f>
        <v>37.14145723841466</v>
      </c>
      <c r="C57" s="1">
        <f>'Team B 1'!C57-'Team B 1'!$AA57-('Team B 1'!C$2- 12.5)*'Team B 1'!$AC57</f>
        <v>-8.5882346953608248</v>
      </c>
      <c r="D57" s="1">
        <f>'Team B 1'!D57-'Team B 1'!$AA57-('Team B 1'!D$2- 12.5)*'Team B 1'!$AC57</f>
        <v>35.682073370864146</v>
      </c>
      <c r="E57" s="1">
        <f>'Team B 1'!E57-'Team B 1'!$AA57-('Team B 1'!E$2- 12.5)*'Team B 1'!$AC57</f>
        <v>19.952381437088889</v>
      </c>
      <c r="F57" s="1">
        <f>'Team B 1'!F57-'Team B 1'!$AA57-('Team B 1'!F$2- 12.5)*'Team B 1'!$AC57</f>
        <v>44.222689503313859</v>
      </c>
      <c r="G57" s="1">
        <f>'Team B 1'!G57-'Team B 1'!$AA57-('Team B 1'!G$2- 12.5)*'Team B 1'!$AC57</f>
        <v>68.492997569538602</v>
      </c>
      <c r="H57" s="1">
        <f>'Team B 1'!H57-'Team B 1'!$AA57-('Team B 1'!H$2- 12.5)*'Team B 1'!$AC57</f>
        <v>2.763305635763345</v>
      </c>
      <c r="I57" s="1">
        <f>'Team B 1'!I57-'Team B 1'!$AA57-('Team B 1'!I$2- 12.5)*'Team B 1'!$AC57</f>
        <v>7.0336137019883154</v>
      </c>
      <c r="J57" s="1">
        <f>'Team B 1'!J57-'Team B 1'!$AA57-('Team B 1'!J$2- 12.5)*'Team B 1'!$AC57</f>
        <v>-38.696078231786942</v>
      </c>
      <c r="K57" s="1">
        <f>'Team B 1'!K57-'Team B 1'!$AA57-('Team B 1'!K$2- 12.5)*'Team B 1'!$AC57</f>
        <v>-34.425770165562085</v>
      </c>
      <c r="L57" s="1">
        <f>'Team B 1'!L57-'Team B 1'!$AA57-('Team B 1'!L$2- 12.5)*'Team B 1'!$AC57</f>
        <v>-10.155462099337228</v>
      </c>
      <c r="M57" s="1">
        <f>'Team B 1'!M57-'Team B 1'!$AA57-('Team B 1'!M$2- 12.5)*'Team B 1'!$AC57</f>
        <v>-25.885154033112414</v>
      </c>
      <c r="N57" s="1">
        <f>'Team B 1'!N57-'Team B 1'!$AA57-('Team B 1'!N$2- 12.5)*'Team B 1'!$AC57</f>
        <v>-11.614845966887586</v>
      </c>
      <c r="O57" s="1">
        <f>'Team B 1'!O57-'Team B 1'!$AA57-('Team B 1'!O$2- 12.5)*'Team B 1'!$AC57</f>
        <v>42.655462099337228</v>
      </c>
      <c r="P57" s="1">
        <f>'Team B 1'!P57-'Team B 1'!$AA57-('Team B 1'!P$2- 12.5)*'Team B 1'!$AC57</f>
        <v>6.9257701655620849</v>
      </c>
      <c r="Q57" s="1">
        <f>'Team B 1'!Q57-'Team B 1'!$AA57-('Team B 1'!Q$2- 12.5)*'Team B 1'!$AC57</f>
        <v>31.196078231786942</v>
      </c>
      <c r="R57" s="1">
        <f>'Team B 1'!R57-'Team B 1'!$AA57-('Team B 1'!R$2- 12.5)*'Team B 1'!$AC57</f>
        <v>-24.533613701988315</v>
      </c>
      <c r="S57" s="1">
        <f>'Team B 1'!S57-'Team B 1'!$AA57-('Team B 1'!S$2- 12.5)*'Team B 1'!$AC57</f>
        <v>-0.26330563576334498</v>
      </c>
      <c r="T57" s="1">
        <f>'Team B 1'!T57-'Team B 1'!$AA57-('Team B 1'!T$2- 12.5)*'Team B 1'!$AC57</f>
        <v>-15.992997569538602</v>
      </c>
      <c r="U57" s="1">
        <f>'Team B 1'!U57-'Team B 1'!$AA57-('Team B 1'!U$2- 12.5)*'Team B 1'!$AC57</f>
        <v>-21.722689503313859</v>
      </c>
      <c r="V57" s="1">
        <f>'Team B 1'!V57-'Team B 1'!$AA57-('Team B 1'!V$2- 12.5)*'Team B 1'!$AC57</f>
        <v>-37.452381437088889</v>
      </c>
      <c r="W57" s="1">
        <f>'Team B 1'!W57-'Team B 1'!$AA57-('Team B 1'!W$2- 12.5)*'Team B 1'!$AC57</f>
        <v>-23.182073370864146</v>
      </c>
      <c r="X57" s="1">
        <f>'Team B 1'!X57-'Team B 1'!$AA57-('Team B 1'!X$2- 12.5)*'Team B 1'!$AC57</f>
        <v>-38.911765304639175</v>
      </c>
      <c r="Y57" s="1">
        <f>'Team B 1'!Y57-'Team B 1'!$AA57-('Team B 1'!Y$2- 12.5)*'Team B 1'!$AC57</f>
        <v>-4.6414572384146595</v>
      </c>
      <c r="AB57" s="1">
        <f>STDEV(B57:Y57)</f>
        <v>30.263498052684231</v>
      </c>
      <c r="AD57" s="5">
        <v>2</v>
      </c>
      <c r="AE57" s="5">
        <v>9</v>
      </c>
      <c r="AF57" s="5">
        <v>7</v>
      </c>
      <c r="AG57" s="5">
        <v>5</v>
      </c>
      <c r="AH57" s="5">
        <v>3</v>
      </c>
      <c r="AI57" s="5">
        <v>1</v>
      </c>
      <c r="AJ57" s="5">
        <v>6</v>
      </c>
      <c r="AK57" s="5">
        <v>4</v>
      </c>
      <c r="AL57" s="5">
        <v>8</v>
      </c>
      <c r="AM57" s="5" t="s">
        <v>46</v>
      </c>
      <c r="AN57" s="5" t="s">
        <v>45</v>
      </c>
      <c r="AO57" s="5" t="s">
        <v>47</v>
      </c>
      <c r="AP57" s="5">
        <v>9</v>
      </c>
      <c r="AQ57" s="5">
        <v>2</v>
      </c>
      <c r="AR57" s="5">
        <v>5</v>
      </c>
      <c r="AS57" s="5">
        <v>7</v>
      </c>
      <c r="AT57" s="5">
        <v>3</v>
      </c>
      <c r="AU57" s="5">
        <v>6</v>
      </c>
      <c r="AV57" s="5">
        <v>1</v>
      </c>
      <c r="AW57" s="5">
        <v>4</v>
      </c>
      <c r="AX57" s="5" t="s">
        <v>46</v>
      </c>
      <c r="AY57" s="5">
        <v>8</v>
      </c>
      <c r="AZ57" s="5" t="s">
        <v>47</v>
      </c>
      <c r="BA57" s="5" t="s">
        <v>45</v>
      </c>
      <c r="BB57" s="5"/>
      <c r="BC57" s="1">
        <f ca="1">OFFSET(A57,0, 6) -0</f>
        <v>68.492997569538602</v>
      </c>
      <c r="BD57" s="1">
        <f ca="1">OFFSET(A57,0, 1) -0</f>
        <v>37.14145723841466</v>
      </c>
      <c r="BE57" s="1">
        <f ca="1">OFFSET(A57,0, 5) -0</f>
        <v>44.222689503313859</v>
      </c>
      <c r="BF57" s="1">
        <f ca="1">OFFSET(A57,0, 8) -0</f>
        <v>7.0336137019883154</v>
      </c>
      <c r="BG57" s="1">
        <f ca="1">OFFSET(A57,0, 4) -0</f>
        <v>19.952381437088889</v>
      </c>
      <c r="BH57" s="1">
        <f ca="1">OFFSET(A57,0, 7) -0</f>
        <v>2.763305635763345</v>
      </c>
      <c r="BI57" s="1">
        <f ca="1">OFFSET(A57,0, 3) -0</f>
        <v>35.682073370864146</v>
      </c>
      <c r="BJ57" s="1">
        <f ca="1">OFFSET(A57,0, 9) -0</f>
        <v>-38.696078231786942</v>
      </c>
      <c r="BK57" s="1">
        <f ca="1">OFFSET(A57,0, 2) -0</f>
        <v>-8.5882346953608248</v>
      </c>
      <c r="BL57" s="1">
        <f ca="1">OFFSET(A57,0, 11) -0</f>
        <v>-10.155462099337228</v>
      </c>
      <c r="BM57" s="1">
        <f ca="1">OFFSET(A57,0, 10) -0</f>
        <v>-34.425770165562085</v>
      </c>
      <c r="BN57" s="1">
        <f ca="1">OFFSET(A57,0, 12) -0</f>
        <v>-25.885154033112414</v>
      </c>
      <c r="BO57" s="1">
        <f ca="1">OFFSET(A57,0, 19) -0</f>
        <v>-15.992997569538602</v>
      </c>
      <c r="BP57" s="1">
        <f ca="1">OFFSET(A57,0, 14) -0</f>
        <v>42.655462099337228</v>
      </c>
      <c r="BQ57" s="1">
        <f ca="1">OFFSET(A57,0, 17) -0</f>
        <v>-24.533613701988315</v>
      </c>
      <c r="BR57" s="1">
        <f ca="1">OFFSET(A57,0, 20) -0</f>
        <v>-21.722689503313859</v>
      </c>
      <c r="BS57" s="1">
        <f ca="1">OFFSET(A57,0, 15) -0</f>
        <v>6.9257701655620849</v>
      </c>
      <c r="BT57" s="1">
        <f ca="1">OFFSET(A57,0, 18) -0</f>
        <v>-0.26330563576334498</v>
      </c>
      <c r="BU57" s="1">
        <f ca="1">OFFSET(A57,0, 16) -0</f>
        <v>31.196078231786942</v>
      </c>
      <c r="BV57" s="1">
        <f ca="1">OFFSET(A57,0, 22) -0</f>
        <v>-23.182073370864146</v>
      </c>
      <c r="BW57" s="1">
        <f ca="1">OFFSET(A57,0, 13) -0</f>
        <v>-11.614845966887586</v>
      </c>
      <c r="BX57" s="1">
        <f ca="1">OFFSET(A57,0, 24) -0</f>
        <v>-4.6414572384146595</v>
      </c>
      <c r="BY57" s="1">
        <f ca="1">OFFSET(A57,0, 21) -0</f>
        <v>-37.452381437088889</v>
      </c>
      <c r="BZ57" s="1">
        <f ca="1">OFFSET(A57,0, 23) -0</f>
        <v>-38.911765304639175</v>
      </c>
      <c r="CB57" s="1">
        <f>COUNTIF(B57,"&lt;-69")</f>
        <v>0</v>
      </c>
      <c r="CC57" s="1">
        <f ca="1">COUNTIF(BC57:BN57,"&lt;-49")</f>
        <v>0</v>
      </c>
      <c r="CD57" s="1">
        <f ca="1">COUNTIF(BC57:BN57,"&gt;+49")</f>
        <v>1</v>
      </c>
      <c r="CE57" s="1">
        <f ca="1">COUNTIF(BO57:BZ57,"&lt;-49")</f>
        <v>0</v>
      </c>
      <c r="CF57" s="1">
        <f ca="1">COUNTIF(BO57:BZ57,"&gt;+49")</f>
        <v>0</v>
      </c>
    </row>
    <row r="58" spans="1:84">
      <c r="A58" s="1">
        <v>55</v>
      </c>
      <c r="B58" s="1">
        <f>'Team B 1'!B58-'Team B 1'!$AA58-('Team B 1'!B$2- 12.5)*'Team B 1'!$AC58</f>
        <v>22.340415556911466</v>
      </c>
      <c r="C58" s="1">
        <f>'Team B 1'!C58-'Team B 1'!$AA58-('Team B 1'!C$2- 12.5)*'Team B 1'!$AC58</f>
        <v>27.136901160658454</v>
      </c>
      <c r="D58" s="1">
        <f>'Team B 1'!D58-'Team B 1'!$AA58-('Team B 1'!D$2- 12.5)*'Team B 1'!$AC58</f>
        <v>51.933386764405213</v>
      </c>
      <c r="E58" s="1">
        <f>'Team B 1'!E58-'Team B 1'!$AA58-('Team B 1'!E$2- 12.5)*'Team B 1'!$AC58</f>
        <v>56.729872368151973</v>
      </c>
      <c r="F58" s="1">
        <f>'Team B 1'!F58-'Team B 1'!$AA58-('Team B 1'!F$2- 12.5)*'Team B 1'!$AC58</f>
        <v>21.52635797189896</v>
      </c>
      <c r="G58" s="1">
        <f>'Team B 1'!G58-'Team B 1'!$AA58-('Team B 1'!G$2- 12.5)*'Team B 1'!$AC58</f>
        <v>-13.67715642435428</v>
      </c>
      <c r="H58" s="1">
        <f>'Team B 1'!H58-'Team B 1'!$AA58-('Team B 1'!H$2- 12.5)*'Team B 1'!$AC58</f>
        <v>21.11932917939248</v>
      </c>
      <c r="I58" s="1">
        <f>'Team B 1'!I58-'Team B 1'!$AA58-('Team B 1'!I$2- 12.5)*'Team B 1'!$AC58</f>
        <v>15.915814783139353</v>
      </c>
      <c r="J58" s="1">
        <f>'Team B 1'!J58-'Team B 1'!$AA58-('Team B 1'!J$2- 12.5)*'Team B 1'!$AC58</f>
        <v>-9.2876996131138867</v>
      </c>
      <c r="K58" s="1">
        <f>'Team B 1'!K58-'Team B 1'!$AA58-('Team B 1'!K$2- 12.5)*'Team B 1'!$AC58</f>
        <v>-44.491214009367013</v>
      </c>
      <c r="L58" s="1">
        <f>'Team B 1'!L58-'Team B 1'!$AA58-('Team B 1'!L$2- 12.5)*'Team B 1'!$AC58</f>
        <v>-29.694728405620253</v>
      </c>
      <c r="M58" s="1">
        <f>'Team B 1'!M58-'Team B 1'!$AA58-('Team B 1'!M$2- 12.5)*'Team B 1'!$AC58</f>
        <v>-14.898242801873408</v>
      </c>
      <c r="N58" s="1">
        <f>'Team B 1'!N58-'Team B 1'!$AA58-('Team B 1'!N$2- 12.5)*'Team B 1'!$AC58</f>
        <v>-0.10175719812659167</v>
      </c>
      <c r="O58" s="1">
        <f>'Team B 1'!O58-'Team B 1'!$AA58-('Team B 1'!O$2- 12.5)*'Team B 1'!$AC58</f>
        <v>34.694728405620253</v>
      </c>
      <c r="P58" s="1">
        <f>'Team B 1'!P58-'Team B 1'!$AA58-('Team B 1'!P$2- 12.5)*'Team B 1'!$AC58</f>
        <v>9.4912140093670132</v>
      </c>
      <c r="Q58" s="1">
        <f>'Team B 1'!Q58-'Team B 1'!$AA58-('Team B 1'!Q$2- 12.5)*'Team B 1'!$AC58</f>
        <v>-5.7123003868861133</v>
      </c>
      <c r="R58" s="1">
        <f>'Team B 1'!R58-'Team B 1'!$AA58-('Team B 1'!R$2- 12.5)*'Team B 1'!$AC58</f>
        <v>-20.915814783139353</v>
      </c>
      <c r="S58" s="1">
        <f>'Team B 1'!S58-'Team B 1'!$AA58-('Team B 1'!S$2- 12.5)*'Team B 1'!$AC58</f>
        <v>-26.11932917939248</v>
      </c>
      <c r="T58" s="1">
        <f>'Team B 1'!T58-'Team B 1'!$AA58-('Team B 1'!T$2- 12.5)*'Team B 1'!$AC58</f>
        <v>-1.3228435756457202</v>
      </c>
      <c r="U58" s="1">
        <f>'Team B 1'!U58-'Team B 1'!$AA58-('Team B 1'!U$2- 12.5)*'Team B 1'!$AC58</f>
        <v>-36.52635797189896</v>
      </c>
      <c r="V58" s="1">
        <f>'Team B 1'!V58-'Team B 1'!$AA58-('Team B 1'!V$2- 12.5)*'Team B 1'!$AC58</f>
        <v>-21.729872368151973</v>
      </c>
      <c r="W58" s="1">
        <f>'Team B 1'!W58-'Team B 1'!$AA58-('Team B 1'!W$2- 12.5)*'Team B 1'!$AC58</f>
        <v>-6.9333867644052134</v>
      </c>
      <c r="X58" s="1">
        <f>'Team B 1'!X58-'Team B 1'!$AA58-('Team B 1'!X$2- 12.5)*'Team B 1'!$AC58</f>
        <v>-32.136901160658454</v>
      </c>
      <c r="Y58" s="1">
        <f>'Team B 1'!Y58-'Team B 1'!$AA58-('Team B 1'!Y$2- 12.5)*'Team B 1'!$AC58</f>
        <v>2.6595844430885336</v>
      </c>
      <c r="AB58" s="1">
        <f>STDEV(B58:Y58)</f>
        <v>27.196778153291167</v>
      </c>
      <c r="AD58" s="5">
        <v>2</v>
      </c>
      <c r="AE58" s="5">
        <v>9</v>
      </c>
      <c r="AF58" s="5">
        <v>7</v>
      </c>
      <c r="AG58" s="5">
        <v>5</v>
      </c>
      <c r="AH58" s="5">
        <v>6</v>
      </c>
      <c r="AI58" s="5">
        <v>3</v>
      </c>
      <c r="AJ58" s="5">
        <v>4</v>
      </c>
      <c r="AK58" s="5">
        <v>1</v>
      </c>
      <c r="AL58" s="5">
        <v>8</v>
      </c>
      <c r="AM58" s="5" t="s">
        <v>46</v>
      </c>
      <c r="AN58" s="5" t="s">
        <v>45</v>
      </c>
      <c r="AO58" s="5" t="s">
        <v>47</v>
      </c>
      <c r="AP58" s="5">
        <v>2</v>
      </c>
      <c r="AQ58" s="5">
        <v>7</v>
      </c>
      <c r="AR58" s="5">
        <v>9</v>
      </c>
      <c r="AS58" s="5">
        <v>6</v>
      </c>
      <c r="AT58" s="5">
        <v>5</v>
      </c>
      <c r="AU58" s="5">
        <v>3</v>
      </c>
      <c r="AV58" s="5">
        <v>1</v>
      </c>
      <c r="AW58" s="5">
        <v>4</v>
      </c>
      <c r="AX58" s="5">
        <v>8</v>
      </c>
      <c r="AY58" s="5" t="s">
        <v>45</v>
      </c>
      <c r="AZ58" s="5" t="s">
        <v>46</v>
      </c>
      <c r="BA58" s="5" t="s">
        <v>47</v>
      </c>
      <c r="BB58" s="5"/>
      <c r="BC58" s="1">
        <f ca="1">OFFSET(A58,0, 8) -0</f>
        <v>15.915814783139353</v>
      </c>
      <c r="BD58" s="1">
        <f ca="1">OFFSET(A58,0, 1) -0</f>
        <v>22.340415556911466</v>
      </c>
      <c r="BE58" s="1">
        <f ca="1">OFFSET(A58,0, 6) -0</f>
        <v>-13.67715642435428</v>
      </c>
      <c r="BF58" s="1">
        <f ca="1">OFFSET(A58,0, 7) -0</f>
        <v>21.11932917939248</v>
      </c>
      <c r="BG58" s="1">
        <f ca="1">OFFSET(A58,0, 4) -0</f>
        <v>56.729872368151973</v>
      </c>
      <c r="BH58" s="1">
        <f ca="1">OFFSET(A58,0, 5) -0</f>
        <v>21.52635797189896</v>
      </c>
      <c r="BI58" s="1">
        <f ca="1">OFFSET(A58,0, 3) -0</f>
        <v>51.933386764405213</v>
      </c>
      <c r="BJ58" s="1">
        <f ca="1">OFFSET(A58,0, 9) -0</f>
        <v>-9.2876996131138867</v>
      </c>
      <c r="BK58" s="1">
        <f ca="1">OFFSET(A58,0, 2) -0</f>
        <v>27.136901160658454</v>
      </c>
      <c r="BL58" s="1">
        <f ca="1">OFFSET(A58,0, 11) -0</f>
        <v>-29.694728405620253</v>
      </c>
      <c r="BM58" s="1">
        <f ca="1">OFFSET(A58,0, 10) -0</f>
        <v>-44.491214009367013</v>
      </c>
      <c r="BN58" s="1">
        <f ca="1">OFFSET(A58,0, 12) -0</f>
        <v>-14.898242801873408</v>
      </c>
      <c r="BO58" s="1">
        <f ca="1">OFFSET(A58,0, 19) -0</f>
        <v>-1.3228435756457202</v>
      </c>
      <c r="BP58" s="1">
        <f ca="1">OFFSET(A58,0, 13) -0</f>
        <v>-0.10175719812659167</v>
      </c>
      <c r="BQ58" s="1">
        <f ca="1">OFFSET(A58,0, 18) -0</f>
        <v>-26.11932917939248</v>
      </c>
      <c r="BR58" s="1">
        <f ca="1">OFFSET(A58,0, 20) -0</f>
        <v>-36.52635797189896</v>
      </c>
      <c r="BS58" s="1">
        <f ca="1">OFFSET(A58,0, 17) -0</f>
        <v>-20.915814783139353</v>
      </c>
      <c r="BT58" s="1">
        <f ca="1">OFFSET(A58,0, 16) -0</f>
        <v>-5.7123003868861133</v>
      </c>
      <c r="BU58" s="1">
        <f ca="1">OFFSET(A58,0, 14) -0</f>
        <v>34.694728405620253</v>
      </c>
      <c r="BV58" s="1">
        <f ca="1">OFFSET(A58,0, 21) -0</f>
        <v>-21.729872368151973</v>
      </c>
      <c r="BW58" s="1">
        <f ca="1">OFFSET(A58,0, 15) -0</f>
        <v>9.4912140093670132</v>
      </c>
      <c r="BX58" s="1">
        <f ca="1">OFFSET(A58,0, 22) -0</f>
        <v>-6.9333867644052134</v>
      </c>
      <c r="BY58" s="1">
        <f ca="1">OFFSET(A58,0, 23) -0</f>
        <v>-32.136901160658454</v>
      </c>
      <c r="BZ58" s="1">
        <f ca="1">OFFSET(A58,0, 24) -0</f>
        <v>2.6595844430885336</v>
      </c>
      <c r="CB58" s="1">
        <f>COUNTIF(B58,"&lt;-69")</f>
        <v>0</v>
      </c>
      <c r="CC58" s="1">
        <f ca="1">COUNTIF(BC58:BN58,"&lt;-49")</f>
        <v>0</v>
      </c>
      <c r="CD58" s="1">
        <f ca="1">COUNTIF(BC58:BN58,"&gt;+49")</f>
        <v>2</v>
      </c>
      <c r="CE58" s="1">
        <f ca="1">COUNTIF(BO58:BZ58,"&lt;-49")</f>
        <v>0</v>
      </c>
      <c r="CF58" s="1">
        <f ca="1">COUNTIF(BO58:BZ58,"&gt;+49")</f>
        <v>0</v>
      </c>
    </row>
    <row r="59" spans="1:84">
      <c r="A59" s="1">
        <v>56</v>
      </c>
      <c r="B59" s="1">
        <f>'Team B 1'!B59-'Team B 1'!$AA59-('Team B 1'!B$2- 12.5)*'Team B 1'!$AC59</f>
        <v>-0.41251103814192902</v>
      </c>
      <c r="C59" s="1">
        <f>'Team B 1'!C59-'Team B 1'!$AA59-('Team B 1'!C$2- 12.5)*'Team B 1'!$AC59</f>
        <v>24.659591370973658</v>
      </c>
      <c r="D59" s="1">
        <f>'Team B 1'!D59-'Team B 1'!$AA59-('Team B 1'!D$2- 12.5)*'Team B 1'!$AC59</f>
        <v>29.731693780089017</v>
      </c>
      <c r="E59" s="1">
        <f>'Team B 1'!E59-'Team B 1'!$AA59-('Team B 1'!E$2- 12.5)*'Team B 1'!$AC59</f>
        <v>24.803796189204604</v>
      </c>
      <c r="F59" s="1">
        <f>'Team B 1'!F59-'Team B 1'!$AA59-('Team B 1'!F$2- 12.5)*'Team B 1'!$AC59</f>
        <v>-20.124101401680036</v>
      </c>
      <c r="G59" s="1">
        <f>'Team B 1'!G59-'Team B 1'!$AA59-('Team B 1'!G$2- 12.5)*'Team B 1'!$AC59</f>
        <v>-5.0519989925644495</v>
      </c>
      <c r="H59" s="1">
        <f>'Team B 1'!H59-'Team B 1'!$AA59-('Team B 1'!H$2- 12.5)*'Team B 1'!$AC59</f>
        <v>2.0103416550909969E-2</v>
      </c>
      <c r="I59" s="1">
        <f>'Team B 1'!I59-'Team B 1'!$AA59-('Team B 1'!I$2- 12.5)*'Team B 1'!$AC59</f>
        <v>25.092205825666497</v>
      </c>
      <c r="J59" s="1">
        <f>'Team B 1'!J59-'Team B 1'!$AA59-('Team B 1'!J$2- 12.5)*'Team B 1'!$AC59</f>
        <v>20.164308234781856</v>
      </c>
      <c r="K59" s="1">
        <f>'Team B 1'!K59-'Team B 1'!$AA59-('Team B 1'!K$2- 12.5)*'Team B 1'!$AC59</f>
        <v>-4.7635893561026137</v>
      </c>
      <c r="L59" s="1">
        <f>'Team B 1'!L59-'Team B 1'!$AA59-('Team B 1'!L$2- 12.5)*'Team B 1'!$AC59</f>
        <v>-19.691486946987141</v>
      </c>
      <c r="M59" s="1">
        <f>'Team B 1'!M59-'Team B 1'!$AA59-('Team B 1'!M$2- 12.5)*'Team B 1'!$AC59</f>
        <v>-4.6193845378716674</v>
      </c>
      <c r="N59" s="1">
        <f>'Team B 1'!N59-'Team B 1'!$AA59-('Team B 1'!N$2- 12.5)*'Team B 1'!$AC59</f>
        <v>10.452717871243806</v>
      </c>
      <c r="O59" s="1">
        <f>'Team B 1'!O59-'Team B 1'!$AA59-('Team B 1'!O$2- 12.5)*'Team B 1'!$AC59</f>
        <v>-4.475179719640721</v>
      </c>
      <c r="P59" s="1">
        <f>'Team B 1'!P59-'Team B 1'!$AA59-('Team B 1'!P$2- 12.5)*'Team B 1'!$AC59</f>
        <v>10.596922689474752</v>
      </c>
      <c r="Q59" s="1">
        <f>'Team B 1'!Q59-'Team B 1'!$AA59-('Team B 1'!Q$2- 12.5)*'Team B 1'!$AC59</f>
        <v>25.669025098590282</v>
      </c>
      <c r="R59" s="1">
        <f>'Team B 1'!R59-'Team B 1'!$AA59-('Team B 1'!R$2- 12.5)*'Team B 1'!$AC59</f>
        <v>-19.258872492294358</v>
      </c>
      <c r="S59" s="1">
        <f>'Team B 1'!S59-'Team B 1'!$AA59-('Team B 1'!S$2- 12.5)*'Team B 1'!$AC59</f>
        <v>15.813229916821228</v>
      </c>
      <c r="T59" s="1">
        <f>'Team B 1'!T59-'Team B 1'!$AA59-('Team B 1'!T$2- 12.5)*'Team B 1'!$AC59</f>
        <v>-29.114667674063412</v>
      </c>
      <c r="U59" s="1">
        <f>'Team B 1'!U59-'Team B 1'!$AA59-('Team B 1'!U$2- 12.5)*'Team B 1'!$AC59</f>
        <v>-4.0425652649478252</v>
      </c>
      <c r="V59" s="1">
        <f>'Team B 1'!V59-'Team B 1'!$AA59-('Team B 1'!V$2- 12.5)*'Team B 1'!$AC59</f>
        <v>1.0295371441675343</v>
      </c>
      <c r="W59" s="1">
        <f>'Team B 1'!W59-'Team B 1'!$AA59-('Team B 1'!W$2- 12.5)*'Team B 1'!$AC59</f>
        <v>-53.898360446716879</v>
      </c>
      <c r="X59" s="1">
        <f>'Team B 1'!X59-'Team B 1'!$AA59-('Team B 1'!X$2- 12.5)*'Team B 1'!$AC59</f>
        <v>-18.826258037601519</v>
      </c>
      <c r="Y59" s="1">
        <f>'Team B 1'!Y59-'Team B 1'!$AA59-('Team B 1'!Y$2- 12.5)*'Team B 1'!$AC59</f>
        <v>-3.7541556284859325</v>
      </c>
      <c r="AB59" s="1">
        <f>STDEV(B59:Y59)</f>
        <v>20.500304373706509</v>
      </c>
      <c r="AD59" s="5">
        <v>7</v>
      </c>
      <c r="AE59" s="5">
        <v>2</v>
      </c>
      <c r="AF59" s="5">
        <v>6</v>
      </c>
      <c r="AG59" s="5">
        <v>9</v>
      </c>
      <c r="AH59" s="5">
        <v>3</v>
      </c>
      <c r="AI59" s="5">
        <v>5</v>
      </c>
      <c r="AJ59" s="5">
        <v>4</v>
      </c>
      <c r="AK59" s="5">
        <v>1</v>
      </c>
      <c r="AL59" s="5" t="s">
        <v>45</v>
      </c>
      <c r="AM59" s="5">
        <v>8</v>
      </c>
      <c r="AN59" s="5" t="s">
        <v>47</v>
      </c>
      <c r="AO59" s="5" t="s">
        <v>46</v>
      </c>
      <c r="AP59" s="5">
        <v>2</v>
      </c>
      <c r="AQ59" s="5">
        <v>7</v>
      </c>
      <c r="AR59" s="5">
        <v>9</v>
      </c>
      <c r="AS59" s="5">
        <v>6</v>
      </c>
      <c r="AT59" s="5">
        <v>5</v>
      </c>
      <c r="AU59" s="5">
        <v>3</v>
      </c>
      <c r="AV59" s="5">
        <v>4</v>
      </c>
      <c r="AW59" s="5" t="s">
        <v>45</v>
      </c>
      <c r="AX59" s="5">
        <v>1</v>
      </c>
      <c r="AY59" s="5">
        <v>8</v>
      </c>
      <c r="AZ59" s="5" t="s">
        <v>46</v>
      </c>
      <c r="BA59" s="5" t="s">
        <v>47</v>
      </c>
      <c r="BB59" s="5"/>
      <c r="BC59" s="1">
        <f ca="1">OFFSET(A59,0, 8) -0</f>
        <v>25.092205825666497</v>
      </c>
      <c r="BD59" s="1">
        <f ca="1">OFFSET(A59,0, 2) -0</f>
        <v>24.659591370973658</v>
      </c>
      <c r="BE59" s="1">
        <f ca="1">OFFSET(A59,0, 5) -0</f>
        <v>-20.124101401680036</v>
      </c>
      <c r="BF59" s="1">
        <f ca="1">OFFSET(A59,0, 7) -0</f>
        <v>2.0103416550909969E-2</v>
      </c>
      <c r="BG59" s="1">
        <f ca="1">OFFSET(A59,0, 6) -0</f>
        <v>-5.0519989925644495</v>
      </c>
      <c r="BH59" s="1">
        <f ca="1">OFFSET(A59,0, 3) -0</f>
        <v>29.731693780089017</v>
      </c>
      <c r="BI59" s="1">
        <f ca="1">OFFSET(A59,0, 1) -0</f>
        <v>-0.41251103814192902</v>
      </c>
      <c r="BJ59" s="1">
        <f ca="1">OFFSET(A59,0, 10) -0</f>
        <v>-4.7635893561026137</v>
      </c>
      <c r="BK59" s="1">
        <f ca="1">OFFSET(A59,0, 4) -0</f>
        <v>24.803796189204604</v>
      </c>
      <c r="BL59" s="1">
        <f ca="1">OFFSET(A59,0, 9) -0</f>
        <v>20.164308234781856</v>
      </c>
      <c r="BM59" s="1">
        <f ca="1">OFFSET(A59,0, 12) -0</f>
        <v>-4.6193845378716674</v>
      </c>
      <c r="BN59" s="1">
        <f ca="1">OFFSET(A59,0, 11) -0</f>
        <v>-19.691486946987141</v>
      </c>
      <c r="BO59" s="1">
        <f ca="1">OFFSET(A59,0, 21) -0</f>
        <v>1.0295371441675343</v>
      </c>
      <c r="BP59" s="1">
        <f ca="1">OFFSET(A59,0, 13) -0</f>
        <v>10.452717871243806</v>
      </c>
      <c r="BQ59" s="1">
        <f ca="1">OFFSET(A59,0, 18) -0</f>
        <v>15.813229916821228</v>
      </c>
      <c r="BR59" s="1">
        <f ca="1">OFFSET(A59,0, 19) -0</f>
        <v>-29.114667674063412</v>
      </c>
      <c r="BS59" s="1">
        <f ca="1">OFFSET(A59,0, 17) -0</f>
        <v>-19.258872492294358</v>
      </c>
      <c r="BT59" s="1">
        <f ca="1">OFFSET(A59,0, 16) -0</f>
        <v>25.669025098590282</v>
      </c>
      <c r="BU59" s="1">
        <f ca="1">OFFSET(A59,0, 14) -0</f>
        <v>-4.475179719640721</v>
      </c>
      <c r="BV59" s="1">
        <f ca="1">OFFSET(A59,0, 22) -0</f>
        <v>-53.898360446716879</v>
      </c>
      <c r="BW59" s="1">
        <f ca="1">OFFSET(A59,0, 15) -0</f>
        <v>10.596922689474752</v>
      </c>
      <c r="BX59" s="1">
        <f ca="1">OFFSET(A59,0, 20) -0</f>
        <v>-4.0425652649478252</v>
      </c>
      <c r="BY59" s="1">
        <f ca="1">OFFSET(A59,0, 23) -0</f>
        <v>-18.826258037601519</v>
      </c>
      <c r="BZ59" s="1">
        <f ca="1">OFFSET(A59,0, 24) -0</f>
        <v>-3.7541556284859325</v>
      </c>
      <c r="CB59" s="1">
        <f>COUNTIF(B59,"&lt;-69")</f>
        <v>0</v>
      </c>
      <c r="CC59" s="1">
        <f ca="1">COUNTIF(BC59:BN59,"&lt;-49")</f>
        <v>0</v>
      </c>
      <c r="CD59" s="1">
        <f ca="1">COUNTIF(BC59:BN59,"&gt;+49")</f>
        <v>0</v>
      </c>
      <c r="CE59" s="1">
        <f ca="1">COUNTIF(BO59:BZ59,"&lt;-49")</f>
        <v>1</v>
      </c>
      <c r="CF59" s="1">
        <f ca="1">COUNTIF(BO59:BZ59,"&gt;+49")</f>
        <v>0</v>
      </c>
    </row>
    <row r="60" spans="1:84">
      <c r="A60" s="1">
        <v>57</v>
      </c>
      <c r="B60" s="1">
        <f>'Team B 1'!B60-'Team B 1'!$AA60-('Team B 1'!B$2- 12.5)*'Team B 1'!$AC60</f>
        <v>27.468937381634987</v>
      </c>
      <c r="C60" s="1">
        <f>'Team B 1'!C60-'Team B 1'!$AA60-('Team B 1'!C$2- 12.5)*'Team B 1'!$AC60</f>
        <v>52.290479058595793</v>
      </c>
      <c r="D60" s="1">
        <f>'Team B 1'!D60-'Team B 1'!$AA60-('Team B 1'!D$2- 12.5)*'Team B 1'!$AC60</f>
        <v>37.112020735556825</v>
      </c>
      <c r="E60" s="1">
        <f>'Team B 1'!E60-'Team B 1'!$AA60-('Team B 1'!E$2- 12.5)*'Team B 1'!$AC60</f>
        <v>-18.066437587482142</v>
      </c>
      <c r="F60" s="1">
        <f>'Team B 1'!F60-'Team B 1'!$AA60-('Team B 1'!F$2- 12.5)*'Team B 1'!$AC60</f>
        <v>6.7551040894786638</v>
      </c>
      <c r="G60" s="1">
        <f>'Team B 1'!G60-'Team B 1'!$AA60-('Team B 1'!G$2- 12.5)*'Team B 1'!$AC60</f>
        <v>31.576645766439697</v>
      </c>
      <c r="H60" s="1">
        <f>'Team B 1'!H60-'Team B 1'!$AA60-('Team B 1'!H$2- 12.5)*'Team B 1'!$AC60</f>
        <v>-13.60181255659927</v>
      </c>
      <c r="I60" s="1">
        <f>'Team B 1'!I60-'Team B 1'!$AA60-('Team B 1'!I$2- 12.5)*'Team B 1'!$AC60</f>
        <v>11.219729120361649</v>
      </c>
      <c r="J60" s="1">
        <f>'Team B 1'!J60-'Team B 1'!$AA60-('Team B 1'!J$2- 12.5)*'Team B 1'!$AC60</f>
        <v>-23.958729202677318</v>
      </c>
      <c r="K60" s="1">
        <f>'Team B 1'!K60-'Team B 1'!$AA60-('Team B 1'!K$2- 12.5)*'Team B 1'!$AC60</f>
        <v>-9.1371875257163993</v>
      </c>
      <c r="L60" s="1">
        <f>'Team B 1'!L60-'Team B 1'!$AA60-('Team B 1'!L$2- 12.5)*'Team B 1'!$AC60</f>
        <v>-34.315645848755366</v>
      </c>
      <c r="M60" s="1">
        <f>'Team B 1'!M60-'Team B 1'!$AA60-('Team B 1'!M$2- 12.5)*'Team B 1'!$AC60</f>
        <v>20.505895828205581</v>
      </c>
      <c r="N60" s="1">
        <f>'Team B 1'!N60-'Team B 1'!$AA60-('Team B 1'!N$2- 12.5)*'Team B 1'!$AC60</f>
        <v>-34.672562494833443</v>
      </c>
      <c r="O60" s="1">
        <f>'Team B 1'!O60-'Team B 1'!$AA60-('Team B 1'!O$2- 12.5)*'Team B 1'!$AC60</f>
        <v>10.148979182127505</v>
      </c>
      <c r="P60" s="1">
        <f>'Team B 1'!P60-'Team B 1'!$AA60-('Team B 1'!P$2- 12.5)*'Team B 1'!$AC60</f>
        <v>14.970520859088538</v>
      </c>
      <c r="Q60" s="1">
        <f>'Team B 1'!Q60-'Team B 1'!$AA60-('Team B 1'!Q$2- 12.5)*'Team B 1'!$AC60</f>
        <v>9.7920625360494569</v>
      </c>
      <c r="R60" s="1">
        <f>'Team B 1'!R60-'Team B 1'!$AA60-('Team B 1'!R$2- 12.5)*'Team B 1'!$AC60</f>
        <v>-5.3863957869895103</v>
      </c>
      <c r="S60" s="1">
        <f>'Team B 1'!S60-'Team B 1'!$AA60-('Team B 1'!S$2- 12.5)*'Team B 1'!$AC60</f>
        <v>-30.564854110028591</v>
      </c>
      <c r="T60" s="1">
        <f>'Team B 1'!T60-'Team B 1'!$AA60-('Team B 1'!T$2- 12.5)*'Team B 1'!$AC60</f>
        <v>-15.743312433067558</v>
      </c>
      <c r="U60" s="1">
        <f>'Team B 1'!U60-'Team B 1'!$AA60-('Team B 1'!U$2- 12.5)*'Team B 1'!$AC60</f>
        <v>-20.921770756106525</v>
      </c>
      <c r="V60" s="1">
        <f>'Team B 1'!V60-'Team B 1'!$AA60-('Team B 1'!V$2- 12.5)*'Team B 1'!$AC60</f>
        <v>13.89977092085428</v>
      </c>
      <c r="W60" s="1">
        <f>'Team B 1'!W60-'Team B 1'!$AA60-('Team B 1'!W$2- 12.5)*'Team B 1'!$AC60</f>
        <v>-21.278687402184687</v>
      </c>
      <c r="X60" s="1">
        <f>'Team B 1'!X60-'Team B 1'!$AA60-('Team B 1'!X$2- 12.5)*'Team B 1'!$AC60</f>
        <v>-16.457145725223654</v>
      </c>
      <c r="Y60" s="1">
        <f>'Team B 1'!Y60-'Team B 1'!$AA60-('Team B 1'!Y$2- 12.5)*'Team B 1'!$AC60</f>
        <v>8.3643959517371513</v>
      </c>
      <c r="AB60" s="1">
        <f>STDEV(B60:Y60)</f>
        <v>23.831363178529553</v>
      </c>
      <c r="AD60" s="5">
        <v>7</v>
      </c>
      <c r="AE60" s="5">
        <v>2</v>
      </c>
      <c r="AF60" s="5">
        <v>6</v>
      </c>
      <c r="AG60" s="5">
        <v>9</v>
      </c>
      <c r="AH60" s="5">
        <v>3</v>
      </c>
      <c r="AI60" s="5">
        <v>5</v>
      </c>
      <c r="AJ60" s="5" t="s">
        <v>45</v>
      </c>
      <c r="AK60" s="5">
        <v>4</v>
      </c>
      <c r="AL60" s="5">
        <v>8</v>
      </c>
      <c r="AM60" s="5">
        <v>1</v>
      </c>
      <c r="AN60" s="5" t="s">
        <v>47</v>
      </c>
      <c r="AO60" s="5" t="s">
        <v>46</v>
      </c>
      <c r="AP60" s="5">
        <v>7</v>
      </c>
      <c r="AQ60" s="5">
        <v>6</v>
      </c>
      <c r="AR60" s="5">
        <v>2</v>
      </c>
      <c r="AS60" s="5">
        <v>3</v>
      </c>
      <c r="AT60" s="5">
        <v>9</v>
      </c>
      <c r="AU60" s="5" t="s">
        <v>45</v>
      </c>
      <c r="AV60" s="5">
        <v>5</v>
      </c>
      <c r="AW60" s="5">
        <v>4</v>
      </c>
      <c r="AX60" s="5">
        <v>1</v>
      </c>
      <c r="AY60" s="5">
        <v>8</v>
      </c>
      <c r="AZ60" s="5" t="s">
        <v>46</v>
      </c>
      <c r="BA60" s="5" t="s">
        <v>47</v>
      </c>
      <c r="BB60" s="5"/>
      <c r="BC60" s="1">
        <f ca="1">OFFSET(A60,0, 10) -0</f>
        <v>-9.1371875257163993</v>
      </c>
      <c r="BD60" s="1">
        <f ca="1">OFFSET(A60,0, 2) -0</f>
        <v>52.290479058595793</v>
      </c>
      <c r="BE60" s="1">
        <f ca="1">OFFSET(A60,0, 5) -0</f>
        <v>6.7551040894786638</v>
      </c>
      <c r="BF60" s="1">
        <f ca="1">OFFSET(A60,0, 8) -0</f>
        <v>11.219729120361649</v>
      </c>
      <c r="BG60" s="1">
        <f ca="1">OFFSET(A60,0, 6) -0</f>
        <v>31.576645766439697</v>
      </c>
      <c r="BH60" s="1">
        <f ca="1">OFFSET(A60,0, 3) -0</f>
        <v>37.112020735556825</v>
      </c>
      <c r="BI60" s="1">
        <f ca="1">OFFSET(A60,0, 1) -0</f>
        <v>27.468937381634987</v>
      </c>
      <c r="BJ60" s="1">
        <f ca="1">OFFSET(A60,0, 9) -0</f>
        <v>-23.958729202677318</v>
      </c>
      <c r="BK60" s="1">
        <f ca="1">OFFSET(A60,0, 4) -0</f>
        <v>-18.066437587482142</v>
      </c>
      <c r="BL60" s="1">
        <f ca="1">OFFSET(A60,0, 7) -0</f>
        <v>-13.60181255659927</v>
      </c>
      <c r="BM60" s="1">
        <f ca="1">OFFSET(A60,0, 12) -0</f>
        <v>20.505895828205581</v>
      </c>
      <c r="BN60" s="1">
        <f ca="1">OFFSET(A60,0, 11) -0</f>
        <v>-34.315645848755366</v>
      </c>
      <c r="BO60" s="1">
        <f ca="1">OFFSET(A60,0, 21) -0</f>
        <v>13.89977092085428</v>
      </c>
      <c r="BP60" s="1">
        <f ca="1">OFFSET(A60,0, 15) -0</f>
        <v>14.970520859088538</v>
      </c>
      <c r="BQ60" s="1">
        <f ca="1">OFFSET(A60,0, 16) -0</f>
        <v>9.7920625360494569</v>
      </c>
      <c r="BR60" s="1">
        <f ca="1">OFFSET(A60,0, 20) -0</f>
        <v>-20.921770756106525</v>
      </c>
      <c r="BS60" s="1">
        <f ca="1">OFFSET(A60,0, 19) -0</f>
        <v>-15.743312433067558</v>
      </c>
      <c r="BT60" s="1">
        <f ca="1">OFFSET(A60,0, 14) -0</f>
        <v>10.148979182127505</v>
      </c>
      <c r="BU60" s="1">
        <f ca="1">OFFSET(A60,0, 13) -0</f>
        <v>-34.672562494833443</v>
      </c>
      <c r="BV60" s="1">
        <f ca="1">OFFSET(A60,0, 22) -0</f>
        <v>-21.278687402184687</v>
      </c>
      <c r="BW60" s="1">
        <f ca="1">OFFSET(A60,0, 17) -0</f>
        <v>-5.3863957869895103</v>
      </c>
      <c r="BX60" s="1">
        <f ca="1">OFFSET(A60,0, 18) -0</f>
        <v>-30.564854110028591</v>
      </c>
      <c r="BY60" s="1">
        <f ca="1">OFFSET(A60,0, 23) -0</f>
        <v>-16.457145725223654</v>
      </c>
      <c r="BZ60" s="1">
        <f ca="1">OFFSET(A60,0, 24) -0</f>
        <v>8.3643959517371513</v>
      </c>
      <c r="CB60" s="1">
        <f>COUNTIF(B60,"&lt;-69")</f>
        <v>0</v>
      </c>
      <c r="CC60" s="1">
        <f ca="1">COUNTIF(BC60:BN60,"&lt;-49")</f>
        <v>0</v>
      </c>
      <c r="CD60" s="1">
        <f ca="1">COUNTIF(BC60:BN60,"&gt;+49")</f>
        <v>1</v>
      </c>
      <c r="CE60" s="1">
        <f ca="1">COUNTIF(BO60:BZ60,"&lt;-49")</f>
        <v>0</v>
      </c>
      <c r="CF60" s="1">
        <f ca="1">COUNTIF(BO60:BZ60,"&gt;+49")</f>
        <v>0</v>
      </c>
    </row>
    <row r="61" spans="1:84">
      <c r="A61" s="1">
        <v>58</v>
      </c>
      <c r="B61" s="1">
        <f>'Team B 1'!B61-'Team B 1'!$AA61-('Team B 1'!B$2- 12.5)*'Team B 1'!$AC61</f>
        <v>10.476162923173433</v>
      </c>
      <c r="C61" s="1">
        <f>'Team B 1'!C61-'Team B 1'!$AA61-('Team B 1'!C$2- 12.5)*'Team B 1'!$AC61</f>
        <v>44.855047306663892</v>
      </c>
      <c r="D61" s="1">
        <f>'Team B 1'!D61-'Team B 1'!$AA61-('Team B 1'!D$2- 12.5)*'Team B 1'!$AC61</f>
        <v>9.2339316901543498</v>
      </c>
      <c r="E61" s="1">
        <f>'Team B 1'!E61-'Team B 1'!$AA61-('Team B 1'!E$2- 12.5)*'Team B 1'!$AC61</f>
        <v>23.612816073644808</v>
      </c>
      <c r="F61" s="1">
        <f>'Team B 1'!F61-'Team B 1'!$AA61-('Team B 1'!F$2- 12.5)*'Team B 1'!$AC61</f>
        <v>47.991700457135266</v>
      </c>
      <c r="G61" s="1">
        <f>'Team B 1'!G61-'Team B 1'!$AA61-('Team B 1'!G$2- 12.5)*'Team B 1'!$AC61</f>
        <v>22.370584840625725</v>
      </c>
      <c r="H61" s="1">
        <f>'Team B 1'!H61-'Team B 1'!$AA61-('Team B 1'!H$2- 12.5)*'Team B 1'!$AC61</f>
        <v>-3.2505307758838171</v>
      </c>
      <c r="I61" s="1">
        <f>'Team B 1'!I61-'Team B 1'!$AA61-('Team B 1'!I$2- 12.5)*'Team B 1'!$AC61</f>
        <v>11.128353607606755</v>
      </c>
      <c r="J61" s="1">
        <f>'Team B 1'!J61-'Team B 1'!$AA61-('Team B 1'!J$2- 12.5)*'Team B 1'!$AC61</f>
        <v>5.5072379910972131</v>
      </c>
      <c r="K61" s="1">
        <f>'Team B 1'!K61-'Team B 1'!$AA61-('Team B 1'!K$2- 12.5)*'Team B 1'!$AC61</f>
        <v>-10.113877625412272</v>
      </c>
      <c r="L61" s="1">
        <f>'Team B 1'!L61-'Team B 1'!$AA61-('Team B 1'!L$2- 12.5)*'Team B 1'!$AC61</f>
        <v>-25.734993241921813</v>
      </c>
      <c r="M61" s="1">
        <f>'Team B 1'!M61-'Team B 1'!$AA61-('Team B 1'!M$2- 12.5)*'Team B 1'!$AC61</f>
        <v>-11.356108858431313</v>
      </c>
      <c r="N61" s="1">
        <f>'Team B 1'!N61-'Team B 1'!$AA61-('Team B 1'!N$2- 12.5)*'Team B 1'!$AC61</f>
        <v>3.0227755250591741</v>
      </c>
      <c r="O61" s="1">
        <f>'Team B 1'!O61-'Team B 1'!$AA61-('Team B 1'!O$2- 12.5)*'Team B 1'!$AC61</f>
        <v>7.401659908549675</v>
      </c>
      <c r="P61" s="1">
        <f>'Team B 1'!P61-'Team B 1'!$AA61-('Team B 1'!P$2- 12.5)*'Team B 1'!$AC61</f>
        <v>31.780544292040133</v>
      </c>
      <c r="Q61" s="1">
        <f>'Team B 1'!Q61-'Team B 1'!$AA61-('Team B 1'!Q$2- 12.5)*'Team B 1'!$AC61</f>
        <v>16.159428675530648</v>
      </c>
      <c r="R61" s="1">
        <f>'Team B 1'!R61-'Team B 1'!$AA61-('Team B 1'!R$2- 12.5)*'Team B 1'!$AC61</f>
        <v>0.53831305902110671</v>
      </c>
      <c r="S61" s="1">
        <f>'Team B 1'!S61-'Team B 1'!$AA61-('Team B 1'!S$2- 12.5)*'Team B 1'!$AC61</f>
        <v>-15.082802557488321</v>
      </c>
      <c r="T61" s="1">
        <f>'Team B 1'!T61-'Team B 1'!$AA61-('Team B 1'!T$2- 12.5)*'Team B 1'!$AC61</f>
        <v>-30.703918173997863</v>
      </c>
      <c r="U61" s="1">
        <f>'Team B 1'!U61-'Team B 1'!$AA61-('Team B 1'!U$2- 12.5)*'Team B 1'!$AC61</f>
        <v>-36.325033790507405</v>
      </c>
      <c r="V61" s="1">
        <f>'Team B 1'!V61-'Team B 1'!$AA61-('Team B 1'!V$2- 12.5)*'Team B 1'!$AC61</f>
        <v>-51.946149407016946</v>
      </c>
      <c r="W61" s="1">
        <f>'Team B 1'!W61-'Team B 1'!$AA61-('Team B 1'!W$2- 12.5)*'Team B 1'!$AC61</f>
        <v>-7.5672650235264882</v>
      </c>
      <c r="X61" s="1">
        <f>'Team B 1'!X61-'Team B 1'!$AA61-('Team B 1'!X$2- 12.5)*'Team B 1'!$AC61</f>
        <v>-23.18838064003603</v>
      </c>
      <c r="Y61" s="1">
        <f>'Team B 1'!Y61-'Team B 1'!$AA61-('Team B 1'!Y$2- 12.5)*'Team B 1'!$AC61</f>
        <v>-18.809496256545572</v>
      </c>
      <c r="AB61" s="1">
        <f>STDEV(B61:Y61)</f>
        <v>24.758586597288311</v>
      </c>
      <c r="AD61" s="5">
        <v>6</v>
      </c>
      <c r="AE61" s="5">
        <v>7</v>
      </c>
      <c r="AF61" s="5">
        <v>3</v>
      </c>
      <c r="AG61" s="5">
        <v>2</v>
      </c>
      <c r="AH61" s="5" t="s">
        <v>45</v>
      </c>
      <c r="AI61" s="5">
        <v>9</v>
      </c>
      <c r="AJ61" s="5">
        <v>4</v>
      </c>
      <c r="AK61" s="5">
        <v>5</v>
      </c>
      <c r="AL61" s="5">
        <v>8</v>
      </c>
      <c r="AM61" s="5">
        <v>1</v>
      </c>
      <c r="AN61" s="5" t="s">
        <v>47</v>
      </c>
      <c r="AO61" s="5" t="s">
        <v>46</v>
      </c>
      <c r="AP61" s="5">
        <v>7</v>
      </c>
      <c r="AQ61" s="5">
        <v>6</v>
      </c>
      <c r="AR61" s="5">
        <v>2</v>
      </c>
      <c r="AS61" s="5">
        <v>3</v>
      </c>
      <c r="AT61" s="5">
        <v>9</v>
      </c>
      <c r="AU61" s="5" t="s">
        <v>45</v>
      </c>
      <c r="AV61" s="5">
        <v>5</v>
      </c>
      <c r="AW61" s="5">
        <v>4</v>
      </c>
      <c r="AX61" s="5">
        <v>8</v>
      </c>
      <c r="AY61" s="5" t="s">
        <v>47</v>
      </c>
      <c r="AZ61" s="5">
        <v>1</v>
      </c>
      <c r="BA61" s="5" t="s">
        <v>46</v>
      </c>
      <c r="BB61" s="5"/>
      <c r="BC61" s="1">
        <f ca="1">OFFSET(A61,0, 10) -0</f>
        <v>-10.113877625412272</v>
      </c>
      <c r="BD61" s="1">
        <f ca="1">OFFSET(A61,0, 4) -0</f>
        <v>23.612816073644808</v>
      </c>
      <c r="BE61" s="1">
        <f ca="1">OFFSET(A61,0, 3) -0</f>
        <v>9.2339316901543498</v>
      </c>
      <c r="BF61" s="1">
        <f ca="1">OFFSET(A61,0, 7) -0</f>
        <v>-3.2505307758838171</v>
      </c>
      <c r="BG61" s="1">
        <f ca="1">OFFSET(A61,0, 8) -0</f>
        <v>11.128353607606755</v>
      </c>
      <c r="BH61" s="1">
        <f ca="1">OFFSET(A61,0, 1) -0</f>
        <v>10.476162923173433</v>
      </c>
      <c r="BI61" s="1">
        <f ca="1">OFFSET(A61,0, 2) -0</f>
        <v>44.855047306663892</v>
      </c>
      <c r="BJ61" s="1">
        <f ca="1">OFFSET(A61,0, 9) -0</f>
        <v>5.5072379910972131</v>
      </c>
      <c r="BK61" s="1">
        <f ca="1">OFFSET(A61,0, 6) -0</f>
        <v>22.370584840625725</v>
      </c>
      <c r="BL61" s="1">
        <f ca="1">OFFSET(A61,0, 5) -0</f>
        <v>47.991700457135266</v>
      </c>
      <c r="BM61" s="1">
        <f ca="1">OFFSET(A61,0, 12) -0</f>
        <v>-11.356108858431313</v>
      </c>
      <c r="BN61" s="1">
        <f ca="1">OFFSET(A61,0, 11) -0</f>
        <v>-25.734993241921813</v>
      </c>
      <c r="BO61" s="1">
        <f ca="1">OFFSET(A61,0, 23) -0</f>
        <v>-23.18838064003603</v>
      </c>
      <c r="BP61" s="1">
        <f ca="1">OFFSET(A61,0, 15) -0</f>
        <v>31.780544292040133</v>
      </c>
      <c r="BQ61" s="1">
        <f ca="1">OFFSET(A61,0, 16) -0</f>
        <v>16.159428675530648</v>
      </c>
      <c r="BR61" s="1">
        <f ca="1">OFFSET(A61,0, 20) -0</f>
        <v>-36.325033790507405</v>
      </c>
      <c r="BS61" s="1">
        <f ca="1">OFFSET(A61,0, 19) -0</f>
        <v>-30.703918173997863</v>
      </c>
      <c r="BT61" s="1">
        <f ca="1">OFFSET(A61,0, 14) -0</f>
        <v>7.401659908549675</v>
      </c>
      <c r="BU61" s="1">
        <f ca="1">OFFSET(A61,0, 13) -0</f>
        <v>3.0227755250591741</v>
      </c>
      <c r="BV61" s="1">
        <f ca="1">OFFSET(A61,0, 21) -0</f>
        <v>-51.946149407016946</v>
      </c>
      <c r="BW61" s="1">
        <f ca="1">OFFSET(A61,0, 17) -0</f>
        <v>0.53831305902110671</v>
      </c>
      <c r="BX61" s="1">
        <f ca="1">OFFSET(A61,0, 18) -0</f>
        <v>-15.082802557488321</v>
      </c>
      <c r="BY61" s="1">
        <f ca="1">OFFSET(A61,0, 24) -0</f>
        <v>-18.809496256545572</v>
      </c>
      <c r="BZ61" s="1">
        <f ca="1">OFFSET(A61,0, 22) -0</f>
        <v>-7.5672650235264882</v>
      </c>
      <c r="CB61" s="1">
        <f>COUNTIF(B61,"&lt;-69")</f>
        <v>0</v>
      </c>
      <c r="CC61" s="1">
        <f ca="1">COUNTIF(BC61:BN61,"&lt;-49")</f>
        <v>0</v>
      </c>
      <c r="CD61" s="1">
        <f ca="1">COUNTIF(BC61:BN61,"&gt;+49")</f>
        <v>0</v>
      </c>
      <c r="CE61" s="1">
        <f ca="1">COUNTIF(BO61:BZ61,"&lt;-49")</f>
        <v>1</v>
      </c>
      <c r="CF61" s="1">
        <f ca="1">COUNTIF(BO61:BZ61,"&gt;+49")</f>
        <v>0</v>
      </c>
    </row>
    <row r="62" spans="1:84">
      <c r="A62" s="1">
        <v>59</v>
      </c>
      <c r="B62" s="1">
        <f>'Team B 1'!B62-'Team B 1'!$AA62-('Team B 1'!B$2- 12.5)*'Team B 1'!$AC62</f>
        <v>31.268788603870235</v>
      </c>
      <c r="C62" s="1">
        <f>'Team B 1'!C62-'Team B 1'!$AA62-('Team B 1'!C$2- 12.5)*'Team B 1'!$AC62</f>
        <v>34.962806986142368</v>
      </c>
      <c r="D62" s="1">
        <f>'Team B 1'!D62-'Team B 1'!$AA62-('Team B 1'!D$2- 12.5)*'Team B 1'!$AC62</f>
        <v>8.656825368414502</v>
      </c>
      <c r="E62" s="1">
        <f>'Team B 1'!E62-'Team B 1'!$AA62-('Team B 1'!E$2- 12.5)*'Team B 1'!$AC62</f>
        <v>22.350843750686636</v>
      </c>
      <c r="F62" s="1">
        <f>'Team B 1'!F62-'Team B 1'!$AA62-('Team B 1'!F$2- 12.5)*'Team B 1'!$AC62</f>
        <v>46.04486213295877</v>
      </c>
      <c r="G62" s="1">
        <f>'Team B 1'!G62-'Team B 1'!$AA62-('Team B 1'!G$2- 12.5)*'Team B 1'!$AC62</f>
        <v>19.738880515230903</v>
      </c>
      <c r="H62" s="1">
        <f>'Team B 1'!H62-'Team B 1'!$AA62-('Team B 1'!H$2- 12.5)*'Team B 1'!$AC62</f>
        <v>23.432898897503037</v>
      </c>
      <c r="I62" s="1">
        <f>'Team B 1'!I62-'Team B 1'!$AA62-('Team B 1'!I$2- 12.5)*'Team B 1'!$AC62</f>
        <v>-22.873082720224716</v>
      </c>
      <c r="J62" s="1">
        <f>'Team B 1'!J62-'Team B 1'!$AA62-('Team B 1'!J$2- 12.5)*'Team B 1'!$AC62</f>
        <v>10.820935662047418</v>
      </c>
      <c r="K62" s="1">
        <f>'Team B 1'!K62-'Team B 1'!$AA62-('Team B 1'!K$2- 12.5)*'Team B 1'!$AC62</f>
        <v>-35.485045955680391</v>
      </c>
      <c r="L62" s="1">
        <f>'Team B 1'!L62-'Team B 1'!$AA62-('Team B 1'!L$2- 12.5)*'Team B 1'!$AC62</f>
        <v>-31.791027573408257</v>
      </c>
      <c r="M62" s="1">
        <f>'Team B 1'!M62-'Team B 1'!$AA62-('Team B 1'!M$2- 12.5)*'Team B 1'!$AC62</f>
        <v>1.9029908088639189</v>
      </c>
      <c r="N62" s="1">
        <f>'Team B 1'!N62-'Team B 1'!$AA62-('Team B 1'!N$2- 12.5)*'Team B 1'!$AC62</f>
        <v>-4.4029908088639189</v>
      </c>
      <c r="O62" s="1">
        <f>'Team B 1'!O62-'Team B 1'!$AA62-('Team B 1'!O$2- 12.5)*'Team B 1'!$AC62</f>
        <v>-0.70897242659174253</v>
      </c>
      <c r="P62" s="1">
        <f>'Team B 1'!P62-'Team B 1'!$AA62-('Team B 1'!P$2- 12.5)*'Team B 1'!$AC62</f>
        <v>-7.0149540443196088</v>
      </c>
      <c r="Q62" s="1">
        <f>'Team B 1'!Q62-'Team B 1'!$AA62-('Team B 1'!Q$2- 12.5)*'Team B 1'!$AC62</f>
        <v>-3.3209356620474182</v>
      </c>
      <c r="R62" s="1">
        <f>'Team B 1'!R62-'Team B 1'!$AA62-('Team B 1'!R$2- 12.5)*'Team B 1'!$AC62</f>
        <v>10.373082720224716</v>
      </c>
      <c r="S62" s="1">
        <f>'Team B 1'!S62-'Team B 1'!$AA62-('Team B 1'!S$2- 12.5)*'Team B 1'!$AC62</f>
        <v>-5.932898897503037</v>
      </c>
      <c r="T62" s="1">
        <f>'Team B 1'!T62-'Team B 1'!$AA62-('Team B 1'!T$2- 12.5)*'Team B 1'!$AC62</f>
        <v>-12.238880515230903</v>
      </c>
      <c r="U62" s="1">
        <f>'Team B 1'!U62-'Team B 1'!$AA62-('Team B 1'!U$2- 12.5)*'Team B 1'!$AC62</f>
        <v>21.45513786704123</v>
      </c>
      <c r="V62" s="1">
        <f>'Team B 1'!V62-'Team B 1'!$AA62-('Team B 1'!V$2- 12.5)*'Team B 1'!$AC62</f>
        <v>15.149156249313364</v>
      </c>
      <c r="W62" s="1">
        <f>'Team B 1'!W62-'Team B 1'!$AA62-('Team B 1'!W$2- 12.5)*'Team B 1'!$AC62</f>
        <v>-81.156825368414502</v>
      </c>
      <c r="X62" s="1">
        <f>'Team B 1'!X62-'Team B 1'!$AA62-('Team B 1'!X$2- 12.5)*'Team B 1'!$AC62</f>
        <v>-27.462806986142368</v>
      </c>
      <c r="Y62" s="1">
        <f>'Team B 1'!Y62-'Team B 1'!$AA62-('Team B 1'!Y$2- 12.5)*'Team B 1'!$AC62</f>
        <v>-13.768788603870235</v>
      </c>
      <c r="AB62" s="1">
        <f>STDEV(B62:Y62)</f>
        <v>27.45747081081544</v>
      </c>
      <c r="AD62" s="5">
        <v>6</v>
      </c>
      <c r="AE62" s="5">
        <v>7</v>
      </c>
      <c r="AF62" s="5">
        <v>3</v>
      </c>
      <c r="AG62" s="5">
        <v>2</v>
      </c>
      <c r="AH62" s="5" t="s">
        <v>45</v>
      </c>
      <c r="AI62" s="5">
        <v>9</v>
      </c>
      <c r="AJ62" s="5">
        <v>4</v>
      </c>
      <c r="AK62" s="5">
        <v>5</v>
      </c>
      <c r="AL62" s="5" t="s">
        <v>47</v>
      </c>
      <c r="AM62" s="5">
        <v>8</v>
      </c>
      <c r="AN62" s="5" t="s">
        <v>46</v>
      </c>
      <c r="AO62" s="5">
        <v>1</v>
      </c>
      <c r="AP62" s="5">
        <v>6</v>
      </c>
      <c r="AQ62" s="5">
        <v>3</v>
      </c>
      <c r="AR62" s="5">
        <v>7</v>
      </c>
      <c r="AS62" s="5" t="s">
        <v>45</v>
      </c>
      <c r="AT62" s="5">
        <v>2</v>
      </c>
      <c r="AU62" s="5">
        <v>4</v>
      </c>
      <c r="AV62" s="5">
        <v>9</v>
      </c>
      <c r="AW62" s="5" t="s">
        <v>47</v>
      </c>
      <c r="AX62" s="5">
        <v>5</v>
      </c>
      <c r="AY62" s="5">
        <v>8</v>
      </c>
      <c r="AZ62" s="5">
        <v>1</v>
      </c>
      <c r="BA62" s="5" t="s">
        <v>46</v>
      </c>
      <c r="BB62" s="5"/>
      <c r="BC62" s="1">
        <f ca="1">OFFSET(A62,0, 12) -0</f>
        <v>1.9029908088639189</v>
      </c>
      <c r="BD62" s="1">
        <f ca="1">OFFSET(A62,0, 4) -0</f>
        <v>22.350843750686636</v>
      </c>
      <c r="BE62" s="1">
        <f ca="1">OFFSET(A62,0, 3) -0</f>
        <v>8.656825368414502</v>
      </c>
      <c r="BF62" s="1">
        <f ca="1">OFFSET(A62,0, 7) -0</f>
        <v>23.432898897503037</v>
      </c>
      <c r="BG62" s="1">
        <f ca="1">OFFSET(A62,0, 8) -0</f>
        <v>-22.873082720224716</v>
      </c>
      <c r="BH62" s="1">
        <f ca="1">OFFSET(A62,0, 1) -0</f>
        <v>31.268788603870235</v>
      </c>
      <c r="BI62" s="1">
        <f ca="1">OFFSET(A62,0, 2) -0</f>
        <v>34.962806986142368</v>
      </c>
      <c r="BJ62" s="1">
        <f ca="1">OFFSET(A62,0, 10) -0</f>
        <v>-35.485045955680391</v>
      </c>
      <c r="BK62" s="1">
        <f ca="1">OFFSET(A62,0, 6) -0</f>
        <v>19.738880515230903</v>
      </c>
      <c r="BL62" s="1">
        <f ca="1">OFFSET(A62,0, 5) -0</f>
        <v>46.04486213295877</v>
      </c>
      <c r="BM62" s="1">
        <f ca="1">OFFSET(A62,0, 11) -0</f>
        <v>-31.791027573408257</v>
      </c>
      <c r="BN62" s="1">
        <f ca="1">OFFSET(A62,0, 9) -0</f>
        <v>10.820935662047418</v>
      </c>
      <c r="BO62" s="1">
        <f ca="1">OFFSET(A62,0, 23) -0</f>
        <v>-27.462806986142368</v>
      </c>
      <c r="BP62" s="1">
        <f ca="1">OFFSET(A62,0, 17) -0</f>
        <v>10.373082720224716</v>
      </c>
      <c r="BQ62" s="1">
        <f ca="1">OFFSET(A62,0, 14) -0</f>
        <v>-0.70897242659174253</v>
      </c>
      <c r="BR62" s="1">
        <f ca="1">OFFSET(A62,0, 18) -0</f>
        <v>-5.932898897503037</v>
      </c>
      <c r="BS62" s="1">
        <f ca="1">OFFSET(A62,0, 21) -0</f>
        <v>15.149156249313364</v>
      </c>
      <c r="BT62" s="1">
        <f ca="1">OFFSET(A62,0, 13) -0</f>
        <v>-4.4029908088639189</v>
      </c>
      <c r="BU62" s="1">
        <f ca="1">OFFSET(A62,0, 15) -0</f>
        <v>-7.0149540443196088</v>
      </c>
      <c r="BV62" s="1">
        <f ca="1">OFFSET(A62,0, 22) -0</f>
        <v>-81.156825368414502</v>
      </c>
      <c r="BW62" s="1">
        <f ca="1">OFFSET(A62,0, 19) -0</f>
        <v>-12.238880515230903</v>
      </c>
      <c r="BX62" s="1">
        <f ca="1">OFFSET(A62,0, 16) -0</f>
        <v>-3.3209356620474182</v>
      </c>
      <c r="BY62" s="1">
        <f ca="1">OFFSET(A62,0, 24) -0</f>
        <v>-13.768788603870235</v>
      </c>
      <c r="BZ62" s="1">
        <f ca="1">OFFSET(A62,0, 20) -0</f>
        <v>21.45513786704123</v>
      </c>
      <c r="CB62" s="1">
        <f>COUNTIF(B62,"&lt;-69")</f>
        <v>0</v>
      </c>
      <c r="CC62" s="1">
        <f ca="1">COUNTIF(BC62:BN62,"&lt;-49")</f>
        <v>0</v>
      </c>
      <c r="CD62" s="1">
        <f ca="1">COUNTIF(BC62:BN62,"&gt;+49")</f>
        <v>0</v>
      </c>
      <c r="CE62" s="1">
        <f ca="1">COUNTIF(BO62:BZ62,"&lt;-49")</f>
        <v>1</v>
      </c>
      <c r="CF62" s="1">
        <f ca="1">COUNTIF(BO62:BZ62,"&gt;+49")</f>
        <v>0</v>
      </c>
    </row>
    <row r="63" spans="1:84">
      <c r="A63" s="1">
        <v>60</v>
      </c>
      <c r="B63" s="1">
        <f>'Team B 1'!B63-'Team B 1'!$AA63-('Team B 1'!B$2- 12.5)*'Team B 1'!$AC63</f>
        <v>5.0187886038702345</v>
      </c>
      <c r="C63" s="1">
        <f>'Team B 1'!C63-'Team B 1'!$AA63-('Team B 1'!C$2- 12.5)*'Team B 1'!$AC63</f>
        <v>18.712806986142368</v>
      </c>
      <c r="D63" s="1">
        <f>'Team B 1'!D63-'Team B 1'!$AA63-('Team B 1'!D$2- 12.5)*'Team B 1'!$AC63</f>
        <v>72.406825368414502</v>
      </c>
      <c r="E63" s="1">
        <f>'Team B 1'!E63-'Team B 1'!$AA63-('Team B 1'!E$2- 12.5)*'Team B 1'!$AC63</f>
        <v>76.100843750686636</v>
      </c>
      <c r="F63" s="1">
        <f>'Team B 1'!F63-'Team B 1'!$AA63-('Team B 1'!F$2- 12.5)*'Team B 1'!$AC63</f>
        <v>29.79486213295877</v>
      </c>
      <c r="G63" s="1">
        <f>'Team B 1'!G63-'Team B 1'!$AA63-('Team B 1'!G$2- 12.5)*'Team B 1'!$AC63</f>
        <v>-16.511119484769097</v>
      </c>
      <c r="H63" s="1">
        <f>'Team B 1'!H63-'Team B 1'!$AA63-('Team B 1'!H$2- 12.5)*'Team B 1'!$AC63</f>
        <v>7.182898897503037</v>
      </c>
      <c r="I63" s="1">
        <f>'Team B 1'!I63-'Team B 1'!$AA63-('Team B 1'!I$2- 12.5)*'Team B 1'!$AC63</f>
        <v>10.876917279775284</v>
      </c>
      <c r="J63" s="1">
        <f>'Team B 1'!J63-'Team B 1'!$AA63-('Team B 1'!J$2- 12.5)*'Team B 1'!$AC63</f>
        <v>-5.4290643379525818</v>
      </c>
      <c r="K63" s="1">
        <f>'Team B 1'!K63-'Team B 1'!$AA63-('Team B 1'!K$2- 12.5)*'Team B 1'!$AC63</f>
        <v>-11.735045955680391</v>
      </c>
      <c r="L63" s="1">
        <f>'Team B 1'!L63-'Team B 1'!$AA63-('Team B 1'!L$2- 12.5)*'Team B 1'!$AC63</f>
        <v>-38.041027573408257</v>
      </c>
      <c r="M63" s="1">
        <f>'Team B 1'!M63-'Team B 1'!$AA63-('Team B 1'!M$2- 12.5)*'Team B 1'!$AC63</f>
        <v>25.652990808863919</v>
      </c>
      <c r="N63" s="1">
        <f>'Team B 1'!N63-'Team B 1'!$AA63-('Team B 1'!N$2- 12.5)*'Team B 1'!$AC63</f>
        <v>-20.652990808863919</v>
      </c>
      <c r="O63" s="1">
        <f>'Team B 1'!O63-'Team B 1'!$AA63-('Team B 1'!O$2- 12.5)*'Team B 1'!$AC63</f>
        <v>-6.9589724265917425</v>
      </c>
      <c r="P63" s="1">
        <f>'Team B 1'!P63-'Team B 1'!$AA63-('Team B 1'!P$2- 12.5)*'Team B 1'!$AC63</f>
        <v>16.735045955680391</v>
      </c>
      <c r="Q63" s="1">
        <f>'Team B 1'!Q63-'Team B 1'!$AA63-('Team B 1'!Q$2- 12.5)*'Team B 1'!$AC63</f>
        <v>-9.5709356620474182</v>
      </c>
      <c r="R63" s="1">
        <f>'Team B 1'!R63-'Team B 1'!$AA63-('Team B 1'!R$2- 12.5)*'Team B 1'!$AC63</f>
        <v>-5.8769172797752844</v>
      </c>
      <c r="S63" s="1">
        <f>'Team B 1'!S63-'Team B 1'!$AA63-('Team B 1'!S$2- 12.5)*'Team B 1'!$AC63</f>
        <v>27.817101102496963</v>
      </c>
      <c r="T63" s="1">
        <f>'Team B 1'!T63-'Team B 1'!$AA63-('Team B 1'!T$2- 12.5)*'Team B 1'!$AC63</f>
        <v>-8.4888805152309033</v>
      </c>
      <c r="U63" s="1">
        <f>'Team B 1'!U63-'Team B 1'!$AA63-('Team B 1'!U$2- 12.5)*'Team B 1'!$AC63</f>
        <v>-14.79486213295877</v>
      </c>
      <c r="V63" s="1">
        <f>'Team B 1'!V63-'Team B 1'!$AA63-('Team B 1'!V$2- 12.5)*'Team B 1'!$AC63</f>
        <v>-51.100843750686636</v>
      </c>
      <c r="W63" s="1">
        <f>'Team B 1'!W63-'Team B 1'!$AA63-('Team B 1'!W$2- 12.5)*'Team B 1'!$AC63</f>
        <v>-57.406825368414502</v>
      </c>
      <c r="X63" s="1">
        <f>'Team B 1'!X63-'Team B 1'!$AA63-('Team B 1'!X$2- 12.5)*'Team B 1'!$AC63</f>
        <v>-33.712806986142368</v>
      </c>
      <c r="Y63" s="1">
        <f>'Team B 1'!Y63-'Team B 1'!$AA63-('Team B 1'!Y$2- 12.5)*'Team B 1'!$AC63</f>
        <v>-10.018788603870235</v>
      </c>
      <c r="AB63" s="1">
        <f>STDEV(B63:Y63)</f>
        <v>32.371326337814935</v>
      </c>
      <c r="AD63" s="5">
        <v>3</v>
      </c>
      <c r="AE63" s="5">
        <v>6</v>
      </c>
      <c r="AF63" s="5" t="s">
        <v>45</v>
      </c>
      <c r="AG63" s="5">
        <v>7</v>
      </c>
      <c r="AH63" s="5">
        <v>4</v>
      </c>
      <c r="AI63" s="5">
        <v>2</v>
      </c>
      <c r="AJ63" s="5" t="s">
        <v>47</v>
      </c>
      <c r="AK63" s="5">
        <v>9</v>
      </c>
      <c r="AL63" s="5">
        <v>8</v>
      </c>
      <c r="AM63" s="5">
        <v>5</v>
      </c>
      <c r="AN63" s="5" t="s">
        <v>46</v>
      </c>
      <c r="AO63" s="5">
        <v>1</v>
      </c>
      <c r="AP63" s="5">
        <v>6</v>
      </c>
      <c r="AQ63" s="5">
        <v>3</v>
      </c>
      <c r="AR63" s="5">
        <v>7</v>
      </c>
      <c r="AS63" s="5" t="s">
        <v>45</v>
      </c>
      <c r="AT63" s="5">
        <v>2</v>
      </c>
      <c r="AU63" s="5">
        <v>4</v>
      </c>
      <c r="AV63" s="5">
        <v>9</v>
      </c>
      <c r="AW63" s="5" t="s">
        <v>47</v>
      </c>
      <c r="AX63" s="5">
        <v>5</v>
      </c>
      <c r="AY63" s="5">
        <v>8</v>
      </c>
      <c r="AZ63" s="5" t="s">
        <v>46</v>
      </c>
      <c r="BA63" s="5">
        <v>1</v>
      </c>
      <c r="BB63" s="5"/>
      <c r="BC63" s="1">
        <f ca="1">OFFSET(A63,0, 12) -0</f>
        <v>25.652990808863919</v>
      </c>
      <c r="BD63" s="1">
        <f ca="1">OFFSET(A63,0, 6) -0</f>
        <v>-16.511119484769097</v>
      </c>
      <c r="BE63" s="1">
        <f ca="1">OFFSET(A63,0, 1) -0</f>
        <v>5.0187886038702345</v>
      </c>
      <c r="BF63" s="1">
        <f ca="1">OFFSET(A63,0, 5) -0</f>
        <v>29.79486213295877</v>
      </c>
      <c r="BG63" s="1">
        <f ca="1">OFFSET(A63,0, 10) -0</f>
        <v>-11.735045955680391</v>
      </c>
      <c r="BH63" s="1">
        <f ca="1">OFFSET(A63,0, 2) -0</f>
        <v>18.712806986142368</v>
      </c>
      <c r="BI63" s="1">
        <f ca="1">OFFSET(A63,0, 4) -0</f>
        <v>76.100843750686636</v>
      </c>
      <c r="BJ63" s="1">
        <f ca="1">OFFSET(A63,0, 9) -0</f>
        <v>-5.4290643379525818</v>
      </c>
      <c r="BK63" s="1">
        <f ca="1">OFFSET(A63,0, 8) -0</f>
        <v>10.876917279775284</v>
      </c>
      <c r="BL63" s="1">
        <f ca="1">OFFSET(A63,0, 3) -0</f>
        <v>72.406825368414502</v>
      </c>
      <c r="BM63" s="1">
        <f ca="1">OFFSET(A63,0, 11) -0</f>
        <v>-38.041027573408257</v>
      </c>
      <c r="BN63" s="1">
        <f ca="1">OFFSET(A63,0, 7) -0</f>
        <v>7.182898897503037</v>
      </c>
      <c r="BO63" s="1">
        <f ca="1">OFFSET(A63,0, 24) -0</f>
        <v>-10.018788603870235</v>
      </c>
      <c r="BP63" s="1">
        <f ca="1">OFFSET(A63,0, 17) -0</f>
        <v>-5.8769172797752844</v>
      </c>
      <c r="BQ63" s="1">
        <f ca="1">OFFSET(A63,0, 14) -0</f>
        <v>-6.9589724265917425</v>
      </c>
      <c r="BR63" s="1">
        <f ca="1">OFFSET(A63,0, 18) -0</f>
        <v>27.817101102496963</v>
      </c>
      <c r="BS63" s="1">
        <f ca="1">OFFSET(A63,0, 21) -0</f>
        <v>-51.100843750686636</v>
      </c>
      <c r="BT63" s="1">
        <f ca="1">OFFSET(A63,0, 13) -0</f>
        <v>-20.652990808863919</v>
      </c>
      <c r="BU63" s="1">
        <f ca="1">OFFSET(A63,0, 15) -0</f>
        <v>16.735045955680391</v>
      </c>
      <c r="BV63" s="1">
        <f ca="1">OFFSET(A63,0, 22) -0</f>
        <v>-57.406825368414502</v>
      </c>
      <c r="BW63" s="1">
        <f ca="1">OFFSET(A63,0, 19) -0</f>
        <v>-8.4888805152309033</v>
      </c>
      <c r="BX63" s="1">
        <f ca="1">OFFSET(A63,0, 16) -0</f>
        <v>-9.5709356620474182</v>
      </c>
      <c r="BY63" s="1">
        <f ca="1">OFFSET(A63,0, 23) -0</f>
        <v>-33.712806986142368</v>
      </c>
      <c r="BZ63" s="1">
        <f ca="1">OFFSET(A63,0, 20) -0</f>
        <v>-14.79486213295877</v>
      </c>
      <c r="CB63" s="1">
        <f>COUNTIF(B63,"&lt;-69")</f>
        <v>0</v>
      </c>
      <c r="CC63" s="1">
        <f ca="1">COUNTIF(BC63:BN63,"&lt;-49")</f>
        <v>0</v>
      </c>
      <c r="CD63" s="1">
        <f ca="1">COUNTIF(BC63:BN63,"&gt;+49")</f>
        <v>2</v>
      </c>
      <c r="CE63" s="1">
        <f ca="1">COUNTIF(BO63:BZ63,"&lt;-49")</f>
        <v>2</v>
      </c>
      <c r="CF63" s="1">
        <f ca="1">COUNTIF(BO63:BZ63,"&gt;+49")</f>
        <v>0</v>
      </c>
    </row>
    <row r="64" spans="1:84">
      <c r="A64" s="1">
        <v>61</v>
      </c>
      <c r="B64" s="1">
        <f>'Team B 1'!B64-'Team B 1'!$AA64-('Team B 1'!B$2- 12.5)*'Team B 1'!$AC64</f>
        <v>28.042482362711326</v>
      </c>
      <c r="C64" s="1">
        <f>'Team B 1'!C64-'Team B 1'!$AA64-('Team B 1'!C$2- 12.5)*'Team B 1'!$AC64</f>
        <v>12.596759258708971</v>
      </c>
      <c r="D64" s="1">
        <f>'Team B 1'!D64-'Team B 1'!$AA64-('Team B 1'!D$2- 12.5)*'Team B 1'!$AC64</f>
        <v>-2.8489638452931558</v>
      </c>
      <c r="E64" s="1">
        <f>'Team B 1'!E64-'Team B 1'!$AA64-('Team B 1'!E$2- 12.5)*'Team B 1'!$AC64</f>
        <v>51.705313050704717</v>
      </c>
      <c r="F64" s="1">
        <f>'Team B 1'!F64-'Team B 1'!$AA64-('Team B 1'!F$2- 12.5)*'Team B 1'!$AC64</f>
        <v>66.259589946702363</v>
      </c>
      <c r="G64" s="1">
        <f>'Team B 1'!G64-'Team B 1'!$AA64-('Team B 1'!G$2- 12.5)*'Team B 1'!$AC64</f>
        <v>40.813866842700236</v>
      </c>
      <c r="H64" s="1">
        <f>'Team B 1'!H64-'Team B 1'!$AA64-('Team B 1'!H$2- 12.5)*'Team B 1'!$AC64</f>
        <v>-4.6318562613018912</v>
      </c>
      <c r="I64" s="1">
        <f>'Team B 1'!I64-'Team B 1'!$AA64-('Team B 1'!I$2- 12.5)*'Team B 1'!$AC64</f>
        <v>9.9224206346958681</v>
      </c>
      <c r="J64" s="1">
        <f>'Team B 1'!J64-'Team B 1'!$AA64-('Team B 1'!J$2- 12.5)*'Team B 1'!$AC64</f>
        <v>-15.523302469306259</v>
      </c>
      <c r="K64" s="1">
        <f>'Team B 1'!K64-'Team B 1'!$AA64-('Team B 1'!K$2- 12.5)*'Team B 1'!$AC64</f>
        <v>-20.9690255733085</v>
      </c>
      <c r="L64" s="1">
        <f>'Team B 1'!L64-'Team B 1'!$AA64-('Team B 1'!L$2- 12.5)*'Team B 1'!$AC64</f>
        <v>13.585251322689373</v>
      </c>
      <c r="M64" s="1">
        <f>'Team B 1'!M64-'Team B 1'!$AA64-('Team B 1'!M$2- 12.5)*'Team B 1'!$AC64</f>
        <v>-21.860471781312839</v>
      </c>
      <c r="N64" s="1">
        <f>'Team B 1'!N64-'Team B 1'!$AA64-('Team B 1'!N$2- 12.5)*'Team B 1'!$AC64</f>
        <v>-7.3061948853150227</v>
      </c>
      <c r="O64" s="1">
        <f>'Team B 1'!O64-'Team B 1'!$AA64-('Team B 1'!O$2- 12.5)*'Team B 1'!$AC64</f>
        <v>-12.751917989317235</v>
      </c>
      <c r="P64" s="1">
        <f>'Team B 1'!P64-'Team B 1'!$AA64-('Team B 1'!P$2- 12.5)*'Team B 1'!$AC64</f>
        <v>1.802358906680638</v>
      </c>
      <c r="Q64" s="1">
        <f>'Team B 1'!Q64-'Team B 1'!$AA64-('Team B 1'!Q$2- 12.5)*'Team B 1'!$AC64</f>
        <v>-13.643364197321603</v>
      </c>
      <c r="R64" s="1">
        <f>'Team B 1'!R64-'Team B 1'!$AA64-('Team B 1'!R$2- 12.5)*'Team B 1'!$AC64</f>
        <v>10.91091269867627</v>
      </c>
      <c r="S64" s="1">
        <f>'Team B 1'!S64-'Team B 1'!$AA64-('Team B 1'!S$2- 12.5)*'Team B 1'!$AC64</f>
        <v>5.4651895946740296</v>
      </c>
      <c r="T64" s="1">
        <f>'Team B 1'!T64-'Team B 1'!$AA64-('Team B 1'!T$2- 12.5)*'Team B 1'!$AC64</f>
        <v>20.019466490671903</v>
      </c>
      <c r="U64" s="1">
        <f>'Team B 1'!U64-'Team B 1'!$AA64-('Team B 1'!U$2- 12.5)*'Team B 1'!$AC64</f>
        <v>-25.426256613330224</v>
      </c>
      <c r="V64" s="1">
        <f>'Team B 1'!V64-'Team B 1'!$AA64-('Team B 1'!V$2- 12.5)*'Team B 1'!$AC64</f>
        <v>-50.871979717332579</v>
      </c>
      <c r="W64" s="1">
        <f>'Team B 1'!W64-'Team B 1'!$AA64-('Team B 1'!W$2- 12.5)*'Team B 1'!$AC64</f>
        <v>-56.317702821334706</v>
      </c>
      <c r="X64" s="1">
        <f>'Team B 1'!X64-'Team B 1'!$AA64-('Team B 1'!X$2- 12.5)*'Team B 1'!$AC64</f>
        <v>-41.763425925336833</v>
      </c>
      <c r="Y64" s="1">
        <f>'Team B 1'!Y64-'Team B 1'!$AA64-('Team B 1'!Y$2- 12.5)*'Team B 1'!$AC64</f>
        <v>12.790850970660813</v>
      </c>
      <c r="AB64" s="1">
        <f>STDEV(B64:Y64)</f>
        <v>29.792575774453788</v>
      </c>
      <c r="AD64" s="5">
        <v>3</v>
      </c>
      <c r="AE64" s="5">
        <v>6</v>
      </c>
      <c r="AF64" s="5" t="s">
        <v>45</v>
      </c>
      <c r="AG64" s="5">
        <v>7</v>
      </c>
      <c r="AH64" s="5">
        <v>4</v>
      </c>
      <c r="AI64" s="5">
        <v>2</v>
      </c>
      <c r="AJ64" s="5" t="s">
        <v>47</v>
      </c>
      <c r="AK64" s="5">
        <v>9</v>
      </c>
      <c r="AL64" s="5">
        <v>8</v>
      </c>
      <c r="AM64" s="5">
        <v>5</v>
      </c>
      <c r="AN64" s="5">
        <v>1</v>
      </c>
      <c r="AO64" s="5" t="s">
        <v>46</v>
      </c>
      <c r="AP64" s="5">
        <v>3</v>
      </c>
      <c r="AQ64" s="5" t="s">
        <v>45</v>
      </c>
      <c r="AR64" s="5">
        <v>6</v>
      </c>
      <c r="AS64" s="5">
        <v>4</v>
      </c>
      <c r="AT64" s="5">
        <v>7</v>
      </c>
      <c r="AU64" s="5" t="s">
        <v>47</v>
      </c>
      <c r="AV64" s="5">
        <v>2</v>
      </c>
      <c r="AW64" s="5">
        <v>8</v>
      </c>
      <c r="AX64" s="5">
        <v>9</v>
      </c>
      <c r="AY64" s="5">
        <v>5</v>
      </c>
      <c r="AZ64" s="5" t="s">
        <v>46</v>
      </c>
      <c r="BA64" s="5">
        <v>1</v>
      </c>
      <c r="BB64" s="5"/>
      <c r="BC64" s="1">
        <f ca="1">OFFSET(A64,0, 11) -0</f>
        <v>13.585251322689373</v>
      </c>
      <c r="BD64" s="1">
        <f ca="1">OFFSET(A64,0, 6) -0</f>
        <v>40.813866842700236</v>
      </c>
      <c r="BE64" s="1">
        <f ca="1">OFFSET(A64,0, 1) -0</f>
        <v>28.042482362711326</v>
      </c>
      <c r="BF64" s="1">
        <f ca="1">OFFSET(A64,0, 5) -0</f>
        <v>66.259589946702363</v>
      </c>
      <c r="BG64" s="1">
        <f ca="1">OFFSET(A64,0, 10) -0</f>
        <v>-20.9690255733085</v>
      </c>
      <c r="BH64" s="1">
        <f ca="1">OFFSET(A64,0, 2) -0</f>
        <v>12.596759258708971</v>
      </c>
      <c r="BI64" s="1">
        <f ca="1">OFFSET(A64,0, 4) -0</f>
        <v>51.705313050704717</v>
      </c>
      <c r="BJ64" s="1">
        <f ca="1">OFFSET(A64,0, 9) -0</f>
        <v>-15.523302469306259</v>
      </c>
      <c r="BK64" s="1">
        <f ca="1">OFFSET(A64,0, 8) -0</f>
        <v>9.9224206346958681</v>
      </c>
      <c r="BL64" s="1">
        <f ca="1">OFFSET(A64,0, 3) -0</f>
        <v>-2.8489638452931558</v>
      </c>
      <c r="BM64" s="1">
        <f ca="1">OFFSET(A64,0, 12) -0</f>
        <v>-21.860471781312839</v>
      </c>
      <c r="BN64" s="1">
        <f ca="1">OFFSET(A64,0, 7) -0</f>
        <v>-4.6318562613018912</v>
      </c>
      <c r="BO64" s="1">
        <f ca="1">OFFSET(A64,0, 24) -0</f>
        <v>12.790850970660813</v>
      </c>
      <c r="BP64" s="1">
        <f ca="1">OFFSET(A64,0, 19) -0</f>
        <v>20.019466490671903</v>
      </c>
      <c r="BQ64" s="1">
        <f ca="1">OFFSET(A64,0, 13) -0</f>
        <v>-7.3061948853150227</v>
      </c>
      <c r="BR64" s="1">
        <f ca="1">OFFSET(A64,0, 16) -0</f>
        <v>-13.643364197321603</v>
      </c>
      <c r="BS64" s="1">
        <f ca="1">OFFSET(A64,0, 22) -0</f>
        <v>-56.317702821334706</v>
      </c>
      <c r="BT64" s="1">
        <f ca="1">OFFSET(A64,0, 15) -0</f>
        <v>1.802358906680638</v>
      </c>
      <c r="BU64" s="1">
        <f ca="1">OFFSET(A64,0, 17) -0</f>
        <v>10.91091269867627</v>
      </c>
      <c r="BV64" s="1">
        <f ca="1">OFFSET(A64,0, 20) -0</f>
        <v>-25.426256613330224</v>
      </c>
      <c r="BW64" s="1">
        <f ca="1">OFFSET(A64,0, 21) -0</f>
        <v>-50.871979717332579</v>
      </c>
      <c r="BX64" s="1">
        <f ca="1">OFFSET(A64,0, 14) -0</f>
        <v>-12.751917989317235</v>
      </c>
      <c r="BY64" s="1">
        <f ca="1">OFFSET(A64,0, 23) -0</f>
        <v>-41.763425925336833</v>
      </c>
      <c r="BZ64" s="1">
        <f ca="1">OFFSET(A64,0, 18) -0</f>
        <v>5.4651895946740296</v>
      </c>
      <c r="CB64" s="1">
        <f>COUNTIF(B64,"&lt;-69")</f>
        <v>0</v>
      </c>
      <c r="CC64" s="1">
        <f ca="1">COUNTIF(BC64:BN64,"&lt;-49")</f>
        <v>0</v>
      </c>
      <c r="CD64" s="1">
        <f ca="1">COUNTIF(BC64:BN64,"&gt;+49")</f>
        <v>2</v>
      </c>
      <c r="CE64" s="1">
        <f ca="1">COUNTIF(BO64:BZ64,"&lt;-49")</f>
        <v>2</v>
      </c>
      <c r="CF64" s="1">
        <f ca="1">COUNTIF(BO64:BZ64,"&gt;+49")</f>
        <v>0</v>
      </c>
    </row>
    <row r="65" spans="1:84">
      <c r="A65" s="1">
        <v>62</v>
      </c>
      <c r="B65" s="1">
        <f>'Team B 1'!B65-'Team B 1'!$AA65-('Team B 1'!B$2- 12.5)*'Team B 1'!$AC65</f>
        <v>0.19487983838098444</v>
      </c>
      <c r="C65" s="1">
        <f>'Team B 1'!C65-'Team B 1'!$AA65-('Team B 1'!C$2- 12.5)*'Team B 1'!$AC65</f>
        <v>-4.8582981185809331</v>
      </c>
      <c r="D65" s="1">
        <f>'Team B 1'!D65-'Team B 1'!$AA65-('Team B 1'!D$2- 12.5)*'Team B 1'!$AC65</f>
        <v>20.088523924456467</v>
      </c>
      <c r="E65" s="1">
        <f>'Team B 1'!E65-'Team B 1'!$AA65-('Team B 1'!E$2- 12.5)*'Team B 1'!$AC65</f>
        <v>15.035345967494095</v>
      </c>
      <c r="F65" s="1">
        <f>'Team B 1'!F65-'Team B 1'!$AA65-('Team B 1'!F$2- 12.5)*'Team B 1'!$AC65</f>
        <v>49.982168010531723</v>
      </c>
      <c r="G65" s="1">
        <f>'Team B 1'!G65-'Team B 1'!$AA65-('Team B 1'!G$2- 12.5)*'Team B 1'!$AC65</f>
        <v>64.92899005356935</v>
      </c>
      <c r="H65" s="1">
        <f>'Team B 1'!H65-'Team B 1'!$AA65-('Team B 1'!H$2- 12.5)*'Team B 1'!$AC65</f>
        <v>-0.12418790339302177</v>
      </c>
      <c r="I65" s="1">
        <f>'Team B 1'!I65-'Team B 1'!$AA65-('Team B 1'!I$2- 12.5)*'Team B 1'!$AC65</f>
        <v>34.822634139644606</v>
      </c>
      <c r="J65" s="1">
        <f>'Team B 1'!J65-'Team B 1'!$AA65-('Team B 1'!J$2- 12.5)*'Team B 1'!$AC65</f>
        <v>-10.230543817317766</v>
      </c>
      <c r="K65" s="1">
        <f>'Team B 1'!K65-'Team B 1'!$AA65-('Team B 1'!K$2- 12.5)*'Team B 1'!$AC65</f>
        <v>-65.283721774280139</v>
      </c>
      <c r="L65" s="1">
        <f>'Team B 1'!L65-'Team B 1'!$AA65-('Team B 1'!L$2- 12.5)*'Team B 1'!$AC65</f>
        <v>19.663100268757489</v>
      </c>
      <c r="M65" s="1">
        <f>'Team B 1'!M65-'Team B 1'!$AA65-('Team B 1'!M$2- 12.5)*'Team B 1'!$AC65</f>
        <v>14.609922311795117</v>
      </c>
      <c r="N65" s="1">
        <f>'Team B 1'!N65-'Team B 1'!$AA65-('Team B 1'!N$2- 12.5)*'Team B 1'!$AC65</f>
        <v>-10.443255645167255</v>
      </c>
      <c r="O65" s="1">
        <f>'Team B 1'!O65-'Team B 1'!$AA65-('Team B 1'!O$2- 12.5)*'Team B 1'!$AC65</f>
        <v>-35.496433602129628</v>
      </c>
      <c r="P65" s="1">
        <f>'Team B 1'!P65-'Team B 1'!$AA65-('Team B 1'!P$2- 12.5)*'Team B 1'!$AC65</f>
        <v>-10.549611559092</v>
      </c>
      <c r="Q65" s="1">
        <f>'Team B 1'!Q65-'Team B 1'!$AA65-('Team B 1'!Q$2- 12.5)*'Team B 1'!$AC65</f>
        <v>-45.602789516054372</v>
      </c>
      <c r="R65" s="1">
        <f>'Team B 1'!R65-'Team B 1'!$AA65-('Team B 1'!R$2- 12.5)*'Team B 1'!$AC65</f>
        <v>9.3440325269832556</v>
      </c>
      <c r="S65" s="1">
        <f>'Team B 1'!S65-'Team B 1'!$AA65-('Team B 1'!S$2- 12.5)*'Team B 1'!$AC65</f>
        <v>14.290854570020883</v>
      </c>
      <c r="T65" s="1">
        <f>'Team B 1'!T65-'Team B 1'!$AA65-('Team B 1'!T$2- 12.5)*'Team B 1'!$AC65</f>
        <v>29.237676613058511</v>
      </c>
      <c r="U65" s="1">
        <f>'Team B 1'!U65-'Team B 1'!$AA65-('Team B 1'!U$2- 12.5)*'Team B 1'!$AC65</f>
        <v>-15.815501343903861</v>
      </c>
      <c r="V65" s="1">
        <f>'Team B 1'!V65-'Team B 1'!$AA65-('Team B 1'!V$2- 12.5)*'Team B 1'!$AC65</f>
        <v>-30.868679300866233</v>
      </c>
      <c r="W65" s="1">
        <f>'Team B 1'!W65-'Team B 1'!$AA65-('Team B 1'!W$2- 12.5)*'Team B 1'!$AC65</f>
        <v>4.0781427421713943</v>
      </c>
      <c r="X65" s="1">
        <f>'Team B 1'!X65-'Team B 1'!$AA65-('Team B 1'!X$2- 12.5)*'Team B 1'!$AC65</f>
        <v>-30.975035214791205</v>
      </c>
      <c r="Y65" s="1">
        <f>'Team B 1'!Y65-'Team B 1'!$AA65-('Team B 1'!Y$2- 12.5)*'Team B 1'!$AC65</f>
        <v>-16.028213171753123</v>
      </c>
      <c r="AB65" s="1">
        <f>STDEV(B65:Y65)</f>
        <v>29.991977709309637</v>
      </c>
      <c r="AD65" s="5" t="s">
        <v>45</v>
      </c>
      <c r="AE65" s="5">
        <v>3</v>
      </c>
      <c r="AF65" s="5">
        <v>4</v>
      </c>
      <c r="AG65" s="5">
        <v>6</v>
      </c>
      <c r="AH65" s="5" t="s">
        <v>47</v>
      </c>
      <c r="AI65" s="5">
        <v>7</v>
      </c>
      <c r="AJ65" s="5">
        <v>8</v>
      </c>
      <c r="AK65" s="5">
        <v>2</v>
      </c>
      <c r="AL65" s="5">
        <v>5</v>
      </c>
      <c r="AM65" s="5">
        <v>9</v>
      </c>
      <c r="AN65" s="5">
        <v>1</v>
      </c>
      <c r="AO65" s="5" t="s">
        <v>46</v>
      </c>
      <c r="AP65" s="5">
        <v>3</v>
      </c>
      <c r="AQ65" s="5" t="s">
        <v>45</v>
      </c>
      <c r="AR65" s="5">
        <v>6</v>
      </c>
      <c r="AS65" s="5">
        <v>4</v>
      </c>
      <c r="AT65" s="5">
        <v>7</v>
      </c>
      <c r="AU65" s="5" t="s">
        <v>47</v>
      </c>
      <c r="AV65" s="5">
        <v>2</v>
      </c>
      <c r="AW65" s="5">
        <v>8</v>
      </c>
      <c r="AX65" s="5">
        <v>5</v>
      </c>
      <c r="AY65" s="5">
        <v>1</v>
      </c>
      <c r="AZ65" s="5">
        <v>9</v>
      </c>
      <c r="BA65" s="5" t="s">
        <v>46</v>
      </c>
      <c r="BB65" s="5"/>
      <c r="BC65" s="1">
        <f ca="1">OFFSET(A65,0, 11) -0</f>
        <v>19.663100268757489</v>
      </c>
      <c r="BD65" s="1">
        <f ca="1">OFFSET(A65,0, 8) -0</f>
        <v>34.822634139644606</v>
      </c>
      <c r="BE65" s="1">
        <f ca="1">OFFSET(A65,0, 2) -0</f>
        <v>-4.8582981185809331</v>
      </c>
      <c r="BF65" s="1">
        <f ca="1">OFFSET(A65,0, 3) -0</f>
        <v>20.088523924456467</v>
      </c>
      <c r="BG65" s="1">
        <f ca="1">OFFSET(A65,0, 9) -0</f>
        <v>-10.230543817317766</v>
      </c>
      <c r="BH65" s="1">
        <f ca="1">OFFSET(A65,0, 4) -0</f>
        <v>15.035345967494095</v>
      </c>
      <c r="BI65" s="1">
        <f ca="1">OFFSET(A65,0, 6) -0</f>
        <v>64.92899005356935</v>
      </c>
      <c r="BJ65" s="1">
        <f ca="1">OFFSET(A65,0, 7) -0</f>
        <v>-0.12418790339302177</v>
      </c>
      <c r="BK65" s="1">
        <f ca="1">OFFSET(A65,0, 10) -0</f>
        <v>-65.283721774280139</v>
      </c>
      <c r="BL65" s="1">
        <f ca="1">OFFSET(A65,0, 1) -0</f>
        <v>0.19487983838098444</v>
      </c>
      <c r="BM65" s="1">
        <f ca="1">OFFSET(A65,0, 12) -0</f>
        <v>14.609922311795117</v>
      </c>
      <c r="BN65" s="1">
        <f ca="1">OFFSET(A65,0, 5) -0</f>
        <v>49.982168010531723</v>
      </c>
      <c r="BO65" s="1">
        <f ca="1">OFFSET(A65,0, 22) -0</f>
        <v>4.0781427421713943</v>
      </c>
      <c r="BP65" s="1">
        <f ca="1">OFFSET(A65,0, 19) -0</f>
        <v>29.237676613058511</v>
      </c>
      <c r="BQ65" s="1">
        <f ca="1">OFFSET(A65,0, 13) -0</f>
        <v>-10.443255645167255</v>
      </c>
      <c r="BR65" s="1">
        <f ca="1">OFFSET(A65,0, 16) -0</f>
        <v>-45.602789516054372</v>
      </c>
      <c r="BS65" s="1">
        <f ca="1">OFFSET(A65,0, 21) -0</f>
        <v>-30.868679300866233</v>
      </c>
      <c r="BT65" s="1">
        <f ca="1">OFFSET(A65,0, 15) -0</f>
        <v>-10.549611559092</v>
      </c>
      <c r="BU65" s="1">
        <f ca="1">OFFSET(A65,0, 17) -0</f>
        <v>9.3440325269832556</v>
      </c>
      <c r="BV65" s="1">
        <f ca="1">OFFSET(A65,0, 20) -0</f>
        <v>-15.815501343903861</v>
      </c>
      <c r="BW65" s="1">
        <f ca="1">OFFSET(A65,0, 23) -0</f>
        <v>-30.975035214791205</v>
      </c>
      <c r="BX65" s="1">
        <f ca="1">OFFSET(A65,0, 14) -0</f>
        <v>-35.496433602129628</v>
      </c>
      <c r="BY65" s="1">
        <f ca="1">OFFSET(A65,0, 24) -0</f>
        <v>-16.028213171753123</v>
      </c>
      <c r="BZ65" s="1">
        <f ca="1">OFFSET(A65,0, 18) -0</f>
        <v>14.290854570020883</v>
      </c>
      <c r="CB65" s="1">
        <f>COUNTIF(B65,"&lt;-69")</f>
        <v>0</v>
      </c>
      <c r="CC65" s="1">
        <f ca="1">COUNTIF(BC65:BN65,"&lt;-49")</f>
        <v>1</v>
      </c>
      <c r="CD65" s="1">
        <f ca="1">COUNTIF(BC65:BN65,"&gt;+49")</f>
        <v>2</v>
      </c>
      <c r="CE65" s="1">
        <f ca="1">COUNTIF(BO65:BZ65,"&lt;-49")</f>
        <v>0</v>
      </c>
      <c r="CF65" s="1">
        <f ca="1">COUNTIF(BO65:BZ65,"&gt;+49")</f>
        <v>0</v>
      </c>
    </row>
    <row r="66" spans="1:84">
      <c r="A66" s="1">
        <v>63</v>
      </c>
      <c r="B66" s="1">
        <f>'Team B 1'!B66-'Team B 1'!$AA66-('Team B 1'!B$2- 12.5)*'Team B 1'!$AC66</f>
        <v>2.5027832770542773</v>
      </c>
      <c r="C66" s="1">
        <f>'Team B 1'!C66-'Team B 1'!$AA66-('Team B 1'!C$2- 12.5)*'Team B 1'!$AC66</f>
        <v>-2.533690631096988</v>
      </c>
      <c r="D66" s="1">
        <f>'Team B 1'!D66-'Team B 1'!$AA66-('Team B 1'!D$2- 12.5)*'Team B 1'!$AC66</f>
        <v>52.429835460751747</v>
      </c>
      <c r="E66" s="1">
        <f>'Team B 1'!E66-'Team B 1'!$AA66-('Team B 1'!E$2- 12.5)*'Team B 1'!$AC66</f>
        <v>17.393361552600481</v>
      </c>
      <c r="F66" s="1">
        <f>'Team B 1'!F66-'Team B 1'!$AA66-('Team B 1'!F$2- 12.5)*'Team B 1'!$AC66</f>
        <v>22.356887644448989</v>
      </c>
      <c r="G66" s="1">
        <f>'Team B 1'!G66-'Team B 1'!$AA66-('Team B 1'!G$2- 12.5)*'Team B 1'!$AC66</f>
        <v>27.320413736297724</v>
      </c>
      <c r="H66" s="1">
        <f>'Team B 1'!H66-'Team B 1'!$AA66-('Team B 1'!H$2- 12.5)*'Team B 1'!$AC66</f>
        <v>32.283939828146458</v>
      </c>
      <c r="I66" s="1">
        <f>'Team B 1'!I66-'Team B 1'!$AA66-('Team B 1'!I$2- 12.5)*'Team B 1'!$AC66</f>
        <v>47.247465919994966</v>
      </c>
      <c r="J66" s="1">
        <f>'Team B 1'!J66-'Team B 1'!$AA66-('Team B 1'!J$2- 12.5)*'Team B 1'!$AC66</f>
        <v>22.2109920118437</v>
      </c>
      <c r="K66" s="1">
        <f>'Team B 1'!K66-'Team B 1'!$AA66-('Team B 1'!K$2- 12.5)*'Team B 1'!$AC66</f>
        <v>7.1745181036923213</v>
      </c>
      <c r="L66" s="1">
        <f>'Team B 1'!L66-'Team B 1'!$AA66-('Team B 1'!L$2- 12.5)*'Team B 1'!$AC66</f>
        <v>-57.861955804459058</v>
      </c>
      <c r="M66" s="1">
        <f>'Team B 1'!M66-'Team B 1'!$AA66-('Team B 1'!M$2- 12.5)*'Team B 1'!$AC66</f>
        <v>-32.898429712610394</v>
      </c>
      <c r="N66" s="1">
        <f>'Team B 1'!N66-'Team B 1'!$AA66-('Team B 1'!N$2- 12.5)*'Team B 1'!$AC66</f>
        <v>-37.934903620761744</v>
      </c>
      <c r="O66" s="1">
        <f>'Team B 1'!O66-'Team B 1'!$AA66-('Team B 1'!O$2- 12.5)*'Team B 1'!$AC66</f>
        <v>-62.971377528913081</v>
      </c>
      <c r="P66" s="1">
        <f>'Team B 1'!P66-'Team B 1'!$AA66-('Team B 1'!P$2- 12.5)*'Team B 1'!$AC66</f>
        <v>-18.00785143706446</v>
      </c>
      <c r="Q66" s="1">
        <f>'Team B 1'!Q66-'Team B 1'!$AA66-('Team B 1'!Q$2- 12.5)*'Team B 1'!$AC66</f>
        <v>16.955674654784161</v>
      </c>
      <c r="R66" s="1">
        <f>'Team B 1'!R66-'Team B 1'!$AA66-('Team B 1'!R$2- 12.5)*'Team B 1'!$AC66</f>
        <v>1.919200746632896</v>
      </c>
      <c r="S66" s="1">
        <f>'Team B 1'!S66-'Team B 1'!$AA66-('Team B 1'!S$2- 12.5)*'Team B 1'!$AC66</f>
        <v>-3.1172731615185967</v>
      </c>
      <c r="T66" s="1">
        <f>'Team B 1'!T66-'Team B 1'!$AA66-('Team B 1'!T$2- 12.5)*'Team B 1'!$AC66</f>
        <v>-48.153747069669862</v>
      </c>
      <c r="U66" s="1">
        <f>'Team B 1'!U66-'Team B 1'!$AA66-('Team B 1'!U$2- 12.5)*'Team B 1'!$AC66</f>
        <v>-3.1902209778211272</v>
      </c>
      <c r="V66" s="1">
        <f>'Team B 1'!V66-'Team B 1'!$AA66-('Team B 1'!V$2- 12.5)*'Team B 1'!$AC66</f>
        <v>-8.2266948859726199</v>
      </c>
      <c r="W66" s="1">
        <f>'Team B 1'!W66-'Team B 1'!$AA66-('Team B 1'!W$2- 12.5)*'Team B 1'!$AC66</f>
        <v>26.736831205876115</v>
      </c>
      <c r="X66" s="1">
        <f>'Team B 1'!X66-'Team B 1'!$AA66-('Team B 1'!X$2- 12.5)*'Team B 1'!$AC66</f>
        <v>-8.2996427022751504</v>
      </c>
      <c r="Y66" s="1">
        <f>'Team B 1'!Y66-'Team B 1'!$AA66-('Team B 1'!Y$2- 12.5)*'Team B 1'!$AC66</f>
        <v>6.6638833895735843</v>
      </c>
      <c r="AB66" s="1">
        <f>STDEV(B66:Y66)</f>
        <v>30.796982119492181</v>
      </c>
      <c r="AD66" s="5" t="s">
        <v>45</v>
      </c>
      <c r="AE66" s="5">
        <v>3</v>
      </c>
      <c r="AF66" s="5">
        <v>4</v>
      </c>
      <c r="AG66" s="5">
        <v>6</v>
      </c>
      <c r="AH66" s="5" t="s">
        <v>47</v>
      </c>
      <c r="AI66" s="5">
        <v>7</v>
      </c>
      <c r="AJ66" s="5">
        <v>8</v>
      </c>
      <c r="AK66" s="5">
        <v>2</v>
      </c>
      <c r="AL66" s="5">
        <v>1</v>
      </c>
      <c r="AM66" s="5">
        <v>5</v>
      </c>
      <c r="AN66" s="5" t="s">
        <v>46</v>
      </c>
      <c r="AO66" s="5">
        <v>9</v>
      </c>
      <c r="AP66" s="5" t="s">
        <v>45</v>
      </c>
      <c r="AQ66" s="5">
        <v>4</v>
      </c>
      <c r="AR66" s="5">
        <v>3</v>
      </c>
      <c r="AS66" s="5" t="s">
        <v>47</v>
      </c>
      <c r="AT66" s="5">
        <v>6</v>
      </c>
      <c r="AU66" s="5">
        <v>8</v>
      </c>
      <c r="AV66" s="5">
        <v>7</v>
      </c>
      <c r="AW66" s="5">
        <v>2</v>
      </c>
      <c r="AX66" s="5">
        <v>5</v>
      </c>
      <c r="AY66" s="5">
        <v>1</v>
      </c>
      <c r="AZ66" s="5">
        <v>9</v>
      </c>
      <c r="BA66" s="5" t="s">
        <v>46</v>
      </c>
      <c r="BB66" s="5"/>
      <c r="BC66" s="1">
        <f ca="1">OFFSET(A66,0, 9) -0</f>
        <v>22.2109920118437</v>
      </c>
      <c r="BD66" s="1">
        <f ca="1">OFFSET(A66,0, 8) -0</f>
        <v>47.247465919994966</v>
      </c>
      <c r="BE66" s="1">
        <f ca="1">OFFSET(A66,0, 2) -0</f>
        <v>-2.533690631096988</v>
      </c>
      <c r="BF66" s="1">
        <f ca="1">OFFSET(A66,0, 3) -0</f>
        <v>52.429835460751747</v>
      </c>
      <c r="BG66" s="1">
        <f ca="1">OFFSET(A66,0, 10) -0</f>
        <v>7.1745181036923213</v>
      </c>
      <c r="BH66" s="1">
        <f ca="1">OFFSET(A66,0, 4) -0</f>
        <v>17.393361552600481</v>
      </c>
      <c r="BI66" s="1">
        <f ca="1">OFFSET(A66,0, 6) -0</f>
        <v>27.320413736297724</v>
      </c>
      <c r="BJ66" s="1">
        <f ca="1">OFFSET(A66,0, 7) -0</f>
        <v>32.283939828146458</v>
      </c>
      <c r="BK66" s="1">
        <f ca="1">OFFSET(A66,0, 12) -0</f>
        <v>-32.898429712610394</v>
      </c>
      <c r="BL66" s="1">
        <f ca="1">OFFSET(A66,0, 1) -0</f>
        <v>2.5027832770542773</v>
      </c>
      <c r="BM66" s="1">
        <f ca="1">OFFSET(A66,0, 11) -0</f>
        <v>-57.861955804459058</v>
      </c>
      <c r="BN66" s="1">
        <f ca="1">OFFSET(A66,0, 5) -0</f>
        <v>22.356887644448989</v>
      </c>
      <c r="BO66" s="1">
        <f ca="1">OFFSET(A66,0, 22) -0</f>
        <v>26.736831205876115</v>
      </c>
      <c r="BP66" s="1">
        <f ca="1">OFFSET(A66,0, 20) -0</f>
        <v>-3.1902209778211272</v>
      </c>
      <c r="BQ66" s="1">
        <f ca="1">OFFSET(A66,0, 15) -0</f>
        <v>-18.00785143706446</v>
      </c>
      <c r="BR66" s="1">
        <f ca="1">OFFSET(A66,0, 14) -0</f>
        <v>-62.971377528913081</v>
      </c>
      <c r="BS66" s="1">
        <f ca="1">OFFSET(A66,0, 21) -0</f>
        <v>-8.2266948859726199</v>
      </c>
      <c r="BT66" s="1">
        <f ca="1">OFFSET(A66,0, 17) -0</f>
        <v>1.919200746632896</v>
      </c>
      <c r="BU66" s="1">
        <f ca="1">OFFSET(A66,0, 19) -0</f>
        <v>-48.153747069669862</v>
      </c>
      <c r="BV66" s="1">
        <f ca="1">OFFSET(A66,0, 18) -0</f>
        <v>-3.1172731615185967</v>
      </c>
      <c r="BW66" s="1">
        <f ca="1">OFFSET(A66,0, 23) -0</f>
        <v>-8.2996427022751504</v>
      </c>
      <c r="BX66" s="1">
        <f ca="1">OFFSET(A66,0, 13) -0</f>
        <v>-37.934903620761744</v>
      </c>
      <c r="BY66" s="1">
        <f ca="1">OFFSET(A66,0, 24) -0</f>
        <v>6.6638833895735843</v>
      </c>
      <c r="BZ66" s="1">
        <f ca="1">OFFSET(A66,0, 16) -0</f>
        <v>16.955674654784161</v>
      </c>
      <c r="CB66" s="1">
        <f>COUNTIF(B66,"&lt;-69")</f>
        <v>0</v>
      </c>
      <c r="CC66" s="1">
        <f ca="1">COUNTIF(BC66:BN66,"&lt;-49")</f>
        <v>1</v>
      </c>
      <c r="CD66" s="1">
        <f ca="1">COUNTIF(BC66:BN66,"&gt;+49")</f>
        <v>1</v>
      </c>
      <c r="CE66" s="1">
        <f ca="1">COUNTIF(BO66:BZ66,"&lt;-49")</f>
        <v>1</v>
      </c>
      <c r="CF66" s="1">
        <f ca="1">COUNTIF(BO66:BZ66,"&gt;+49")</f>
        <v>0</v>
      </c>
    </row>
    <row r="67" spans="1:84">
      <c r="A67" s="1">
        <v>64</v>
      </c>
      <c r="B67" s="1">
        <f>'Team B 1'!B67-'Team B 1'!$AA67-('Team B 1'!B$2- 12.5)*'Team B 1'!$AC67</f>
        <v>-3.1668099846851874</v>
      </c>
      <c r="C67" s="1">
        <f>'Team B 1'!C67-'Team B 1'!$AA67-('Team B 1'!C$2- 12.5)*'Team B 1'!$AC67</f>
        <v>12.072332912532147</v>
      </c>
      <c r="D67" s="1">
        <f>'Team B 1'!D67-'Team B 1'!$AA67-('Team B 1'!D$2- 12.5)*'Team B 1'!$AC67</f>
        <v>27.311475809749481</v>
      </c>
      <c r="E67" s="1">
        <f>'Team B 1'!E67-'Team B 1'!$AA67-('Team B 1'!E$2- 12.5)*'Team B 1'!$AC67</f>
        <v>12.550618706966816</v>
      </c>
      <c r="F67" s="1">
        <f>'Team B 1'!F67-'Team B 1'!$AA67-('Team B 1'!F$2- 12.5)*'Team B 1'!$AC67</f>
        <v>-2.2102383958158498</v>
      </c>
      <c r="G67" s="1">
        <f>'Team B 1'!G67-'Team B 1'!$AA67-('Team B 1'!G$2- 12.5)*'Team B 1'!$AC67</f>
        <v>-6.9710954985985154</v>
      </c>
      <c r="H67" s="1">
        <f>'Team B 1'!H67-'Team B 1'!$AA67-('Team B 1'!H$2- 12.5)*'Team B 1'!$AC67</f>
        <v>-1.731952601381181</v>
      </c>
      <c r="I67" s="1">
        <f>'Team B 1'!I67-'Team B 1'!$AA67-('Team B 1'!I$2- 12.5)*'Team B 1'!$AC67</f>
        <v>33.50719029583604</v>
      </c>
      <c r="J67" s="1">
        <f>'Team B 1'!J67-'Team B 1'!$AA67-('Team B 1'!J$2- 12.5)*'Team B 1'!$AC67</f>
        <v>-11.253666806946626</v>
      </c>
      <c r="K67" s="1">
        <f>'Team B 1'!K67-'Team B 1'!$AA67-('Team B 1'!K$2- 12.5)*'Team B 1'!$AC67</f>
        <v>-36.014523909729348</v>
      </c>
      <c r="L67" s="1">
        <f>'Team B 1'!L67-'Team B 1'!$AA67-('Team B 1'!L$2- 12.5)*'Team B 1'!$AC67</f>
        <v>9.224618987487986</v>
      </c>
      <c r="M67" s="1">
        <f>'Team B 1'!M67-'Team B 1'!$AA67-('Team B 1'!M$2- 12.5)*'Team B 1'!$AC67</f>
        <v>-5.5362381152947222</v>
      </c>
      <c r="N67" s="1">
        <f>'Team B 1'!N67-'Team B 1'!$AA67-('Team B 1'!N$2- 12.5)*'Team B 1'!$AC67</f>
        <v>-10.297095218077416</v>
      </c>
      <c r="O67" s="1">
        <f>'Team B 1'!O67-'Team B 1'!$AA67-('Team B 1'!O$2- 12.5)*'Team B 1'!$AC67</f>
        <v>-35.057952320860124</v>
      </c>
      <c r="P67" s="1">
        <f>'Team B 1'!P67-'Team B 1'!$AA67-('Team B 1'!P$2- 12.5)*'Team B 1'!$AC67</f>
        <v>20.18119057635721</v>
      </c>
      <c r="Q67" s="1">
        <f>'Team B 1'!Q67-'Team B 1'!$AA67-('Team B 1'!Q$2- 12.5)*'Team B 1'!$AC67</f>
        <v>25.420333473574487</v>
      </c>
      <c r="R67" s="1">
        <f>'Team B 1'!R67-'Team B 1'!$AA67-('Team B 1'!R$2- 12.5)*'Team B 1'!$AC67</f>
        <v>-9.3405236292081781</v>
      </c>
      <c r="S67" s="1">
        <f>'Team B 1'!S67-'Team B 1'!$AA67-('Team B 1'!S$2- 12.5)*'Team B 1'!$AC67</f>
        <v>-54.101380731990957</v>
      </c>
      <c r="T67" s="1">
        <f>'Team B 1'!T67-'Team B 1'!$AA67-('Team B 1'!T$2- 12.5)*'Team B 1'!$AC67</f>
        <v>11.137762165226377</v>
      </c>
      <c r="U67" s="1">
        <f>'Team B 1'!U67-'Team B 1'!$AA67-('Team B 1'!U$2- 12.5)*'Team B 1'!$AC67</f>
        <v>36.376905062443711</v>
      </c>
      <c r="V67" s="1">
        <f>'Team B 1'!V67-'Team B 1'!$AA67-('Team B 1'!V$2- 12.5)*'Team B 1'!$AC67</f>
        <v>21.616047959661046</v>
      </c>
      <c r="W67" s="1">
        <f>'Team B 1'!W67-'Team B 1'!$AA67-('Team B 1'!W$2- 12.5)*'Team B 1'!$AC67</f>
        <v>-23.14480914312162</v>
      </c>
      <c r="X67" s="1">
        <f>'Team B 1'!X67-'Team B 1'!$AA67-('Team B 1'!X$2- 12.5)*'Team B 1'!$AC67</f>
        <v>-27.905666245904285</v>
      </c>
      <c r="Y67" s="1">
        <f>'Team B 1'!Y67-'Team B 1'!$AA67-('Team B 1'!Y$2- 12.5)*'Team B 1'!$AC67</f>
        <v>17.333476651313049</v>
      </c>
      <c r="AB67" s="1">
        <f>STDEV(B67:Y67)</f>
        <v>23.507686993006466</v>
      </c>
      <c r="AD67" s="5">
        <v>4</v>
      </c>
      <c r="AE67" s="5" t="s">
        <v>45</v>
      </c>
      <c r="AF67" s="5" t="s">
        <v>47</v>
      </c>
      <c r="AG67" s="5">
        <v>3</v>
      </c>
      <c r="AH67" s="5">
        <v>8</v>
      </c>
      <c r="AI67" s="5">
        <v>6</v>
      </c>
      <c r="AJ67" s="5">
        <v>2</v>
      </c>
      <c r="AK67" s="5">
        <v>7</v>
      </c>
      <c r="AL67" s="5">
        <v>1</v>
      </c>
      <c r="AM67" s="5">
        <v>5</v>
      </c>
      <c r="AN67" s="5" t="s">
        <v>46</v>
      </c>
      <c r="AO67" s="5">
        <v>9</v>
      </c>
      <c r="AP67" s="5" t="s">
        <v>45</v>
      </c>
      <c r="AQ67" s="5">
        <v>4</v>
      </c>
      <c r="AR67" s="5">
        <v>3</v>
      </c>
      <c r="AS67" s="5" t="s">
        <v>47</v>
      </c>
      <c r="AT67" s="5">
        <v>6</v>
      </c>
      <c r="AU67" s="5">
        <v>8</v>
      </c>
      <c r="AV67" s="5">
        <v>2</v>
      </c>
      <c r="AW67" s="5">
        <v>1</v>
      </c>
      <c r="AX67" s="5">
        <v>7</v>
      </c>
      <c r="AY67" s="5">
        <v>5</v>
      </c>
      <c r="AZ67" s="5">
        <v>9</v>
      </c>
      <c r="BA67" s="5" t="s">
        <v>46</v>
      </c>
      <c r="BB67" s="5"/>
      <c r="BC67" s="1">
        <f ca="1">OFFSET(A67,0, 9) -0</f>
        <v>-11.253666806946626</v>
      </c>
      <c r="BD67" s="1">
        <f ca="1">OFFSET(A67,0, 7) -0</f>
        <v>-1.731952601381181</v>
      </c>
      <c r="BE67" s="1">
        <f ca="1">OFFSET(A67,0, 4) -0</f>
        <v>12.550618706966816</v>
      </c>
      <c r="BF67" s="1">
        <f ca="1">OFFSET(A67,0, 1) -0</f>
        <v>-3.1668099846851874</v>
      </c>
      <c r="BG67" s="1">
        <f ca="1">OFFSET(A67,0, 10) -0</f>
        <v>-36.014523909729348</v>
      </c>
      <c r="BH67" s="1">
        <f ca="1">OFFSET(A67,0, 6) -0</f>
        <v>-6.9710954985985154</v>
      </c>
      <c r="BI67" s="1">
        <f ca="1">OFFSET(A67,0, 8) -0</f>
        <v>33.50719029583604</v>
      </c>
      <c r="BJ67" s="1">
        <f ca="1">OFFSET(A67,0, 5) -0</f>
        <v>-2.2102383958158498</v>
      </c>
      <c r="BK67" s="1">
        <f ca="1">OFFSET(A67,0, 12) -0</f>
        <v>-5.5362381152947222</v>
      </c>
      <c r="BL67" s="1">
        <f ca="1">OFFSET(A67,0, 2) -0</f>
        <v>12.072332912532147</v>
      </c>
      <c r="BM67" s="1">
        <f ca="1">OFFSET(A67,0, 11) -0</f>
        <v>9.224618987487986</v>
      </c>
      <c r="BN67" s="1">
        <f ca="1">OFFSET(A67,0, 3) -0</f>
        <v>27.311475809749481</v>
      </c>
      <c r="BO67" s="1">
        <f ca="1">OFFSET(A67,0, 20) -0</f>
        <v>36.376905062443711</v>
      </c>
      <c r="BP67" s="1">
        <f ca="1">OFFSET(A67,0, 19) -0</f>
        <v>11.137762165226377</v>
      </c>
      <c r="BQ67" s="1">
        <f ca="1">OFFSET(A67,0, 15) -0</f>
        <v>20.18119057635721</v>
      </c>
      <c r="BR67" s="1">
        <f ca="1">OFFSET(A67,0, 14) -0</f>
        <v>-35.057952320860124</v>
      </c>
      <c r="BS67" s="1">
        <f ca="1">OFFSET(A67,0, 22) -0</f>
        <v>-23.14480914312162</v>
      </c>
      <c r="BT67" s="1">
        <f ca="1">OFFSET(A67,0, 17) -0</f>
        <v>-9.3405236292081781</v>
      </c>
      <c r="BU67" s="1">
        <f ca="1">OFFSET(A67,0, 21) -0</f>
        <v>21.616047959661046</v>
      </c>
      <c r="BV67" s="1">
        <f ca="1">OFFSET(A67,0, 18) -0</f>
        <v>-54.101380731990957</v>
      </c>
      <c r="BW67" s="1">
        <f ca="1">OFFSET(A67,0, 23) -0</f>
        <v>-27.905666245904285</v>
      </c>
      <c r="BX67" s="1">
        <f ca="1">OFFSET(A67,0, 13) -0</f>
        <v>-10.297095218077416</v>
      </c>
      <c r="BY67" s="1">
        <f ca="1">OFFSET(A67,0, 24) -0</f>
        <v>17.333476651313049</v>
      </c>
      <c r="BZ67" s="1">
        <f ca="1">OFFSET(A67,0, 16) -0</f>
        <v>25.420333473574487</v>
      </c>
      <c r="CB67" s="1">
        <f>COUNTIF(B67,"&lt;-69")</f>
        <v>0</v>
      </c>
      <c r="CC67" s="1">
        <f ca="1">COUNTIF(BC67:BN67,"&lt;-49")</f>
        <v>0</v>
      </c>
      <c r="CD67" s="1">
        <f ca="1">COUNTIF(BC67:BN67,"&gt;+49")</f>
        <v>0</v>
      </c>
      <c r="CE67" s="1">
        <f ca="1">COUNTIF(BO67:BZ67,"&lt;-49")</f>
        <v>1</v>
      </c>
      <c r="CF67" s="1">
        <f ca="1">COUNTIF(BO67:BZ67,"&gt;+49")</f>
        <v>0</v>
      </c>
    </row>
    <row r="68" spans="1:84">
      <c r="A68" s="1">
        <v>65</v>
      </c>
      <c r="B68" s="1">
        <f>'Team B 1'!B68-'Team B 1'!$AA68-('Team B 1'!B$2- 12.5)*'Team B 1'!$AC68</f>
        <v>7.78955576758608</v>
      </c>
      <c r="C68" s="1">
        <f>'Team B 1'!C68-'Team B 1'!$AA68-('Team B 1'!C$2- 12.5)*'Team B 1'!$AC68</f>
        <v>22.619449468953917</v>
      </c>
      <c r="D68" s="1">
        <f>'Team B 1'!D68-'Team B 1'!$AA68-('Team B 1'!D$2- 12.5)*'Team B 1'!$AC68</f>
        <v>47.449343170321299</v>
      </c>
      <c r="E68" s="1">
        <f>'Team B 1'!E68-'Team B 1'!$AA68-('Team B 1'!E$2- 12.5)*'Team B 1'!$AC68</f>
        <v>22.279236871688909</v>
      </c>
      <c r="F68" s="1">
        <f>'Team B 1'!F68-'Team B 1'!$AA68-('Team B 1'!F$2- 12.5)*'Team B 1'!$AC68</f>
        <v>-12.890869426943254</v>
      </c>
      <c r="G68" s="1">
        <f>'Team B 1'!G68-'Team B 1'!$AA68-('Team B 1'!G$2- 12.5)*'Team B 1'!$AC68</f>
        <v>21.939024274424355</v>
      </c>
      <c r="H68" s="1">
        <f>'Team B 1'!H68-'Team B 1'!$AA68-('Team B 1'!H$2- 12.5)*'Team B 1'!$AC68</f>
        <v>-13.231082024208035</v>
      </c>
      <c r="I68" s="1">
        <f>'Team B 1'!I68-'Team B 1'!$AA68-('Team B 1'!I$2- 12.5)*'Team B 1'!$AC68</f>
        <v>1.5988116771595742</v>
      </c>
      <c r="J68" s="1">
        <f>'Team B 1'!J68-'Team B 1'!$AA68-('Team B 1'!J$2- 12.5)*'Team B 1'!$AC68</f>
        <v>-33.571294621472816</v>
      </c>
      <c r="K68" s="1">
        <f>'Team B 1'!K68-'Team B 1'!$AA68-('Team B 1'!K$2- 12.5)*'Team B 1'!$AC68</f>
        <v>-8.7414009201051499</v>
      </c>
      <c r="L68" s="1">
        <f>'Team B 1'!L68-'Team B 1'!$AA68-('Team B 1'!L$2- 12.5)*'Team B 1'!$AC68</f>
        <v>-3.9115072187375404</v>
      </c>
      <c r="M68" s="1">
        <f>'Team B 1'!M68-'Team B 1'!$AA68-('Team B 1'!M$2- 12.5)*'Team B 1'!$AC68</f>
        <v>0.9183864826301118</v>
      </c>
      <c r="N68" s="1">
        <f>'Team B 1'!N68-'Team B 1'!$AA68-('Team B 1'!N$2- 12.5)*'Team B 1'!$AC68</f>
        <v>-34.25171981600225</v>
      </c>
      <c r="O68" s="1">
        <f>'Team B 1'!O68-'Team B 1'!$AA68-('Team B 1'!O$2- 12.5)*'Team B 1'!$AC68</f>
        <v>0.57817388536540193</v>
      </c>
      <c r="P68" s="1">
        <f>'Team B 1'!P68-'Team B 1'!$AA68-('Team B 1'!P$2- 12.5)*'Team B 1'!$AC68</f>
        <v>-14.591932413266989</v>
      </c>
      <c r="Q68" s="1">
        <f>'Team B 1'!Q68-'Team B 1'!$AA68-('Team B 1'!Q$2- 12.5)*'Team B 1'!$AC68</f>
        <v>30.237961288100678</v>
      </c>
      <c r="R68" s="1">
        <f>'Team B 1'!R68-'Team B 1'!$AA68-('Team B 1'!R$2- 12.5)*'Team B 1'!$AC68</f>
        <v>-14.932145010531713</v>
      </c>
      <c r="S68" s="1">
        <f>'Team B 1'!S68-'Team B 1'!$AA68-('Team B 1'!S$2- 12.5)*'Team B 1'!$AC68</f>
        <v>-0.10225130916410308</v>
      </c>
      <c r="T68" s="1">
        <f>'Team B 1'!T68-'Team B 1'!$AA68-('Team B 1'!T$2- 12.5)*'Team B 1'!$AC68</f>
        <v>4.7276423922035065</v>
      </c>
      <c r="U68" s="1">
        <f>'Team B 1'!U68-'Team B 1'!$AA68-('Team B 1'!U$2- 12.5)*'Team B 1'!$AC68</f>
        <v>59.557536093571116</v>
      </c>
      <c r="V68" s="1">
        <f>'Team B 1'!V68-'Team B 1'!$AA68-('Team B 1'!V$2- 12.5)*'Team B 1'!$AC68</f>
        <v>4.3874297949389529</v>
      </c>
      <c r="W68" s="1">
        <f>'Team B 1'!W68-'Team B 1'!$AA68-('Team B 1'!W$2- 12.5)*'Team B 1'!$AC68</f>
        <v>-0.78267650369343755</v>
      </c>
      <c r="X68" s="1">
        <f>'Team B 1'!X68-'Team B 1'!$AA68-('Team B 1'!X$2- 12.5)*'Team B 1'!$AC68</f>
        <v>-55.952782802326055</v>
      </c>
      <c r="Y68" s="1">
        <f>'Team B 1'!Y68-'Team B 1'!$AA68-('Team B 1'!Y$2- 12.5)*'Team B 1'!$AC68</f>
        <v>-31.122889100958218</v>
      </c>
      <c r="AB68" s="1">
        <f>STDEV(B68:Y68)</f>
        <v>26.024432719201382</v>
      </c>
      <c r="AD68" s="5">
        <v>4</v>
      </c>
      <c r="AE68" s="5" t="s">
        <v>45</v>
      </c>
      <c r="AF68" s="5" t="s">
        <v>47</v>
      </c>
      <c r="AG68" s="5">
        <v>3</v>
      </c>
      <c r="AH68" s="5">
        <v>8</v>
      </c>
      <c r="AI68" s="5">
        <v>6</v>
      </c>
      <c r="AJ68" s="5">
        <v>1</v>
      </c>
      <c r="AK68" s="5">
        <v>2</v>
      </c>
      <c r="AL68" s="5">
        <v>5</v>
      </c>
      <c r="AM68" s="5">
        <v>7</v>
      </c>
      <c r="AN68" s="5" t="s">
        <v>46</v>
      </c>
      <c r="AO68" s="5">
        <v>9</v>
      </c>
      <c r="AP68" s="5">
        <v>4</v>
      </c>
      <c r="AQ68" s="5" t="s">
        <v>47</v>
      </c>
      <c r="AR68" s="5" t="s">
        <v>45</v>
      </c>
      <c r="AS68" s="5">
        <v>8</v>
      </c>
      <c r="AT68" s="5">
        <v>3</v>
      </c>
      <c r="AU68" s="5">
        <v>6</v>
      </c>
      <c r="AV68" s="5">
        <v>2</v>
      </c>
      <c r="AW68" s="5">
        <v>1</v>
      </c>
      <c r="AX68" s="5">
        <v>5</v>
      </c>
      <c r="AY68" s="5" t="s">
        <v>46</v>
      </c>
      <c r="AZ68" s="5">
        <v>7</v>
      </c>
      <c r="BA68" s="5">
        <v>9</v>
      </c>
      <c r="BB68" s="5"/>
      <c r="BC68" s="1">
        <f ca="1">OFFSET(A68,0, 7) -0</f>
        <v>-13.231082024208035</v>
      </c>
      <c r="BD68" s="1">
        <f ca="1">OFFSET(A68,0, 8) -0</f>
        <v>1.5988116771595742</v>
      </c>
      <c r="BE68" s="1">
        <f ca="1">OFFSET(A68,0, 4) -0</f>
        <v>22.279236871688909</v>
      </c>
      <c r="BF68" s="1">
        <f ca="1">OFFSET(A68,0, 1) -0</f>
        <v>7.78955576758608</v>
      </c>
      <c r="BG68" s="1">
        <f ca="1">OFFSET(A68,0, 9) -0</f>
        <v>-33.571294621472816</v>
      </c>
      <c r="BH68" s="1">
        <f ca="1">OFFSET(A68,0, 6) -0</f>
        <v>21.939024274424355</v>
      </c>
      <c r="BI68" s="1">
        <f ca="1">OFFSET(A68,0, 10) -0</f>
        <v>-8.7414009201051499</v>
      </c>
      <c r="BJ68" s="1">
        <f ca="1">OFFSET(A68,0, 5) -0</f>
        <v>-12.890869426943254</v>
      </c>
      <c r="BK68" s="1">
        <f ca="1">OFFSET(A68,0, 12) -0</f>
        <v>0.9183864826301118</v>
      </c>
      <c r="BL68" s="1">
        <f ca="1">OFFSET(A68,0, 2) -0</f>
        <v>22.619449468953917</v>
      </c>
      <c r="BM68" s="1">
        <f ca="1">OFFSET(A68,0, 11) -0</f>
        <v>-3.9115072187375404</v>
      </c>
      <c r="BN68" s="1">
        <f ca="1">OFFSET(A68,0, 3) -0</f>
        <v>47.449343170321299</v>
      </c>
      <c r="BO68" s="1">
        <f ca="1">OFFSET(A68,0, 20) -0</f>
        <v>59.557536093571116</v>
      </c>
      <c r="BP68" s="1">
        <f ca="1">OFFSET(A68,0, 19) -0</f>
        <v>4.7276423922035065</v>
      </c>
      <c r="BQ68" s="1">
        <f ca="1">OFFSET(A68,0, 17) -0</f>
        <v>-14.932145010531713</v>
      </c>
      <c r="BR68" s="1">
        <f ca="1">OFFSET(A68,0, 13) -0</f>
        <v>-34.25171981600225</v>
      </c>
      <c r="BS68" s="1">
        <f ca="1">OFFSET(A68,0, 21) -0</f>
        <v>4.3874297949389529</v>
      </c>
      <c r="BT68" s="1">
        <f ca="1">OFFSET(A68,0, 18) -0</f>
        <v>-0.10225130916410308</v>
      </c>
      <c r="BU68" s="1">
        <f ca="1">OFFSET(A68,0, 23) -0</f>
        <v>-55.952782802326055</v>
      </c>
      <c r="BV68" s="1">
        <f ca="1">OFFSET(A68,0, 16) -0</f>
        <v>30.237961288100678</v>
      </c>
      <c r="BW68" s="1">
        <f ca="1">OFFSET(A68,0, 24) -0</f>
        <v>-31.122889100958218</v>
      </c>
      <c r="BX68" s="1">
        <f ca="1">OFFSET(A68,0, 15) -0</f>
        <v>-14.591932413266989</v>
      </c>
      <c r="BY68" s="1">
        <f ca="1">OFFSET(A68,0, 22) -0</f>
        <v>-0.78267650369343755</v>
      </c>
      <c r="BZ68" s="1">
        <f ca="1">OFFSET(A68,0, 14) -0</f>
        <v>0.57817388536540193</v>
      </c>
      <c r="CB68" s="1">
        <f>COUNTIF(B68,"&lt;-69")</f>
        <v>0</v>
      </c>
      <c r="CC68" s="1">
        <f ca="1">COUNTIF(BC68:BN68,"&lt;-49")</f>
        <v>0</v>
      </c>
      <c r="CD68" s="1">
        <f ca="1">COUNTIF(BC68:BN68,"&gt;+49")</f>
        <v>0</v>
      </c>
      <c r="CE68" s="1">
        <f ca="1">COUNTIF(BO68:BZ68,"&lt;-49")</f>
        <v>1</v>
      </c>
      <c r="CF68" s="1">
        <f ca="1">COUNTIF(BO68:BZ68,"&gt;+49")</f>
        <v>1</v>
      </c>
    </row>
    <row r="69" spans="1:84">
      <c r="A69" s="1">
        <v>66</v>
      </c>
      <c r="B69" s="1">
        <f>'Team B 1'!B69-'Team B 1'!$AA69-('Team B 1'!B$2- 12.5)*'Team B 1'!$AC69</f>
        <v>17.466192678745301</v>
      </c>
      <c r="C69" s="1">
        <f>'Team B 1'!C69-'Team B 1'!$AA69-('Team B 1'!C$2- 12.5)*'Team B 1'!$AC69</f>
        <v>52.070581721175131</v>
      </c>
      <c r="D69" s="1">
        <f>'Team B 1'!D69-'Team B 1'!$AA69-('Team B 1'!D$2- 12.5)*'Team B 1'!$AC69</f>
        <v>-23.325029236395494</v>
      </c>
      <c r="E69" s="1">
        <f>'Team B 1'!E69-'Team B 1'!$AA69-('Team B 1'!E$2- 12.5)*'Team B 1'!$AC69</f>
        <v>1.2793598060341083</v>
      </c>
      <c r="F69" s="1">
        <f>'Team B 1'!F69-'Team B 1'!$AA69-('Team B 1'!F$2- 12.5)*'Team B 1'!$AC69</f>
        <v>25.883748848463938</v>
      </c>
      <c r="G69" s="1">
        <f>'Team B 1'!G69-'Team B 1'!$AA69-('Team B 1'!G$2- 12.5)*'Team B 1'!$AC69</f>
        <v>-19.51186210910646</v>
      </c>
      <c r="H69" s="1">
        <f>'Team B 1'!H69-'Team B 1'!$AA69-('Team B 1'!H$2- 12.5)*'Team B 1'!$AC69</f>
        <v>15.092526933323143</v>
      </c>
      <c r="I69" s="1">
        <f>'Team B 1'!I69-'Team B 1'!$AA69-('Team B 1'!I$2- 12.5)*'Team B 1'!$AC69</f>
        <v>-10.303084024247255</v>
      </c>
      <c r="J69" s="1">
        <f>'Team B 1'!J69-'Team B 1'!$AA69-('Team B 1'!J$2- 12.5)*'Team B 1'!$AC69</f>
        <v>-15.698694981817653</v>
      </c>
      <c r="K69" s="1">
        <f>'Team B 1'!K69-'Team B 1'!$AA69-('Team B 1'!K$2- 12.5)*'Team B 1'!$AC69</f>
        <v>8.9056940606120065</v>
      </c>
      <c r="L69" s="1">
        <f>'Team B 1'!L69-'Team B 1'!$AA69-('Team B 1'!L$2- 12.5)*'Team B 1'!$AC69</f>
        <v>-6.4899168969583911</v>
      </c>
      <c r="M69" s="1">
        <f>'Team B 1'!M69-'Team B 1'!$AA69-('Team B 1'!M$2- 12.5)*'Team B 1'!$AC69</f>
        <v>48.114472145471254</v>
      </c>
      <c r="N69" s="1">
        <f>'Team B 1'!N69-'Team B 1'!$AA69-('Team B 1'!N$2- 12.5)*'Team B 1'!$AC69</f>
        <v>12.718861187900885</v>
      </c>
      <c r="O69" s="1">
        <f>'Team B 1'!O69-'Team B 1'!$AA69-('Team B 1'!O$2- 12.5)*'Team B 1'!$AC69</f>
        <v>7.3232502303305296</v>
      </c>
      <c r="P69" s="1">
        <f>'Team B 1'!P69-'Team B 1'!$AA69-('Team B 1'!P$2- 12.5)*'Team B 1'!$AC69</f>
        <v>-8.0723607272398681</v>
      </c>
      <c r="Q69" s="1">
        <f>'Team B 1'!Q69-'Team B 1'!$AA69-('Team B 1'!Q$2- 12.5)*'Team B 1'!$AC69</f>
        <v>-53.467971684810209</v>
      </c>
      <c r="R69" s="1">
        <f>'Team B 1'!R69-'Team B 1'!$AA69-('Team B 1'!R$2- 12.5)*'Team B 1'!$AC69</f>
        <v>-18.863582642380607</v>
      </c>
      <c r="S69" s="1">
        <f>'Team B 1'!S69-'Team B 1'!$AA69-('Team B 1'!S$2- 12.5)*'Team B 1'!$AC69</f>
        <v>15.740806400048996</v>
      </c>
      <c r="T69" s="1">
        <f>'Team B 1'!T69-'Team B 1'!$AA69-('Team B 1'!T$2- 12.5)*'Team B 1'!$AC69</f>
        <v>20.345195442478598</v>
      </c>
      <c r="U69" s="1">
        <f>'Team B 1'!U69-'Team B 1'!$AA69-('Team B 1'!U$2- 12.5)*'Team B 1'!$AC69</f>
        <v>-25.0504155150918</v>
      </c>
      <c r="V69" s="1">
        <f>'Team B 1'!V69-'Team B 1'!$AA69-('Team B 1'!V$2- 12.5)*'Team B 1'!$AC69</f>
        <v>-0.44602647266196982</v>
      </c>
      <c r="W69" s="1">
        <f>'Team B 1'!W69-'Team B 1'!$AA69-('Team B 1'!W$2- 12.5)*'Team B 1'!$AC69</f>
        <v>-15.841637430232367</v>
      </c>
      <c r="X69" s="1">
        <f>'Team B 1'!X69-'Team B 1'!$AA69-('Team B 1'!X$2- 12.5)*'Team B 1'!$AC69</f>
        <v>-31.237248387802993</v>
      </c>
      <c r="Y69" s="1">
        <f>'Team B 1'!Y69-'Team B 1'!$AA69-('Team B 1'!Y$2- 12.5)*'Team B 1'!$AC69</f>
        <v>3.3671406546268372</v>
      </c>
      <c r="AB69" s="1">
        <f>STDEV(B69:Y69)</f>
        <v>24.363472574105067</v>
      </c>
      <c r="AD69" s="5" t="s">
        <v>47</v>
      </c>
      <c r="AE69" s="5">
        <v>4</v>
      </c>
      <c r="AF69" s="5">
        <v>8</v>
      </c>
      <c r="AG69" s="5" t="s">
        <v>45</v>
      </c>
      <c r="AH69" s="5">
        <v>6</v>
      </c>
      <c r="AI69" s="5">
        <v>3</v>
      </c>
      <c r="AJ69" s="5">
        <v>1</v>
      </c>
      <c r="AK69" s="5">
        <v>2</v>
      </c>
      <c r="AL69" s="5" t="s">
        <v>46</v>
      </c>
      <c r="AM69" s="5">
        <v>5</v>
      </c>
      <c r="AN69" s="5">
        <v>9</v>
      </c>
      <c r="AO69" s="5">
        <v>7</v>
      </c>
      <c r="AP69" s="5">
        <v>4</v>
      </c>
      <c r="AQ69" s="5" t="s">
        <v>47</v>
      </c>
      <c r="AR69" s="5" t="s">
        <v>45</v>
      </c>
      <c r="AS69" s="5">
        <v>8</v>
      </c>
      <c r="AT69" s="5">
        <v>6</v>
      </c>
      <c r="AU69" s="5">
        <v>1</v>
      </c>
      <c r="AV69" s="5">
        <v>3</v>
      </c>
      <c r="AW69" s="5">
        <v>2</v>
      </c>
      <c r="AX69" s="5">
        <v>5</v>
      </c>
      <c r="AY69" s="5" t="s">
        <v>46</v>
      </c>
      <c r="AZ69" s="5">
        <v>7</v>
      </c>
      <c r="BA69" s="5">
        <v>9</v>
      </c>
      <c r="BB69" s="5"/>
      <c r="BC69" s="1">
        <f ca="1">OFFSET(A69,0, 7) -0</f>
        <v>15.092526933323143</v>
      </c>
      <c r="BD69" s="1">
        <f ca="1">OFFSET(A69,0, 8) -0</f>
        <v>-10.303084024247255</v>
      </c>
      <c r="BE69" s="1">
        <f ca="1">OFFSET(A69,0, 6) -0</f>
        <v>-19.51186210910646</v>
      </c>
      <c r="BF69" s="1">
        <f ca="1">OFFSET(A69,0, 2) -0</f>
        <v>52.070581721175131</v>
      </c>
      <c r="BG69" s="1">
        <f ca="1">OFFSET(A69,0, 10) -0</f>
        <v>8.9056940606120065</v>
      </c>
      <c r="BH69" s="1">
        <f ca="1">OFFSET(A69,0, 5) -0</f>
        <v>25.883748848463938</v>
      </c>
      <c r="BI69" s="1">
        <f ca="1">OFFSET(A69,0, 12) -0</f>
        <v>48.114472145471254</v>
      </c>
      <c r="BJ69" s="1">
        <f ca="1">OFFSET(A69,0, 3) -0</f>
        <v>-23.325029236395494</v>
      </c>
      <c r="BK69" s="1">
        <f ca="1">OFFSET(A69,0, 11) -0</f>
        <v>-6.4899168969583911</v>
      </c>
      <c r="BL69" s="1">
        <f ca="1">OFFSET(A69,0, 4) -0</f>
        <v>1.2793598060341083</v>
      </c>
      <c r="BM69" s="1">
        <f ca="1">OFFSET(A69,0, 9) -0</f>
        <v>-15.698694981817653</v>
      </c>
      <c r="BN69" s="1">
        <f ca="1">OFFSET(A69,0, 1) -0</f>
        <v>17.466192678745301</v>
      </c>
      <c r="BO69" s="1">
        <f ca="1">OFFSET(A69,0, 18) -0</f>
        <v>15.740806400048996</v>
      </c>
      <c r="BP69" s="1">
        <f ca="1">OFFSET(A69,0, 20) -0</f>
        <v>-25.0504155150918</v>
      </c>
      <c r="BQ69" s="1">
        <f ca="1">OFFSET(A69,0, 19) -0</f>
        <v>20.345195442478598</v>
      </c>
      <c r="BR69" s="1">
        <f ca="1">OFFSET(A69,0, 13) -0</f>
        <v>12.718861187900885</v>
      </c>
      <c r="BS69" s="1">
        <f ca="1">OFFSET(A69,0, 21) -0</f>
        <v>-0.44602647266196982</v>
      </c>
      <c r="BT69" s="1">
        <f ca="1">OFFSET(A69,0, 17) -0</f>
        <v>-18.863582642380607</v>
      </c>
      <c r="BU69" s="1">
        <f ca="1">OFFSET(A69,0, 23) -0</f>
        <v>-31.237248387802993</v>
      </c>
      <c r="BV69" s="1">
        <f ca="1">OFFSET(A69,0, 16) -0</f>
        <v>-53.467971684810209</v>
      </c>
      <c r="BW69" s="1">
        <f ca="1">OFFSET(A69,0, 24) -0</f>
        <v>3.3671406546268372</v>
      </c>
      <c r="BX69" s="1">
        <f ca="1">OFFSET(A69,0, 15) -0</f>
        <v>-8.0723607272398681</v>
      </c>
      <c r="BY69" s="1">
        <f ca="1">OFFSET(A69,0, 22) -0</f>
        <v>-15.841637430232367</v>
      </c>
      <c r="BZ69" s="1">
        <f ca="1">OFFSET(A69,0, 14) -0</f>
        <v>7.3232502303305296</v>
      </c>
      <c r="CB69" s="1">
        <f>COUNTIF(B69,"&lt;-69")</f>
        <v>0</v>
      </c>
      <c r="CC69" s="1">
        <f ca="1">COUNTIF(BC69:BN69,"&lt;-49")</f>
        <v>0</v>
      </c>
      <c r="CD69" s="1">
        <f ca="1">COUNTIF(BC69:BN69,"&gt;+49")</f>
        <v>1</v>
      </c>
      <c r="CE69" s="1">
        <f ca="1">COUNTIF(BO69:BZ69,"&lt;-49")</f>
        <v>1</v>
      </c>
      <c r="CF69" s="1">
        <f ca="1">COUNTIF(BO69:BZ69,"&gt;+49")</f>
        <v>0</v>
      </c>
    </row>
    <row r="70" spans="1:84">
      <c r="A70" s="1">
        <v>67</v>
      </c>
      <c r="B70" s="1">
        <f>'Team B 1'!B70-'Team B 1'!$AA70-('Team B 1'!B$2- 12.5)*'Team B 1'!$AC70</f>
        <v>6.2230544359426858</v>
      </c>
      <c r="C70" s="1">
        <f>'Team B 1'!C70-'Team B 1'!$AA70-('Team B 1'!C$2- 12.5)*'Team B 1'!$AC70</f>
        <v>61.370325064702911</v>
      </c>
      <c r="D70" s="1">
        <f>'Team B 1'!D70-'Team B 1'!$AA70-('Team B 1'!D$2- 12.5)*'Team B 1'!$AC70</f>
        <v>-23.482404306536864</v>
      </c>
      <c r="E70" s="1">
        <f>'Team B 1'!E70-'Team B 1'!$AA70-('Team B 1'!E$2- 12.5)*'Team B 1'!$AC70</f>
        <v>11.664866322223361</v>
      </c>
      <c r="F70" s="1">
        <f>'Team B 1'!F70-'Team B 1'!$AA70-('Team B 1'!F$2- 12.5)*'Team B 1'!$AC70</f>
        <v>36.812136950983813</v>
      </c>
      <c r="G70" s="1">
        <f>'Team B 1'!G70-'Team B 1'!$AA70-('Team B 1'!G$2- 12.5)*'Team B 1'!$AC70</f>
        <v>21.959407579744038</v>
      </c>
      <c r="H70" s="1">
        <f>'Team B 1'!H70-'Team B 1'!$AA70-('Team B 1'!H$2- 12.5)*'Team B 1'!$AC70</f>
        <v>-12.893321791495737</v>
      </c>
      <c r="I70" s="1">
        <f>'Team B 1'!I70-'Team B 1'!$AA70-('Team B 1'!I$2- 12.5)*'Team B 1'!$AC70</f>
        <v>2.2539488372647156</v>
      </c>
      <c r="J70" s="1">
        <f>'Team B 1'!J70-'Team B 1'!$AA70-('Team B 1'!J$2- 12.5)*'Team B 1'!$AC70</f>
        <v>7.4012194660249406</v>
      </c>
      <c r="K70" s="1">
        <f>'Team B 1'!K70-'Team B 1'!$AA70-('Team B 1'!K$2- 12.5)*'Team B 1'!$AC70</f>
        <v>-37.451509905214721</v>
      </c>
      <c r="L70" s="1">
        <f>'Team B 1'!L70-'Team B 1'!$AA70-('Team B 1'!L$2- 12.5)*'Team B 1'!$AC70</f>
        <v>-42.304239276454382</v>
      </c>
      <c r="M70" s="1">
        <f>'Team B 1'!M70-'Team B 1'!$AA70-('Team B 1'!M$2- 12.5)*'Team B 1'!$AC70</f>
        <v>22.843031352305914</v>
      </c>
      <c r="N70" s="1">
        <f>'Team B 1'!N70-'Team B 1'!$AA70-('Team B 1'!N$2- 12.5)*'Team B 1'!$AC70</f>
        <v>-42.009698018933776</v>
      </c>
      <c r="O70" s="1">
        <f>'Team B 1'!O70-'Team B 1'!$AA70-('Team B 1'!O$2- 12.5)*'Team B 1'!$AC70</f>
        <v>-46.86242739017348</v>
      </c>
      <c r="P70" s="1">
        <f>'Team B 1'!P70-'Team B 1'!$AA70-('Team B 1'!P$2- 12.5)*'Team B 1'!$AC70</f>
        <v>-31.715156761413141</v>
      </c>
      <c r="Q70" s="1">
        <f>'Team B 1'!Q70-'Team B 1'!$AA70-('Team B 1'!Q$2- 12.5)*'Team B 1'!$AC70</f>
        <v>-6.5678861326528022</v>
      </c>
      <c r="R70" s="1">
        <f>'Team B 1'!R70-'Team B 1'!$AA70-('Team B 1'!R$2- 12.5)*'Team B 1'!$AC70</f>
        <v>8.5793844961074228</v>
      </c>
      <c r="S70" s="1">
        <f>'Team B 1'!S70-'Team B 1'!$AA70-('Team B 1'!S$2- 12.5)*'Team B 1'!$AC70</f>
        <v>63.726655124867875</v>
      </c>
      <c r="T70" s="1">
        <f>'Team B 1'!T70-'Team B 1'!$AA70-('Team B 1'!T$2- 12.5)*'Team B 1'!$AC70</f>
        <v>48.8739257536281</v>
      </c>
      <c r="U70" s="1">
        <f>'Team B 1'!U70-'Team B 1'!$AA70-('Team B 1'!U$2- 12.5)*'Team B 1'!$AC70</f>
        <v>34.021196382388325</v>
      </c>
      <c r="V70" s="1">
        <f>'Team B 1'!V70-'Team B 1'!$AA70-('Team B 1'!V$2- 12.5)*'Team B 1'!$AC70</f>
        <v>-20.831532988851222</v>
      </c>
      <c r="W70" s="1">
        <f>'Team B 1'!W70-'Team B 1'!$AA70-('Team B 1'!W$2- 12.5)*'Team B 1'!$AC70</f>
        <v>-35.684262360090997</v>
      </c>
      <c r="X70" s="1">
        <f>'Team B 1'!X70-'Team B 1'!$AA70-('Team B 1'!X$2- 12.5)*'Team B 1'!$AC70</f>
        <v>-40.536991731330772</v>
      </c>
      <c r="Y70" s="1">
        <f>'Team B 1'!Y70-'Team B 1'!$AA70-('Team B 1'!Y$2- 12.5)*'Team B 1'!$AC70</f>
        <v>14.610278897429453</v>
      </c>
      <c r="AB70" s="1">
        <f>STDEV(B70:Y70)</f>
        <v>33.959541979381051</v>
      </c>
      <c r="AD70" s="5" t="s">
        <v>47</v>
      </c>
      <c r="AE70" s="5">
        <v>4</v>
      </c>
      <c r="AF70" s="5">
        <v>8</v>
      </c>
      <c r="AG70" s="5" t="s">
        <v>45</v>
      </c>
      <c r="AH70" s="5">
        <v>1</v>
      </c>
      <c r="AI70" s="5">
        <v>6</v>
      </c>
      <c r="AJ70" s="5">
        <v>2</v>
      </c>
      <c r="AK70" s="5">
        <v>3</v>
      </c>
      <c r="AL70" s="5" t="s">
        <v>46</v>
      </c>
      <c r="AM70" s="5">
        <v>5</v>
      </c>
      <c r="AN70" s="5">
        <v>9</v>
      </c>
      <c r="AO70" s="5">
        <v>7</v>
      </c>
      <c r="AP70" s="5" t="s">
        <v>47</v>
      </c>
      <c r="AQ70" s="5">
        <v>8</v>
      </c>
      <c r="AR70" s="5">
        <v>4</v>
      </c>
      <c r="AS70" s="5" t="s">
        <v>45</v>
      </c>
      <c r="AT70" s="5">
        <v>6</v>
      </c>
      <c r="AU70" s="5">
        <v>1</v>
      </c>
      <c r="AV70" s="5">
        <v>2</v>
      </c>
      <c r="AW70" s="5" t="s">
        <v>46</v>
      </c>
      <c r="AX70" s="5">
        <v>3</v>
      </c>
      <c r="AY70" s="5">
        <v>9</v>
      </c>
      <c r="AZ70" s="5">
        <v>5</v>
      </c>
      <c r="BA70" s="5">
        <v>7</v>
      </c>
      <c r="BB70" s="5"/>
      <c r="BC70" s="1">
        <f ca="1">OFFSET(A70,0, 5) -0</f>
        <v>36.812136950983813</v>
      </c>
      <c r="BD70" s="1">
        <f ca="1">OFFSET(A70,0, 7) -0</f>
        <v>-12.893321791495737</v>
      </c>
      <c r="BE70" s="1">
        <f ca="1">OFFSET(A70,0, 8) -0</f>
        <v>2.2539488372647156</v>
      </c>
      <c r="BF70" s="1">
        <f ca="1">OFFSET(A70,0, 2) -0</f>
        <v>61.370325064702911</v>
      </c>
      <c r="BG70" s="1">
        <f ca="1">OFFSET(A70,0, 10) -0</f>
        <v>-37.451509905214721</v>
      </c>
      <c r="BH70" s="1">
        <f ca="1">OFFSET(A70,0, 6) -0</f>
        <v>21.959407579744038</v>
      </c>
      <c r="BI70" s="1">
        <f ca="1">OFFSET(A70,0, 12) -0</f>
        <v>22.843031352305914</v>
      </c>
      <c r="BJ70" s="1">
        <f ca="1">OFFSET(A70,0, 3) -0</f>
        <v>-23.482404306536864</v>
      </c>
      <c r="BK70" s="1">
        <f ca="1">OFFSET(A70,0, 11) -0</f>
        <v>-42.304239276454382</v>
      </c>
      <c r="BL70" s="1">
        <f ca="1">OFFSET(A70,0, 4) -0</f>
        <v>11.664866322223361</v>
      </c>
      <c r="BM70" s="1">
        <f ca="1">OFFSET(A70,0, 9) -0</f>
        <v>7.4012194660249406</v>
      </c>
      <c r="BN70" s="1">
        <f ca="1">OFFSET(A70,0, 1) -0</f>
        <v>6.2230544359426858</v>
      </c>
      <c r="BO70" s="1">
        <f ca="1">OFFSET(A70,0, 18) -0</f>
        <v>63.726655124867875</v>
      </c>
      <c r="BP70" s="1">
        <f ca="1">OFFSET(A70,0, 19) -0</f>
        <v>48.8739257536281</v>
      </c>
      <c r="BQ70" s="1">
        <f ca="1">OFFSET(A70,0, 21) -0</f>
        <v>-20.831532988851222</v>
      </c>
      <c r="BR70" s="1">
        <f ca="1">OFFSET(A70,0, 15) -0</f>
        <v>-31.715156761413141</v>
      </c>
      <c r="BS70" s="1">
        <f ca="1">OFFSET(A70,0, 23) -0</f>
        <v>-40.536991731330772</v>
      </c>
      <c r="BT70" s="1">
        <f ca="1">OFFSET(A70,0, 17) -0</f>
        <v>8.5793844961074228</v>
      </c>
      <c r="BU70" s="1">
        <f ca="1">OFFSET(A70,0, 24) -0</f>
        <v>14.610278897429453</v>
      </c>
      <c r="BV70" s="1">
        <f ca="1">OFFSET(A70,0, 14) -0</f>
        <v>-46.86242739017348</v>
      </c>
      <c r="BW70" s="1">
        <f ca="1">OFFSET(A70,0, 22) -0</f>
        <v>-35.684262360090997</v>
      </c>
      <c r="BX70" s="1">
        <f ca="1">OFFSET(A70,0, 16) -0</f>
        <v>-6.5678861326528022</v>
      </c>
      <c r="BY70" s="1">
        <f ca="1">OFFSET(A70,0, 20) -0</f>
        <v>34.021196382388325</v>
      </c>
      <c r="BZ70" s="1">
        <f ca="1">OFFSET(A70,0, 13) -0</f>
        <v>-42.009698018933776</v>
      </c>
      <c r="CB70" s="1">
        <f>COUNTIF(B70,"&lt;-69")</f>
        <v>0</v>
      </c>
      <c r="CC70" s="1">
        <f ca="1">COUNTIF(BC70:BN70,"&lt;-49")</f>
        <v>0</v>
      </c>
      <c r="CD70" s="1">
        <f ca="1">COUNTIF(BC70:BN70,"&gt;+49")</f>
        <v>1</v>
      </c>
      <c r="CE70" s="1">
        <f ca="1">COUNTIF(BO70:BZ70,"&lt;-49")</f>
        <v>0</v>
      </c>
      <c r="CF70" s="1">
        <f ca="1">COUNTIF(BO70:BZ70,"&gt;+49")</f>
        <v>1</v>
      </c>
    </row>
    <row r="71" spans="1:84">
      <c r="A71" s="1">
        <v>68</v>
      </c>
      <c r="B71" s="1">
        <f>'Team B 1'!B71-'Team B 1'!$AA71-('Team B 1'!B$2- 12.5)*'Team B 1'!$AC71</f>
        <v>-9.1300374941401969</v>
      </c>
      <c r="C71" s="1">
        <f>'Team B 1'!C71-'Team B 1'!$AA71-('Team B 1'!C$2- 12.5)*'Team B 1'!$AC71</f>
        <v>-14.024526987404897</v>
      </c>
      <c r="D71" s="1">
        <f>'Team B 1'!D71-'Team B 1'!$AA71-('Team B 1'!D$2- 12.5)*'Team B 1'!$AC71</f>
        <v>1.0809835193301751</v>
      </c>
      <c r="E71" s="1">
        <f>'Team B 1'!E71-'Team B 1'!$AA71-('Team B 1'!E$2- 12.5)*'Team B 1'!$AC71</f>
        <v>-23.813505973934753</v>
      </c>
      <c r="F71" s="1">
        <f>'Team B 1'!F71-'Team B 1'!$AA71-('Team B 1'!F$2- 12.5)*'Team B 1'!$AC71</f>
        <v>51.292004532800547</v>
      </c>
      <c r="G71" s="1">
        <f>'Team B 1'!G71-'Team B 1'!$AA71-('Team B 1'!G$2- 12.5)*'Team B 1'!$AC71</f>
        <v>46.39751503953562</v>
      </c>
      <c r="H71" s="1">
        <f>'Team B 1'!H71-'Team B 1'!$AA71-('Team B 1'!H$2- 12.5)*'Team B 1'!$AC71</f>
        <v>21.503025546270692</v>
      </c>
      <c r="I71" s="1">
        <f>'Team B 1'!I71-'Team B 1'!$AA71-('Team B 1'!I$2- 12.5)*'Team B 1'!$AC71</f>
        <v>46.608536053005878</v>
      </c>
      <c r="J71" s="1">
        <f>'Team B 1'!J71-'Team B 1'!$AA71-('Team B 1'!J$2- 12.5)*'Team B 1'!$AC71</f>
        <v>-8.2859534402590498</v>
      </c>
      <c r="K71" s="1">
        <f>'Team B 1'!K71-'Team B 1'!$AA71-('Team B 1'!K$2- 12.5)*'Team B 1'!$AC71</f>
        <v>-13.180442933523864</v>
      </c>
      <c r="L71" s="1">
        <f>'Team B 1'!L71-'Team B 1'!$AA71-('Team B 1'!L$2- 12.5)*'Team B 1'!$AC71</f>
        <v>11.925067573211209</v>
      </c>
      <c r="M71" s="1">
        <f>'Team B 1'!M71-'Team B 1'!$AA71-('Team B 1'!M$2- 12.5)*'Team B 1'!$AC71</f>
        <v>7.0305780799463662</v>
      </c>
      <c r="N71" s="1">
        <f>'Team B 1'!N71-'Team B 1'!$AA71-('Team B 1'!N$2- 12.5)*'Team B 1'!$AC71</f>
        <v>-17.863911413318505</v>
      </c>
      <c r="O71" s="1">
        <f>'Team B 1'!O71-'Team B 1'!$AA71-('Team B 1'!O$2- 12.5)*'Team B 1'!$AC71</f>
        <v>-42.758400906583347</v>
      </c>
      <c r="P71" s="1">
        <f>'Team B 1'!P71-'Team B 1'!$AA71-('Team B 1'!P$2- 12.5)*'Team B 1'!$AC71</f>
        <v>-47.652890399848275</v>
      </c>
      <c r="Q71" s="1">
        <f>'Team B 1'!Q71-'Team B 1'!$AA71-('Team B 1'!Q$2- 12.5)*'Team B 1'!$AC71</f>
        <v>-2.5473798931130887</v>
      </c>
      <c r="R71" s="1">
        <f>'Team B 1'!R71-'Team B 1'!$AA71-('Team B 1'!R$2- 12.5)*'Team B 1'!$AC71</f>
        <v>-37.441869386378016</v>
      </c>
      <c r="S71" s="1">
        <f>'Team B 1'!S71-'Team B 1'!$AA71-('Team B 1'!S$2- 12.5)*'Team B 1'!$AC71</f>
        <v>-32.33635887964283</v>
      </c>
      <c r="T71" s="1">
        <f>'Team B 1'!T71-'Team B 1'!$AA71-('Team B 1'!T$2- 12.5)*'Team B 1'!$AC71</f>
        <v>22.769151627092242</v>
      </c>
      <c r="U71" s="1">
        <f>'Team B 1'!U71-'Team B 1'!$AA71-('Team B 1'!U$2- 12.5)*'Team B 1'!$AC71</f>
        <v>-2.1253378661726856</v>
      </c>
      <c r="V71" s="1">
        <f>'Team B 1'!V71-'Team B 1'!$AA71-('Team B 1'!V$2- 12.5)*'Team B 1'!$AC71</f>
        <v>12.980172640562614</v>
      </c>
      <c r="W71" s="1">
        <f>'Team B 1'!W71-'Team B 1'!$AA71-('Team B 1'!W$2- 12.5)*'Team B 1'!$AC71</f>
        <v>8.0856831472976864</v>
      </c>
      <c r="X71" s="1">
        <f>'Team B 1'!X71-'Team B 1'!$AA71-('Team B 1'!X$2- 12.5)*'Team B 1'!$AC71</f>
        <v>-16.808806345967241</v>
      </c>
      <c r="Y71" s="1">
        <f>'Team B 1'!Y71-'Team B 1'!$AA71-('Team B 1'!Y$2- 12.5)*'Team B 1'!$AC71</f>
        <v>38.296704160768059</v>
      </c>
      <c r="AB71" s="1">
        <f>STDEV(B71:Y71)</f>
        <v>28.036356634800331</v>
      </c>
      <c r="AD71" s="5">
        <v>8</v>
      </c>
      <c r="AE71" s="5" t="s">
        <v>47</v>
      </c>
      <c r="AF71" s="5" t="s">
        <v>45</v>
      </c>
      <c r="AG71" s="5">
        <v>4</v>
      </c>
      <c r="AH71" s="5">
        <v>1</v>
      </c>
      <c r="AI71" s="5">
        <v>6</v>
      </c>
      <c r="AJ71" s="5" t="s">
        <v>46</v>
      </c>
      <c r="AK71" s="5">
        <v>2</v>
      </c>
      <c r="AL71" s="5">
        <v>9</v>
      </c>
      <c r="AM71" s="5">
        <v>3</v>
      </c>
      <c r="AN71" s="5">
        <v>7</v>
      </c>
      <c r="AO71" s="5">
        <v>5</v>
      </c>
      <c r="AP71" s="5" t="s">
        <v>47</v>
      </c>
      <c r="AQ71" s="5">
        <v>8</v>
      </c>
      <c r="AR71" s="5" t="s">
        <v>45</v>
      </c>
      <c r="AS71" s="5">
        <v>1</v>
      </c>
      <c r="AT71" s="5">
        <v>4</v>
      </c>
      <c r="AU71" s="5">
        <v>6</v>
      </c>
      <c r="AV71" s="5">
        <v>2</v>
      </c>
      <c r="AW71" s="5" t="s">
        <v>46</v>
      </c>
      <c r="AX71" s="5">
        <v>3</v>
      </c>
      <c r="AY71" s="5">
        <v>9</v>
      </c>
      <c r="AZ71" s="5">
        <v>5</v>
      </c>
      <c r="BA71" s="5">
        <v>7</v>
      </c>
      <c r="BB71" s="5"/>
      <c r="BC71" s="1">
        <f ca="1">OFFSET(A71,0, 5) -0</f>
        <v>51.292004532800547</v>
      </c>
      <c r="BD71" s="1">
        <f ca="1">OFFSET(A71,0, 8) -0</f>
        <v>46.608536053005878</v>
      </c>
      <c r="BE71" s="1">
        <f ca="1">OFFSET(A71,0, 10) -0</f>
        <v>-13.180442933523864</v>
      </c>
      <c r="BF71" s="1">
        <f ca="1">OFFSET(A71,0, 4) -0</f>
        <v>-23.813505973934753</v>
      </c>
      <c r="BG71" s="1">
        <f ca="1">OFFSET(A71,0, 12) -0</f>
        <v>7.0305780799463662</v>
      </c>
      <c r="BH71" s="1">
        <f ca="1">OFFSET(A71,0, 6) -0</f>
        <v>46.39751503953562</v>
      </c>
      <c r="BI71" s="1">
        <f ca="1">OFFSET(A71,0, 11) -0</f>
        <v>11.925067573211209</v>
      </c>
      <c r="BJ71" s="1">
        <f ca="1">OFFSET(A71,0, 1) -0</f>
        <v>-9.1300374941401969</v>
      </c>
      <c r="BK71" s="1">
        <f ca="1">OFFSET(A71,0, 9) -0</f>
        <v>-8.2859534402590498</v>
      </c>
      <c r="BL71" s="1">
        <f ca="1">OFFSET(A71,0, 3) -0</f>
        <v>1.0809835193301751</v>
      </c>
      <c r="BM71" s="1">
        <f ca="1">OFFSET(A71,0, 7) -0</f>
        <v>21.503025546270692</v>
      </c>
      <c r="BN71" s="1">
        <f ca="1">OFFSET(A71,0, 2) -0</f>
        <v>-14.024526987404897</v>
      </c>
      <c r="BO71" s="1">
        <f ca="1">OFFSET(A71,0, 16) -0</f>
        <v>-2.5473798931130887</v>
      </c>
      <c r="BP71" s="1">
        <f ca="1">OFFSET(A71,0, 19) -0</f>
        <v>22.769151627092242</v>
      </c>
      <c r="BQ71" s="1">
        <f ca="1">OFFSET(A71,0, 21) -0</f>
        <v>12.980172640562614</v>
      </c>
      <c r="BR71" s="1">
        <f ca="1">OFFSET(A71,0, 17) -0</f>
        <v>-37.441869386378016</v>
      </c>
      <c r="BS71" s="1">
        <f ca="1">OFFSET(A71,0, 23) -0</f>
        <v>-16.808806345967241</v>
      </c>
      <c r="BT71" s="1">
        <f ca="1">OFFSET(A71,0, 18) -0</f>
        <v>-32.33635887964283</v>
      </c>
      <c r="BU71" s="1">
        <f ca="1">OFFSET(A71,0, 24) -0</f>
        <v>38.296704160768059</v>
      </c>
      <c r="BV71" s="1">
        <f ca="1">OFFSET(A71,0, 14) -0</f>
        <v>-42.758400906583347</v>
      </c>
      <c r="BW71" s="1">
        <f ca="1">OFFSET(A71,0, 22) -0</f>
        <v>8.0856831472976864</v>
      </c>
      <c r="BX71" s="1">
        <f ca="1">OFFSET(A71,0, 15) -0</f>
        <v>-47.652890399848275</v>
      </c>
      <c r="BY71" s="1">
        <f ca="1">OFFSET(A71,0, 20) -0</f>
        <v>-2.1253378661726856</v>
      </c>
      <c r="BZ71" s="1">
        <f ca="1">OFFSET(A71,0, 13) -0</f>
        <v>-17.863911413318505</v>
      </c>
      <c r="CB71" s="1">
        <f>COUNTIF(B71,"&lt;-69")</f>
        <v>0</v>
      </c>
      <c r="CC71" s="1">
        <f ca="1">COUNTIF(BC71:BN71,"&lt;-49")</f>
        <v>0</v>
      </c>
      <c r="CD71" s="1">
        <f ca="1">COUNTIF(BC71:BN71,"&gt;+49")</f>
        <v>1</v>
      </c>
      <c r="CE71" s="1">
        <f ca="1">COUNTIF(BO71:BZ71,"&lt;-49")</f>
        <v>0</v>
      </c>
      <c r="CF71" s="1">
        <f ca="1">COUNTIF(BO71:BZ71,"&gt;+49")</f>
        <v>0</v>
      </c>
    </row>
    <row r="72" spans="1:84">
      <c r="A72" s="1">
        <v>69</v>
      </c>
      <c r="B72" s="1">
        <f>'Team B 1'!B72-'Team B 1'!$AA72-('Team B 1'!B$2- 12.5)*'Team B 1'!$AC72</f>
        <v>33.882677453195811</v>
      </c>
      <c r="C72" s="1">
        <f>'Team B 1'!C72-'Team B 1'!$AA72-('Team B 1'!C$2- 12.5)*'Team B 1'!$AC72</f>
        <v>-1.0201640644734198</v>
      </c>
      <c r="D72" s="1">
        <f>'Team B 1'!D72-'Team B 1'!$AA72-('Team B 1'!D$2- 12.5)*'Team B 1'!$AC72</f>
        <v>14.07699441785735</v>
      </c>
      <c r="E72" s="1">
        <f>'Team B 1'!E72-'Team B 1'!$AA72-('Team B 1'!E$2- 12.5)*'Team B 1'!$AC72</f>
        <v>19.174152900188119</v>
      </c>
      <c r="F72" s="1">
        <f>'Team B 1'!F72-'Team B 1'!$AA72-('Team B 1'!F$2- 12.5)*'Team B 1'!$AC72</f>
        <v>14.271311382519116</v>
      </c>
      <c r="G72" s="1">
        <f>'Team B 1'!G72-'Team B 1'!$AA72-('Team B 1'!G$2- 12.5)*'Team B 1'!$AC72</f>
        <v>9.3684698648498852</v>
      </c>
      <c r="H72" s="1">
        <f>'Team B 1'!H72-'Team B 1'!$AA72-('Team B 1'!H$2- 12.5)*'Team B 1'!$AC72</f>
        <v>-25.534371652819345</v>
      </c>
      <c r="I72" s="1">
        <f>'Team B 1'!I72-'Team B 1'!$AA72-('Team B 1'!I$2- 12.5)*'Team B 1'!$AC72</f>
        <v>9.562786829511424</v>
      </c>
      <c r="J72" s="1">
        <f>'Team B 1'!J72-'Team B 1'!$AA72-('Team B 1'!J$2- 12.5)*'Team B 1'!$AC72</f>
        <v>-25.340054688157807</v>
      </c>
      <c r="K72" s="1">
        <f>'Team B 1'!K72-'Team B 1'!$AA72-('Team B 1'!K$2- 12.5)*'Team B 1'!$AC72</f>
        <v>9.7571037941730197</v>
      </c>
      <c r="L72" s="1">
        <f>'Team B 1'!L72-'Team B 1'!$AA72-('Team B 1'!L$2- 12.5)*'Team B 1'!$AC72</f>
        <v>4.8542622765037891</v>
      </c>
      <c r="M72" s="1">
        <f>'Team B 1'!M72-'Team B 1'!$AA72-('Team B 1'!M$2- 12.5)*'Team B 1'!$AC72</f>
        <v>-4.8579241165398912E-2</v>
      </c>
      <c r="N72" s="1">
        <f>'Team B 1'!N72-'Team B 1'!$AA72-('Team B 1'!N$2- 12.5)*'Team B 1'!$AC72</f>
        <v>5.0485792411653989</v>
      </c>
      <c r="O72" s="1">
        <f>'Team B 1'!O72-'Team B 1'!$AA72-('Team B 1'!O$2- 12.5)*'Team B 1'!$AC72</f>
        <v>-9.8542622765037891</v>
      </c>
      <c r="P72" s="1">
        <f>'Team B 1'!P72-'Team B 1'!$AA72-('Team B 1'!P$2- 12.5)*'Team B 1'!$AC72</f>
        <v>-14.75710379417302</v>
      </c>
      <c r="Q72" s="1">
        <f>'Team B 1'!Q72-'Team B 1'!$AA72-('Team B 1'!Q$2- 12.5)*'Team B 1'!$AC72</f>
        <v>10.340054688157807</v>
      </c>
      <c r="R72" s="1">
        <f>'Team B 1'!R72-'Team B 1'!$AA72-('Team B 1'!R$2- 12.5)*'Team B 1'!$AC72</f>
        <v>5.437213170488576</v>
      </c>
      <c r="S72" s="1">
        <f>'Team B 1'!S72-'Team B 1'!$AA72-('Team B 1'!S$2- 12.5)*'Team B 1'!$AC72</f>
        <v>20.534371652819345</v>
      </c>
      <c r="T72" s="1">
        <f>'Team B 1'!T72-'Team B 1'!$AA72-('Team B 1'!T$2- 12.5)*'Team B 1'!$AC72</f>
        <v>-14.368469864849885</v>
      </c>
      <c r="U72" s="1">
        <f>'Team B 1'!U72-'Team B 1'!$AA72-('Team B 1'!U$2- 12.5)*'Team B 1'!$AC72</f>
        <v>-29.271311382519116</v>
      </c>
      <c r="V72" s="1">
        <f>'Team B 1'!V72-'Team B 1'!$AA72-('Team B 1'!V$2- 12.5)*'Team B 1'!$AC72</f>
        <v>-4.174152900188119</v>
      </c>
      <c r="W72" s="1">
        <f>'Team B 1'!W72-'Team B 1'!$AA72-('Team B 1'!W$2- 12.5)*'Team B 1'!$AC72</f>
        <v>20.92300558214265</v>
      </c>
      <c r="X72" s="1">
        <f>'Team B 1'!X72-'Team B 1'!$AA72-('Team B 1'!X$2- 12.5)*'Team B 1'!$AC72</f>
        <v>-23.97983593552658</v>
      </c>
      <c r="Y72" s="1">
        <f>'Team B 1'!Y72-'Team B 1'!$AA72-('Team B 1'!Y$2- 12.5)*'Team B 1'!$AC72</f>
        <v>-28.882677453195811</v>
      </c>
      <c r="AB72" s="1">
        <f>STDEV(B72:Y72)</f>
        <v>17.860411427316368</v>
      </c>
      <c r="AD72" s="5">
        <v>8</v>
      </c>
      <c r="AE72" s="5" t="s">
        <v>47</v>
      </c>
      <c r="AF72" s="5">
        <v>1</v>
      </c>
      <c r="AG72" s="5" t="s">
        <v>45</v>
      </c>
      <c r="AH72" s="5">
        <v>6</v>
      </c>
      <c r="AI72" s="5">
        <v>4</v>
      </c>
      <c r="AJ72" s="5" t="s">
        <v>46</v>
      </c>
      <c r="AK72" s="5">
        <v>2</v>
      </c>
      <c r="AL72" s="5">
        <v>9</v>
      </c>
      <c r="AM72" s="5">
        <v>3</v>
      </c>
      <c r="AN72" s="5">
        <v>7</v>
      </c>
      <c r="AO72" s="5">
        <v>5</v>
      </c>
      <c r="AP72" s="5">
        <v>8</v>
      </c>
      <c r="AQ72" s="5" t="s">
        <v>47</v>
      </c>
      <c r="AR72" s="5" t="s">
        <v>45</v>
      </c>
      <c r="AS72" s="5">
        <v>1</v>
      </c>
      <c r="AT72" s="5">
        <v>6</v>
      </c>
      <c r="AU72" s="5" t="s">
        <v>46</v>
      </c>
      <c r="AV72" s="5">
        <v>4</v>
      </c>
      <c r="AW72" s="5">
        <v>9</v>
      </c>
      <c r="AX72" s="5">
        <v>2</v>
      </c>
      <c r="AY72" s="5">
        <v>7</v>
      </c>
      <c r="AZ72" s="5">
        <v>3</v>
      </c>
      <c r="BA72" s="5">
        <v>5</v>
      </c>
      <c r="BB72" s="5"/>
      <c r="BC72" s="1">
        <f ca="1">OFFSET(A72,0, 3) -0</f>
        <v>14.07699441785735</v>
      </c>
      <c r="BD72" s="1">
        <f ca="1">OFFSET(A72,0, 8) -0</f>
        <v>9.562786829511424</v>
      </c>
      <c r="BE72" s="1">
        <f ca="1">OFFSET(A72,0, 10) -0</f>
        <v>9.7571037941730197</v>
      </c>
      <c r="BF72" s="1">
        <f ca="1">OFFSET(A72,0, 6) -0</f>
        <v>9.3684698648498852</v>
      </c>
      <c r="BG72" s="1">
        <f ca="1">OFFSET(A72,0, 12) -0</f>
        <v>-4.8579241165398912E-2</v>
      </c>
      <c r="BH72" s="1">
        <f ca="1">OFFSET(A72,0, 5) -0</f>
        <v>14.271311382519116</v>
      </c>
      <c r="BI72" s="1">
        <f ca="1">OFFSET(A72,0, 11) -0</f>
        <v>4.8542622765037891</v>
      </c>
      <c r="BJ72" s="1">
        <f ca="1">OFFSET(A72,0, 1) -0</f>
        <v>33.882677453195811</v>
      </c>
      <c r="BK72" s="1">
        <f ca="1">OFFSET(A72,0, 9) -0</f>
        <v>-25.340054688157807</v>
      </c>
      <c r="BL72" s="1">
        <f ca="1">OFFSET(A72,0, 4) -0</f>
        <v>19.174152900188119</v>
      </c>
      <c r="BM72" s="1">
        <f ca="1">OFFSET(A72,0, 7) -0</f>
        <v>-25.534371652819345</v>
      </c>
      <c r="BN72" s="1">
        <f ca="1">OFFSET(A72,0, 2) -0</f>
        <v>-1.0201640644734198</v>
      </c>
      <c r="BO72" s="1">
        <f ca="1">OFFSET(A72,0, 16) -0</f>
        <v>10.340054688157807</v>
      </c>
      <c r="BP72" s="1">
        <f ca="1">OFFSET(A72,0, 21) -0</f>
        <v>-4.174152900188119</v>
      </c>
      <c r="BQ72" s="1">
        <f ca="1">OFFSET(A72,0, 23) -0</f>
        <v>-23.97983593552658</v>
      </c>
      <c r="BR72" s="1">
        <f ca="1">OFFSET(A72,0, 19) -0</f>
        <v>-14.368469864849885</v>
      </c>
      <c r="BS72" s="1">
        <f ca="1">OFFSET(A72,0, 24) -0</f>
        <v>-28.882677453195811</v>
      </c>
      <c r="BT72" s="1">
        <f ca="1">OFFSET(A72,0, 17) -0</f>
        <v>5.437213170488576</v>
      </c>
      <c r="BU72" s="1">
        <f ca="1">OFFSET(A72,0, 22) -0</f>
        <v>20.92300558214265</v>
      </c>
      <c r="BV72" s="1">
        <f ca="1">OFFSET(A72,0, 13) -0</f>
        <v>5.0485792411653989</v>
      </c>
      <c r="BW72" s="1">
        <f ca="1">OFFSET(A72,0, 20) -0</f>
        <v>-29.271311382519116</v>
      </c>
      <c r="BX72" s="1">
        <f ca="1">OFFSET(A72,0, 15) -0</f>
        <v>-14.75710379417302</v>
      </c>
      <c r="BY72" s="1">
        <f ca="1">OFFSET(A72,0, 18) -0</f>
        <v>20.534371652819345</v>
      </c>
      <c r="BZ72" s="1">
        <f ca="1">OFFSET(A72,0, 14) -0</f>
        <v>-9.8542622765037891</v>
      </c>
      <c r="CB72" s="1">
        <f>COUNTIF(B72,"&lt;-69")</f>
        <v>0</v>
      </c>
      <c r="CC72" s="1">
        <f ca="1">COUNTIF(BC72:BN72,"&lt;-49")</f>
        <v>0</v>
      </c>
      <c r="CD72" s="1">
        <f ca="1">COUNTIF(BC72:BN72,"&gt;+49")</f>
        <v>0</v>
      </c>
      <c r="CE72" s="1">
        <f ca="1">COUNTIF(BO72:BZ72,"&lt;-49")</f>
        <v>0</v>
      </c>
      <c r="CF72" s="1">
        <f ca="1">COUNTIF(BO72:BZ72,"&gt;+49")</f>
        <v>0</v>
      </c>
    </row>
    <row r="73" spans="1:84">
      <c r="A73" s="1">
        <v>70</v>
      </c>
      <c r="B73" s="1">
        <f>'Team B 1'!B73-'Team B 1'!$AA73-('Team B 1'!B$2- 12.5)*'Team B 1'!$AC73</f>
        <v>-6.631866208053907</v>
      </c>
      <c r="C73" s="1">
        <f>'Team B 1'!C73-'Team B 1'!$AA73-('Team B 1'!C$2- 12.5)*'Team B 1'!$AC73</f>
        <v>-11.163877842136117</v>
      </c>
      <c r="D73" s="1">
        <f>'Team B 1'!D73-'Team B 1'!$AA73-('Team B 1'!D$2- 12.5)*'Team B 1'!$AC73</f>
        <v>44.304110523781446</v>
      </c>
      <c r="E73" s="1">
        <f>'Team B 1'!E73-'Team B 1'!$AA73-('Team B 1'!E$2- 12.5)*'Team B 1'!$AC73</f>
        <v>49.772098889699237</v>
      </c>
      <c r="F73" s="1">
        <f>'Team B 1'!F73-'Team B 1'!$AA73-('Team B 1'!F$2- 12.5)*'Team B 1'!$AC73</f>
        <v>65.240087255617027</v>
      </c>
      <c r="G73" s="1">
        <f>'Team B 1'!G73-'Team B 1'!$AA73-('Team B 1'!G$2- 12.5)*'Team B 1'!$AC73</f>
        <v>20.708075621534817</v>
      </c>
      <c r="H73" s="1">
        <f>'Team B 1'!H73-'Team B 1'!$AA73-('Team B 1'!H$2- 12.5)*'Team B 1'!$AC73</f>
        <v>-3.8239360125476196</v>
      </c>
      <c r="I73" s="1">
        <f>'Team B 1'!I73-'Team B 1'!$AA73-('Team B 1'!I$2- 12.5)*'Team B 1'!$AC73</f>
        <v>-18.355947646629829</v>
      </c>
      <c r="J73" s="1">
        <f>'Team B 1'!J73-'Team B 1'!$AA73-('Team B 1'!J$2- 12.5)*'Team B 1'!$AC73</f>
        <v>-2.8879592807120389</v>
      </c>
      <c r="K73" s="1">
        <f>'Team B 1'!K73-'Team B 1'!$AA73-('Team B 1'!K$2- 12.5)*'Team B 1'!$AC73</f>
        <v>-27.419970914794362</v>
      </c>
      <c r="L73" s="1">
        <f>'Team B 1'!L73-'Team B 1'!$AA73-('Team B 1'!L$2- 12.5)*'Team B 1'!$AC73</f>
        <v>-11.951982548876572</v>
      </c>
      <c r="M73" s="1">
        <f>'Team B 1'!M73-'Team B 1'!$AA73-('Team B 1'!M$2- 12.5)*'Team B 1'!$AC73</f>
        <v>-16.483994182958867</v>
      </c>
      <c r="N73" s="1">
        <f>'Team B 1'!N73-'Team B 1'!$AA73-('Team B 1'!N$2- 12.5)*'Team B 1'!$AC73</f>
        <v>-31.016005817041133</v>
      </c>
      <c r="O73" s="1">
        <f>'Team B 1'!O73-'Team B 1'!$AA73-('Team B 1'!O$2- 12.5)*'Team B 1'!$AC73</f>
        <v>24.451982548876572</v>
      </c>
      <c r="P73" s="1">
        <f>'Team B 1'!P73-'Team B 1'!$AA73-('Team B 1'!P$2- 12.5)*'Team B 1'!$AC73</f>
        <v>-10.080029085205638</v>
      </c>
      <c r="Q73" s="1">
        <f>'Team B 1'!Q73-'Team B 1'!$AA73-('Team B 1'!Q$2- 12.5)*'Team B 1'!$AC73</f>
        <v>-4.6120407192879611</v>
      </c>
      <c r="R73" s="1">
        <f>'Team B 1'!R73-'Team B 1'!$AA73-('Team B 1'!R$2- 12.5)*'Team B 1'!$AC73</f>
        <v>20.855947646629829</v>
      </c>
      <c r="S73" s="1">
        <f>'Team B 1'!S73-'Team B 1'!$AA73-('Team B 1'!S$2- 12.5)*'Team B 1'!$AC73</f>
        <v>6.3239360125476196</v>
      </c>
      <c r="T73" s="1">
        <f>'Team B 1'!T73-'Team B 1'!$AA73-('Team B 1'!T$2- 12.5)*'Team B 1'!$AC73</f>
        <v>-38.208075621534817</v>
      </c>
      <c r="U73" s="1">
        <f>'Team B 1'!U73-'Team B 1'!$AA73-('Team B 1'!U$2- 12.5)*'Team B 1'!$AC73</f>
        <v>-22.740087255617027</v>
      </c>
      <c r="V73" s="1">
        <f>'Team B 1'!V73-'Team B 1'!$AA73-('Team B 1'!V$2- 12.5)*'Team B 1'!$AC73</f>
        <v>-17.272098889699237</v>
      </c>
      <c r="W73" s="1">
        <f>'Team B 1'!W73-'Team B 1'!$AA73-('Team B 1'!W$2- 12.5)*'Team B 1'!$AC73</f>
        <v>-11.804110523781446</v>
      </c>
      <c r="X73" s="1">
        <f>'Team B 1'!X73-'Team B 1'!$AA73-('Team B 1'!X$2- 12.5)*'Team B 1'!$AC73</f>
        <v>-6.3361221578638833</v>
      </c>
      <c r="Y73" s="1">
        <f>'Team B 1'!Y73-'Team B 1'!$AA73-('Team B 1'!Y$2- 12.5)*'Team B 1'!$AC73</f>
        <v>9.131866208053907</v>
      </c>
      <c r="AB73" s="1">
        <f>STDEV(B73:Y73)</f>
        <v>25.973276194849721</v>
      </c>
      <c r="AD73" s="5" t="s">
        <v>47</v>
      </c>
      <c r="AE73" s="5">
        <v>8</v>
      </c>
      <c r="AF73" s="5">
        <v>1</v>
      </c>
      <c r="AG73" s="5" t="s">
        <v>45</v>
      </c>
      <c r="AH73" s="5" t="s">
        <v>46</v>
      </c>
      <c r="AI73" s="5">
        <v>6</v>
      </c>
      <c r="AJ73" s="5">
        <v>9</v>
      </c>
      <c r="AK73" s="5">
        <v>4</v>
      </c>
      <c r="AL73" s="5">
        <v>7</v>
      </c>
      <c r="AM73" s="5">
        <v>2</v>
      </c>
      <c r="AN73" s="5">
        <v>5</v>
      </c>
      <c r="AO73" s="5">
        <v>3</v>
      </c>
      <c r="AP73" s="5" t="s">
        <v>47</v>
      </c>
      <c r="AQ73" s="5">
        <v>1</v>
      </c>
      <c r="AR73" s="5">
        <v>8</v>
      </c>
      <c r="AS73" s="5" t="s">
        <v>45</v>
      </c>
      <c r="AT73" s="5">
        <v>6</v>
      </c>
      <c r="AU73" s="5" t="s">
        <v>46</v>
      </c>
      <c r="AV73" s="5">
        <v>4</v>
      </c>
      <c r="AW73" s="5">
        <v>9</v>
      </c>
      <c r="AX73" s="5">
        <v>2</v>
      </c>
      <c r="AY73" s="5">
        <v>7</v>
      </c>
      <c r="AZ73" s="5">
        <v>3</v>
      </c>
      <c r="BA73" s="5">
        <v>5</v>
      </c>
      <c r="BB73" s="5"/>
      <c r="BC73" s="1">
        <f ca="1">OFFSET(A73,0, 3) -0</f>
        <v>44.304110523781446</v>
      </c>
      <c r="BD73" s="1">
        <f ca="1">OFFSET(A73,0, 10) -0</f>
        <v>-27.419970914794362</v>
      </c>
      <c r="BE73" s="1">
        <f ca="1">OFFSET(A73,0, 12) -0</f>
        <v>-16.483994182958867</v>
      </c>
      <c r="BF73" s="1">
        <f ca="1">OFFSET(A73,0, 8) -0</f>
        <v>-18.355947646629829</v>
      </c>
      <c r="BG73" s="1">
        <f ca="1">OFFSET(A73,0, 11) -0</f>
        <v>-11.951982548876572</v>
      </c>
      <c r="BH73" s="1">
        <f ca="1">OFFSET(A73,0, 6) -0</f>
        <v>20.708075621534817</v>
      </c>
      <c r="BI73" s="1">
        <f ca="1">OFFSET(A73,0, 9) -0</f>
        <v>-2.8879592807120389</v>
      </c>
      <c r="BJ73" s="1">
        <f ca="1">OFFSET(A73,0, 2) -0</f>
        <v>-11.163877842136117</v>
      </c>
      <c r="BK73" s="1">
        <f ca="1">OFFSET(A73,0, 7) -0</f>
        <v>-3.8239360125476196</v>
      </c>
      <c r="BL73" s="1">
        <f ca="1">OFFSET(A73,0, 4) -0</f>
        <v>49.772098889699237</v>
      </c>
      <c r="BM73" s="1">
        <f ca="1">OFFSET(A73,0, 5) -0</f>
        <v>65.240087255617027</v>
      </c>
      <c r="BN73" s="1">
        <f ca="1">OFFSET(A73,0, 1) -0</f>
        <v>-6.631866208053907</v>
      </c>
      <c r="BO73" s="1">
        <f ca="1">OFFSET(A73,0, 14) -0</f>
        <v>24.451982548876572</v>
      </c>
      <c r="BP73" s="1">
        <f ca="1">OFFSET(A73,0, 21) -0</f>
        <v>-17.272098889699237</v>
      </c>
      <c r="BQ73" s="1">
        <f ca="1">OFFSET(A73,0, 23) -0</f>
        <v>-6.3361221578638833</v>
      </c>
      <c r="BR73" s="1">
        <f ca="1">OFFSET(A73,0, 19) -0</f>
        <v>-38.208075621534817</v>
      </c>
      <c r="BS73" s="1">
        <f ca="1">OFFSET(A73,0, 24) -0</f>
        <v>9.131866208053907</v>
      </c>
      <c r="BT73" s="1">
        <f ca="1">OFFSET(A73,0, 17) -0</f>
        <v>20.855947646629829</v>
      </c>
      <c r="BU73" s="1">
        <f ca="1">OFFSET(A73,0, 22) -0</f>
        <v>-11.804110523781446</v>
      </c>
      <c r="BV73" s="1">
        <f ca="1">OFFSET(A73,0, 15) -0</f>
        <v>-10.080029085205638</v>
      </c>
      <c r="BW73" s="1">
        <f ca="1">OFFSET(A73,0, 20) -0</f>
        <v>-22.740087255617027</v>
      </c>
      <c r="BX73" s="1">
        <f ca="1">OFFSET(A73,0, 16) -0</f>
        <v>-4.6120407192879611</v>
      </c>
      <c r="BY73" s="1">
        <f ca="1">OFFSET(A73,0, 18) -0</f>
        <v>6.3239360125476196</v>
      </c>
      <c r="BZ73" s="1">
        <f ca="1">OFFSET(A73,0, 13) -0</f>
        <v>-31.016005817041133</v>
      </c>
      <c r="CB73" s="1">
        <f>COUNTIF(B73,"&lt;-69")</f>
        <v>0</v>
      </c>
      <c r="CC73" s="1">
        <f ca="1">COUNTIF(BC73:BN73,"&lt;-49")</f>
        <v>0</v>
      </c>
      <c r="CD73" s="1">
        <f ca="1">COUNTIF(BC73:BN73,"&gt;+49")</f>
        <v>2</v>
      </c>
      <c r="CE73" s="1">
        <f ca="1">COUNTIF(BO73:BZ73,"&lt;-49")</f>
        <v>0</v>
      </c>
      <c r="CF73" s="1">
        <f ca="1">COUNTIF(BO73:BZ73,"&gt;+49")</f>
        <v>0</v>
      </c>
    </row>
    <row r="74" spans="1:84">
      <c r="A74" s="1">
        <v>71</v>
      </c>
      <c r="B74" s="1">
        <f>'Team B 1'!B74-'Team B 1'!$AA74-('Team B 1'!B$2- 12.5)*'Team B 1'!$AC74</f>
        <v>-9.114759736105043</v>
      </c>
      <c r="C74" s="1">
        <f>'Team B 1'!C74-'Team B 1'!$AA74-('Team B 1'!C$2- 12.5)*'Team B 1'!$AC74</f>
        <v>6.6923208206594609</v>
      </c>
      <c r="D74" s="1">
        <f>'Team B 1'!D74-'Team B 1'!$AA74-('Team B 1'!D$2- 12.5)*'Team B 1'!$AC74</f>
        <v>12.499401377423737</v>
      </c>
      <c r="E74" s="1">
        <f>'Team B 1'!E74-'Team B 1'!$AA74-('Team B 1'!E$2- 12.5)*'Team B 1'!$AC74</f>
        <v>-11.693518065811759</v>
      </c>
      <c r="F74" s="1">
        <f>'Team B 1'!F74-'Team B 1'!$AA74-('Team B 1'!F$2- 12.5)*'Team B 1'!$AC74</f>
        <v>4.1135624909527451</v>
      </c>
      <c r="G74" s="1">
        <f>'Team B 1'!G74-'Team B 1'!$AA74-('Team B 1'!G$2- 12.5)*'Team B 1'!$AC74</f>
        <v>49.920643047717249</v>
      </c>
      <c r="H74" s="1">
        <f>'Team B 1'!H74-'Team B 1'!$AA74-('Team B 1'!H$2- 12.5)*'Team B 1'!$AC74</f>
        <v>-14.272276395518475</v>
      </c>
      <c r="I74" s="1">
        <f>'Team B 1'!I74-'Team B 1'!$AA74-('Team B 1'!I$2- 12.5)*'Team B 1'!$AC74</f>
        <v>-12.465195838753971</v>
      </c>
      <c r="J74" s="1">
        <f>'Team B 1'!J74-'Team B 1'!$AA74-('Team B 1'!J$2- 12.5)*'Team B 1'!$AC74</f>
        <v>-12.658115281989467</v>
      </c>
      <c r="K74" s="1">
        <f>'Team B 1'!K74-'Team B 1'!$AA74-('Team B 1'!K$2- 12.5)*'Team B 1'!$AC74</f>
        <v>23.148965274774923</v>
      </c>
      <c r="L74" s="1">
        <f>'Team B 1'!L74-'Team B 1'!$AA74-('Team B 1'!L$2- 12.5)*'Team B 1'!$AC74</f>
        <v>18.956045831539427</v>
      </c>
      <c r="M74" s="1">
        <f>'Team B 1'!M74-'Team B 1'!$AA74-('Team B 1'!M$2- 12.5)*'Team B 1'!$AC74</f>
        <v>-5.2368736116961543</v>
      </c>
      <c r="N74" s="1">
        <f>'Team B 1'!N74-'Team B 1'!$AA74-('Team B 1'!N$2- 12.5)*'Team B 1'!$AC74</f>
        <v>0.57020694506829273</v>
      </c>
      <c r="O74" s="1">
        <f>'Team B 1'!O74-'Team B 1'!$AA74-('Team B 1'!O$2- 12.5)*'Team B 1'!$AC74</f>
        <v>6.3772875018327113</v>
      </c>
      <c r="P74" s="1">
        <f>'Team B 1'!P74-'Team B 1'!$AA74-('Team B 1'!P$2- 12.5)*'Team B 1'!$AC74</f>
        <v>-17.815631941402785</v>
      </c>
      <c r="Q74" s="1">
        <f>'Team B 1'!Q74-'Team B 1'!$AA74-('Team B 1'!Q$2- 12.5)*'Team B 1'!$AC74</f>
        <v>27.991448615361605</v>
      </c>
      <c r="R74" s="1">
        <f>'Team B 1'!R74-'Team B 1'!$AA74-('Team B 1'!R$2- 12.5)*'Team B 1'!$AC74</f>
        <v>-16.201470827873891</v>
      </c>
      <c r="S74" s="1">
        <f>'Team B 1'!S74-'Team B 1'!$AA74-('Team B 1'!S$2- 12.5)*'Team B 1'!$AC74</f>
        <v>-10.394390271109387</v>
      </c>
      <c r="T74" s="1">
        <f>'Team B 1'!T74-'Team B 1'!$AA74-('Team B 1'!T$2- 12.5)*'Team B 1'!$AC74</f>
        <v>5.4126902856548895</v>
      </c>
      <c r="U74" s="1">
        <f>'Team B 1'!U74-'Team B 1'!$AA74-('Team B 1'!U$2- 12.5)*'Team B 1'!$AC74</f>
        <v>21.219770842419393</v>
      </c>
      <c r="V74" s="1">
        <f>'Team B 1'!V74-'Team B 1'!$AA74-('Team B 1'!V$2- 12.5)*'Team B 1'!$AC74</f>
        <v>-42.973148600816103</v>
      </c>
      <c r="W74" s="1">
        <f>'Team B 1'!W74-'Team B 1'!$AA74-('Team B 1'!W$2- 12.5)*'Team B 1'!$AC74</f>
        <v>-47.166068044051599</v>
      </c>
      <c r="X74" s="1">
        <f>'Team B 1'!X74-'Team B 1'!$AA74-('Team B 1'!X$2- 12.5)*'Team B 1'!$AC74</f>
        <v>8.6410125127126776</v>
      </c>
      <c r="Y74" s="1">
        <f>'Team B 1'!Y74-'Team B 1'!$AA74-('Team B 1'!Y$2- 12.5)*'Team B 1'!$AC74</f>
        <v>14.448093069477181</v>
      </c>
      <c r="AB74" s="1">
        <f>STDEV(B74:Y74)</f>
        <v>21.587570002739728</v>
      </c>
      <c r="AD74" s="5">
        <v>1</v>
      </c>
      <c r="AE74" s="5" t="s">
        <v>47</v>
      </c>
      <c r="AF74" s="5" t="s">
        <v>45</v>
      </c>
      <c r="AG74" s="5">
        <v>8</v>
      </c>
      <c r="AH74" s="5" t="s">
        <v>46</v>
      </c>
      <c r="AI74" s="5">
        <v>6</v>
      </c>
      <c r="AJ74" s="5">
        <v>9</v>
      </c>
      <c r="AK74" s="5">
        <v>4</v>
      </c>
      <c r="AL74" s="5">
        <v>7</v>
      </c>
      <c r="AM74" s="5">
        <v>2</v>
      </c>
      <c r="AN74" s="5">
        <v>5</v>
      </c>
      <c r="AO74" s="5">
        <v>3</v>
      </c>
      <c r="AP74" s="5" t="s">
        <v>47</v>
      </c>
      <c r="AQ74" s="5">
        <v>1</v>
      </c>
      <c r="AR74" s="5" t="s">
        <v>45</v>
      </c>
      <c r="AS74" s="5" t="s">
        <v>46</v>
      </c>
      <c r="AT74" s="5">
        <v>8</v>
      </c>
      <c r="AU74" s="5">
        <v>9</v>
      </c>
      <c r="AV74" s="5">
        <v>6</v>
      </c>
      <c r="AW74" s="5">
        <v>7</v>
      </c>
      <c r="AX74" s="5">
        <v>4</v>
      </c>
      <c r="AY74" s="5">
        <v>5</v>
      </c>
      <c r="AZ74" s="5">
        <v>2</v>
      </c>
      <c r="BA74" s="5">
        <v>3</v>
      </c>
      <c r="BB74" s="5"/>
      <c r="BC74" s="1">
        <f ca="1">OFFSET(A74,0, 1) -0</f>
        <v>-9.114759736105043</v>
      </c>
      <c r="BD74" s="1">
        <f ca="1">OFFSET(A74,0, 10) -0</f>
        <v>23.148965274774923</v>
      </c>
      <c r="BE74" s="1">
        <f ca="1">OFFSET(A74,0, 12) -0</f>
        <v>-5.2368736116961543</v>
      </c>
      <c r="BF74" s="1">
        <f ca="1">OFFSET(A74,0, 8) -0</f>
        <v>-12.465195838753971</v>
      </c>
      <c r="BG74" s="1">
        <f ca="1">OFFSET(A74,0, 11) -0</f>
        <v>18.956045831539427</v>
      </c>
      <c r="BH74" s="1">
        <f ca="1">OFFSET(A74,0, 6) -0</f>
        <v>49.920643047717249</v>
      </c>
      <c r="BI74" s="1">
        <f ca="1">OFFSET(A74,0, 9) -0</f>
        <v>-12.658115281989467</v>
      </c>
      <c r="BJ74" s="1">
        <f ca="1">OFFSET(A74,0, 4) -0</f>
        <v>-11.693518065811759</v>
      </c>
      <c r="BK74" s="1">
        <f ca="1">OFFSET(A74,0, 7) -0</f>
        <v>-14.272276395518475</v>
      </c>
      <c r="BL74" s="1">
        <f ca="1">OFFSET(A74,0, 3) -0</f>
        <v>12.499401377423737</v>
      </c>
      <c r="BM74" s="1">
        <f ca="1">OFFSET(A74,0, 5) -0</f>
        <v>4.1135624909527451</v>
      </c>
      <c r="BN74" s="1">
        <f ca="1">OFFSET(A74,0, 2) -0</f>
        <v>6.6923208206594609</v>
      </c>
      <c r="BO74" s="1">
        <f ca="1">OFFSET(A74,0, 14) -0</f>
        <v>6.3772875018327113</v>
      </c>
      <c r="BP74" s="1">
        <f ca="1">OFFSET(A74,0, 23) -0</f>
        <v>8.6410125127126776</v>
      </c>
      <c r="BQ74" s="1">
        <f ca="1">OFFSET(A74,0, 24) -0</f>
        <v>14.448093069477181</v>
      </c>
      <c r="BR74" s="1">
        <f ca="1">OFFSET(A74,0, 21) -0</f>
        <v>-42.973148600816103</v>
      </c>
      <c r="BS74" s="1">
        <f ca="1">OFFSET(A74,0, 22) -0</f>
        <v>-47.166068044051599</v>
      </c>
      <c r="BT74" s="1">
        <f ca="1">OFFSET(A74,0, 19) -0</f>
        <v>5.4126902856548895</v>
      </c>
      <c r="BU74" s="1">
        <f ca="1">OFFSET(A74,0, 20) -0</f>
        <v>21.219770842419393</v>
      </c>
      <c r="BV74" s="1">
        <f ca="1">OFFSET(A74,0, 17) -0</f>
        <v>-16.201470827873891</v>
      </c>
      <c r="BW74" s="1">
        <f ca="1">OFFSET(A74,0, 18) -0</f>
        <v>-10.394390271109387</v>
      </c>
      <c r="BX74" s="1">
        <f ca="1">OFFSET(A74,0, 15) -0</f>
        <v>-17.815631941402785</v>
      </c>
      <c r="BY74" s="1">
        <f ca="1">OFFSET(A74,0, 16) -0</f>
        <v>27.991448615361605</v>
      </c>
      <c r="BZ74" s="1">
        <f ca="1">OFFSET(A74,0, 13) -0</f>
        <v>0.57020694506829273</v>
      </c>
      <c r="CB74" s="1">
        <f>COUNTIF(B74,"&lt;-69")</f>
        <v>0</v>
      </c>
      <c r="CC74" s="1">
        <f ca="1">COUNTIF(BC74:BN74,"&lt;-49")</f>
        <v>0</v>
      </c>
      <c r="CD74" s="1">
        <f ca="1">COUNTIF(BC74:BN74,"&gt;+49")</f>
        <v>1</v>
      </c>
      <c r="CE74" s="1">
        <f ca="1">COUNTIF(BO74:BZ74,"&lt;-49")</f>
        <v>0</v>
      </c>
      <c r="CF74" s="1">
        <f ca="1">COUNTIF(BO74:BZ74,"&gt;+49")</f>
        <v>0</v>
      </c>
    </row>
    <row r="75" spans="1:84">
      <c r="A75" s="1">
        <v>72</v>
      </c>
      <c r="B75" s="1">
        <f>'Team B 1'!B75-'Team B 1'!$AA75-('Team B 1'!B$2- 12.5)*'Team B 1'!$AC75</f>
        <v>-1.7713635802751924</v>
      </c>
      <c r="C75" s="1">
        <f>'Team B 1'!C75-'Team B 1'!$AA75-('Team B 1'!C$2- 12.5)*'Team B 1'!$AC75</f>
        <v>24.324697020906342</v>
      </c>
      <c r="D75" s="1">
        <f>'Team B 1'!D75-'Team B 1'!$AA75-('Team B 1'!D$2- 12.5)*'Team B 1'!$AC75</f>
        <v>30.420757622088104</v>
      </c>
      <c r="E75" s="1">
        <f>'Team B 1'!E75-'Team B 1'!$AA75-('Team B 1'!E$2- 12.5)*'Team B 1'!$AC75</f>
        <v>6.5168182232696381</v>
      </c>
      <c r="F75" s="1">
        <f>'Team B 1'!F75-'Team B 1'!$AA75-('Team B 1'!F$2- 12.5)*'Team B 1'!$AC75</f>
        <v>-27.3871211755486</v>
      </c>
      <c r="G75" s="1">
        <f>'Team B 1'!G75-'Team B 1'!$AA75-('Team B 1'!G$2- 12.5)*'Team B 1'!$AC75</f>
        <v>-31.291060574367066</v>
      </c>
      <c r="H75" s="1">
        <f>'Team B 1'!H75-'Team B 1'!$AA75-('Team B 1'!H$2- 12.5)*'Team B 1'!$AC75</f>
        <v>14.805000026814696</v>
      </c>
      <c r="I75" s="1">
        <f>'Team B 1'!I75-'Team B 1'!$AA75-('Team B 1'!I$2- 12.5)*'Team B 1'!$AC75</f>
        <v>20.901060627996344</v>
      </c>
      <c r="J75" s="1">
        <f>'Team B 1'!J75-'Team B 1'!$AA75-('Team B 1'!J$2- 12.5)*'Team B 1'!$AC75</f>
        <v>6.9971212291781058</v>
      </c>
      <c r="K75" s="1">
        <f>'Team B 1'!K75-'Team B 1'!$AA75-('Team B 1'!K$2- 12.5)*'Team B 1'!$AC75</f>
        <v>-26.906818169640246</v>
      </c>
      <c r="L75" s="1">
        <f>'Team B 1'!L75-'Team B 1'!$AA75-('Team B 1'!L$2- 12.5)*'Team B 1'!$AC75</f>
        <v>9.1892424315414019</v>
      </c>
      <c r="M75" s="1">
        <f>'Team B 1'!M75-'Team B 1'!$AA75-('Team B 1'!M$2- 12.5)*'Team B 1'!$AC75</f>
        <v>-4.7146969672769075</v>
      </c>
      <c r="N75" s="1">
        <f>'Team B 1'!N75-'Team B 1'!$AA75-('Team B 1'!N$2- 12.5)*'Team B 1'!$AC75</f>
        <v>11.381363633904769</v>
      </c>
      <c r="O75" s="1">
        <f>'Team B 1'!O75-'Team B 1'!$AA75-('Team B 1'!O$2- 12.5)*'Team B 1'!$AC75</f>
        <v>7.4774242350864597</v>
      </c>
      <c r="P75" s="1">
        <f>'Team B 1'!P75-'Team B 1'!$AA75-('Team B 1'!P$2- 12.5)*'Team B 1'!$AC75</f>
        <v>-26.426515163731892</v>
      </c>
      <c r="Q75" s="1">
        <f>'Team B 1'!Q75-'Team B 1'!$AA75-('Team B 1'!Q$2- 12.5)*'Team B 1'!$AC75</f>
        <v>-10.330454562550244</v>
      </c>
      <c r="R75" s="1">
        <f>'Team B 1'!R75-'Team B 1'!$AA75-('Team B 1'!R$2- 12.5)*'Team B 1'!$AC75</f>
        <v>5.7656060386315175</v>
      </c>
      <c r="S75" s="1">
        <f>'Team B 1'!S75-'Team B 1'!$AA75-('Team B 1'!S$2- 12.5)*'Team B 1'!$AC75</f>
        <v>11.861666639813166</v>
      </c>
      <c r="T75" s="1">
        <f>'Team B 1'!T75-'Team B 1'!$AA75-('Team B 1'!T$2- 12.5)*'Team B 1'!$AC75</f>
        <v>27.957727240994927</v>
      </c>
      <c r="U75" s="1">
        <f>'Team B 1'!U75-'Team B 1'!$AA75-('Team B 1'!U$2- 12.5)*'Team B 1'!$AC75</f>
        <v>14.053787842176462</v>
      </c>
      <c r="V75" s="1">
        <f>'Team B 1'!V75-'Team B 1'!$AA75-('Team B 1'!V$2- 12.5)*'Team B 1'!$AC75</f>
        <v>-39.850151556641777</v>
      </c>
      <c r="W75" s="1">
        <f>'Team B 1'!W75-'Team B 1'!$AA75-('Team B 1'!W$2- 12.5)*'Team B 1'!$AC75</f>
        <v>-33.754090955460242</v>
      </c>
      <c r="X75" s="1">
        <f>'Team B 1'!X75-'Team B 1'!$AA75-('Team B 1'!X$2- 12.5)*'Team B 1'!$AC75</f>
        <v>2.3419696457215196</v>
      </c>
      <c r="Y75" s="1">
        <f>'Team B 1'!Y75-'Team B 1'!$AA75-('Team B 1'!Y$2- 12.5)*'Team B 1'!$AC75</f>
        <v>8.4380302469030539</v>
      </c>
      <c r="AB75" s="1">
        <f>STDEV(B75:Y75)</f>
        <v>20.615764243301768</v>
      </c>
      <c r="AD75" s="5">
        <v>1</v>
      </c>
      <c r="AE75" s="5" t="s">
        <v>47</v>
      </c>
      <c r="AF75" s="5" t="s">
        <v>46</v>
      </c>
      <c r="AG75" s="5" t="s">
        <v>45</v>
      </c>
      <c r="AH75" s="5">
        <v>9</v>
      </c>
      <c r="AI75" s="5">
        <v>8</v>
      </c>
      <c r="AJ75" s="5">
        <v>7</v>
      </c>
      <c r="AK75" s="5">
        <v>6</v>
      </c>
      <c r="AL75" s="5">
        <v>5</v>
      </c>
      <c r="AM75" s="5">
        <v>4</v>
      </c>
      <c r="AN75" s="5">
        <v>3</v>
      </c>
      <c r="AO75" s="5">
        <v>2</v>
      </c>
      <c r="AP75" s="5">
        <v>1</v>
      </c>
      <c r="AQ75" s="5" t="s">
        <v>47</v>
      </c>
      <c r="AR75" s="5" t="s">
        <v>45</v>
      </c>
      <c r="AS75" s="5" t="s">
        <v>46</v>
      </c>
      <c r="AT75" s="5">
        <v>8</v>
      </c>
      <c r="AU75" s="5">
        <v>9</v>
      </c>
      <c r="AV75" s="5">
        <v>6</v>
      </c>
      <c r="AW75" s="5">
        <v>7</v>
      </c>
      <c r="AX75" s="5">
        <v>4</v>
      </c>
      <c r="AY75" s="5">
        <v>5</v>
      </c>
      <c r="AZ75" s="5">
        <v>2</v>
      </c>
      <c r="BA75" s="5">
        <v>3</v>
      </c>
      <c r="BB75" s="5"/>
      <c r="BC75" s="1">
        <f ca="1">OFFSET(A75,0, 1) -0</f>
        <v>-1.7713635802751924</v>
      </c>
      <c r="BD75" s="1">
        <f ca="1">OFFSET(A75,0, 12) -0</f>
        <v>-4.7146969672769075</v>
      </c>
      <c r="BE75" s="1">
        <f ca="1">OFFSET(A75,0, 11) -0</f>
        <v>9.1892424315414019</v>
      </c>
      <c r="BF75" s="1">
        <f ca="1">OFFSET(A75,0, 10) -0</f>
        <v>-26.906818169640246</v>
      </c>
      <c r="BG75" s="1">
        <f ca="1">OFFSET(A75,0, 9) -0</f>
        <v>6.9971212291781058</v>
      </c>
      <c r="BH75" s="1">
        <f ca="1">OFFSET(A75,0, 8) -0</f>
        <v>20.901060627996344</v>
      </c>
      <c r="BI75" s="1">
        <f ca="1">OFFSET(A75,0, 7) -0</f>
        <v>14.805000026814696</v>
      </c>
      <c r="BJ75" s="1">
        <f ca="1">OFFSET(A75,0, 6) -0</f>
        <v>-31.291060574367066</v>
      </c>
      <c r="BK75" s="1">
        <f ca="1">OFFSET(A75,0, 5) -0</f>
        <v>-27.3871211755486</v>
      </c>
      <c r="BL75" s="1">
        <f ca="1">OFFSET(A75,0, 4) -0</f>
        <v>6.5168182232696381</v>
      </c>
      <c r="BM75" s="1">
        <f ca="1">OFFSET(A75,0, 3) -0</f>
        <v>30.420757622088104</v>
      </c>
      <c r="BN75" s="1">
        <f ca="1">OFFSET(A75,0, 2) -0</f>
        <v>24.324697020906342</v>
      </c>
      <c r="BO75" s="1">
        <f ca="1">OFFSET(A75,0, 13) -0</f>
        <v>11.381363633904769</v>
      </c>
      <c r="BP75" s="1">
        <f ca="1">OFFSET(A75,0, 23) -0</f>
        <v>2.3419696457215196</v>
      </c>
      <c r="BQ75" s="1">
        <f ca="1">OFFSET(A75,0, 24) -0</f>
        <v>8.4380302469030539</v>
      </c>
      <c r="BR75" s="1">
        <f ca="1">OFFSET(A75,0, 21) -0</f>
        <v>-39.850151556641777</v>
      </c>
      <c r="BS75" s="1">
        <f ca="1">OFFSET(A75,0, 22) -0</f>
        <v>-33.754090955460242</v>
      </c>
      <c r="BT75" s="1">
        <f ca="1">OFFSET(A75,0, 19) -0</f>
        <v>27.957727240994927</v>
      </c>
      <c r="BU75" s="1">
        <f ca="1">OFFSET(A75,0, 20) -0</f>
        <v>14.053787842176462</v>
      </c>
      <c r="BV75" s="1">
        <f ca="1">OFFSET(A75,0, 17) -0</f>
        <v>5.7656060386315175</v>
      </c>
      <c r="BW75" s="1">
        <f ca="1">OFFSET(A75,0, 18) -0</f>
        <v>11.861666639813166</v>
      </c>
      <c r="BX75" s="1">
        <f ca="1">OFFSET(A75,0, 15) -0</f>
        <v>-26.426515163731892</v>
      </c>
      <c r="BY75" s="1">
        <f ca="1">OFFSET(A75,0, 16) -0</f>
        <v>-10.330454562550244</v>
      </c>
      <c r="BZ75" s="1">
        <f ca="1">OFFSET(A75,0, 14) -0</f>
        <v>7.4774242350864597</v>
      </c>
      <c r="CB75" s="1">
        <f>COUNTIF(B75,"&lt;-69")</f>
        <v>0</v>
      </c>
      <c r="CC75" s="1">
        <f ca="1">COUNTIF(BC75:BN75,"&lt;-48")</f>
        <v>0</v>
      </c>
      <c r="CD75" s="1">
        <f ca="1">COUNTIF(BC75:BN75,"&gt;+48")</f>
        <v>0</v>
      </c>
      <c r="CE75" s="1">
        <f ca="1">COUNTIF(BO75:BZ75,"&lt;-48")</f>
        <v>0</v>
      </c>
      <c r="CF75" s="1">
        <f ca="1">COUNTIF(BO75:BZ75,"&gt;+48")</f>
        <v>0</v>
      </c>
    </row>
    <row r="76" spans="1:84">
      <c r="A76" s="1">
        <v>73</v>
      </c>
      <c r="B76" s="1">
        <f>'Team B 1'!B76-'Team B 1'!$AA76-('Team B 1'!B$2- 12.5)*'Team B 1'!$AC76</f>
        <v>35.944516053999905</v>
      </c>
      <c r="C76" s="1">
        <f>'Team B 1'!C76-'Team B 1'!$AA76-('Team B 1'!C$2- 12.5)*'Team B 1'!$AC76</f>
        <v>51.876876976841913</v>
      </c>
      <c r="D76" s="1">
        <f>'Team B 1'!D76-'Team B 1'!$AA76-('Team B 1'!D$2- 12.5)*'Team B 1'!$AC76</f>
        <v>-22.190762100315624</v>
      </c>
      <c r="E76" s="1">
        <f>'Team B 1'!E76-'Team B 1'!$AA76-('Team B 1'!E$2- 12.5)*'Team B 1'!$AC76</f>
        <v>-16.258401177473388</v>
      </c>
      <c r="F76" s="1">
        <f>'Team B 1'!F76-'Team B 1'!$AA76-('Team B 1'!F$2- 12.5)*'Team B 1'!$AC76</f>
        <v>-0.32604025463115249</v>
      </c>
      <c r="G76" s="1">
        <f>'Team B 1'!G76-'Team B 1'!$AA76-('Team B 1'!G$2- 12.5)*'Team B 1'!$AC76</f>
        <v>-4.3936793317889169</v>
      </c>
      <c r="H76" s="1">
        <f>'Team B 1'!H76-'Team B 1'!$AA76-('Team B 1'!H$2- 12.5)*'Team B 1'!$AC76</f>
        <v>61.538681591053546</v>
      </c>
      <c r="I76" s="1">
        <f>'Team B 1'!I76-'Team B 1'!$AA76-('Team B 1'!I$2- 12.5)*'Team B 1'!$AC76</f>
        <v>37.471042513895782</v>
      </c>
      <c r="J76" s="1">
        <f>'Team B 1'!J76-'Team B 1'!$AA76-('Team B 1'!J$2- 12.5)*'Team B 1'!$AC76</f>
        <v>-6.5965965632619827</v>
      </c>
      <c r="K76" s="1">
        <f>'Team B 1'!K76-'Team B 1'!$AA76-('Team B 1'!K$2- 12.5)*'Team B 1'!$AC76</f>
        <v>-10.664235640419633</v>
      </c>
      <c r="L76" s="1">
        <f>'Team B 1'!L76-'Team B 1'!$AA76-('Team B 1'!L$2- 12.5)*'Team B 1'!$AC76</f>
        <v>-14.731874717577398</v>
      </c>
      <c r="M76" s="1">
        <f>'Team B 1'!M76-'Team B 1'!$AA76-('Team B 1'!M$2- 12.5)*'Team B 1'!$AC76</f>
        <v>-28.799513794735077</v>
      </c>
      <c r="N76" s="1">
        <f>'Team B 1'!N76-'Team B 1'!$AA76-('Team B 1'!N$2- 12.5)*'Team B 1'!$AC76</f>
        <v>17.132847128107215</v>
      </c>
      <c r="O76" s="1">
        <f>'Team B 1'!O76-'Team B 1'!$AA76-('Team B 1'!O$2- 12.5)*'Team B 1'!$AC76</f>
        <v>-36.934791949050464</v>
      </c>
      <c r="P76" s="1">
        <f>'Team B 1'!P76-'Team B 1'!$AA76-('Team B 1'!P$2- 12.5)*'Team B 1'!$AC76</f>
        <v>-11.002431026208228</v>
      </c>
      <c r="Q76" s="1">
        <f>'Team B 1'!Q76-'Team B 1'!$AA76-('Team B 1'!Q$2- 12.5)*'Team B 1'!$AC76</f>
        <v>-35.070070103365879</v>
      </c>
      <c r="R76" s="1">
        <f>'Team B 1'!R76-'Team B 1'!$AA76-('Team B 1'!R$2- 12.5)*'Team B 1'!$AC76</f>
        <v>-29.137709180523643</v>
      </c>
      <c r="S76" s="1">
        <f>'Team B 1'!S76-'Team B 1'!$AA76-('Team B 1'!S$2- 12.5)*'Team B 1'!$AC76</f>
        <v>36.794651742318592</v>
      </c>
      <c r="T76" s="1">
        <f>'Team B 1'!T76-'Team B 1'!$AA76-('Team B 1'!T$2- 12.5)*'Team B 1'!$AC76</f>
        <v>2.7270126651610553</v>
      </c>
      <c r="U76" s="1">
        <f>'Team B 1'!U76-'Team B 1'!$AA76-('Team B 1'!U$2- 12.5)*'Team B 1'!$AC76</f>
        <v>-41.340626411996709</v>
      </c>
      <c r="V76" s="1">
        <f>'Team B 1'!V76-'Team B 1'!$AA76-('Team B 1'!V$2- 12.5)*'Team B 1'!$AC76</f>
        <v>-5.4082654891544735</v>
      </c>
      <c r="W76" s="1">
        <f>'Team B 1'!W76-'Team B 1'!$AA76-('Team B 1'!W$2- 12.5)*'Team B 1'!$AC76</f>
        <v>0.52409543368776212</v>
      </c>
      <c r="X76" s="1">
        <f>'Team B 1'!X76-'Team B 1'!$AA76-('Team B 1'!X$2- 12.5)*'Team B 1'!$AC76</f>
        <v>-3.5435436434697749</v>
      </c>
      <c r="Y76" s="1">
        <f>'Team B 1'!Y76-'Team B 1'!$AA76-('Team B 1'!Y$2- 12.5)*'Team B 1'!$AC76</f>
        <v>22.388817279372233</v>
      </c>
      <c r="AB76" s="1">
        <f>STDEV(B76:Y76)</f>
        <v>28.457074686814639</v>
      </c>
      <c r="AD76" s="5" t="s">
        <v>47</v>
      </c>
      <c r="AE76" s="5">
        <v>1</v>
      </c>
      <c r="AF76" s="5" t="s">
        <v>46</v>
      </c>
      <c r="AG76" s="5" t="s">
        <v>45</v>
      </c>
      <c r="AH76" s="5">
        <v>9</v>
      </c>
      <c r="AI76" s="5">
        <v>8</v>
      </c>
      <c r="AJ76" s="5">
        <v>7</v>
      </c>
      <c r="AK76" s="5">
        <v>6</v>
      </c>
      <c r="AL76" s="5">
        <v>5</v>
      </c>
      <c r="AM76" s="5">
        <v>4</v>
      </c>
      <c r="AN76" s="5">
        <v>3</v>
      </c>
      <c r="AO76" s="5">
        <v>2</v>
      </c>
      <c r="AP76" s="5">
        <v>1</v>
      </c>
      <c r="AQ76" s="5" t="s">
        <v>47</v>
      </c>
      <c r="AR76" s="5" t="s">
        <v>46</v>
      </c>
      <c r="AS76" s="5">
        <v>9</v>
      </c>
      <c r="AT76" s="5" t="s">
        <v>45</v>
      </c>
      <c r="AU76" s="5">
        <v>7</v>
      </c>
      <c r="AV76" s="5">
        <v>8</v>
      </c>
      <c r="AW76" s="5">
        <v>5</v>
      </c>
      <c r="AX76" s="5">
        <v>6</v>
      </c>
      <c r="AY76" s="5">
        <v>3</v>
      </c>
      <c r="AZ76" s="5">
        <v>4</v>
      </c>
      <c r="BA76" s="5">
        <v>2</v>
      </c>
      <c r="BB76" s="5"/>
      <c r="BC76" s="1">
        <f ca="1">OFFSET(A76,0, 2) -0</f>
        <v>51.876876976841913</v>
      </c>
      <c r="BD76" s="1">
        <f ca="1">OFFSET(A76,0, 12) -0</f>
        <v>-28.799513794735077</v>
      </c>
      <c r="BE76" s="1">
        <f ca="1">OFFSET(A76,0, 11) -0</f>
        <v>-14.731874717577398</v>
      </c>
      <c r="BF76" s="1">
        <f ca="1">OFFSET(A76,0, 10) -0</f>
        <v>-10.664235640419633</v>
      </c>
      <c r="BG76" s="1">
        <f ca="1">OFFSET(A76,0, 9) -0</f>
        <v>-6.5965965632619827</v>
      </c>
      <c r="BH76" s="1">
        <f ca="1">OFFSET(A76,0, 8) -0</f>
        <v>37.471042513895782</v>
      </c>
      <c r="BI76" s="1">
        <f ca="1">OFFSET(A76,0, 7) -0</f>
        <v>61.538681591053546</v>
      </c>
      <c r="BJ76" s="1">
        <f ca="1">OFFSET(A76,0, 6) -0</f>
        <v>-4.3936793317889169</v>
      </c>
      <c r="BK76" s="1">
        <f ca="1">OFFSET(A76,0, 5) -0</f>
        <v>-0.32604025463115249</v>
      </c>
      <c r="BL76" s="1">
        <f ca="1">OFFSET(A76,0, 4) -0</f>
        <v>-16.258401177473388</v>
      </c>
      <c r="BM76" s="1">
        <f ca="1">OFFSET(A76,0, 3) -0</f>
        <v>-22.190762100315624</v>
      </c>
      <c r="BN76" s="1">
        <f ca="1">OFFSET(A76,0, 1) -0</f>
        <v>35.944516053999905</v>
      </c>
      <c r="BO76" s="1">
        <f ca="1">OFFSET(A76,0, 13) -0</f>
        <v>17.132847128107215</v>
      </c>
      <c r="BP76" s="1">
        <f ca="1">OFFSET(A76,0, 24) -0</f>
        <v>22.388817279372233</v>
      </c>
      <c r="BQ76" s="1">
        <f ca="1">OFFSET(A76,0, 22) -0</f>
        <v>0.52409543368776212</v>
      </c>
      <c r="BR76" s="1">
        <f ca="1">OFFSET(A76,0, 23) -0</f>
        <v>-3.5435436434697749</v>
      </c>
      <c r="BS76" s="1">
        <f ca="1">OFFSET(A76,0, 20) -0</f>
        <v>-41.340626411996709</v>
      </c>
      <c r="BT76" s="1">
        <f ca="1">OFFSET(A76,0, 21) -0</f>
        <v>-5.4082654891544735</v>
      </c>
      <c r="BU76" s="1">
        <f ca="1">OFFSET(A76,0, 18) -0</f>
        <v>36.794651742318592</v>
      </c>
      <c r="BV76" s="1">
        <f ca="1">OFFSET(A76,0, 19) -0</f>
        <v>2.7270126651610553</v>
      </c>
      <c r="BW76" s="1">
        <f ca="1">OFFSET(A76,0, 16) -0</f>
        <v>-35.070070103365879</v>
      </c>
      <c r="BX76" s="1">
        <f ca="1">OFFSET(A76,0, 17) -0</f>
        <v>-29.137709180523643</v>
      </c>
      <c r="BY76" s="1">
        <f ca="1">OFFSET(A76,0, 15) -0</f>
        <v>-11.002431026208228</v>
      </c>
      <c r="BZ76" s="1">
        <f ca="1">OFFSET(A76,0, 14) -0</f>
        <v>-36.934791949050464</v>
      </c>
      <c r="CB76" s="1">
        <f>COUNTIF(B76,"&lt;-69")</f>
        <v>0</v>
      </c>
      <c r="CC76" s="1">
        <f ca="1">COUNTIF(BC76:BN76,"&lt;-49")</f>
        <v>0</v>
      </c>
      <c r="CD76" s="1">
        <f ca="1">COUNTIF(BC76:BN76,"&gt;+49")</f>
        <v>2</v>
      </c>
      <c r="CE76" s="1">
        <f ca="1">COUNTIF(BO76:BZ76,"&lt;-49")</f>
        <v>0</v>
      </c>
      <c r="CF76" s="1">
        <f ca="1">COUNTIF(BO76:BZ76,"&gt;+49")</f>
        <v>0</v>
      </c>
    </row>
    <row r="77" spans="1:84">
      <c r="A77" s="1">
        <v>74</v>
      </c>
      <c r="B77" s="1">
        <f>'Team B 1'!B77-'Team B 1'!$AA77-('Team B 1'!B$2- 12.5)*'Team B 1'!$AC77</f>
        <v>-9.4424217714895349</v>
      </c>
      <c r="C77" s="1">
        <f>'Team B 1'!C77-'Team B 1'!$AA77-('Team B 1'!C$2- 12.5)*'Team B 1'!$AC77</f>
        <v>46.306194614438937</v>
      </c>
      <c r="D77" s="1">
        <f>'Team B 1'!D77-'Team B 1'!$AA77-('Team B 1'!D$2- 12.5)*'Team B 1'!$AC77</f>
        <v>22.054811000367181</v>
      </c>
      <c r="E77" s="1">
        <f>'Team B 1'!E77-'Team B 1'!$AA77-('Team B 1'!E$2- 12.5)*'Team B 1'!$AC77</f>
        <v>27.803427386295425</v>
      </c>
      <c r="F77" s="1">
        <f>'Team B 1'!F77-'Team B 1'!$AA77-('Team B 1'!F$2- 12.5)*'Team B 1'!$AC77</f>
        <v>33.552043772223897</v>
      </c>
      <c r="G77" s="1">
        <f>'Team B 1'!G77-'Team B 1'!$AA77-('Team B 1'!G$2- 12.5)*'Team B 1'!$AC77</f>
        <v>49.300660158152141</v>
      </c>
      <c r="H77" s="1">
        <f>'Team B 1'!H77-'Team B 1'!$AA77-('Team B 1'!H$2- 12.5)*'Team B 1'!$AC77</f>
        <v>-4.9507234559196149</v>
      </c>
      <c r="I77" s="1">
        <f>'Team B 1'!I77-'Team B 1'!$AA77-('Team B 1'!I$2- 12.5)*'Team B 1'!$AC77</f>
        <v>-29.202107069991257</v>
      </c>
      <c r="J77" s="1">
        <f>'Team B 1'!J77-'Team B 1'!$AA77-('Team B 1'!J$2- 12.5)*'Team B 1'!$AC77</f>
        <v>-23.453490684063013</v>
      </c>
      <c r="K77" s="1">
        <f>'Team B 1'!K77-'Team B 1'!$AA77-('Team B 1'!K$2- 12.5)*'Team B 1'!$AC77</f>
        <v>-37.704874298134655</v>
      </c>
      <c r="L77" s="1">
        <f>'Team B 1'!L77-'Team B 1'!$AA77-('Team B 1'!L$2- 12.5)*'Team B 1'!$AC77</f>
        <v>-21.956257912206411</v>
      </c>
      <c r="M77" s="1">
        <f>'Team B 1'!M77-'Team B 1'!$AA77-('Team B 1'!M$2- 12.5)*'Team B 1'!$AC77</f>
        <v>-6.2076415262780813</v>
      </c>
      <c r="N77" s="1">
        <f>'Team B 1'!N77-'Team B 1'!$AA77-('Team B 1'!N$2- 12.5)*'Team B 1'!$AC77</f>
        <v>-40.45902514034978</v>
      </c>
      <c r="O77" s="1">
        <f>'Team B 1'!O77-'Team B 1'!$AA77-('Team B 1'!O$2- 12.5)*'Team B 1'!$AC77</f>
        <v>-14.710408754421451</v>
      </c>
      <c r="P77" s="1">
        <f>'Team B 1'!P77-'Team B 1'!$AA77-('Team B 1'!P$2- 12.5)*'Team B 1'!$AC77</f>
        <v>1.0382076315067934</v>
      </c>
      <c r="Q77" s="1">
        <f>'Team B 1'!Q77-'Team B 1'!$AA77-('Team B 1'!Q$2- 12.5)*'Team B 1'!$AC77</f>
        <v>-3.2131759825648487</v>
      </c>
      <c r="R77" s="1">
        <f>'Team B 1'!R77-'Team B 1'!$AA77-('Team B 1'!R$2- 12.5)*'Team B 1'!$AC77</f>
        <v>32.535440403363395</v>
      </c>
      <c r="S77" s="1">
        <f>'Team B 1'!S77-'Team B 1'!$AA77-('Team B 1'!S$2- 12.5)*'Team B 1'!$AC77</f>
        <v>28.284056789291753</v>
      </c>
      <c r="T77" s="1">
        <f>'Team B 1'!T77-'Team B 1'!$AA77-('Team B 1'!T$2- 12.5)*'Team B 1'!$AC77</f>
        <v>34.032673175219998</v>
      </c>
      <c r="U77" s="1">
        <f>'Team B 1'!U77-'Team B 1'!$AA77-('Team B 1'!U$2- 12.5)*'Team B 1'!$AC77</f>
        <v>-30.218710438851758</v>
      </c>
      <c r="V77" s="1">
        <f>'Team B 1'!V77-'Team B 1'!$AA77-('Team B 1'!V$2- 12.5)*'Team B 1'!$AC77</f>
        <v>-14.470094052923287</v>
      </c>
      <c r="W77" s="1">
        <f>'Team B 1'!W77-'Team B 1'!$AA77-('Team B 1'!W$2- 12.5)*'Team B 1'!$AC77</f>
        <v>-8.7214776669950425</v>
      </c>
      <c r="X77" s="1">
        <f>'Team B 1'!X77-'Team B 1'!$AA77-('Team B 1'!X$2- 12.5)*'Team B 1'!$AC77</f>
        <v>-12.972861281066798</v>
      </c>
      <c r="Y77" s="1">
        <f>'Team B 1'!Y77-'Team B 1'!$AA77-('Team B 1'!Y$2- 12.5)*'Team B 1'!$AC77</f>
        <v>-17.224244895138327</v>
      </c>
      <c r="AB77" s="1">
        <f>STDEV(B77:Y77)</f>
        <v>27.15803697039139</v>
      </c>
      <c r="AD77" s="5" t="s">
        <v>47</v>
      </c>
      <c r="AE77" s="5">
        <v>1</v>
      </c>
      <c r="AF77" s="5">
        <v>9</v>
      </c>
      <c r="AG77" s="5" t="s">
        <v>46</v>
      </c>
      <c r="AH77" s="5">
        <v>7</v>
      </c>
      <c r="AI77" s="5" t="s">
        <v>45</v>
      </c>
      <c r="AJ77" s="5">
        <v>5</v>
      </c>
      <c r="AK77" s="5">
        <v>8</v>
      </c>
      <c r="AL77" s="5">
        <v>3</v>
      </c>
      <c r="AM77" s="5">
        <v>6</v>
      </c>
      <c r="AN77" s="5">
        <v>2</v>
      </c>
      <c r="AO77" s="5">
        <v>4</v>
      </c>
      <c r="AP77" s="5" t="s">
        <v>47</v>
      </c>
      <c r="AQ77" s="5">
        <v>9</v>
      </c>
      <c r="AR77" s="5">
        <v>1</v>
      </c>
      <c r="AS77" s="5" t="s">
        <v>46</v>
      </c>
      <c r="AT77" s="5" t="s">
        <v>45</v>
      </c>
      <c r="AU77" s="5">
        <v>7</v>
      </c>
      <c r="AV77" s="5">
        <v>8</v>
      </c>
      <c r="AW77" s="5">
        <v>5</v>
      </c>
      <c r="AX77" s="5">
        <v>6</v>
      </c>
      <c r="AY77" s="5">
        <v>3</v>
      </c>
      <c r="AZ77" s="5">
        <v>4</v>
      </c>
      <c r="BA77" s="5">
        <v>2</v>
      </c>
      <c r="BB77" s="5"/>
      <c r="BC77" s="1">
        <f ca="1">OFFSET(A77,0, 2) -0</f>
        <v>46.306194614438937</v>
      </c>
      <c r="BD77" s="1">
        <f ca="1">OFFSET(A77,0, 11) -0</f>
        <v>-21.956257912206411</v>
      </c>
      <c r="BE77" s="1">
        <f ca="1">OFFSET(A77,0, 9) -0</f>
        <v>-23.453490684063013</v>
      </c>
      <c r="BF77" s="1">
        <f ca="1">OFFSET(A77,0, 12) -0</f>
        <v>-6.2076415262780813</v>
      </c>
      <c r="BG77" s="1">
        <f ca="1">OFFSET(A77,0, 7) -0</f>
        <v>-4.9507234559196149</v>
      </c>
      <c r="BH77" s="1">
        <f ca="1">OFFSET(A77,0, 10) -0</f>
        <v>-37.704874298134655</v>
      </c>
      <c r="BI77" s="1">
        <f ca="1">OFFSET(A77,0, 5) -0</f>
        <v>33.552043772223897</v>
      </c>
      <c r="BJ77" s="1">
        <f ca="1">OFFSET(A77,0, 8) -0</f>
        <v>-29.202107069991257</v>
      </c>
      <c r="BK77" s="1">
        <f ca="1">OFFSET(A77,0, 3) -0</f>
        <v>22.054811000367181</v>
      </c>
      <c r="BL77" s="1">
        <f ca="1">OFFSET(A77,0, 6) -0</f>
        <v>49.300660158152141</v>
      </c>
      <c r="BM77" s="1">
        <f ca="1">OFFSET(A77,0, 4) -0</f>
        <v>27.803427386295425</v>
      </c>
      <c r="BN77" s="1">
        <f ca="1">OFFSET(A77,0, 1) -0</f>
        <v>-9.4424217714895349</v>
      </c>
      <c r="BO77" s="1">
        <f ca="1">OFFSET(A77,0, 15) -0</f>
        <v>1.0382076315067934</v>
      </c>
      <c r="BP77" s="1">
        <f ca="1">OFFSET(A77,0, 24) -0</f>
        <v>-17.224244895138327</v>
      </c>
      <c r="BQ77" s="1">
        <f ca="1">OFFSET(A77,0, 22) -0</f>
        <v>-8.7214776669950425</v>
      </c>
      <c r="BR77" s="1">
        <f ca="1">OFFSET(A77,0, 23) -0</f>
        <v>-12.972861281066798</v>
      </c>
      <c r="BS77" s="1">
        <f ca="1">OFFSET(A77,0, 20) -0</f>
        <v>-30.218710438851758</v>
      </c>
      <c r="BT77" s="1">
        <f ca="1">OFFSET(A77,0, 21) -0</f>
        <v>-14.470094052923287</v>
      </c>
      <c r="BU77" s="1">
        <f ca="1">OFFSET(A77,0, 18) -0</f>
        <v>28.284056789291753</v>
      </c>
      <c r="BV77" s="1">
        <f ca="1">OFFSET(A77,0, 19) -0</f>
        <v>34.032673175219998</v>
      </c>
      <c r="BW77" s="1">
        <f ca="1">OFFSET(A77,0, 14) -0</f>
        <v>-14.710408754421451</v>
      </c>
      <c r="BX77" s="1">
        <f ca="1">OFFSET(A77,0, 17) -0</f>
        <v>32.535440403363395</v>
      </c>
      <c r="BY77" s="1">
        <f ca="1">OFFSET(A77,0, 16) -0</f>
        <v>-3.2131759825648487</v>
      </c>
      <c r="BZ77" s="1">
        <f ca="1">OFFSET(A77,0, 13) -0</f>
        <v>-40.45902514034978</v>
      </c>
      <c r="CB77" s="1">
        <f>COUNTIF(B77,"&lt;-69")</f>
        <v>0</v>
      </c>
      <c r="CC77" s="1">
        <f ca="1">COUNTIF(BC77:BN77,"&lt;-49")</f>
        <v>0</v>
      </c>
      <c r="CD77" s="1">
        <f ca="1">COUNTIF(BC77:BN77,"&gt;+49")</f>
        <v>1</v>
      </c>
      <c r="CE77" s="1">
        <f ca="1">COUNTIF(BO77:BZ77,"&lt;-49")</f>
        <v>0</v>
      </c>
      <c r="CF77" s="1">
        <f ca="1">COUNTIF(BO77:BZ77,"&gt;+49")</f>
        <v>0</v>
      </c>
    </row>
    <row r="78" spans="1:84">
      <c r="A78" s="1">
        <v>75</v>
      </c>
      <c r="B78" s="1">
        <f>'Team B 1'!B78-'Team B 1'!$AA78-('Team B 1'!B$2- 12.5)*'Team B 1'!$AC78</f>
        <v>-59.510113562471815</v>
      </c>
      <c r="C78" s="1">
        <f>'Team B 1'!C78-'Team B 1'!$AA78-('Team B 1'!C$2- 12.5)*'Team B 1'!$AC78</f>
        <v>-14.045466006316474</v>
      </c>
      <c r="D78" s="1">
        <f>'Team B 1'!D78-'Team B 1'!$AA78-('Team B 1'!D$2- 12.5)*'Team B 1'!$AC78</f>
        <v>1.4191815498386404</v>
      </c>
      <c r="E78" s="1">
        <f>'Team B 1'!E78-'Team B 1'!$AA78-('Team B 1'!E$2- 12.5)*'Team B 1'!$AC78</f>
        <v>6.883829105993982</v>
      </c>
      <c r="F78" s="1">
        <f>'Team B 1'!F78-'Team B 1'!$AA78-('Team B 1'!F$2- 12.5)*'Team B 1'!$AC78</f>
        <v>62.348476662149324</v>
      </c>
      <c r="G78" s="1">
        <f>'Team B 1'!G78-'Team B 1'!$AA78-('Team B 1'!G$2- 12.5)*'Team B 1'!$AC78</f>
        <v>57.813124218304665</v>
      </c>
      <c r="H78" s="1">
        <f>'Team B 1'!H78-'Team B 1'!$AA78-('Team B 1'!H$2- 12.5)*'Team B 1'!$AC78</f>
        <v>23.277771774459779</v>
      </c>
      <c r="I78" s="1">
        <f>'Team B 1'!I78-'Team B 1'!$AA78-('Team B 1'!I$2- 12.5)*'Team B 1'!$AC78</f>
        <v>-31.257580669384879</v>
      </c>
      <c r="J78" s="1">
        <f>'Team B 1'!J78-'Team B 1'!$AA78-('Team B 1'!J$2- 12.5)*'Team B 1'!$AC78</f>
        <v>4.2070668867704626</v>
      </c>
      <c r="K78" s="1">
        <f>'Team B 1'!K78-'Team B 1'!$AA78-('Team B 1'!K$2- 12.5)*'Team B 1'!$AC78</f>
        <v>9.6717144429256905</v>
      </c>
      <c r="L78" s="1">
        <f>'Team B 1'!L78-'Team B 1'!$AA78-('Team B 1'!L$2- 12.5)*'Team B 1'!$AC78</f>
        <v>-4.8636380009189679</v>
      </c>
      <c r="M78" s="1">
        <f>'Team B 1'!M78-'Team B 1'!$AA78-('Team B 1'!M$2- 12.5)*'Team B 1'!$AC78</f>
        <v>40.601009555236288</v>
      </c>
      <c r="N78" s="1">
        <f>'Team B 1'!N78-'Team B 1'!$AA78-('Team B 1'!N$2- 12.5)*'Team B 1'!$AC78</f>
        <v>-23.934342888608427</v>
      </c>
      <c r="O78" s="1">
        <f>'Team B 1'!O78-'Team B 1'!$AA78-('Team B 1'!O$2- 12.5)*'Team B 1'!$AC78</f>
        <v>-18.469695332453171</v>
      </c>
      <c r="P78" s="1">
        <f>'Team B 1'!P78-'Team B 1'!$AA78-('Team B 1'!P$2- 12.5)*'Team B 1'!$AC78</f>
        <v>-13.005047776297829</v>
      </c>
      <c r="Q78" s="1">
        <f>'Team B 1'!Q78-'Team B 1'!$AA78-('Team B 1'!Q$2- 12.5)*'Team B 1'!$AC78</f>
        <v>-37.540400220142601</v>
      </c>
      <c r="R78" s="1">
        <f>'Team B 1'!R78-'Team B 1'!$AA78-('Team B 1'!R$2- 12.5)*'Team B 1'!$AC78</f>
        <v>-2.0757526639872594</v>
      </c>
      <c r="S78" s="1">
        <f>'Team B 1'!S78-'Team B 1'!$AA78-('Team B 1'!S$2- 12.5)*'Team B 1'!$AC78</f>
        <v>3.3888948921680822</v>
      </c>
      <c r="T78" s="1">
        <f>'Team B 1'!T78-'Team B 1'!$AA78-('Team B 1'!T$2- 12.5)*'Team B 1'!$AC78</f>
        <v>-31.146457551676804</v>
      </c>
      <c r="U78" s="1">
        <f>'Team B 1'!U78-'Team B 1'!$AA78-('Team B 1'!U$2- 12.5)*'Team B 1'!$AC78</f>
        <v>4.318190004478538</v>
      </c>
      <c r="V78" s="1">
        <f>'Team B 1'!V78-'Team B 1'!$AA78-('Team B 1'!V$2- 12.5)*'Team B 1'!$AC78</f>
        <v>-0.21716243936612045</v>
      </c>
      <c r="W78" s="1">
        <f>'Team B 1'!W78-'Team B 1'!$AA78-('Team B 1'!W$2- 12.5)*'Team B 1'!$AC78</f>
        <v>15.247485116789221</v>
      </c>
      <c r="X78" s="1">
        <f>'Team B 1'!X78-'Team B 1'!$AA78-('Team B 1'!X$2- 12.5)*'Team B 1'!$AC78</f>
        <v>10.712132672944335</v>
      </c>
      <c r="Y78" s="1">
        <f>'Team B 1'!Y78-'Team B 1'!$AA78-('Team B 1'!Y$2- 12.5)*'Team B 1'!$AC78</f>
        <v>-3.8232197709003231</v>
      </c>
      <c r="AB78" s="1">
        <f>STDEV(B78:Y78)</f>
        <v>28.113810815047923</v>
      </c>
      <c r="AD78" s="5">
        <v>9</v>
      </c>
      <c r="AE78" s="5" t="s">
        <v>47</v>
      </c>
      <c r="AF78" s="5" t="s">
        <v>46</v>
      </c>
      <c r="AG78" s="5">
        <v>1</v>
      </c>
      <c r="AH78" s="5">
        <v>7</v>
      </c>
      <c r="AI78" s="5" t="s">
        <v>45</v>
      </c>
      <c r="AJ78" s="5">
        <v>5</v>
      </c>
      <c r="AK78" s="5">
        <v>8</v>
      </c>
      <c r="AL78" s="5">
        <v>3</v>
      </c>
      <c r="AM78" s="5">
        <v>6</v>
      </c>
      <c r="AN78" s="5">
        <v>2</v>
      </c>
      <c r="AO78" s="5">
        <v>4</v>
      </c>
      <c r="AP78" s="5">
        <v>9</v>
      </c>
      <c r="AQ78" s="5" t="s">
        <v>47</v>
      </c>
      <c r="AR78" s="5">
        <v>1</v>
      </c>
      <c r="AS78" s="5" t="s">
        <v>46</v>
      </c>
      <c r="AT78" s="5">
        <v>7</v>
      </c>
      <c r="AU78" s="5">
        <v>5</v>
      </c>
      <c r="AV78" s="5" t="s">
        <v>45</v>
      </c>
      <c r="AW78" s="5">
        <v>3</v>
      </c>
      <c r="AX78" s="5">
        <v>8</v>
      </c>
      <c r="AY78" s="5">
        <v>2</v>
      </c>
      <c r="AZ78" s="5">
        <v>6</v>
      </c>
      <c r="BA78" s="5">
        <v>4</v>
      </c>
      <c r="BB78" s="5"/>
      <c r="BC78" s="1">
        <f ca="1">OFFSET(A78,0, 4) -0</f>
        <v>6.883829105993982</v>
      </c>
      <c r="BD78" s="1">
        <f ca="1">OFFSET(A78,0, 11) -0</f>
        <v>-4.8636380009189679</v>
      </c>
      <c r="BE78" s="1">
        <f ca="1">OFFSET(A78,0, 9) -0</f>
        <v>4.2070668867704626</v>
      </c>
      <c r="BF78" s="1">
        <f ca="1">OFFSET(A78,0, 12) -0</f>
        <v>40.601009555236288</v>
      </c>
      <c r="BG78" s="1">
        <f ca="1">OFFSET(A78,0, 7) -0</f>
        <v>23.277771774459779</v>
      </c>
      <c r="BH78" s="1">
        <f ca="1">OFFSET(A78,0, 10) -0</f>
        <v>9.6717144429256905</v>
      </c>
      <c r="BI78" s="1">
        <f ca="1">OFFSET(A78,0, 5) -0</f>
        <v>62.348476662149324</v>
      </c>
      <c r="BJ78" s="1">
        <f ca="1">OFFSET(A78,0, 8) -0</f>
        <v>-31.257580669384879</v>
      </c>
      <c r="BK78" s="1">
        <f ca="1">OFFSET(A78,0, 1) -0</f>
        <v>-59.510113562471815</v>
      </c>
      <c r="BL78" s="1">
        <f ca="1">OFFSET(A78,0, 6) -0</f>
        <v>57.813124218304665</v>
      </c>
      <c r="BM78" s="1">
        <f ca="1">OFFSET(A78,0, 3) -0</f>
        <v>1.4191815498386404</v>
      </c>
      <c r="BN78" s="1">
        <f ca="1">OFFSET(A78,0, 2) -0</f>
        <v>-14.045466006316474</v>
      </c>
      <c r="BO78" s="1">
        <f ca="1">OFFSET(A78,0, 15) -0</f>
        <v>-13.005047776297829</v>
      </c>
      <c r="BP78" s="1">
        <f ca="1">OFFSET(A78,0, 22) -0</f>
        <v>15.247485116789221</v>
      </c>
      <c r="BQ78" s="1">
        <f ca="1">OFFSET(A78,0, 20) -0</f>
        <v>4.318190004478538</v>
      </c>
      <c r="BR78" s="1">
        <f ca="1">OFFSET(A78,0, 24) -0</f>
        <v>-3.8232197709003231</v>
      </c>
      <c r="BS78" s="1">
        <f ca="1">OFFSET(A78,0, 18) -0</f>
        <v>3.3888948921680822</v>
      </c>
      <c r="BT78" s="1">
        <f ca="1">OFFSET(A78,0, 23) -0</f>
        <v>10.712132672944335</v>
      </c>
      <c r="BU78" s="1">
        <f ca="1">OFFSET(A78,0, 17) -0</f>
        <v>-2.0757526639872594</v>
      </c>
      <c r="BV78" s="1">
        <f ca="1">OFFSET(A78,0, 21) -0</f>
        <v>-0.21716243936612045</v>
      </c>
      <c r="BW78" s="1">
        <f ca="1">OFFSET(A78,0, 13) -0</f>
        <v>-23.934342888608427</v>
      </c>
      <c r="BX78" s="1">
        <f ca="1">OFFSET(A78,0, 19) -0</f>
        <v>-31.146457551676804</v>
      </c>
      <c r="BY78" s="1">
        <f ca="1">OFFSET(A78,0, 16) -0</f>
        <v>-37.540400220142601</v>
      </c>
      <c r="BZ78" s="1">
        <f ca="1">OFFSET(A78,0, 14) -0</f>
        <v>-18.469695332453171</v>
      </c>
      <c r="CB78" s="1">
        <f>COUNTIF(B78,"&lt;-69")</f>
        <v>0</v>
      </c>
      <c r="CC78" s="1">
        <f ca="1">COUNTIF(BC78:BN78,"&lt;-49")</f>
        <v>1</v>
      </c>
      <c r="CD78" s="1">
        <f ca="1">COUNTIF(BC78:BN78,"&gt;+49")</f>
        <v>2</v>
      </c>
      <c r="CE78" s="1">
        <f ca="1">COUNTIF(BO78:BZ78,"&lt;-49")</f>
        <v>0</v>
      </c>
      <c r="CF78" s="1">
        <f ca="1">COUNTIF(BO78:BZ78,"&gt;+49")</f>
        <v>0</v>
      </c>
    </row>
    <row r="79" spans="1:84">
      <c r="A79" s="1">
        <v>76</v>
      </c>
      <c r="B79" s="1">
        <f>'Team B 1'!B79-'Team B 1'!$AA79-('Team B 1'!B$2- 12.5)*'Team B 1'!$AC79</f>
        <v>-11.091710759928446</v>
      </c>
      <c r="C79" s="1">
        <f>'Team B 1'!C79-'Team B 1'!$AA79-('Team B 1'!C$2- 12.5)*'Team B 1'!$AC79</f>
        <v>-26.504025766309496</v>
      </c>
      <c r="D79" s="1">
        <f>'Team B 1'!D79-'Team B 1'!$AA79-('Team B 1'!D$2- 12.5)*'Team B 1'!$AC79</f>
        <v>-11.916340772691001</v>
      </c>
      <c r="E79" s="1">
        <f>'Team B 1'!E79-'Team B 1'!$AA79-('Team B 1'!E$2- 12.5)*'Team B 1'!$AC79</f>
        <v>22.671344220927722</v>
      </c>
      <c r="F79" s="1">
        <f>'Team B 1'!F79-'Team B 1'!$AA79-('Team B 1'!F$2- 12.5)*'Team B 1'!$AC79</f>
        <v>27.259029214546217</v>
      </c>
      <c r="G79" s="1">
        <f>'Team B 1'!G79-'Team B 1'!$AA79-('Team B 1'!G$2- 12.5)*'Team B 1'!$AC79</f>
        <v>21.84671420816494</v>
      </c>
      <c r="H79" s="1">
        <f>'Team B 1'!H79-'Team B 1'!$AA79-('Team B 1'!H$2- 12.5)*'Team B 1'!$AC79</f>
        <v>16.434399201783663</v>
      </c>
      <c r="I79" s="1">
        <f>'Team B 1'!I79-'Team B 1'!$AA79-('Team B 1'!I$2- 12.5)*'Team B 1'!$AC79</f>
        <v>1.022084195402158</v>
      </c>
      <c r="J79" s="1">
        <f>'Team B 1'!J79-'Team B 1'!$AA79-('Team B 1'!J$2- 12.5)*'Team B 1'!$AC79</f>
        <v>15.609769189020881</v>
      </c>
      <c r="K79" s="1">
        <f>'Team B 1'!K79-'Team B 1'!$AA79-('Team B 1'!K$2- 12.5)*'Team B 1'!$AC79</f>
        <v>-19.80254581736051</v>
      </c>
      <c r="L79" s="1">
        <f>'Team B 1'!L79-'Team B 1'!$AA79-('Team B 1'!L$2- 12.5)*'Team B 1'!$AC79</f>
        <v>-5.2148608237419012</v>
      </c>
      <c r="M79" s="1">
        <f>'Team B 1'!M79-'Team B 1'!$AA79-('Team B 1'!M$2- 12.5)*'Team B 1'!$AC79</f>
        <v>9.3728241698767505</v>
      </c>
      <c r="N79" s="1">
        <f>'Team B 1'!N79-'Team B 1'!$AA79-('Team B 1'!N$2- 12.5)*'Team B 1'!$AC79</f>
        <v>-16.039490836504612</v>
      </c>
      <c r="O79" s="1">
        <f>'Team B 1'!O79-'Team B 1'!$AA79-('Team B 1'!O$2- 12.5)*'Team B 1'!$AC79</f>
        <v>-11.45180584288596</v>
      </c>
      <c r="P79" s="1">
        <f>'Team B 1'!P79-'Team B 1'!$AA79-('Team B 1'!P$2- 12.5)*'Team B 1'!$AC79</f>
        <v>-16.864120849267351</v>
      </c>
      <c r="Q79" s="1">
        <f>'Team B 1'!Q79-'Team B 1'!$AA79-('Team B 1'!Q$2- 12.5)*'Team B 1'!$AC79</f>
        <v>-32.276435855648742</v>
      </c>
      <c r="R79" s="1">
        <f>'Team B 1'!R79-'Team B 1'!$AA79-('Team B 1'!R$2- 12.5)*'Team B 1'!$AC79</f>
        <v>12.31124913796998</v>
      </c>
      <c r="S79" s="1">
        <f>'Team B 1'!S79-'Team B 1'!$AA79-('Team B 1'!S$2- 12.5)*'Team B 1'!$AC79</f>
        <v>16.898934131588476</v>
      </c>
      <c r="T79" s="1">
        <f>'Team B 1'!T79-'Team B 1'!$AA79-('Team B 1'!T$2- 12.5)*'Team B 1'!$AC79</f>
        <v>1.4866191252071985</v>
      </c>
      <c r="U79" s="1">
        <f>'Team B 1'!U79-'Team B 1'!$AA79-('Team B 1'!U$2- 12.5)*'Team B 1'!$AC79</f>
        <v>6.0743041188259213</v>
      </c>
      <c r="V79" s="1">
        <f>'Team B 1'!V79-'Team B 1'!$AA79-('Team B 1'!V$2- 12.5)*'Team B 1'!$AC79</f>
        <v>-9.3380108875555834</v>
      </c>
      <c r="W79" s="1">
        <f>'Team B 1'!W79-'Team B 1'!$AA79-('Team B 1'!W$2- 12.5)*'Team B 1'!$AC79</f>
        <v>35.249674106063139</v>
      </c>
      <c r="X79" s="1">
        <f>'Team B 1'!X79-'Team B 1'!$AA79-('Team B 1'!X$2- 12.5)*'Team B 1'!$AC79</f>
        <v>-10.162640900318365</v>
      </c>
      <c r="Y79" s="1">
        <f>'Team B 1'!Y79-'Team B 1'!$AA79-('Team B 1'!Y$2- 12.5)*'Team B 1'!$AC79</f>
        <v>-15.574955906699415</v>
      </c>
      <c r="AB79" s="1">
        <f>STDEV(B79:Y79)</f>
        <v>18.166161858062814</v>
      </c>
      <c r="AD79" s="5" t="s">
        <v>47</v>
      </c>
      <c r="AE79" s="5">
        <v>9</v>
      </c>
      <c r="AF79" s="5" t="s">
        <v>46</v>
      </c>
      <c r="AG79" s="5">
        <v>1</v>
      </c>
      <c r="AH79" s="5">
        <v>5</v>
      </c>
      <c r="AI79" s="5">
        <v>7</v>
      </c>
      <c r="AJ79" s="5">
        <v>3</v>
      </c>
      <c r="AK79" s="5" t="s">
        <v>45</v>
      </c>
      <c r="AL79" s="5">
        <v>2</v>
      </c>
      <c r="AM79" s="5">
        <v>8</v>
      </c>
      <c r="AN79" s="5">
        <v>4</v>
      </c>
      <c r="AO79" s="5">
        <v>6</v>
      </c>
      <c r="AP79" s="5">
        <v>9</v>
      </c>
      <c r="AQ79" s="5" t="s">
        <v>47</v>
      </c>
      <c r="AR79" s="5" t="s">
        <v>46</v>
      </c>
      <c r="AS79" s="5">
        <v>5</v>
      </c>
      <c r="AT79" s="5">
        <v>1</v>
      </c>
      <c r="AU79" s="5">
        <v>7</v>
      </c>
      <c r="AV79" s="5" t="s">
        <v>45</v>
      </c>
      <c r="AW79" s="5">
        <v>3</v>
      </c>
      <c r="AX79" s="5">
        <v>8</v>
      </c>
      <c r="AY79" s="5">
        <v>2</v>
      </c>
      <c r="AZ79" s="5">
        <v>6</v>
      </c>
      <c r="BA79" s="5">
        <v>4</v>
      </c>
      <c r="BB79" s="5"/>
      <c r="BC79" s="1">
        <f ca="1">OFFSET(A79,0, 4) -0</f>
        <v>22.671344220927722</v>
      </c>
      <c r="BD79" s="1">
        <f ca="1">OFFSET(A79,0, 9) -0</f>
        <v>15.609769189020881</v>
      </c>
      <c r="BE79" s="1">
        <f ca="1">OFFSET(A79,0, 7) -0</f>
        <v>16.434399201783663</v>
      </c>
      <c r="BF79" s="1">
        <f ca="1">OFFSET(A79,0, 11) -0</f>
        <v>-5.2148608237419012</v>
      </c>
      <c r="BG79" s="1">
        <f ca="1">OFFSET(A79,0, 5) -0</f>
        <v>27.259029214546217</v>
      </c>
      <c r="BH79" s="1">
        <f ca="1">OFFSET(A79,0, 12) -0</f>
        <v>9.3728241698767505</v>
      </c>
      <c r="BI79" s="1">
        <f ca="1">OFFSET(A79,0, 6) -0</f>
        <v>21.84671420816494</v>
      </c>
      <c r="BJ79" s="1">
        <f ca="1">OFFSET(A79,0, 10) -0</f>
        <v>-19.80254581736051</v>
      </c>
      <c r="BK79" s="1">
        <f ca="1">OFFSET(A79,0, 2) -0</f>
        <v>-26.504025766309496</v>
      </c>
      <c r="BL79" s="1">
        <f ca="1">OFFSET(A79,0, 8) -0</f>
        <v>1.022084195402158</v>
      </c>
      <c r="BM79" s="1">
        <f ca="1">OFFSET(A79,0, 3) -0</f>
        <v>-11.916340772691001</v>
      </c>
      <c r="BN79" s="1">
        <f ca="1">OFFSET(A79,0, 1) -0</f>
        <v>-11.091710759928446</v>
      </c>
      <c r="BO79" s="1">
        <f ca="1">OFFSET(A79,0, 17) -0</f>
        <v>12.31124913796998</v>
      </c>
      <c r="BP79" s="1">
        <f ca="1">OFFSET(A79,0, 22) -0</f>
        <v>35.249674106063139</v>
      </c>
      <c r="BQ79" s="1">
        <f ca="1">OFFSET(A79,0, 20) -0</f>
        <v>6.0743041188259213</v>
      </c>
      <c r="BR79" s="1">
        <f ca="1">OFFSET(A79,0, 24) -0</f>
        <v>-15.574955906699415</v>
      </c>
      <c r="BS79" s="1">
        <f ca="1">OFFSET(A79,0, 16) -0</f>
        <v>-32.276435855648742</v>
      </c>
      <c r="BT79" s="1">
        <f ca="1">OFFSET(A79,0, 23) -0</f>
        <v>-10.162640900318365</v>
      </c>
      <c r="BU79" s="1">
        <f ca="1">OFFSET(A79,0, 18) -0</f>
        <v>16.898934131588476</v>
      </c>
      <c r="BV79" s="1">
        <f ca="1">OFFSET(A79,0, 21) -0</f>
        <v>-9.3380108875555834</v>
      </c>
      <c r="BW79" s="1">
        <f ca="1">OFFSET(A79,0, 13) -0</f>
        <v>-16.039490836504612</v>
      </c>
      <c r="BX79" s="1">
        <f ca="1">OFFSET(A79,0, 19) -0</f>
        <v>1.4866191252071985</v>
      </c>
      <c r="BY79" s="1">
        <f ca="1">OFFSET(A79,0, 15) -0</f>
        <v>-16.864120849267351</v>
      </c>
      <c r="BZ79" s="1">
        <f ca="1">OFFSET(A79,0, 14) -0</f>
        <v>-11.45180584288596</v>
      </c>
      <c r="CB79" s="1">
        <f>COUNTIF(B79,"&lt;-69")</f>
        <v>0</v>
      </c>
      <c r="CC79" s="1">
        <f ca="1">COUNTIF(BC79:BN79,"&lt;-49")</f>
        <v>0</v>
      </c>
      <c r="CD79" s="1">
        <f ca="1">COUNTIF(BC79:BN79,"&gt;+49")</f>
        <v>0</v>
      </c>
      <c r="CE79" s="1">
        <f ca="1">COUNTIF(BO79:BZ79,"&lt;-49")</f>
        <v>0</v>
      </c>
      <c r="CF79" s="1">
        <f ca="1">COUNTIF(BO79:BZ79,"&gt;+49")</f>
        <v>0</v>
      </c>
    </row>
    <row r="80" spans="1:84">
      <c r="A80" s="1">
        <v>77</v>
      </c>
      <c r="B80" s="1">
        <f>'Team B 1'!B80-'Team B 1'!$AA80-('Team B 1'!B$2- 12.5)*'Team B 1'!$AC80</f>
        <v>-4.1410163056316378</v>
      </c>
      <c r="C80" s="1">
        <f>'Team B 1'!C80-'Team B 1'!$AA80-('Team B 1'!C$2- 12.5)*'Team B 1'!$AC80</f>
        <v>9.5883662972028105E-2</v>
      </c>
      <c r="D80" s="1">
        <f>'Team B 1'!D80-'Team B 1'!$AA80-('Team B 1'!D$2- 12.5)*'Team B 1'!$AC80</f>
        <v>24.332783631576149</v>
      </c>
      <c r="E80" s="1">
        <f>'Team B 1'!E80-'Team B 1'!$AA80-('Team B 1'!E$2- 12.5)*'Team B 1'!$AC80</f>
        <v>-51.430316399819958</v>
      </c>
      <c r="F80" s="1">
        <f>'Team B 1'!F80-'Team B 1'!$AA80-('Team B 1'!F$2- 12.5)*'Team B 1'!$AC80</f>
        <v>32.806583568784163</v>
      </c>
      <c r="G80" s="1">
        <f>'Team B 1'!G80-'Team B 1'!$AA80-('Team B 1'!G$2- 12.5)*'Team B 1'!$AC80</f>
        <v>47.043483537388056</v>
      </c>
      <c r="H80" s="1">
        <f>'Team B 1'!H80-'Team B 1'!$AA80-('Team B 1'!H$2- 12.5)*'Team B 1'!$AC80</f>
        <v>-18.719616494008051</v>
      </c>
      <c r="I80" s="1">
        <f>'Team B 1'!I80-'Team B 1'!$AA80-('Team B 1'!I$2- 12.5)*'Team B 1'!$AC80</f>
        <v>5.5172834745960699</v>
      </c>
      <c r="J80" s="1">
        <f>'Team B 1'!J80-'Team B 1'!$AA80-('Team B 1'!J$2- 12.5)*'Team B 1'!$AC80</f>
        <v>19.754183443199963</v>
      </c>
      <c r="K80" s="1">
        <f>'Team B 1'!K80-'Team B 1'!$AA80-('Team B 1'!K$2- 12.5)*'Team B 1'!$AC80</f>
        <v>-6.0089165881960298</v>
      </c>
      <c r="L80" s="1">
        <f>'Team B 1'!L80-'Team B 1'!$AA80-('Team B 1'!L$2- 12.5)*'Team B 1'!$AC80</f>
        <v>18.227983380407977</v>
      </c>
      <c r="M80" s="1">
        <f>'Team B 1'!M80-'Team B 1'!$AA80-('Team B 1'!M$2- 12.5)*'Team B 1'!$AC80</f>
        <v>-7.5351166509880585</v>
      </c>
      <c r="N80" s="1">
        <f>'Team B 1'!N80-'Team B 1'!$AA80-('Team B 1'!N$2- 12.5)*'Team B 1'!$AC80</f>
        <v>-13.29821668238408</v>
      </c>
      <c r="O80" s="1">
        <f>'Team B 1'!O80-'Team B 1'!$AA80-('Team B 1'!O$2- 12.5)*'Team B 1'!$AC80</f>
        <v>-9.0613167137801156</v>
      </c>
      <c r="P80" s="1">
        <f>'Team B 1'!P80-'Team B 1'!$AA80-('Team B 1'!P$2- 12.5)*'Team B 1'!$AC80</f>
        <v>-24.824416745176109</v>
      </c>
      <c r="Q80" s="1">
        <f>'Team B 1'!Q80-'Team B 1'!$AA80-('Team B 1'!Q$2- 12.5)*'Team B 1'!$AC80</f>
        <v>-20.587516776572102</v>
      </c>
      <c r="R80" s="1">
        <f>'Team B 1'!R80-'Team B 1'!$AA80-('Team B 1'!R$2- 12.5)*'Team B 1'!$AC80</f>
        <v>3.6493831920317916</v>
      </c>
      <c r="S80" s="1">
        <f>'Team B 1'!S80-'Team B 1'!$AA80-('Team B 1'!S$2- 12.5)*'Team B 1'!$AC80</f>
        <v>27.886283160635912</v>
      </c>
      <c r="T80" s="1">
        <f>'Team B 1'!T80-'Team B 1'!$AA80-('Team B 1'!T$2- 12.5)*'Team B 1'!$AC80</f>
        <v>22.123183129239806</v>
      </c>
      <c r="U80" s="1">
        <f>'Team B 1'!U80-'Team B 1'!$AA80-('Team B 1'!U$2- 12.5)*'Team B 1'!$AC80</f>
        <v>6.3600830978436989</v>
      </c>
      <c r="V80" s="1">
        <f>'Team B 1'!V80-'Team B 1'!$AA80-('Team B 1'!V$2- 12.5)*'Team B 1'!$AC80</f>
        <v>-9.4030169335521805</v>
      </c>
      <c r="W80" s="1">
        <f>'Team B 1'!W80-'Team B 1'!$AA80-('Team B 1'!W$2- 12.5)*'Team B 1'!$AC80</f>
        <v>-5.1661169649482872</v>
      </c>
      <c r="X80" s="1">
        <f>'Team B 1'!X80-'Team B 1'!$AA80-('Team B 1'!X$2- 12.5)*'Team B 1'!$AC80</f>
        <v>-40.929216996344167</v>
      </c>
      <c r="Y80" s="1">
        <f>'Team B 1'!Y80-'Team B 1'!$AA80-('Team B 1'!Y$2- 12.5)*'Team B 1'!$AC80</f>
        <v>3.3076829722594994</v>
      </c>
      <c r="AB80" s="1">
        <f>STDEV(B80:Y80)</f>
        <v>22.994385158969219</v>
      </c>
      <c r="AD80" s="5" t="s">
        <v>47</v>
      </c>
      <c r="AE80" s="5">
        <v>9</v>
      </c>
      <c r="AF80" s="5">
        <v>5</v>
      </c>
      <c r="AG80" s="5" t="s">
        <v>46</v>
      </c>
      <c r="AH80" s="5">
        <v>7</v>
      </c>
      <c r="AI80" s="5">
        <v>1</v>
      </c>
      <c r="AJ80" s="5">
        <v>3</v>
      </c>
      <c r="AK80" s="5" t="s">
        <v>45</v>
      </c>
      <c r="AL80" s="5">
        <v>2</v>
      </c>
      <c r="AM80" s="5">
        <v>8</v>
      </c>
      <c r="AN80" s="5">
        <v>4</v>
      </c>
      <c r="AO80" s="5">
        <v>6</v>
      </c>
      <c r="AP80" s="5" t="s">
        <v>47</v>
      </c>
      <c r="AQ80" s="5">
        <v>5</v>
      </c>
      <c r="AR80" s="5">
        <v>9</v>
      </c>
      <c r="AS80" s="5" t="s">
        <v>46</v>
      </c>
      <c r="AT80" s="5">
        <v>1</v>
      </c>
      <c r="AU80" s="5">
        <v>7</v>
      </c>
      <c r="AV80" s="5">
        <v>3</v>
      </c>
      <c r="AW80" s="5">
        <v>2</v>
      </c>
      <c r="AX80" s="5" t="s">
        <v>45</v>
      </c>
      <c r="AY80" s="5">
        <v>4</v>
      </c>
      <c r="AZ80" s="5">
        <v>8</v>
      </c>
      <c r="BA80" s="5">
        <v>6</v>
      </c>
      <c r="BB80" s="5"/>
      <c r="BC80" s="1">
        <f ca="1">OFFSET(A80,0, 6) -0</f>
        <v>47.043483537388056</v>
      </c>
      <c r="BD80" s="1">
        <f ca="1">OFFSET(A80,0, 9) -0</f>
        <v>19.754183443199963</v>
      </c>
      <c r="BE80" s="1">
        <f ca="1">OFFSET(A80,0, 7) -0</f>
        <v>-18.719616494008051</v>
      </c>
      <c r="BF80" s="1">
        <f ca="1">OFFSET(A80,0, 11) -0</f>
        <v>18.227983380407977</v>
      </c>
      <c r="BG80" s="1">
        <f ca="1">OFFSET(A80,0, 3) -0</f>
        <v>24.332783631576149</v>
      </c>
      <c r="BH80" s="1">
        <f ca="1">OFFSET(A80,0, 12) -0</f>
        <v>-7.5351166509880585</v>
      </c>
      <c r="BI80" s="1">
        <f ca="1">OFFSET(A80,0, 5) -0</f>
        <v>32.806583568784163</v>
      </c>
      <c r="BJ80" s="1">
        <f ca="1">OFFSET(A80,0, 10) -0</f>
        <v>-6.0089165881960298</v>
      </c>
      <c r="BK80" s="1">
        <f ca="1">OFFSET(A80,0, 2) -0</f>
        <v>9.5883662972028105E-2</v>
      </c>
      <c r="BL80" s="1">
        <f ca="1">OFFSET(A80,0, 8) -0</f>
        <v>5.5172834745960699</v>
      </c>
      <c r="BM80" s="1">
        <f ca="1">OFFSET(A80,0, 4) -0</f>
        <v>-51.430316399819958</v>
      </c>
      <c r="BN80" s="1">
        <f ca="1">OFFSET(A80,0, 1) -0</f>
        <v>-4.1410163056316378</v>
      </c>
      <c r="BO80" s="1">
        <f ca="1">OFFSET(A80,0, 17) -0</f>
        <v>3.6493831920317916</v>
      </c>
      <c r="BP80" s="1">
        <f ca="1">OFFSET(A80,0, 20) -0</f>
        <v>6.3600830978436989</v>
      </c>
      <c r="BQ80" s="1">
        <f ca="1">OFFSET(A80,0, 19) -0</f>
        <v>22.123183129239806</v>
      </c>
      <c r="BR80" s="1">
        <f ca="1">OFFSET(A80,0, 22) -0</f>
        <v>-5.1661169649482872</v>
      </c>
      <c r="BS80" s="1">
        <f ca="1">OFFSET(A80,0, 14) -0</f>
        <v>-9.0613167137801156</v>
      </c>
      <c r="BT80" s="1">
        <f ca="1">OFFSET(A80,0, 24) -0</f>
        <v>3.3076829722594994</v>
      </c>
      <c r="BU80" s="1">
        <f ca="1">OFFSET(A80,0, 18) -0</f>
        <v>27.886283160635912</v>
      </c>
      <c r="BV80" s="1">
        <f ca="1">OFFSET(A80,0, 23) -0</f>
        <v>-40.929216996344167</v>
      </c>
      <c r="BW80" s="1">
        <f ca="1">OFFSET(A80,0, 15) -0</f>
        <v>-24.824416745176109</v>
      </c>
      <c r="BX80" s="1">
        <f ca="1">OFFSET(A80,0, 21) -0</f>
        <v>-9.4030169335521805</v>
      </c>
      <c r="BY80" s="1">
        <f ca="1">OFFSET(A80,0, 16) -0</f>
        <v>-20.587516776572102</v>
      </c>
      <c r="BZ80" s="1">
        <f ca="1">OFFSET(A80,0, 13) -0</f>
        <v>-13.29821668238408</v>
      </c>
      <c r="CB80" s="1">
        <f>COUNTIF(B80,"&lt;-69")</f>
        <v>0</v>
      </c>
      <c r="CC80" s="1">
        <f ca="1">COUNTIF(BC80:BN80,"&lt;-49")</f>
        <v>1</v>
      </c>
      <c r="CD80" s="1">
        <f ca="1">COUNTIF(BC80:BN80,"&gt;+49")</f>
        <v>0</v>
      </c>
      <c r="CE80" s="1">
        <f ca="1">COUNTIF(BO80:BZ80,"&lt;-49")</f>
        <v>0</v>
      </c>
      <c r="CF80" s="1">
        <f ca="1">COUNTIF(BO80:BZ80,"&gt;+49")</f>
        <v>0</v>
      </c>
    </row>
    <row r="81" spans="1:84">
      <c r="A81" s="1">
        <v>78</v>
      </c>
      <c r="B81" s="1">
        <f>'Team B 1'!B81-'Team B 1'!$AA81-('Team B 1'!B$2- 12.5)*'Team B 1'!$AC81</f>
        <v>-20.799448863644557</v>
      </c>
      <c r="C81" s="1">
        <f>'Team B 1'!C81-'Team B 1'!$AA81-('Team B 1'!C$2- 12.5)*'Team B 1'!$AC81</f>
        <v>14.088909008558403</v>
      </c>
      <c r="D81" s="1">
        <f>'Team B 1'!D81-'Team B 1'!$AA81-('Team B 1'!D$2- 12.5)*'Team B 1'!$AC81</f>
        <v>-21.022733119239092</v>
      </c>
      <c r="E81" s="1">
        <f>'Team B 1'!E81-'Team B 1'!$AA81-('Team B 1'!E$2- 12.5)*'Team B 1'!$AC81</f>
        <v>-16.13437524703636</v>
      </c>
      <c r="F81" s="1">
        <f>'Team B 1'!F81-'Team B 1'!$AA81-('Team B 1'!F$2- 12.5)*'Team B 1'!$AC81</f>
        <v>38.753982625166145</v>
      </c>
      <c r="G81" s="1">
        <f>'Team B 1'!G81-'Team B 1'!$AA81-('Team B 1'!G$2- 12.5)*'Team B 1'!$AC81</f>
        <v>13.642340497368878</v>
      </c>
      <c r="H81" s="1">
        <f>'Team B 1'!H81-'Team B 1'!$AA81-('Team B 1'!H$2- 12.5)*'Team B 1'!$AC81</f>
        <v>8.5306983695716099</v>
      </c>
      <c r="I81" s="1">
        <f>'Team B 1'!I81-'Team B 1'!$AA81-('Team B 1'!I$2- 12.5)*'Team B 1'!$AC81</f>
        <v>23.419056241774115</v>
      </c>
      <c r="J81" s="1">
        <f>'Team B 1'!J81-'Team B 1'!$AA81-('Team B 1'!J$2- 12.5)*'Team B 1'!$AC81</f>
        <v>18.307414113976847</v>
      </c>
      <c r="K81" s="1">
        <f>'Team B 1'!K81-'Team B 1'!$AA81-('Team B 1'!K$2- 12.5)*'Team B 1'!$AC81</f>
        <v>43.195771986179466</v>
      </c>
      <c r="L81" s="1">
        <f>'Team B 1'!L81-'Team B 1'!$AA81-('Team B 1'!L$2- 12.5)*'Team B 1'!$AC81</f>
        <v>-11.915870141617916</v>
      </c>
      <c r="M81" s="1">
        <f>'Team B 1'!M81-'Team B 1'!$AA81-('Team B 1'!M$2- 12.5)*'Team B 1'!$AC81</f>
        <v>-47.027512269415254</v>
      </c>
      <c r="N81" s="1">
        <f>'Team B 1'!N81-'Team B 1'!$AA81-('Team B 1'!N$2- 12.5)*'Team B 1'!$AC81</f>
        <v>27.860845602787393</v>
      </c>
      <c r="O81" s="1">
        <f>'Team B 1'!O81-'Team B 1'!$AA81-('Team B 1'!O$2- 12.5)*'Team B 1'!$AC81</f>
        <v>-7.250796525009946</v>
      </c>
      <c r="P81" s="1">
        <f>'Team B 1'!P81-'Team B 1'!$AA81-('Team B 1'!P$2- 12.5)*'Team B 1'!$AC81</f>
        <v>-32.362438652807327</v>
      </c>
      <c r="Q81" s="1">
        <f>'Team B 1'!Q81-'Team B 1'!$AA81-('Team B 1'!Q$2- 12.5)*'Team B 1'!$AC81</f>
        <v>-27.474080780604709</v>
      </c>
      <c r="R81" s="1">
        <f>'Team B 1'!R81-'Team B 1'!$AA81-('Team B 1'!R$2- 12.5)*'Team B 1'!$AC81</f>
        <v>-42.585722908401976</v>
      </c>
      <c r="S81" s="1">
        <f>'Team B 1'!S81-'Team B 1'!$AA81-('Team B 1'!S$2- 12.5)*'Team B 1'!$AC81</f>
        <v>12.302634963800529</v>
      </c>
      <c r="T81" s="1">
        <f>'Team B 1'!T81-'Team B 1'!$AA81-('Team B 1'!T$2- 12.5)*'Team B 1'!$AC81</f>
        <v>7.1909928360032609</v>
      </c>
      <c r="U81" s="1">
        <f>'Team B 1'!U81-'Team B 1'!$AA81-('Team B 1'!U$2- 12.5)*'Team B 1'!$AC81</f>
        <v>12.079350708205993</v>
      </c>
      <c r="V81" s="1">
        <f>'Team B 1'!V81-'Team B 1'!$AA81-('Team B 1'!V$2- 12.5)*'Team B 1'!$AC81</f>
        <v>6.9677085804084982</v>
      </c>
      <c r="W81" s="1">
        <f>'Team B 1'!W81-'Team B 1'!$AA81-('Team B 1'!W$2- 12.5)*'Team B 1'!$AC81</f>
        <v>11.85606645261123</v>
      </c>
      <c r="X81" s="1">
        <f>'Team B 1'!X81-'Team B 1'!$AA81-('Team B 1'!X$2- 12.5)*'Team B 1'!$AC81</f>
        <v>-23.255575675186265</v>
      </c>
      <c r="Y81" s="1">
        <f>'Team B 1'!Y81-'Team B 1'!$AA81-('Team B 1'!Y$2- 12.5)*'Team B 1'!$AC81</f>
        <v>11.632782197016695</v>
      </c>
      <c r="AB81" s="1">
        <f>STDEV(B81:Y81)</f>
        <v>24.544493905819152</v>
      </c>
      <c r="AD81" s="5">
        <v>5</v>
      </c>
      <c r="AE81" s="5" t="s">
        <v>47</v>
      </c>
      <c r="AF81" s="5" t="s">
        <v>46</v>
      </c>
      <c r="AG81" s="5">
        <v>9</v>
      </c>
      <c r="AH81" s="5">
        <v>7</v>
      </c>
      <c r="AI81" s="5">
        <v>1</v>
      </c>
      <c r="AJ81" s="5">
        <v>2</v>
      </c>
      <c r="AK81" s="5">
        <v>3</v>
      </c>
      <c r="AL81" s="5">
        <v>4</v>
      </c>
      <c r="AM81" s="5" t="s">
        <v>45</v>
      </c>
      <c r="AN81" s="5">
        <v>6</v>
      </c>
      <c r="AO81" s="5">
        <v>8</v>
      </c>
      <c r="AP81" s="5" t="s">
        <v>47</v>
      </c>
      <c r="AQ81" s="5">
        <v>5</v>
      </c>
      <c r="AR81" s="5">
        <v>9</v>
      </c>
      <c r="AS81" s="5" t="s">
        <v>46</v>
      </c>
      <c r="AT81" s="5">
        <v>7</v>
      </c>
      <c r="AU81" s="5">
        <v>2</v>
      </c>
      <c r="AV81" s="5">
        <v>1</v>
      </c>
      <c r="AW81" s="5">
        <v>3</v>
      </c>
      <c r="AX81" s="5" t="s">
        <v>45</v>
      </c>
      <c r="AY81" s="5">
        <v>4</v>
      </c>
      <c r="AZ81" s="5">
        <v>8</v>
      </c>
      <c r="BA81" s="5">
        <v>6</v>
      </c>
      <c r="BB81" s="5"/>
      <c r="BC81" s="1">
        <f ca="1">OFFSET(A81,0, 6) -0</f>
        <v>13.642340497368878</v>
      </c>
      <c r="BD81" s="1">
        <f ca="1">OFFSET(A81,0, 7) -0</f>
        <v>8.5306983695716099</v>
      </c>
      <c r="BE81" s="1">
        <f ca="1">OFFSET(A81,0, 8) -0</f>
        <v>23.419056241774115</v>
      </c>
      <c r="BF81" s="1">
        <f ca="1">OFFSET(A81,0, 9) -0</f>
        <v>18.307414113976847</v>
      </c>
      <c r="BG81" s="1">
        <f ca="1">OFFSET(A81,0, 1) -0</f>
        <v>-20.799448863644557</v>
      </c>
      <c r="BH81" s="1">
        <f ca="1">OFFSET(A81,0, 11) -0</f>
        <v>-11.915870141617916</v>
      </c>
      <c r="BI81" s="1">
        <f ca="1">OFFSET(A81,0, 5) -0</f>
        <v>38.753982625166145</v>
      </c>
      <c r="BJ81" s="1">
        <f ca="1">OFFSET(A81,0, 12) -0</f>
        <v>-47.027512269415254</v>
      </c>
      <c r="BK81" s="1">
        <f ca="1">OFFSET(A81,0, 4) -0</f>
        <v>-16.13437524703636</v>
      </c>
      <c r="BL81" s="1">
        <f ca="1">OFFSET(A81,0, 10) -0</f>
        <v>43.195771986179466</v>
      </c>
      <c r="BM81" s="1">
        <f ca="1">OFFSET(A81,0, 3) -0</f>
        <v>-21.022733119239092</v>
      </c>
      <c r="BN81" s="1">
        <f ca="1">OFFSET(A81,0, 2) -0</f>
        <v>14.088909008558403</v>
      </c>
      <c r="BO81" s="1">
        <f ca="1">OFFSET(A81,0, 19) -0</f>
        <v>7.1909928360032609</v>
      </c>
      <c r="BP81" s="1">
        <f ca="1">OFFSET(A81,0, 18) -0</f>
        <v>12.302634963800529</v>
      </c>
      <c r="BQ81" s="1">
        <f ca="1">OFFSET(A81,0, 20) -0</f>
        <v>12.079350708205993</v>
      </c>
      <c r="BR81" s="1">
        <f ca="1">OFFSET(A81,0, 22) -0</f>
        <v>11.85606645261123</v>
      </c>
      <c r="BS81" s="1">
        <f ca="1">OFFSET(A81,0, 14) -0</f>
        <v>-7.250796525009946</v>
      </c>
      <c r="BT81" s="1">
        <f ca="1">OFFSET(A81,0, 24) -0</f>
        <v>11.632782197016695</v>
      </c>
      <c r="BU81" s="1">
        <f ca="1">OFFSET(A81,0, 17) -0</f>
        <v>-42.585722908401976</v>
      </c>
      <c r="BV81" s="1">
        <f ca="1">OFFSET(A81,0, 23) -0</f>
        <v>-23.255575675186265</v>
      </c>
      <c r="BW81" s="1">
        <f ca="1">OFFSET(A81,0, 15) -0</f>
        <v>-32.362438652807327</v>
      </c>
      <c r="BX81" s="1">
        <f ca="1">OFFSET(A81,0, 21) -0</f>
        <v>6.9677085804084982</v>
      </c>
      <c r="BY81" s="1">
        <f ca="1">OFFSET(A81,0, 16) -0</f>
        <v>-27.474080780604709</v>
      </c>
      <c r="BZ81" s="1">
        <f ca="1">OFFSET(A81,0, 13) -0</f>
        <v>27.860845602787393</v>
      </c>
      <c r="CB81" s="1">
        <f>COUNTIF(B81,"&lt;-69")</f>
        <v>0</v>
      </c>
      <c r="CC81" s="1">
        <f ca="1">COUNTIF(BC81:BN81,"&lt;-49")</f>
        <v>0</v>
      </c>
      <c r="CD81" s="1">
        <f ca="1">COUNTIF(BC81:BN81,"&gt;+49")</f>
        <v>0</v>
      </c>
      <c r="CE81" s="1">
        <f ca="1">COUNTIF(BO81:BZ81,"&lt;-49")</f>
        <v>0</v>
      </c>
      <c r="CF81" s="1">
        <f ca="1">COUNTIF(BO81:BZ81,"&gt;+49")</f>
        <v>0</v>
      </c>
    </row>
    <row r="82" spans="1:84">
      <c r="A82" s="1">
        <v>79</v>
      </c>
      <c r="B82" s="1">
        <f>'Team B 1'!B82-'Team B 1'!$AA82-('Team B 1'!B$2- 12.5)*'Team B 1'!$AC82</f>
        <v>28.662224402143693</v>
      </c>
      <c r="C82" s="1">
        <f>'Team B 1'!C82-'Team B 1'!$AA82-('Team B 1'!C$2- 12.5)*'Team B 1'!$AC82</f>
        <v>-5.931592212536998</v>
      </c>
      <c r="D82" s="1">
        <f>'Team B 1'!D82-'Team B 1'!$AA82-('Team B 1'!D$2- 12.5)*'Team B 1'!$AC82</f>
        <v>-20.525408827217916</v>
      </c>
      <c r="E82" s="1">
        <f>'Team B 1'!E82-'Team B 1'!$AA82-('Team B 1'!E$2- 12.5)*'Team B 1'!$AC82</f>
        <v>-15.119225441898834</v>
      </c>
      <c r="F82" s="1">
        <f>'Team B 1'!F82-'Team B 1'!$AA82-('Team B 1'!F$2- 12.5)*'Team B 1'!$AC82</f>
        <v>0.2869579434204752</v>
      </c>
      <c r="G82" s="1">
        <f>'Team B 1'!G82-'Team B 1'!$AA82-('Team B 1'!G$2- 12.5)*'Team B 1'!$AC82</f>
        <v>5.6931413287395571</v>
      </c>
      <c r="H82" s="1">
        <f>'Team B 1'!H82-'Team B 1'!$AA82-('Team B 1'!H$2- 12.5)*'Team B 1'!$AC82</f>
        <v>31.099324714058639</v>
      </c>
      <c r="I82" s="1">
        <f>'Team B 1'!I82-'Team B 1'!$AA82-('Team B 1'!I$2- 12.5)*'Team B 1'!$AC82</f>
        <v>56.505508099377835</v>
      </c>
      <c r="J82" s="1">
        <f>'Team B 1'!J82-'Team B 1'!$AA82-('Team B 1'!J$2- 12.5)*'Team B 1'!$AC82</f>
        <v>11.911691484696917</v>
      </c>
      <c r="K82" s="1">
        <f>'Team B 1'!K82-'Team B 1'!$AA82-('Team B 1'!K$2- 12.5)*'Team B 1'!$AC82</f>
        <v>7.3178748700161123</v>
      </c>
      <c r="L82" s="1">
        <f>'Team B 1'!L82-'Team B 1'!$AA82-('Team B 1'!L$2- 12.5)*'Team B 1'!$AC82</f>
        <v>-37.275941744664806</v>
      </c>
      <c r="M82" s="1">
        <f>'Team B 1'!M82-'Team B 1'!$AA82-('Team B 1'!M$2- 12.5)*'Team B 1'!$AC82</f>
        <v>-31.869758359345639</v>
      </c>
      <c r="N82" s="1">
        <f>'Team B 1'!N82-'Team B 1'!$AA82-('Team B 1'!N$2- 12.5)*'Team B 1'!$AC82</f>
        <v>3.5364250259735002</v>
      </c>
      <c r="O82" s="1">
        <f>'Team B 1'!O82-'Team B 1'!$AA82-('Team B 1'!O$2- 12.5)*'Team B 1'!$AC82</f>
        <v>-31.057391588707333</v>
      </c>
      <c r="P82" s="1">
        <f>'Team B 1'!P82-'Team B 1'!$AA82-('Team B 1'!P$2- 12.5)*'Team B 1'!$AC82</f>
        <v>-25.651208203388251</v>
      </c>
      <c r="Q82" s="1">
        <f>'Team B 1'!Q82-'Team B 1'!$AA82-('Team B 1'!Q$2- 12.5)*'Team B 1'!$AC82</f>
        <v>9.7549751819309449</v>
      </c>
      <c r="R82" s="1">
        <f>'Team B 1'!R82-'Team B 1'!$AA82-('Team B 1'!R$2- 12.5)*'Team B 1'!$AC82</f>
        <v>5.1611585672500269</v>
      </c>
      <c r="S82" s="1">
        <f>'Team B 1'!S82-'Team B 1'!$AA82-('Team B 1'!S$2- 12.5)*'Team B 1'!$AC82</f>
        <v>0.56734195256922249</v>
      </c>
      <c r="T82" s="1">
        <f>'Team B 1'!T82-'Team B 1'!$AA82-('Team B 1'!T$2- 12.5)*'Team B 1'!$AC82</f>
        <v>25.973525337888304</v>
      </c>
      <c r="U82" s="1">
        <f>'Team B 1'!U82-'Team B 1'!$AA82-('Team B 1'!U$2- 12.5)*'Team B 1'!$AC82</f>
        <v>21.379708723207386</v>
      </c>
      <c r="V82" s="1">
        <f>'Team B 1'!V82-'Team B 1'!$AA82-('Team B 1'!V$2- 12.5)*'Team B 1'!$AC82</f>
        <v>6.7858921085266957</v>
      </c>
      <c r="W82" s="1">
        <f>'Team B 1'!W82-'Team B 1'!$AA82-('Team B 1'!W$2- 12.5)*'Team B 1'!$AC82</f>
        <v>-17.807924506154222</v>
      </c>
      <c r="X82" s="1">
        <f>'Team B 1'!X82-'Team B 1'!$AA82-('Team B 1'!X$2- 12.5)*'Team B 1'!$AC82</f>
        <v>-22.40174112083514</v>
      </c>
      <c r="Y82" s="1">
        <f>'Team B 1'!Y82-'Team B 1'!$AA82-('Team B 1'!Y$2- 12.5)*'Team B 1'!$AC82</f>
        <v>-6.9955577355158312</v>
      </c>
      <c r="AB82" s="1">
        <f>STDEV(B82:Y82)</f>
        <v>22.939026531479698</v>
      </c>
      <c r="AD82" s="5">
        <v>5</v>
      </c>
      <c r="AE82" s="5" t="s">
        <v>47</v>
      </c>
      <c r="AF82" s="5" t="s">
        <v>46</v>
      </c>
      <c r="AG82" s="5">
        <v>9</v>
      </c>
      <c r="AH82" s="5">
        <v>2</v>
      </c>
      <c r="AI82" s="5">
        <v>7</v>
      </c>
      <c r="AJ82" s="5">
        <v>3</v>
      </c>
      <c r="AK82" s="5">
        <v>1</v>
      </c>
      <c r="AL82" s="5">
        <v>4</v>
      </c>
      <c r="AM82" s="5" t="s">
        <v>45</v>
      </c>
      <c r="AN82" s="5">
        <v>6</v>
      </c>
      <c r="AO82" s="5">
        <v>8</v>
      </c>
      <c r="AP82" s="5">
        <v>5</v>
      </c>
      <c r="AQ82" s="5" t="s">
        <v>46</v>
      </c>
      <c r="AR82" s="5" t="s">
        <v>47</v>
      </c>
      <c r="AS82" s="5">
        <v>2</v>
      </c>
      <c r="AT82" s="5">
        <v>9</v>
      </c>
      <c r="AU82" s="5">
        <v>7</v>
      </c>
      <c r="AV82" s="5">
        <v>1</v>
      </c>
      <c r="AW82" s="5">
        <v>3</v>
      </c>
      <c r="AX82" s="5">
        <v>4</v>
      </c>
      <c r="AY82" s="5">
        <v>6</v>
      </c>
      <c r="AZ82" s="5" t="s">
        <v>45</v>
      </c>
      <c r="BA82" s="5">
        <v>8</v>
      </c>
      <c r="BB82" s="5"/>
      <c r="BC82" s="1">
        <f ca="1">OFFSET(A82,0, 8) -0</f>
        <v>56.505508099377835</v>
      </c>
      <c r="BD82" s="1">
        <f ca="1">OFFSET(A82,0, 5) -0</f>
        <v>0.2869579434204752</v>
      </c>
      <c r="BE82" s="1">
        <f ca="1">OFFSET(A82,0, 7) -0</f>
        <v>31.099324714058639</v>
      </c>
      <c r="BF82" s="1">
        <f ca="1">OFFSET(A82,0, 9) -0</f>
        <v>11.911691484696917</v>
      </c>
      <c r="BG82" s="1">
        <f ca="1">OFFSET(A82,0, 1) -0</f>
        <v>28.662224402143693</v>
      </c>
      <c r="BH82" s="1">
        <f ca="1">OFFSET(A82,0, 11) -0</f>
        <v>-37.275941744664806</v>
      </c>
      <c r="BI82" s="1">
        <f ca="1">OFFSET(A82,0, 6) -0</f>
        <v>5.6931413287395571</v>
      </c>
      <c r="BJ82" s="1">
        <f ca="1">OFFSET(A82,0, 12) -0</f>
        <v>-31.869758359345639</v>
      </c>
      <c r="BK82" s="1">
        <f ca="1">OFFSET(A82,0, 4) -0</f>
        <v>-15.119225441898834</v>
      </c>
      <c r="BL82" s="1">
        <f ca="1">OFFSET(A82,0, 10) -0</f>
        <v>7.3178748700161123</v>
      </c>
      <c r="BM82" s="1">
        <f ca="1">OFFSET(A82,0, 3) -0</f>
        <v>-20.525408827217916</v>
      </c>
      <c r="BN82" s="1">
        <f ca="1">OFFSET(A82,0, 2) -0</f>
        <v>-5.931592212536998</v>
      </c>
      <c r="BO82" s="1">
        <f ca="1">OFFSET(A82,0, 19) -0</f>
        <v>25.973525337888304</v>
      </c>
      <c r="BP82" s="1">
        <f ca="1">OFFSET(A82,0, 16) -0</f>
        <v>9.7549751819309449</v>
      </c>
      <c r="BQ82" s="1">
        <f ca="1">OFFSET(A82,0, 20) -0</f>
        <v>21.379708723207386</v>
      </c>
      <c r="BR82" s="1">
        <f ca="1">OFFSET(A82,0, 21) -0</f>
        <v>6.7858921085266957</v>
      </c>
      <c r="BS82" s="1">
        <f ca="1">OFFSET(A82,0, 13) -0</f>
        <v>3.5364250259735002</v>
      </c>
      <c r="BT82" s="1">
        <f ca="1">OFFSET(A82,0, 22) -0</f>
        <v>-17.807924506154222</v>
      </c>
      <c r="BU82" s="1">
        <f ca="1">OFFSET(A82,0, 18) -0</f>
        <v>0.56734195256922249</v>
      </c>
      <c r="BV82" s="1">
        <f ca="1">OFFSET(A82,0, 24) -0</f>
        <v>-6.9955577355158312</v>
      </c>
      <c r="BW82" s="1">
        <f ca="1">OFFSET(A82,0, 17) -0</f>
        <v>5.1611585672500269</v>
      </c>
      <c r="BX82" s="1">
        <f ca="1">OFFSET(A82,0, 23) -0</f>
        <v>-22.40174112083514</v>
      </c>
      <c r="BY82" s="1">
        <f ca="1">OFFSET(A82,0, 14) -0</f>
        <v>-31.057391588707333</v>
      </c>
      <c r="BZ82" s="1">
        <f ca="1">OFFSET(A82,0, 15) -0</f>
        <v>-25.651208203388251</v>
      </c>
      <c r="CB82" s="1">
        <f>COUNTIF(B82,"&lt;-69")</f>
        <v>0</v>
      </c>
      <c r="CC82" s="1">
        <f ca="1">COUNTIF(BC82:BN82,"&lt;-49")</f>
        <v>0</v>
      </c>
      <c r="CD82" s="1">
        <f ca="1">COUNTIF(BC82:BN82,"&gt;+49")</f>
        <v>1</v>
      </c>
      <c r="CE82" s="1">
        <f ca="1">COUNTIF(BO82:BZ82,"&lt;-49")</f>
        <v>0</v>
      </c>
      <c r="CF82" s="1">
        <f ca="1">COUNTIF(BO82:BZ82,"&gt;+49")</f>
        <v>0</v>
      </c>
    </row>
    <row r="83" spans="1:84">
      <c r="A83" s="1">
        <v>80</v>
      </c>
      <c r="B83" s="1">
        <f>'Team B 1'!B83-'Team B 1'!$AA83-('Team B 1'!B$2- 12.5)*'Team B 1'!$AC83</f>
        <v>-23.902722685904337</v>
      </c>
      <c r="C83" s="1">
        <f>'Team B 1'!C83-'Team B 1'!$AA83-('Team B 1'!C$2- 12.5)*'Team B 1'!$AC83</f>
        <v>-28.56335549582559</v>
      </c>
      <c r="D83" s="1">
        <f>'Team B 1'!D83-'Team B 1'!$AA83-('Team B 1'!D$2- 12.5)*'Team B 1'!$AC83</f>
        <v>-3.2239883057470706</v>
      </c>
      <c r="E83" s="1">
        <f>'Team B 1'!E83-'Team B 1'!$AA83-('Team B 1'!E$2- 12.5)*'Team B 1'!$AC83</f>
        <v>32.115378884331676</v>
      </c>
      <c r="F83" s="1">
        <f>'Team B 1'!F83-'Team B 1'!$AA83-('Team B 1'!F$2- 12.5)*'Team B 1'!$AC83</f>
        <v>47.454746074410195</v>
      </c>
      <c r="G83" s="1">
        <f>'Team B 1'!G83-'Team B 1'!$AA83-('Team B 1'!G$2- 12.5)*'Team B 1'!$AC83</f>
        <v>2.7941132644889421</v>
      </c>
      <c r="H83" s="1">
        <f>'Team B 1'!H83-'Team B 1'!$AA83-('Team B 1'!H$2- 12.5)*'Team B 1'!$AC83</f>
        <v>28.133480454567461</v>
      </c>
      <c r="I83" s="1">
        <f>'Team B 1'!I83-'Team B 1'!$AA83-('Team B 1'!I$2- 12.5)*'Team B 1'!$AC83</f>
        <v>53.472847644646208</v>
      </c>
      <c r="J83" s="1">
        <f>'Team B 1'!J83-'Team B 1'!$AA83-('Team B 1'!J$2- 12.5)*'Team B 1'!$AC83</f>
        <v>-1.1877851652752724</v>
      </c>
      <c r="K83" s="1">
        <f>'Team B 1'!K83-'Team B 1'!$AA83-('Team B 1'!K$2- 12.5)*'Team B 1'!$AC83</f>
        <v>14.151582024803417</v>
      </c>
      <c r="L83" s="1">
        <f>'Team B 1'!L83-'Team B 1'!$AA83-('Team B 1'!L$2- 12.5)*'Team B 1'!$AC83</f>
        <v>-10.50905078511795</v>
      </c>
      <c r="M83" s="1">
        <f>'Team B 1'!M83-'Team B 1'!$AA83-('Team B 1'!M$2- 12.5)*'Team B 1'!$AC83</f>
        <v>24.830316404960683</v>
      </c>
      <c r="N83" s="1">
        <f>'Team B 1'!N83-'Team B 1'!$AA83-('Team B 1'!N$2- 12.5)*'Team B 1'!$AC83</f>
        <v>-29.830316404960683</v>
      </c>
      <c r="O83" s="1">
        <f>'Team B 1'!O83-'Team B 1'!$AA83-('Team B 1'!O$2- 12.5)*'Team B 1'!$AC83</f>
        <v>-14.49094921488205</v>
      </c>
      <c r="P83" s="1">
        <f>'Team B 1'!P83-'Team B 1'!$AA83-('Team B 1'!P$2- 12.5)*'Team B 1'!$AC83</f>
        <v>10.848417975196583</v>
      </c>
      <c r="Q83" s="1">
        <f>'Team B 1'!Q83-'Team B 1'!$AA83-('Team B 1'!Q$2- 12.5)*'Team B 1'!$AC83</f>
        <v>36.187785165275272</v>
      </c>
      <c r="R83" s="1">
        <f>'Team B 1'!R83-'Team B 1'!$AA83-('Team B 1'!R$2- 12.5)*'Team B 1'!$AC83</f>
        <v>-8.4728476446462082</v>
      </c>
      <c r="S83" s="1">
        <f>'Team B 1'!S83-'Team B 1'!$AA83-('Team B 1'!S$2- 12.5)*'Team B 1'!$AC83</f>
        <v>-3.1334804545674615</v>
      </c>
      <c r="T83" s="1">
        <f>'Team B 1'!T83-'Team B 1'!$AA83-('Team B 1'!T$2- 12.5)*'Team B 1'!$AC83</f>
        <v>-37.794113264488942</v>
      </c>
      <c r="U83" s="1">
        <f>'Team B 1'!U83-'Team B 1'!$AA83-('Team B 1'!U$2- 12.5)*'Team B 1'!$AC83</f>
        <v>-12.454746074410195</v>
      </c>
      <c r="V83" s="1">
        <f>'Team B 1'!V83-'Team B 1'!$AA83-('Team B 1'!V$2- 12.5)*'Team B 1'!$AC83</f>
        <v>2.8846211156683239</v>
      </c>
      <c r="W83" s="1">
        <f>'Team B 1'!W83-'Team B 1'!$AA83-('Team B 1'!W$2- 12.5)*'Team B 1'!$AC83</f>
        <v>-21.776011694252929</v>
      </c>
      <c r="X83" s="1">
        <f>'Team B 1'!X83-'Team B 1'!$AA83-('Team B 1'!X$2- 12.5)*'Team B 1'!$AC83</f>
        <v>-26.43664450417441</v>
      </c>
      <c r="Y83" s="1">
        <f>'Team B 1'!Y83-'Team B 1'!$AA83-('Team B 1'!Y$2- 12.5)*'Team B 1'!$AC83</f>
        <v>-31.097277314095663</v>
      </c>
      <c r="AB83" s="1">
        <f>STDEV(B83:Y83)</f>
        <v>26.050881285143305</v>
      </c>
      <c r="AD83" s="5" t="s">
        <v>46</v>
      </c>
      <c r="AE83" s="5">
        <v>5</v>
      </c>
      <c r="AF83" s="5">
        <v>2</v>
      </c>
      <c r="AG83" s="5" t="s">
        <v>47</v>
      </c>
      <c r="AH83" s="5">
        <v>7</v>
      </c>
      <c r="AI83" s="5">
        <v>9</v>
      </c>
      <c r="AJ83" s="5">
        <v>3</v>
      </c>
      <c r="AK83" s="5">
        <v>1</v>
      </c>
      <c r="AL83" s="5">
        <v>6</v>
      </c>
      <c r="AM83" s="5">
        <v>4</v>
      </c>
      <c r="AN83" s="5">
        <v>8</v>
      </c>
      <c r="AO83" s="5" t="s">
        <v>45</v>
      </c>
      <c r="AP83" s="5">
        <v>5</v>
      </c>
      <c r="AQ83" s="5" t="s">
        <v>46</v>
      </c>
      <c r="AR83" s="5" t="s">
        <v>47</v>
      </c>
      <c r="AS83" s="5">
        <v>2</v>
      </c>
      <c r="AT83" s="5">
        <v>9</v>
      </c>
      <c r="AU83" s="5">
        <v>7</v>
      </c>
      <c r="AV83" s="5">
        <v>3</v>
      </c>
      <c r="AW83" s="5">
        <v>6</v>
      </c>
      <c r="AX83" s="5">
        <v>1</v>
      </c>
      <c r="AY83" s="5">
        <v>4</v>
      </c>
      <c r="AZ83" s="5" t="s">
        <v>45</v>
      </c>
      <c r="BA83" s="5">
        <v>8</v>
      </c>
      <c r="BB83" s="5"/>
      <c r="BC83" s="1">
        <f ca="1">OFFSET(A83,0, 8) -0</f>
        <v>53.472847644646208</v>
      </c>
      <c r="BD83" s="1">
        <f ca="1">OFFSET(A83,0, 3) -0</f>
        <v>-3.2239883057470706</v>
      </c>
      <c r="BE83" s="1">
        <f ca="1">OFFSET(A83,0, 7) -0</f>
        <v>28.133480454567461</v>
      </c>
      <c r="BF83" s="1">
        <f ca="1">OFFSET(A83,0, 10) -0</f>
        <v>14.151582024803417</v>
      </c>
      <c r="BG83" s="1">
        <f ca="1">OFFSET(A83,0, 2) -0</f>
        <v>-28.56335549582559</v>
      </c>
      <c r="BH83" s="1">
        <f ca="1">OFFSET(A83,0, 9) -0</f>
        <v>-1.1877851652752724</v>
      </c>
      <c r="BI83" s="1">
        <f ca="1">OFFSET(A83,0, 5) -0</f>
        <v>47.454746074410195</v>
      </c>
      <c r="BJ83" s="1">
        <f ca="1">OFFSET(A83,0, 11) -0</f>
        <v>-10.50905078511795</v>
      </c>
      <c r="BK83" s="1">
        <f ca="1">OFFSET(A83,0, 6) -0</f>
        <v>2.7941132644889421</v>
      </c>
      <c r="BL83" s="1">
        <f ca="1">OFFSET(A83,0, 12) -0</f>
        <v>24.830316404960683</v>
      </c>
      <c r="BM83" s="1">
        <f ca="1">OFFSET(A83,0, 1) -0</f>
        <v>-23.902722685904337</v>
      </c>
      <c r="BN83" s="1">
        <f ca="1">OFFSET(A83,0, 4) -0</f>
        <v>32.115378884331676</v>
      </c>
      <c r="BO83" s="1">
        <f ca="1">OFFSET(A83,0, 21) -0</f>
        <v>2.8846211156683239</v>
      </c>
      <c r="BP83" s="1">
        <f ca="1">OFFSET(A83,0, 16) -0</f>
        <v>36.187785165275272</v>
      </c>
      <c r="BQ83" s="1">
        <f ca="1">OFFSET(A83,0, 19) -0</f>
        <v>-37.794113264488942</v>
      </c>
      <c r="BR83" s="1">
        <f ca="1">OFFSET(A83,0, 22) -0</f>
        <v>-21.776011694252929</v>
      </c>
      <c r="BS83" s="1">
        <f ca="1">OFFSET(A83,0, 13) -0</f>
        <v>-29.830316404960683</v>
      </c>
      <c r="BT83" s="1">
        <f ca="1">OFFSET(A83,0, 20) -0</f>
        <v>-12.454746074410195</v>
      </c>
      <c r="BU83" s="1">
        <f ca="1">OFFSET(A83,0, 18) -0</f>
        <v>-3.1334804545674615</v>
      </c>
      <c r="BV83" s="1">
        <f ca="1">OFFSET(A83,0, 24) -0</f>
        <v>-31.097277314095663</v>
      </c>
      <c r="BW83" s="1">
        <f ca="1">OFFSET(A83,0, 17) -0</f>
        <v>-8.4728476446462082</v>
      </c>
      <c r="BX83" s="1">
        <f ca="1">OFFSET(A83,0, 23) -0</f>
        <v>-26.43664450417441</v>
      </c>
      <c r="BY83" s="1">
        <f ca="1">OFFSET(A83,0, 14) -0</f>
        <v>-14.49094921488205</v>
      </c>
      <c r="BZ83" s="1">
        <f ca="1">OFFSET(A83,0, 15) -0</f>
        <v>10.848417975196583</v>
      </c>
      <c r="CB83" s="1">
        <f>COUNTIF(B83,"&lt;-69")</f>
        <v>0</v>
      </c>
      <c r="CC83" s="1">
        <f ca="1">COUNTIF(BC83:BN83,"&lt;-49")</f>
        <v>0</v>
      </c>
      <c r="CD83" s="1">
        <f ca="1">COUNTIF(BC83:BN83,"&gt;+49")</f>
        <v>1</v>
      </c>
      <c r="CE83" s="1">
        <f ca="1">COUNTIF(BO83:BZ83,"&lt;-49")</f>
        <v>0</v>
      </c>
      <c r="CF83" s="1">
        <f ca="1">COUNTIF(BO83:BZ83,"&gt;+49")</f>
        <v>0</v>
      </c>
    </row>
    <row r="84" spans="1:84">
      <c r="A84" s="1">
        <v>81</v>
      </c>
      <c r="B84" s="1">
        <f>'Team B 1'!B84-'Team B 1'!$AA84-('Team B 1'!B$2- 12.5)*'Team B 1'!$AC84</f>
        <v>-36.82487875832976</v>
      </c>
      <c r="C84" s="1">
        <f>'Team B 1'!C84-'Team B 1'!$AA84-('Team B 1'!C$2- 12.5)*'Team B 1'!$AC84</f>
        <v>-1.9198168373168301</v>
      </c>
      <c r="D84" s="1">
        <f>'Team B 1'!D84-'Team B 1'!$AA84-('Team B 1'!D$2- 12.5)*'Team B 1'!$AC84</f>
        <v>-17.014754916304582</v>
      </c>
      <c r="E84" s="1">
        <f>'Team B 1'!E84-'Team B 1'!$AA84-('Team B 1'!E$2- 12.5)*'Team B 1'!$AC84</f>
        <v>37.890307004707893</v>
      </c>
      <c r="F84" s="1">
        <f>'Team B 1'!F84-'Team B 1'!$AA84-('Team B 1'!F$2- 12.5)*'Team B 1'!$AC84</f>
        <v>12.795368925720368</v>
      </c>
      <c r="G84" s="1">
        <f>'Team B 1'!G84-'Team B 1'!$AA84-('Team B 1'!G$2- 12.5)*'Team B 1'!$AC84</f>
        <v>27.700430846732843</v>
      </c>
      <c r="H84" s="1">
        <f>'Team B 1'!H84-'Team B 1'!$AA84-('Team B 1'!H$2- 12.5)*'Team B 1'!$AC84</f>
        <v>12.605492767745318</v>
      </c>
      <c r="I84" s="1">
        <f>'Team B 1'!I84-'Team B 1'!$AA84-('Team B 1'!I$2- 12.5)*'Team B 1'!$AC84</f>
        <v>-2.489445311242207</v>
      </c>
      <c r="J84" s="1">
        <f>'Team B 1'!J84-'Team B 1'!$AA84-('Team B 1'!J$2- 12.5)*'Team B 1'!$AC84</f>
        <v>12.415616609770268</v>
      </c>
      <c r="K84" s="1">
        <f>'Team B 1'!K84-'Team B 1'!$AA84-('Team B 1'!K$2- 12.5)*'Team B 1'!$AC84</f>
        <v>27.320678530782743</v>
      </c>
      <c r="L84" s="1">
        <f>'Team B 1'!L84-'Team B 1'!$AA84-('Team B 1'!L$2- 12.5)*'Team B 1'!$AC84</f>
        <v>-17.774259548204782</v>
      </c>
      <c r="M84" s="1">
        <f>'Team B 1'!M84-'Team B 1'!$AA84-('Team B 1'!M$2- 12.5)*'Team B 1'!$AC84</f>
        <v>-22.869197627192307</v>
      </c>
      <c r="N84" s="1">
        <f>'Team B 1'!N84-'Team B 1'!$AA84-('Team B 1'!N$2- 12.5)*'Team B 1'!$AC84</f>
        <v>12.035864293820168</v>
      </c>
      <c r="O84" s="1">
        <f>'Team B 1'!O84-'Team B 1'!$AA84-('Team B 1'!O$2- 12.5)*'Team B 1'!$AC84</f>
        <v>6.9409262148326434</v>
      </c>
      <c r="P84" s="1">
        <f>'Team B 1'!P84-'Team B 1'!$AA84-('Team B 1'!P$2- 12.5)*'Team B 1'!$AC84</f>
        <v>-38.154011864154882</v>
      </c>
      <c r="Q84" s="1">
        <f>'Team B 1'!Q84-'Team B 1'!$AA84-('Team B 1'!Q$2- 12.5)*'Team B 1'!$AC84</f>
        <v>-3.2489499431424065</v>
      </c>
      <c r="R84" s="1">
        <f>'Team B 1'!R84-'Team B 1'!$AA84-('Team B 1'!R$2- 12.5)*'Team B 1'!$AC84</f>
        <v>-28.343888022129931</v>
      </c>
      <c r="S84" s="1">
        <f>'Team B 1'!S84-'Team B 1'!$AA84-('Team B 1'!S$2- 12.5)*'Team B 1'!$AC84</f>
        <v>16.561173898882544</v>
      </c>
      <c r="T84" s="1">
        <f>'Team B 1'!T84-'Team B 1'!$AA84-('Team B 1'!T$2- 12.5)*'Team B 1'!$AC84</f>
        <v>11.466235819895019</v>
      </c>
      <c r="U84" s="1">
        <f>'Team B 1'!U84-'Team B 1'!$AA84-('Team B 1'!U$2- 12.5)*'Team B 1'!$AC84</f>
        <v>6.3712977409074938</v>
      </c>
      <c r="V84" s="1">
        <f>'Team B 1'!V84-'Team B 1'!$AA84-('Team B 1'!V$2- 12.5)*'Team B 1'!$AC84</f>
        <v>31.276359661919969</v>
      </c>
      <c r="W84" s="1">
        <f>'Team B 1'!W84-'Team B 1'!$AA84-('Team B 1'!W$2- 12.5)*'Team B 1'!$AC84</f>
        <v>6.1814215829324439</v>
      </c>
      <c r="X84" s="1">
        <f>'Team B 1'!X84-'Team B 1'!$AA84-('Team B 1'!X$2- 12.5)*'Team B 1'!$AC84</f>
        <v>-38.913516496055308</v>
      </c>
      <c r="Y84" s="1">
        <f>'Team B 1'!Y84-'Team B 1'!$AA84-('Team B 1'!Y$2- 12.5)*'Team B 1'!$AC84</f>
        <v>-14.008454575042379</v>
      </c>
      <c r="AB84" s="1">
        <f>STDEV(B84:Y84)</f>
        <v>22.415557233338657</v>
      </c>
      <c r="AD84" s="5" t="s">
        <v>46</v>
      </c>
      <c r="AE84" s="5">
        <v>5</v>
      </c>
      <c r="AF84" s="5">
        <v>2</v>
      </c>
      <c r="AG84" s="5" t="s">
        <v>47</v>
      </c>
      <c r="AH84" s="5">
        <v>7</v>
      </c>
      <c r="AI84" s="5">
        <v>9</v>
      </c>
      <c r="AJ84" s="5">
        <v>6</v>
      </c>
      <c r="AK84" s="5">
        <v>3</v>
      </c>
      <c r="AL84" s="5">
        <v>4</v>
      </c>
      <c r="AM84" s="5">
        <v>1</v>
      </c>
      <c r="AN84" s="5">
        <v>8</v>
      </c>
      <c r="AO84" s="5" t="s">
        <v>45</v>
      </c>
      <c r="AP84" s="5" t="s">
        <v>46</v>
      </c>
      <c r="AQ84" s="5">
        <v>2</v>
      </c>
      <c r="AR84" s="5">
        <v>5</v>
      </c>
      <c r="AS84" s="5">
        <v>7</v>
      </c>
      <c r="AT84" s="5" t="s">
        <v>47</v>
      </c>
      <c r="AU84" s="5">
        <v>6</v>
      </c>
      <c r="AV84" s="5">
        <v>9</v>
      </c>
      <c r="AW84" s="5">
        <v>3</v>
      </c>
      <c r="AX84" s="5">
        <v>1</v>
      </c>
      <c r="AY84" s="5">
        <v>4</v>
      </c>
      <c r="AZ84" s="5" t="s">
        <v>45</v>
      </c>
      <c r="BA84" s="5">
        <v>8</v>
      </c>
      <c r="BB84" s="5"/>
      <c r="BC84" s="1">
        <f ca="1">OFFSET(A84,0, 10) -0</f>
        <v>27.320678530782743</v>
      </c>
      <c r="BD84" s="1">
        <f ca="1">OFFSET(A84,0, 3) -0</f>
        <v>-17.014754916304582</v>
      </c>
      <c r="BE84" s="1">
        <f ca="1">OFFSET(A84,0, 8) -0</f>
        <v>-2.489445311242207</v>
      </c>
      <c r="BF84" s="1">
        <f ca="1">OFFSET(A84,0, 9) -0</f>
        <v>12.415616609770268</v>
      </c>
      <c r="BG84" s="1">
        <f ca="1">OFFSET(A84,0, 2) -0</f>
        <v>-1.9198168373168301</v>
      </c>
      <c r="BH84" s="1">
        <f ca="1">OFFSET(A84,0, 7) -0</f>
        <v>12.605492767745318</v>
      </c>
      <c r="BI84" s="1">
        <f ca="1">OFFSET(A84,0, 5) -0</f>
        <v>12.795368925720368</v>
      </c>
      <c r="BJ84" s="1">
        <f ca="1">OFFSET(A84,0, 11) -0</f>
        <v>-17.774259548204782</v>
      </c>
      <c r="BK84" s="1">
        <f ca="1">OFFSET(A84,0, 6) -0</f>
        <v>27.700430846732843</v>
      </c>
      <c r="BL84" s="1">
        <f ca="1">OFFSET(A84,0, 12) -0</f>
        <v>-22.869197627192307</v>
      </c>
      <c r="BM84" s="1">
        <f ca="1">OFFSET(A84,0, 1) -0</f>
        <v>-36.82487875832976</v>
      </c>
      <c r="BN84" s="1">
        <f ca="1">OFFSET(A84,0, 4) -0</f>
        <v>37.890307004707893</v>
      </c>
      <c r="BO84" s="1">
        <f ca="1">OFFSET(A84,0, 21) -0</f>
        <v>31.276359661919969</v>
      </c>
      <c r="BP84" s="1">
        <f ca="1">OFFSET(A84,0, 14) -0</f>
        <v>6.9409262148326434</v>
      </c>
      <c r="BQ84" s="1">
        <f ca="1">OFFSET(A84,0, 20) -0</f>
        <v>6.3712977409074938</v>
      </c>
      <c r="BR84" s="1">
        <f ca="1">OFFSET(A84,0, 22) -0</f>
        <v>6.1814215829324439</v>
      </c>
      <c r="BS84" s="1">
        <f ca="1">OFFSET(A84,0, 15) -0</f>
        <v>-38.154011864154882</v>
      </c>
      <c r="BT84" s="1">
        <f ca="1">OFFSET(A84,0, 18) -0</f>
        <v>16.561173898882544</v>
      </c>
      <c r="BU84" s="1">
        <f ca="1">OFFSET(A84,0, 16) -0</f>
        <v>-3.2489499431424065</v>
      </c>
      <c r="BV84" s="1">
        <f ca="1">OFFSET(A84,0, 24) -0</f>
        <v>-14.008454575042379</v>
      </c>
      <c r="BW84" s="1">
        <f ca="1">OFFSET(A84,0, 19) -0</f>
        <v>11.466235819895019</v>
      </c>
      <c r="BX84" s="1">
        <f ca="1">OFFSET(A84,0, 23) -0</f>
        <v>-38.913516496055308</v>
      </c>
      <c r="BY84" s="1">
        <f ca="1">OFFSET(A84,0, 13) -0</f>
        <v>12.035864293820168</v>
      </c>
      <c r="BZ84" s="1">
        <f ca="1">OFFSET(A84,0, 17) -0</f>
        <v>-28.343888022129931</v>
      </c>
      <c r="CB84" s="1">
        <f>COUNTIF(B84,"&lt;-69")</f>
        <v>0</v>
      </c>
      <c r="CC84" s="1">
        <f ca="1">COUNTIF(BC84:BN84,"&lt;-49")</f>
        <v>0</v>
      </c>
      <c r="CD84" s="1">
        <f ca="1">COUNTIF(BC84:BN84,"&gt;+49")</f>
        <v>0</v>
      </c>
      <c r="CE84" s="1">
        <f ca="1">COUNTIF(BO84:BZ84,"&lt;-49")</f>
        <v>0</v>
      </c>
      <c r="CF84" s="1">
        <f ca="1">COUNTIF(BO84:BZ84,"&gt;+49")</f>
        <v>0</v>
      </c>
    </row>
    <row r="85" spans="1:84">
      <c r="A85" s="1">
        <v>82</v>
      </c>
      <c r="B85" s="1">
        <f>'Team B 1'!B85-'Team B 1'!$AA85-('Team B 1'!B$2- 12.5)*'Team B 1'!$AC85</f>
        <v>-7.8868992513243938</v>
      </c>
      <c r="C85" s="1">
        <f>'Team B 1'!C85-'Team B 1'!$AA85-('Team B 1'!C$2- 12.5)*'Team B 1'!$AC85</f>
        <v>6.6757296690793737</v>
      </c>
      <c r="D85" s="1">
        <f>'Team B 1'!D85-'Team B 1'!$AA85-('Team B 1'!D$2- 12.5)*'Team B 1'!$AC85</f>
        <v>11.238358589482459</v>
      </c>
      <c r="E85" s="1">
        <f>'Team B 1'!E85-'Team B 1'!$AA85-('Team B 1'!E$2- 12.5)*'Team B 1'!$AC85</f>
        <v>45.800987509885772</v>
      </c>
      <c r="F85" s="1">
        <f>'Team B 1'!F85-'Team B 1'!$AA85-('Team B 1'!F$2- 12.5)*'Team B 1'!$AC85</f>
        <v>20.363616430289085</v>
      </c>
      <c r="G85" s="1">
        <f>'Team B 1'!G85-'Team B 1'!$AA85-('Team B 1'!G$2- 12.5)*'Team B 1'!$AC85</f>
        <v>-25.073754649307602</v>
      </c>
      <c r="H85" s="1">
        <f>'Team B 1'!H85-'Team B 1'!$AA85-('Team B 1'!H$2- 12.5)*'Team B 1'!$AC85</f>
        <v>9.4888742710957104</v>
      </c>
      <c r="I85" s="1">
        <f>'Team B 1'!I85-'Team B 1'!$AA85-('Team B 1'!I$2- 12.5)*'Team B 1'!$AC85</f>
        <v>-15.948496808500977</v>
      </c>
      <c r="J85" s="1">
        <f>'Team B 1'!J85-'Team B 1'!$AA85-('Team B 1'!J$2- 12.5)*'Team B 1'!$AC85</f>
        <v>18.614132111902336</v>
      </c>
      <c r="K85" s="1">
        <f>'Team B 1'!K85-'Team B 1'!$AA85-('Team B 1'!K$2- 12.5)*'Team B 1'!$AC85</f>
        <v>23.176761032305649</v>
      </c>
      <c r="L85" s="1">
        <f>'Team B 1'!L85-'Team B 1'!$AA85-('Team B 1'!L$2- 12.5)*'Team B 1'!$AC85</f>
        <v>-32.260610047291038</v>
      </c>
      <c r="M85" s="1">
        <f>'Team B 1'!M85-'Team B 1'!$AA85-('Team B 1'!M$2- 12.5)*'Team B 1'!$AC85</f>
        <v>-7.6979811268877256</v>
      </c>
      <c r="N85" s="1">
        <f>'Team B 1'!N85-'Team B 1'!$AA85-('Team B 1'!N$2- 12.5)*'Team B 1'!$AC85</f>
        <v>16.864647793515587</v>
      </c>
      <c r="O85" s="1">
        <f>'Team B 1'!O85-'Team B 1'!$AA85-('Team B 1'!O$2- 12.5)*'Team B 1'!$AC85</f>
        <v>41.4272767139189</v>
      </c>
      <c r="P85" s="1">
        <f>'Team B 1'!P85-'Team B 1'!$AA85-('Team B 1'!P$2- 12.5)*'Team B 1'!$AC85</f>
        <v>5.9899056343222128</v>
      </c>
      <c r="Q85" s="1">
        <f>'Team B 1'!Q85-'Team B 1'!$AA85-('Team B 1'!Q$2- 12.5)*'Team B 1'!$AC85</f>
        <v>0.5525345547255256</v>
      </c>
      <c r="R85" s="1">
        <f>'Team B 1'!R85-'Team B 1'!$AA85-('Team B 1'!R$2- 12.5)*'Team B 1'!$AC85</f>
        <v>-4.8848365248711616</v>
      </c>
      <c r="S85" s="1">
        <f>'Team B 1'!S85-'Team B 1'!$AA85-('Team B 1'!S$2- 12.5)*'Team B 1'!$AC85</f>
        <v>-0.3222076044678488</v>
      </c>
      <c r="T85" s="1">
        <f>'Team B 1'!T85-'Team B 1'!$AA85-('Team B 1'!T$2- 12.5)*'Team B 1'!$AC85</f>
        <v>-45.759578684064536</v>
      </c>
      <c r="U85" s="1">
        <f>'Team B 1'!U85-'Team B 1'!$AA85-('Team B 1'!U$2- 12.5)*'Team B 1'!$AC85</f>
        <v>-21.196949763661223</v>
      </c>
      <c r="V85" s="1">
        <f>'Team B 1'!V85-'Team B 1'!$AA85-('Team B 1'!V$2- 12.5)*'Team B 1'!$AC85</f>
        <v>-36.63432084325791</v>
      </c>
      <c r="W85" s="1">
        <f>'Team B 1'!W85-'Team B 1'!$AA85-('Team B 1'!W$2- 12.5)*'Team B 1'!$AC85</f>
        <v>-2.0716919228545976</v>
      </c>
      <c r="X85" s="1">
        <f>'Team B 1'!X85-'Team B 1'!$AA85-('Team B 1'!X$2- 12.5)*'Team B 1'!$AC85</f>
        <v>2.4909369975484879</v>
      </c>
      <c r="Y85" s="1">
        <f>'Team B 1'!Y85-'Team B 1'!$AA85-('Team B 1'!Y$2- 12.5)*'Team B 1'!$AC85</f>
        <v>-2.9464340820477446</v>
      </c>
      <c r="AB85" s="1">
        <f>STDEV(B85:Y85)</f>
        <v>22.522938763374114</v>
      </c>
      <c r="AD85" s="5">
        <v>2</v>
      </c>
      <c r="AE85" s="5" t="s">
        <v>46</v>
      </c>
      <c r="AF85" s="5">
        <v>7</v>
      </c>
      <c r="AG85" s="5">
        <v>5</v>
      </c>
      <c r="AH85" s="5">
        <v>6</v>
      </c>
      <c r="AI85" s="5" t="s">
        <v>47</v>
      </c>
      <c r="AJ85" s="5">
        <v>3</v>
      </c>
      <c r="AK85" s="5">
        <v>9</v>
      </c>
      <c r="AL85" s="5">
        <v>4</v>
      </c>
      <c r="AM85" s="5">
        <v>1</v>
      </c>
      <c r="AN85" s="5">
        <v>8</v>
      </c>
      <c r="AO85" s="5" t="s">
        <v>45</v>
      </c>
      <c r="AP85" s="5" t="s">
        <v>46</v>
      </c>
      <c r="AQ85" s="5">
        <v>2</v>
      </c>
      <c r="AR85" s="5">
        <v>5</v>
      </c>
      <c r="AS85" s="5">
        <v>7</v>
      </c>
      <c r="AT85" s="5" t="s">
        <v>47</v>
      </c>
      <c r="AU85" s="5">
        <v>6</v>
      </c>
      <c r="AV85" s="5">
        <v>9</v>
      </c>
      <c r="AW85" s="5">
        <v>3</v>
      </c>
      <c r="AX85" s="5">
        <v>4</v>
      </c>
      <c r="AY85" s="5">
        <v>8</v>
      </c>
      <c r="AZ85" s="5">
        <v>1</v>
      </c>
      <c r="BA85" s="5" t="s">
        <v>45</v>
      </c>
      <c r="BB85" s="5"/>
      <c r="BC85" s="1">
        <f ca="1">OFFSET(A85,0, 10) -0</f>
        <v>23.176761032305649</v>
      </c>
      <c r="BD85" s="1">
        <f ca="1">OFFSET(A85,0, 1) -0</f>
        <v>-7.8868992513243938</v>
      </c>
      <c r="BE85" s="1">
        <f ca="1">OFFSET(A85,0, 7) -0</f>
        <v>9.4888742710957104</v>
      </c>
      <c r="BF85" s="1">
        <f ca="1">OFFSET(A85,0, 9) -0</f>
        <v>18.614132111902336</v>
      </c>
      <c r="BG85" s="1">
        <f ca="1">OFFSET(A85,0, 4) -0</f>
        <v>45.800987509885772</v>
      </c>
      <c r="BH85" s="1">
        <f ca="1">OFFSET(A85,0, 5) -0</f>
        <v>20.363616430289085</v>
      </c>
      <c r="BI85" s="1">
        <f ca="1">OFFSET(A85,0, 3) -0</f>
        <v>11.238358589482459</v>
      </c>
      <c r="BJ85" s="1">
        <f ca="1">OFFSET(A85,0, 11) -0</f>
        <v>-32.260610047291038</v>
      </c>
      <c r="BK85" s="1">
        <f ca="1">OFFSET(A85,0, 8) -0</f>
        <v>-15.948496808500977</v>
      </c>
      <c r="BL85" s="1">
        <f ca="1">OFFSET(A85,0, 12) -0</f>
        <v>-7.6979811268877256</v>
      </c>
      <c r="BM85" s="1">
        <f ca="1">OFFSET(A85,0, 2) -0</f>
        <v>6.6757296690793737</v>
      </c>
      <c r="BN85" s="1">
        <f ca="1">OFFSET(A85,0, 6) -0</f>
        <v>-25.073754649307602</v>
      </c>
      <c r="BO85" s="1">
        <f ca="1">OFFSET(A85,0, 23) -0</f>
        <v>2.4909369975484879</v>
      </c>
      <c r="BP85" s="1">
        <f ca="1">OFFSET(A85,0, 14) -0</f>
        <v>41.4272767139189</v>
      </c>
      <c r="BQ85" s="1">
        <f ca="1">OFFSET(A85,0, 20) -0</f>
        <v>-21.196949763661223</v>
      </c>
      <c r="BR85" s="1">
        <f ca="1">OFFSET(A85,0, 21) -0</f>
        <v>-36.63432084325791</v>
      </c>
      <c r="BS85" s="1">
        <f ca="1">OFFSET(A85,0, 15) -0</f>
        <v>5.9899056343222128</v>
      </c>
      <c r="BT85" s="1">
        <f ca="1">OFFSET(A85,0, 18) -0</f>
        <v>-0.3222076044678488</v>
      </c>
      <c r="BU85" s="1">
        <f ca="1">OFFSET(A85,0, 16) -0</f>
        <v>0.5525345547255256</v>
      </c>
      <c r="BV85" s="1">
        <f ca="1">OFFSET(A85,0, 22) -0</f>
        <v>-2.0716919228545976</v>
      </c>
      <c r="BW85" s="1">
        <f ca="1">OFFSET(A85,0, 19) -0</f>
        <v>-45.759578684064536</v>
      </c>
      <c r="BX85" s="1">
        <f ca="1">OFFSET(A85,0, 24) -0</f>
        <v>-2.9464340820477446</v>
      </c>
      <c r="BY85" s="1">
        <f ca="1">OFFSET(A85,0, 13) -0</f>
        <v>16.864647793515587</v>
      </c>
      <c r="BZ85" s="1">
        <f ca="1">OFFSET(A85,0, 17) -0</f>
        <v>-4.8848365248711616</v>
      </c>
      <c r="CB85" s="1">
        <f>COUNTIF(B85,"&lt;-69")</f>
        <v>0</v>
      </c>
      <c r="CC85" s="1">
        <f ca="1">COUNTIF(BC85:BN85,"&lt;-49")</f>
        <v>0</v>
      </c>
      <c r="CD85" s="1">
        <f ca="1">COUNTIF(BC85:BN85,"&gt;+49")</f>
        <v>0</v>
      </c>
      <c r="CE85" s="1">
        <f ca="1">COUNTIF(BO85:BZ85,"&lt;-49")</f>
        <v>0</v>
      </c>
      <c r="CF85" s="1">
        <f ca="1">COUNTIF(BO85:BZ85,"&gt;+49")</f>
        <v>0</v>
      </c>
    </row>
    <row r="86" spans="1:84">
      <c r="A86" s="1">
        <v>83</v>
      </c>
      <c r="B86" s="1">
        <f>'Team B 1'!B86-'Team B 1'!$AA86-('Team B 1'!B$2- 12.5)*'Team B 1'!$AC86</f>
        <v>-6.5367339163667566</v>
      </c>
      <c r="C86" s="1">
        <f>'Team B 1'!C86-'Team B 1'!$AA86-('Team B 1'!C$2- 12.5)*'Team B 1'!$AC86</f>
        <v>-11.656728068568555</v>
      </c>
      <c r="D86" s="1">
        <f>'Team B 1'!D86-'Team B 1'!$AA86-('Team B 1'!D$2- 12.5)*'Team B 1'!$AC86</f>
        <v>23.223277779229875</v>
      </c>
      <c r="E86" s="1">
        <f>'Team B 1'!E86-'Team B 1'!$AA86-('Team B 1'!E$2- 12.5)*'Team B 1'!$AC86</f>
        <v>18.103283627028304</v>
      </c>
      <c r="F86" s="1">
        <f>'Team B 1'!F86-'Team B 1'!$AA86-('Team B 1'!F$2- 12.5)*'Team B 1'!$AC86</f>
        <v>-17.016710525173494</v>
      </c>
      <c r="G86" s="1">
        <f>'Team B 1'!G86-'Team B 1'!$AA86-('Team B 1'!G$2- 12.5)*'Team B 1'!$AC86</f>
        <v>17.863295322624936</v>
      </c>
      <c r="H86" s="1">
        <f>'Team B 1'!H86-'Team B 1'!$AA86-('Team B 1'!H$2- 12.5)*'Team B 1'!$AC86</f>
        <v>-7.2566988295768624</v>
      </c>
      <c r="I86" s="1">
        <f>'Team B 1'!I86-'Team B 1'!$AA86-('Team B 1'!I$2- 12.5)*'Team B 1'!$AC86</f>
        <v>-22.376692981778433</v>
      </c>
      <c r="J86" s="1">
        <f>'Team B 1'!J86-'Team B 1'!$AA86-('Team B 1'!J$2- 12.5)*'Team B 1'!$AC86</f>
        <v>22.503312866019769</v>
      </c>
      <c r="K86" s="1">
        <f>'Team B 1'!K86-'Team B 1'!$AA86-('Team B 1'!K$2- 12.5)*'Team B 1'!$AC86</f>
        <v>27.383318713818142</v>
      </c>
      <c r="L86" s="1">
        <f>'Team B 1'!L86-'Team B 1'!$AA86-('Team B 1'!L$2- 12.5)*'Team B 1'!$AC86</f>
        <v>12.263324561616457</v>
      </c>
      <c r="M86" s="1">
        <f>'Team B 1'!M86-'Team B 1'!$AA86-('Team B 1'!M$2- 12.5)*'Team B 1'!$AC86</f>
        <v>7.1433304094147729</v>
      </c>
      <c r="N86" s="1">
        <f>'Team B 1'!N86-'Team B 1'!$AA86-('Team B 1'!N$2- 12.5)*'Team B 1'!$AC86</f>
        <v>2.0233362572130886</v>
      </c>
      <c r="O86" s="1">
        <f>'Team B 1'!O86-'Team B 1'!$AA86-('Team B 1'!O$2- 12.5)*'Team B 1'!$AC86</f>
        <v>6.9033421050114043</v>
      </c>
      <c r="P86" s="1">
        <f>'Team B 1'!P86-'Team B 1'!$AA86-('Team B 1'!P$2- 12.5)*'Team B 1'!$AC86</f>
        <v>1.78334795280972</v>
      </c>
      <c r="Q86" s="1">
        <f>'Team B 1'!Q86-'Team B 1'!$AA86-('Team B 1'!Q$2- 12.5)*'Team B 1'!$AC86</f>
        <v>-23.336646199391907</v>
      </c>
      <c r="R86" s="1">
        <f>'Team B 1'!R86-'Team B 1'!$AA86-('Team B 1'!R$2- 12.5)*'Team B 1'!$AC86</f>
        <v>-28.456640351593705</v>
      </c>
      <c r="S86" s="1">
        <f>'Team B 1'!S86-'Team B 1'!$AA86-('Team B 1'!S$2- 12.5)*'Team B 1'!$AC86</f>
        <v>-3.576634503795276</v>
      </c>
      <c r="T86" s="1">
        <f>'Team B 1'!T86-'Team B 1'!$AA86-('Team B 1'!T$2- 12.5)*'Team B 1'!$AC86</f>
        <v>11.303371344002926</v>
      </c>
      <c r="U86" s="1">
        <f>'Team B 1'!U86-'Team B 1'!$AA86-('Team B 1'!U$2- 12.5)*'Team B 1'!$AC86</f>
        <v>-33.816622808198645</v>
      </c>
      <c r="V86" s="1">
        <f>'Team B 1'!V86-'Team B 1'!$AA86-('Team B 1'!V$2- 12.5)*'Team B 1'!$AC86</f>
        <v>-28.936616960400443</v>
      </c>
      <c r="W86" s="1">
        <f>'Team B 1'!W86-'Team B 1'!$AA86-('Team B 1'!W$2- 12.5)*'Team B 1'!$AC86</f>
        <v>-14.056611112602013</v>
      </c>
      <c r="X86" s="1">
        <f>'Team B 1'!X86-'Team B 1'!$AA86-('Team B 1'!X$2- 12.5)*'Team B 1'!$AC86</f>
        <v>10.823394735196416</v>
      </c>
      <c r="Y86" s="1">
        <f>'Team B 1'!Y86-'Team B 1'!$AA86-('Team B 1'!Y$2- 12.5)*'Team B 1'!$AC86</f>
        <v>35.703400582994618</v>
      </c>
      <c r="AB86" s="1">
        <f>STDEV(B86:Y86)</f>
        <v>19.544362194119529</v>
      </c>
      <c r="AD86" s="5">
        <v>2</v>
      </c>
      <c r="AE86" s="5" t="s">
        <v>46</v>
      </c>
      <c r="AF86" s="5">
        <v>7</v>
      </c>
      <c r="AG86" s="5">
        <v>5</v>
      </c>
      <c r="AH86" s="5">
        <v>6</v>
      </c>
      <c r="AI86" s="5" t="s">
        <v>47</v>
      </c>
      <c r="AJ86" s="5">
        <v>3</v>
      </c>
      <c r="AK86" s="5">
        <v>9</v>
      </c>
      <c r="AL86" s="5">
        <v>8</v>
      </c>
      <c r="AM86" s="5">
        <v>4</v>
      </c>
      <c r="AN86" s="5" t="s">
        <v>45</v>
      </c>
      <c r="AO86" s="5">
        <v>1</v>
      </c>
      <c r="AP86" s="5">
        <v>2</v>
      </c>
      <c r="AQ86" s="5">
        <v>7</v>
      </c>
      <c r="AR86" s="5" t="s">
        <v>46</v>
      </c>
      <c r="AS86" s="5">
        <v>6</v>
      </c>
      <c r="AT86" s="5">
        <v>5</v>
      </c>
      <c r="AU86" s="5">
        <v>3</v>
      </c>
      <c r="AV86" s="5" t="s">
        <v>47</v>
      </c>
      <c r="AW86" s="5">
        <v>8</v>
      </c>
      <c r="AX86" s="5">
        <v>9</v>
      </c>
      <c r="AY86" s="5">
        <v>4</v>
      </c>
      <c r="AZ86" s="5">
        <v>1</v>
      </c>
      <c r="BA86" s="5" t="s">
        <v>45</v>
      </c>
      <c r="BB86" s="5"/>
      <c r="BC86" s="1">
        <f ca="1">OFFSET(A86,0, 12) -0</f>
        <v>7.1433304094147729</v>
      </c>
      <c r="BD86" s="1">
        <f ca="1">OFFSET(A86,0, 1) -0</f>
        <v>-6.5367339163667566</v>
      </c>
      <c r="BE86" s="1">
        <f ca="1">OFFSET(A86,0, 7) -0</f>
        <v>-7.2566988295768624</v>
      </c>
      <c r="BF86" s="1">
        <f ca="1">OFFSET(A86,0, 10) -0</f>
        <v>27.383318713818142</v>
      </c>
      <c r="BG86" s="1">
        <f ca="1">OFFSET(A86,0, 4) -0</f>
        <v>18.103283627028304</v>
      </c>
      <c r="BH86" s="1">
        <f ca="1">OFFSET(A86,0, 5) -0</f>
        <v>-17.016710525173494</v>
      </c>
      <c r="BI86" s="1">
        <f ca="1">OFFSET(A86,0, 3) -0</f>
        <v>23.223277779229875</v>
      </c>
      <c r="BJ86" s="1">
        <f ca="1">OFFSET(A86,0, 9) -0</f>
        <v>22.503312866019769</v>
      </c>
      <c r="BK86" s="1">
        <f ca="1">OFFSET(A86,0, 8) -0</f>
        <v>-22.376692981778433</v>
      </c>
      <c r="BL86" s="1">
        <f ca="1">OFFSET(A86,0, 11) -0</f>
        <v>12.263324561616457</v>
      </c>
      <c r="BM86" s="1">
        <f ca="1">OFFSET(A86,0, 2) -0</f>
        <v>-11.656728068568555</v>
      </c>
      <c r="BN86" s="1">
        <f ca="1">OFFSET(A86,0, 6) -0</f>
        <v>17.863295322624936</v>
      </c>
      <c r="BO86" s="1">
        <f ca="1">OFFSET(A86,0, 23) -0</f>
        <v>10.823394735196416</v>
      </c>
      <c r="BP86" s="1">
        <f ca="1">OFFSET(A86,0, 13) -0</f>
        <v>2.0233362572130886</v>
      </c>
      <c r="BQ86" s="1">
        <f ca="1">OFFSET(A86,0, 18) -0</f>
        <v>-3.576634503795276</v>
      </c>
      <c r="BR86" s="1">
        <f ca="1">OFFSET(A86,0, 22) -0</f>
        <v>-14.056611112602013</v>
      </c>
      <c r="BS86" s="1">
        <f ca="1">OFFSET(A86,0, 17) -0</f>
        <v>-28.456640351593705</v>
      </c>
      <c r="BT86" s="1">
        <f ca="1">OFFSET(A86,0, 16) -0</f>
        <v>-23.336646199391907</v>
      </c>
      <c r="BU86" s="1">
        <f ca="1">OFFSET(A86,0, 14) -0</f>
        <v>6.9033421050114043</v>
      </c>
      <c r="BV86" s="1">
        <f ca="1">OFFSET(A86,0, 20) -0</f>
        <v>-33.816622808198645</v>
      </c>
      <c r="BW86" s="1">
        <f ca="1">OFFSET(A86,0, 21) -0</f>
        <v>-28.936616960400443</v>
      </c>
      <c r="BX86" s="1">
        <f ca="1">OFFSET(A86,0, 24) -0</f>
        <v>35.703400582994618</v>
      </c>
      <c r="BY86" s="1">
        <f ca="1">OFFSET(A86,0, 15) -0</f>
        <v>1.78334795280972</v>
      </c>
      <c r="BZ86" s="1">
        <f ca="1">OFFSET(A86,0, 19) -0</f>
        <v>11.303371344002926</v>
      </c>
      <c r="CB86" s="1">
        <f>COUNTIF(B86,"&lt;-69")</f>
        <v>0</v>
      </c>
      <c r="CC86" s="1">
        <f ca="1">COUNTIF(BC86:BN86,"&lt;-49")</f>
        <v>0</v>
      </c>
      <c r="CD86" s="1">
        <f ca="1">COUNTIF(BC86:BN86,"&gt;+49")</f>
        <v>0</v>
      </c>
      <c r="CE86" s="1">
        <f ca="1">COUNTIF(BO86:BZ86,"&lt;-49")</f>
        <v>0</v>
      </c>
      <c r="CF86" s="1">
        <f ca="1">COUNTIF(BO86:BZ86,"&gt;+49")</f>
        <v>0</v>
      </c>
    </row>
    <row r="87" spans="1:84">
      <c r="A87" s="1">
        <v>84</v>
      </c>
      <c r="B87" s="1">
        <f>'Team B 1'!B87-'Team B 1'!$AA87-('Team B 1'!B$2- 12.5)*'Team B 1'!$AC87</f>
        <v>24.008454575029191</v>
      </c>
      <c r="C87" s="1">
        <f>'Team B 1'!C87-'Team B 1'!$AA87-('Team B 1'!C$2- 12.5)*'Team B 1'!$AC87</f>
        <v>-11.08648350395697</v>
      </c>
      <c r="D87" s="1">
        <f>'Team B 1'!D87-'Team B 1'!$AA87-('Team B 1'!D$2- 12.5)*'Team B 1'!$AC87</f>
        <v>-16.181421582943585</v>
      </c>
      <c r="E87" s="1">
        <f>'Team B 1'!E87-'Team B 1'!$AA87-('Team B 1'!E$2- 12.5)*'Team B 1'!$AC87</f>
        <v>8.7236403380700267</v>
      </c>
      <c r="F87" s="1">
        <f>'Team B 1'!F87-'Team B 1'!$AA87-('Team B 1'!F$2- 12.5)*'Team B 1'!$AC87</f>
        <v>3.628702259083866</v>
      </c>
      <c r="G87" s="1">
        <f>'Team B 1'!G87-'Team B 1'!$AA87-('Team B 1'!G$2- 12.5)*'Team B 1'!$AC87</f>
        <v>18.533764180097478</v>
      </c>
      <c r="H87" s="1">
        <f>'Team B 1'!H87-'Team B 1'!$AA87-('Team B 1'!H$2- 12.5)*'Team B 1'!$AC87</f>
        <v>13.43882610111109</v>
      </c>
      <c r="I87" s="1">
        <f>'Team B 1'!I87-'Team B 1'!$AA87-('Team B 1'!I$2- 12.5)*'Team B 1'!$AC87</f>
        <v>28.343888022124702</v>
      </c>
      <c r="J87" s="1">
        <f>'Team B 1'!J87-'Team B 1'!$AA87-('Team B 1'!J$2- 12.5)*'Team B 1'!$AC87</f>
        <v>3.2489499431383138</v>
      </c>
      <c r="K87" s="1">
        <f>'Team B 1'!K87-'Team B 1'!$AA87-('Team B 1'!K$2- 12.5)*'Team B 1'!$AC87</f>
        <v>-21.845988135848017</v>
      </c>
      <c r="L87" s="1">
        <f>'Team B 1'!L87-'Team B 1'!$AA87-('Team B 1'!L$2- 12.5)*'Team B 1'!$AC87</f>
        <v>13.059073785165594</v>
      </c>
      <c r="M87" s="1">
        <f>'Team B 1'!M87-'Team B 1'!$AA87-('Team B 1'!M$2- 12.5)*'Team B 1'!$AC87</f>
        <v>-12.035864293820751</v>
      </c>
      <c r="N87" s="1">
        <f>'Team B 1'!N87-'Team B 1'!$AA87-('Team B 1'!N$2- 12.5)*'Team B 1'!$AC87</f>
        <v>22.869197627192889</v>
      </c>
      <c r="O87" s="1">
        <f>'Team B 1'!O87-'Team B 1'!$AA87-('Team B 1'!O$2- 12.5)*'Team B 1'!$AC87</f>
        <v>-2.225740451793456</v>
      </c>
      <c r="P87" s="1">
        <f>'Team B 1'!P87-'Team B 1'!$AA87-('Team B 1'!P$2- 12.5)*'Team B 1'!$AC87</f>
        <v>22.679321469220156</v>
      </c>
      <c r="Q87" s="1">
        <f>'Team B 1'!Q87-'Team B 1'!$AA87-('Team B 1'!Q$2- 12.5)*'Team B 1'!$AC87</f>
        <v>-12.415616609766175</v>
      </c>
      <c r="R87" s="1">
        <f>'Team B 1'!R87-'Team B 1'!$AA87-('Team B 1'!R$2- 12.5)*'Team B 1'!$AC87</f>
        <v>-47.510554688752563</v>
      </c>
      <c r="S87" s="1">
        <f>'Team B 1'!S87-'Team B 1'!$AA87-('Team B 1'!S$2- 12.5)*'Team B 1'!$AC87</f>
        <v>-12.605492767738951</v>
      </c>
      <c r="T87" s="1">
        <f>'Team B 1'!T87-'Team B 1'!$AA87-('Team B 1'!T$2- 12.5)*'Team B 1'!$AC87</f>
        <v>12.29956915327466</v>
      </c>
      <c r="U87" s="1">
        <f>'Team B 1'!U87-'Team B 1'!$AA87-('Team B 1'!U$2- 12.5)*'Team B 1'!$AC87</f>
        <v>17.204631074288272</v>
      </c>
      <c r="V87" s="1">
        <f>'Team B 1'!V87-'Team B 1'!$AA87-('Team B 1'!V$2- 12.5)*'Team B 1'!$AC87</f>
        <v>-7.8903070046978883</v>
      </c>
      <c r="W87" s="1">
        <f>'Team B 1'!W87-'Team B 1'!$AA87-('Team B 1'!W$2- 12.5)*'Team B 1'!$AC87</f>
        <v>-22.985245083684276</v>
      </c>
      <c r="X87" s="1">
        <f>'Team B 1'!X87-'Team B 1'!$AA87-('Team B 1'!X$2- 12.5)*'Team B 1'!$AC87</f>
        <v>-28.080183162670892</v>
      </c>
      <c r="Y87" s="1">
        <f>'Team B 1'!Y87-'Team B 1'!$AA87-('Team B 1'!Y$2- 12.5)*'Team B 1'!$AC87</f>
        <v>6.8248787583429475</v>
      </c>
      <c r="AB87" s="1">
        <f>STDEV(B87:Y87)</f>
        <v>19.411610052937665</v>
      </c>
      <c r="AD87" s="5">
        <v>7</v>
      </c>
      <c r="AE87" s="5">
        <v>2</v>
      </c>
      <c r="AF87" s="5">
        <v>6</v>
      </c>
      <c r="AG87" s="5" t="s">
        <v>46</v>
      </c>
      <c r="AH87" s="5">
        <v>3</v>
      </c>
      <c r="AI87" s="5">
        <v>5</v>
      </c>
      <c r="AJ87" s="5">
        <v>8</v>
      </c>
      <c r="AK87" s="5" t="s">
        <v>47</v>
      </c>
      <c r="AL87" s="5">
        <v>4</v>
      </c>
      <c r="AM87" s="5">
        <v>9</v>
      </c>
      <c r="AN87" s="5" t="s">
        <v>45</v>
      </c>
      <c r="AO87" s="5">
        <v>1</v>
      </c>
      <c r="AP87" s="5">
        <v>2</v>
      </c>
      <c r="AQ87" s="5">
        <v>7</v>
      </c>
      <c r="AR87" s="5" t="s">
        <v>46</v>
      </c>
      <c r="AS87" s="5">
        <v>6</v>
      </c>
      <c r="AT87" s="5">
        <v>5</v>
      </c>
      <c r="AU87" s="5">
        <v>3</v>
      </c>
      <c r="AV87" s="5" t="s">
        <v>47</v>
      </c>
      <c r="AW87" s="5">
        <v>8</v>
      </c>
      <c r="AX87" s="5">
        <v>9</v>
      </c>
      <c r="AY87" s="5">
        <v>4</v>
      </c>
      <c r="AZ87" s="5" t="s">
        <v>45</v>
      </c>
      <c r="BA87" s="5">
        <v>1</v>
      </c>
      <c r="BB87" s="5"/>
      <c r="BC87" s="1">
        <f ca="1">OFFSET(A87,0, 12) -0</f>
        <v>-12.035864293820751</v>
      </c>
      <c r="BD87" s="1">
        <f ca="1">OFFSET(A87,0, 2) -0</f>
        <v>-11.08648350395697</v>
      </c>
      <c r="BE87" s="1">
        <f ca="1">OFFSET(A87,0, 5) -0</f>
        <v>3.628702259083866</v>
      </c>
      <c r="BF87" s="1">
        <f ca="1">OFFSET(A87,0, 9) -0</f>
        <v>3.2489499431383138</v>
      </c>
      <c r="BG87" s="1">
        <f ca="1">OFFSET(A87,0, 6) -0</f>
        <v>18.533764180097478</v>
      </c>
      <c r="BH87" s="1">
        <f ca="1">OFFSET(A87,0, 3) -0</f>
        <v>-16.181421582943585</v>
      </c>
      <c r="BI87" s="1">
        <f ca="1">OFFSET(A87,0, 1) -0</f>
        <v>24.008454575029191</v>
      </c>
      <c r="BJ87" s="1">
        <f ca="1">OFFSET(A87,0, 7) -0</f>
        <v>13.43882610111109</v>
      </c>
      <c r="BK87" s="1">
        <f ca="1">OFFSET(A87,0, 10) -0</f>
        <v>-21.845988135848017</v>
      </c>
      <c r="BL87" s="1">
        <f ca="1">OFFSET(A87,0, 11) -0</f>
        <v>13.059073785165594</v>
      </c>
      <c r="BM87" s="1">
        <f ca="1">OFFSET(A87,0, 4) -0</f>
        <v>8.7236403380700267</v>
      </c>
      <c r="BN87" s="1">
        <f ca="1">OFFSET(A87,0, 8) -0</f>
        <v>28.343888022124702</v>
      </c>
      <c r="BO87" s="1">
        <f ca="1">OFFSET(A87,0, 24) -0</f>
        <v>6.8248787583429475</v>
      </c>
      <c r="BP87" s="1">
        <f ca="1">OFFSET(A87,0, 13) -0</f>
        <v>22.869197627192889</v>
      </c>
      <c r="BQ87" s="1">
        <f ca="1">OFFSET(A87,0, 18) -0</f>
        <v>-12.605492767738951</v>
      </c>
      <c r="BR87" s="1">
        <f ca="1">OFFSET(A87,0, 22) -0</f>
        <v>-22.985245083684276</v>
      </c>
      <c r="BS87" s="1">
        <f ca="1">OFFSET(A87,0, 17) -0</f>
        <v>-47.510554688752563</v>
      </c>
      <c r="BT87" s="1">
        <f ca="1">OFFSET(A87,0, 16) -0</f>
        <v>-12.415616609766175</v>
      </c>
      <c r="BU87" s="1">
        <f ca="1">OFFSET(A87,0, 14) -0</f>
        <v>-2.225740451793456</v>
      </c>
      <c r="BV87" s="1">
        <f ca="1">OFFSET(A87,0, 20) -0</f>
        <v>17.204631074288272</v>
      </c>
      <c r="BW87" s="1">
        <f ca="1">OFFSET(A87,0, 21) -0</f>
        <v>-7.8903070046978883</v>
      </c>
      <c r="BX87" s="1">
        <f ca="1">OFFSET(A87,0, 23) -0</f>
        <v>-28.080183162670892</v>
      </c>
      <c r="BY87" s="1">
        <f ca="1">OFFSET(A87,0, 15) -0</f>
        <v>22.679321469220156</v>
      </c>
      <c r="BZ87" s="1">
        <f ca="1">OFFSET(A87,0, 19) -0</f>
        <v>12.29956915327466</v>
      </c>
      <c r="CB87" s="1">
        <f>COUNTIF(B87,"&lt;-69")</f>
        <v>0</v>
      </c>
      <c r="CC87" s="1">
        <f ca="1">COUNTIF(BC87:BN87,"&lt;-49")</f>
        <v>0</v>
      </c>
      <c r="CD87" s="1">
        <f ca="1">COUNTIF(BC87:BN87,"&gt;+49")</f>
        <v>0</v>
      </c>
      <c r="CE87" s="1">
        <f ca="1">COUNTIF(BO87:BZ87,"&lt;-49")</f>
        <v>0</v>
      </c>
      <c r="CF87" s="1">
        <f ca="1">COUNTIF(BO87:BZ87,"&gt;+49")</f>
        <v>0</v>
      </c>
    </row>
    <row r="88" spans="1:84">
      <c r="A88" s="1">
        <v>85</v>
      </c>
      <c r="B88" s="1">
        <f>'Team B 1'!B88-'Team B 1'!$AA88-('Team B 1'!B$2- 12.5)*'Team B 1'!$AC88</f>
        <v>32.56361331085327</v>
      </c>
      <c r="C88" s="1">
        <f>'Team B 1'!C88-'Team B 1'!$AA88-('Team B 1'!C$2- 12.5)*'Team B 1'!$AC88</f>
        <v>47.268226646142921</v>
      </c>
      <c r="D88" s="1">
        <f>'Team B 1'!D88-'Team B 1'!$AA88-('Team B 1'!D$2- 12.5)*'Team B 1'!$AC88</f>
        <v>21.972839981432799</v>
      </c>
      <c r="E88" s="1">
        <f>'Team B 1'!E88-'Team B 1'!$AA88-('Team B 1'!E$2- 12.5)*'Team B 1'!$AC88</f>
        <v>-13.322546683277324</v>
      </c>
      <c r="F88" s="1">
        <f>'Team B 1'!F88-'Team B 1'!$AA88-('Team B 1'!F$2- 12.5)*'Team B 1'!$AC88</f>
        <v>-28.617933347987673</v>
      </c>
      <c r="G88" s="1">
        <f>'Team B 1'!G88-'Team B 1'!$AA88-('Team B 1'!G$2- 12.5)*'Team B 1'!$AC88</f>
        <v>26.086679987302205</v>
      </c>
      <c r="H88" s="1">
        <f>'Team B 1'!H88-'Team B 1'!$AA88-('Team B 1'!H$2- 12.5)*'Team B 1'!$AC88</f>
        <v>0.7912933225920824</v>
      </c>
      <c r="I88" s="1">
        <f>'Team B 1'!I88-'Team B 1'!$AA88-('Team B 1'!I$2- 12.5)*'Team B 1'!$AC88</f>
        <v>25.495906657881847</v>
      </c>
      <c r="J88" s="1">
        <f>'Team B 1'!J88-'Team B 1'!$AA88-('Team B 1'!J$2- 12.5)*'Team B 1'!$AC88</f>
        <v>10.200519993171724</v>
      </c>
      <c r="K88" s="1">
        <f>'Team B 1'!K88-'Team B 1'!$AA88-('Team B 1'!K$2- 12.5)*'Team B 1'!$AC88</f>
        <v>-5.0948666715385116</v>
      </c>
      <c r="L88" s="1">
        <f>'Team B 1'!L88-'Team B 1'!$AA88-('Team B 1'!L$2- 12.5)*'Team B 1'!$AC88</f>
        <v>-20.390253336248634</v>
      </c>
      <c r="M88" s="1">
        <f>'Team B 1'!M88-'Team B 1'!$AA88-('Team B 1'!M$2- 12.5)*'Team B 1'!$AC88</f>
        <v>-5.6856400009588413</v>
      </c>
      <c r="N88" s="1">
        <f>'Team B 1'!N88-'Team B 1'!$AA88-('Team B 1'!N$2- 12.5)*'Team B 1'!$AC88</f>
        <v>-10.98102666566902</v>
      </c>
      <c r="O88" s="1">
        <f>'Team B 1'!O88-'Team B 1'!$AA88-('Team B 1'!O$2- 12.5)*'Team B 1'!$AC88</f>
        <v>13.723586669620772</v>
      </c>
      <c r="P88" s="1">
        <f>'Team B 1'!P88-'Team B 1'!$AA88-('Team B 1'!P$2- 12.5)*'Team B 1'!$AC88</f>
        <v>8.42820000491065</v>
      </c>
      <c r="Q88" s="1">
        <f>'Team B 1'!Q88-'Team B 1'!$AA88-('Team B 1'!Q$2- 12.5)*'Team B 1'!$AC88</f>
        <v>13.132813340200414</v>
      </c>
      <c r="R88" s="1">
        <f>'Team B 1'!R88-'Team B 1'!$AA88-('Team B 1'!R$2- 12.5)*'Team B 1'!$AC88</f>
        <v>-22.162573324509708</v>
      </c>
      <c r="S88" s="1">
        <f>'Team B 1'!S88-'Team B 1'!$AA88-('Team B 1'!S$2- 12.5)*'Team B 1'!$AC88</f>
        <v>-17.457959989219944</v>
      </c>
      <c r="T88" s="1">
        <f>'Team B 1'!T88-'Team B 1'!$AA88-('Team B 1'!T$2- 12.5)*'Team B 1'!$AC88</f>
        <v>-12.753346653930066</v>
      </c>
      <c r="U88" s="1">
        <f>'Team B 1'!U88-'Team B 1'!$AA88-('Team B 1'!U$2- 12.5)*'Team B 1'!$AC88</f>
        <v>-28.048733318640188</v>
      </c>
      <c r="V88" s="1">
        <f>'Team B 1'!V88-'Team B 1'!$AA88-('Team B 1'!V$2- 12.5)*'Team B 1'!$AC88</f>
        <v>-13.344119983350538</v>
      </c>
      <c r="W88" s="1">
        <f>'Team B 1'!W88-'Team B 1'!$AA88-('Team B 1'!W$2- 12.5)*'Team B 1'!$AC88</f>
        <v>-8.6395066480606602</v>
      </c>
      <c r="X88" s="1">
        <f>'Team B 1'!X88-'Team B 1'!$AA88-('Team B 1'!X$2- 12.5)*'Team B 1'!$AC88</f>
        <v>-23.934893312770782</v>
      </c>
      <c r="Y88" s="1">
        <f>'Team B 1'!Y88-'Team B 1'!$AA88-('Team B 1'!Y$2- 12.5)*'Team B 1'!$AC88</f>
        <v>10.769720022518868</v>
      </c>
      <c r="AB88" s="1">
        <f>STDEV(B88:Y88)</f>
        <v>20.770561038927955</v>
      </c>
      <c r="AD88" s="5">
        <v>7</v>
      </c>
      <c r="AE88" s="5">
        <v>2</v>
      </c>
      <c r="AF88" s="5">
        <v>6</v>
      </c>
      <c r="AG88" s="5" t="s">
        <v>46</v>
      </c>
      <c r="AH88" s="5">
        <v>3</v>
      </c>
      <c r="AI88" s="5">
        <v>5</v>
      </c>
      <c r="AJ88" s="5">
        <v>8</v>
      </c>
      <c r="AK88" s="5" t="s">
        <v>47</v>
      </c>
      <c r="AL88" s="5">
        <v>4</v>
      </c>
      <c r="AM88" s="5">
        <v>9</v>
      </c>
      <c r="AN88" s="5">
        <v>1</v>
      </c>
      <c r="AO88" s="5" t="s">
        <v>45</v>
      </c>
      <c r="AP88" s="5">
        <v>7</v>
      </c>
      <c r="AQ88" s="5">
        <v>6</v>
      </c>
      <c r="AR88" s="5">
        <v>2</v>
      </c>
      <c r="AS88" s="5">
        <v>3</v>
      </c>
      <c r="AT88" s="5" t="s">
        <v>46</v>
      </c>
      <c r="AU88" s="5">
        <v>8</v>
      </c>
      <c r="AV88" s="5">
        <v>5</v>
      </c>
      <c r="AW88" s="5">
        <v>4</v>
      </c>
      <c r="AX88" s="5" t="s">
        <v>47</v>
      </c>
      <c r="AY88" s="5">
        <v>9</v>
      </c>
      <c r="AZ88" s="5" t="s">
        <v>45</v>
      </c>
      <c r="BA88" s="5">
        <v>1</v>
      </c>
      <c r="BB88" s="5"/>
      <c r="BC88" s="1">
        <f ca="1">OFFSET(A88,0, 11) -0</f>
        <v>-20.390253336248634</v>
      </c>
      <c r="BD88" s="1">
        <f ca="1">OFFSET(A88,0, 2) -0</f>
        <v>47.268226646142921</v>
      </c>
      <c r="BE88" s="1">
        <f ca="1">OFFSET(A88,0, 5) -0</f>
        <v>-28.617933347987673</v>
      </c>
      <c r="BF88" s="1">
        <f ca="1">OFFSET(A88,0, 9) -0</f>
        <v>10.200519993171724</v>
      </c>
      <c r="BG88" s="1">
        <f ca="1">OFFSET(A88,0, 6) -0</f>
        <v>26.086679987302205</v>
      </c>
      <c r="BH88" s="1">
        <f ca="1">OFFSET(A88,0, 3) -0</f>
        <v>21.972839981432799</v>
      </c>
      <c r="BI88" s="1">
        <f ca="1">OFFSET(A88,0, 1) -0</f>
        <v>32.56361331085327</v>
      </c>
      <c r="BJ88" s="1">
        <f ca="1">OFFSET(A88,0, 7) -0</f>
        <v>0.7912933225920824</v>
      </c>
      <c r="BK88" s="1">
        <f ca="1">OFFSET(A88,0, 10) -0</f>
        <v>-5.0948666715385116</v>
      </c>
      <c r="BL88" s="1">
        <f ca="1">OFFSET(A88,0, 12) -0</f>
        <v>-5.6856400009588413</v>
      </c>
      <c r="BM88" s="1">
        <f ca="1">OFFSET(A88,0, 4) -0</f>
        <v>-13.322546683277324</v>
      </c>
      <c r="BN88" s="1">
        <f ca="1">OFFSET(A88,0, 8) -0</f>
        <v>25.495906657881847</v>
      </c>
      <c r="BO88" s="1">
        <f ca="1">OFFSET(A88,0, 24) -0</f>
        <v>10.769720022518868</v>
      </c>
      <c r="BP88" s="1">
        <f ca="1">OFFSET(A88,0, 15) -0</f>
        <v>8.42820000491065</v>
      </c>
      <c r="BQ88" s="1">
        <f ca="1">OFFSET(A88,0, 16) -0</f>
        <v>13.132813340200414</v>
      </c>
      <c r="BR88" s="1">
        <f ca="1">OFFSET(A88,0, 20) -0</f>
        <v>-28.048733318640188</v>
      </c>
      <c r="BS88" s="1">
        <f ca="1">OFFSET(A88,0, 19) -0</f>
        <v>-12.753346653930066</v>
      </c>
      <c r="BT88" s="1">
        <f ca="1">OFFSET(A88,0, 14) -0</f>
        <v>13.723586669620772</v>
      </c>
      <c r="BU88" s="1">
        <f ca="1">OFFSET(A88,0, 13) -0</f>
        <v>-10.98102666566902</v>
      </c>
      <c r="BV88" s="1">
        <f ca="1">OFFSET(A88,0, 18) -0</f>
        <v>-17.457959989219944</v>
      </c>
      <c r="BW88" s="1">
        <f ca="1">OFFSET(A88,0, 22) -0</f>
        <v>-8.6395066480606602</v>
      </c>
      <c r="BX88" s="1">
        <f ca="1">OFFSET(A88,0, 23) -0</f>
        <v>-23.934893312770782</v>
      </c>
      <c r="BY88" s="1">
        <f ca="1">OFFSET(A88,0, 17) -0</f>
        <v>-22.162573324509708</v>
      </c>
      <c r="BZ88" s="1">
        <f ca="1">OFFSET(A88,0, 21) -0</f>
        <v>-13.344119983350538</v>
      </c>
      <c r="CB88" s="1">
        <f>COUNTIF(B88,"&lt;-69")</f>
        <v>0</v>
      </c>
      <c r="CC88" s="1">
        <f ca="1">COUNTIF(BC88:BN88,"&lt;-49")</f>
        <v>0</v>
      </c>
      <c r="CD88" s="1">
        <f ca="1">COUNTIF(BC88:BN88,"&gt;+49")</f>
        <v>0</v>
      </c>
      <c r="CE88" s="1">
        <f ca="1">COUNTIF(BO88:BZ88,"&lt;-49")</f>
        <v>0</v>
      </c>
      <c r="CF88" s="1">
        <f ca="1">COUNTIF(BO88:BZ88,"&gt;+49")</f>
        <v>0</v>
      </c>
    </row>
    <row r="89" spans="1:84">
      <c r="A89" s="1">
        <v>86</v>
      </c>
      <c r="B89" s="1">
        <f>'Team B 1'!B89-'Team B 1'!$AA89-('Team B 1'!B$2- 12.5)*'Team B 1'!$AC89</f>
        <v>33.877188047456457</v>
      </c>
      <c r="C89" s="1">
        <f>'Team B 1'!C89-'Team B 1'!$AA89-('Team B 1'!C$2- 12.5)*'Team B 1'!$AC89</f>
        <v>38.540041260721409</v>
      </c>
      <c r="D89" s="1">
        <f>'Team B 1'!D89-'Team B 1'!$AA89-('Team B 1'!D$2- 12.5)*'Team B 1'!$AC89</f>
        <v>53.202894473985907</v>
      </c>
      <c r="E89" s="1">
        <f>'Team B 1'!E89-'Team B 1'!$AA89-('Team B 1'!E$2- 12.5)*'Team B 1'!$AC89</f>
        <v>17.865747687250632</v>
      </c>
      <c r="F89" s="1">
        <f>'Team B 1'!F89-'Team B 1'!$AA89-('Team B 1'!F$2- 12.5)*'Team B 1'!$AC89</f>
        <v>22.52860090051513</v>
      </c>
      <c r="G89" s="1">
        <f>'Team B 1'!G89-'Team B 1'!$AA89-('Team B 1'!G$2- 12.5)*'Team B 1'!$AC89</f>
        <v>7.1914541137798551</v>
      </c>
      <c r="H89" s="1">
        <f>'Team B 1'!H89-'Team B 1'!$AA89-('Team B 1'!H$2- 12.5)*'Team B 1'!$AC89</f>
        <v>-18.14569267295542</v>
      </c>
      <c r="I89" s="1">
        <f>'Team B 1'!I89-'Team B 1'!$AA89-('Team B 1'!I$2- 12.5)*'Team B 1'!$AC89</f>
        <v>-23.482839459690922</v>
      </c>
      <c r="J89" s="1">
        <f>'Team B 1'!J89-'Team B 1'!$AA89-('Team B 1'!J$2- 12.5)*'Team B 1'!$AC89</f>
        <v>-38.819986246426197</v>
      </c>
      <c r="K89" s="1">
        <f>'Team B 1'!K89-'Team B 1'!$AA89-('Team B 1'!K$2- 12.5)*'Team B 1'!$AC89</f>
        <v>-14.157133033161585</v>
      </c>
      <c r="L89" s="1">
        <f>'Team B 1'!L89-'Team B 1'!$AA89-('Team B 1'!L$2- 12.5)*'Team B 1'!$AC89</f>
        <v>10.505720180103026</v>
      </c>
      <c r="M89" s="1">
        <f>'Team B 1'!M89-'Team B 1'!$AA89-('Team B 1'!M$2- 12.5)*'Team B 1'!$AC89</f>
        <v>15.16857339336768</v>
      </c>
      <c r="N89" s="1">
        <f>'Team B 1'!N89-'Team B 1'!$AA89-('Team B 1'!N$2- 12.5)*'Team B 1'!$AC89</f>
        <v>-0.16857339336768007</v>
      </c>
      <c r="O89" s="1">
        <f>'Team B 1'!O89-'Team B 1'!$AA89-('Team B 1'!O$2- 12.5)*'Team B 1'!$AC89</f>
        <v>4.494279819896974</v>
      </c>
      <c r="P89" s="1">
        <f>'Team B 1'!P89-'Team B 1'!$AA89-('Team B 1'!P$2- 12.5)*'Team B 1'!$AC89</f>
        <v>19.157133033161585</v>
      </c>
      <c r="Q89" s="1">
        <f>'Team B 1'!Q89-'Team B 1'!$AA89-('Team B 1'!Q$2- 12.5)*'Team B 1'!$AC89</f>
        <v>-16.180013753573803</v>
      </c>
      <c r="R89" s="1">
        <f>'Team B 1'!R89-'Team B 1'!$AA89-('Team B 1'!R$2- 12.5)*'Team B 1'!$AC89</f>
        <v>-21.517160540309078</v>
      </c>
      <c r="S89" s="1">
        <f>'Team B 1'!S89-'Team B 1'!$AA89-('Team B 1'!S$2- 12.5)*'Team B 1'!$AC89</f>
        <v>3.1456926729554198</v>
      </c>
      <c r="T89" s="1">
        <f>'Team B 1'!T89-'Team B 1'!$AA89-('Team B 1'!T$2- 12.5)*'Team B 1'!$AC89</f>
        <v>-22.191454113779855</v>
      </c>
      <c r="U89" s="1">
        <f>'Team B 1'!U89-'Team B 1'!$AA89-('Team B 1'!U$2- 12.5)*'Team B 1'!$AC89</f>
        <v>-27.52860090051513</v>
      </c>
      <c r="V89" s="1">
        <f>'Team B 1'!V89-'Team B 1'!$AA89-('Team B 1'!V$2- 12.5)*'Team B 1'!$AC89</f>
        <v>-32.865747687250632</v>
      </c>
      <c r="W89" s="1">
        <f>'Team B 1'!W89-'Team B 1'!$AA89-('Team B 1'!W$2- 12.5)*'Team B 1'!$AC89</f>
        <v>21.797105526014093</v>
      </c>
      <c r="X89" s="1">
        <f>'Team B 1'!X89-'Team B 1'!$AA89-('Team B 1'!X$2- 12.5)*'Team B 1'!$AC89</f>
        <v>-33.540041260721409</v>
      </c>
      <c r="Y89" s="1">
        <f>'Team B 1'!Y89-'Team B 1'!$AA89-('Team B 1'!Y$2- 12.5)*'Team B 1'!$AC89</f>
        <v>1.1228119525435432</v>
      </c>
      <c r="AB89" s="1">
        <f>STDEV(B89:Y89)</f>
        <v>24.955802474374615</v>
      </c>
      <c r="AD89" s="5">
        <v>6</v>
      </c>
      <c r="AE89" s="5">
        <v>7</v>
      </c>
      <c r="AF89" s="5">
        <v>3</v>
      </c>
      <c r="AG89" s="5">
        <v>2</v>
      </c>
      <c r="AH89" s="5">
        <v>8</v>
      </c>
      <c r="AI89" s="5" t="s">
        <v>46</v>
      </c>
      <c r="AJ89" s="5">
        <v>4</v>
      </c>
      <c r="AK89" s="5">
        <v>5</v>
      </c>
      <c r="AL89" s="5">
        <v>9</v>
      </c>
      <c r="AM89" s="5" t="s">
        <v>47</v>
      </c>
      <c r="AN89" s="5">
        <v>1</v>
      </c>
      <c r="AO89" s="5" t="s">
        <v>45</v>
      </c>
      <c r="AP89" s="5">
        <v>7</v>
      </c>
      <c r="AQ89" s="5">
        <v>6</v>
      </c>
      <c r="AR89" s="5">
        <v>2</v>
      </c>
      <c r="AS89" s="5">
        <v>3</v>
      </c>
      <c r="AT89" s="5" t="s">
        <v>46</v>
      </c>
      <c r="AU89" s="5">
        <v>8</v>
      </c>
      <c r="AV89" s="5">
        <v>5</v>
      </c>
      <c r="AW89" s="5">
        <v>4</v>
      </c>
      <c r="AX89" s="5">
        <v>9</v>
      </c>
      <c r="AY89" s="5">
        <v>1</v>
      </c>
      <c r="AZ89" s="5" t="s">
        <v>47</v>
      </c>
      <c r="BA89" s="5" t="s">
        <v>45</v>
      </c>
      <c r="BB89" s="5"/>
      <c r="BC89" s="1">
        <f ca="1">OFFSET(A89,0, 11) -0</f>
        <v>10.505720180103026</v>
      </c>
      <c r="BD89" s="1">
        <f ca="1">OFFSET(A89,0, 4) -0</f>
        <v>17.865747687250632</v>
      </c>
      <c r="BE89" s="1">
        <f ca="1">OFFSET(A89,0, 3) -0</f>
        <v>53.202894473985907</v>
      </c>
      <c r="BF89" s="1">
        <f ca="1">OFFSET(A89,0, 7) -0</f>
        <v>-18.14569267295542</v>
      </c>
      <c r="BG89" s="1">
        <f ca="1">OFFSET(A89,0, 8) -0</f>
        <v>-23.482839459690922</v>
      </c>
      <c r="BH89" s="1">
        <f ca="1">OFFSET(A89,0, 1) -0</f>
        <v>33.877188047456457</v>
      </c>
      <c r="BI89" s="1">
        <f ca="1">OFFSET(A89,0, 2) -0</f>
        <v>38.540041260721409</v>
      </c>
      <c r="BJ89" s="1">
        <f ca="1">OFFSET(A89,0, 5) -0</f>
        <v>22.52860090051513</v>
      </c>
      <c r="BK89" s="1">
        <f ca="1">OFFSET(A89,0, 9) -0</f>
        <v>-38.819986246426197</v>
      </c>
      <c r="BL89" s="1">
        <f ca="1">OFFSET(A89,0, 12) -0</f>
        <v>15.16857339336768</v>
      </c>
      <c r="BM89" s="1">
        <f ca="1">OFFSET(A89,0, 6) -0</f>
        <v>7.1914541137798551</v>
      </c>
      <c r="BN89" s="1">
        <f ca="1">OFFSET(A89,0, 10) -0</f>
        <v>-14.157133033161585</v>
      </c>
      <c r="BO89" s="1">
        <f ca="1">OFFSET(A89,0, 22) -0</f>
        <v>21.797105526014093</v>
      </c>
      <c r="BP89" s="1">
        <f ca="1">OFFSET(A89,0, 15) -0</f>
        <v>19.157133033161585</v>
      </c>
      <c r="BQ89" s="1">
        <f ca="1">OFFSET(A89,0, 16) -0</f>
        <v>-16.180013753573803</v>
      </c>
      <c r="BR89" s="1">
        <f ca="1">OFFSET(A89,0, 20) -0</f>
        <v>-27.52860090051513</v>
      </c>
      <c r="BS89" s="1">
        <f ca="1">OFFSET(A89,0, 19) -0</f>
        <v>-22.191454113779855</v>
      </c>
      <c r="BT89" s="1">
        <f ca="1">OFFSET(A89,0, 14) -0</f>
        <v>4.494279819896974</v>
      </c>
      <c r="BU89" s="1">
        <f ca="1">OFFSET(A89,0, 13) -0</f>
        <v>-0.16857339336768007</v>
      </c>
      <c r="BV89" s="1">
        <f ca="1">OFFSET(A89,0, 18) -0</f>
        <v>3.1456926729554198</v>
      </c>
      <c r="BW89" s="1">
        <f ca="1">OFFSET(A89,0, 21) -0</f>
        <v>-32.865747687250632</v>
      </c>
      <c r="BX89" s="1">
        <f ca="1">OFFSET(A89,0, 24) -0</f>
        <v>1.1228119525435432</v>
      </c>
      <c r="BY89" s="1">
        <f ca="1">OFFSET(A89,0, 17) -0</f>
        <v>-21.517160540309078</v>
      </c>
      <c r="BZ89" s="1">
        <f ca="1">OFFSET(A89,0, 23) -0</f>
        <v>-33.540041260721409</v>
      </c>
      <c r="CB89" s="1">
        <f>COUNTIF(B89,"&lt;-69")</f>
        <v>0</v>
      </c>
      <c r="CC89" s="1">
        <f ca="1">COUNTIF(BC89:BN89,"&lt;-49")</f>
        <v>0</v>
      </c>
      <c r="CD89" s="1">
        <f ca="1">COUNTIF(BC89:BN89,"&gt;+49")</f>
        <v>1</v>
      </c>
      <c r="CE89" s="1">
        <f ca="1">COUNTIF(BO89:BZ89,"&lt;-49")</f>
        <v>0</v>
      </c>
      <c r="CF89" s="1">
        <f ca="1">COUNTIF(BO89:BZ89,"&gt;+49")</f>
        <v>0</v>
      </c>
    </row>
    <row r="90" spans="1:84">
      <c r="A90" s="1">
        <v>87</v>
      </c>
      <c r="B90" s="1">
        <f>'Team B 1'!B90-'Team B 1'!$AA90-('Team B 1'!B$2- 12.5)*'Team B 1'!$AC90</f>
        <v>13.902799834332654</v>
      </c>
      <c r="C90" s="1">
        <f>'Team B 1'!C90-'Team B 1'!$AA90-('Team B 1'!C$2- 12.5)*'Team B 1'!$AC90</f>
        <v>18.056179558885106</v>
      </c>
      <c r="D90" s="1">
        <f>'Team B 1'!D90-'Team B 1'!$AA90-('Team B 1'!D$2- 12.5)*'Team B 1'!$AC90</f>
        <v>22.209559283437557</v>
      </c>
      <c r="E90" s="1">
        <f>'Team B 1'!E90-'Team B 1'!$AA90-('Team B 1'!E$2- 12.5)*'Team B 1'!$AC90</f>
        <v>36.362939007990008</v>
      </c>
      <c r="F90" s="1">
        <f>'Team B 1'!F90-'Team B 1'!$AA90-('Team B 1'!F$2- 12.5)*'Team B 1'!$AC90</f>
        <v>40.516318732542459</v>
      </c>
      <c r="G90" s="1">
        <f>'Team B 1'!G90-'Team B 1'!$AA90-('Team B 1'!G$2- 12.5)*'Team B 1'!$AC90</f>
        <v>-15.33030154290509</v>
      </c>
      <c r="H90" s="1">
        <f>'Team B 1'!H90-'Team B 1'!$AA90-('Team B 1'!H$2- 12.5)*'Team B 1'!$AC90</f>
        <v>-1.1769218183526391</v>
      </c>
      <c r="I90" s="1">
        <f>'Team B 1'!I90-'Team B 1'!$AA90-('Team B 1'!I$2- 12.5)*'Team B 1'!$AC90</f>
        <v>22.976457906199926</v>
      </c>
      <c r="J90" s="1">
        <f>'Team B 1'!J90-'Team B 1'!$AA90-('Team B 1'!J$2- 12.5)*'Team B 1'!$AC90</f>
        <v>17.129837630752377</v>
      </c>
      <c r="K90" s="1">
        <f>'Team B 1'!K90-'Team B 1'!$AA90-('Team B 1'!K$2- 12.5)*'Team B 1'!$AC90</f>
        <v>-18.716782644695115</v>
      </c>
      <c r="L90" s="1">
        <f>'Team B 1'!L90-'Team B 1'!$AA90-('Team B 1'!L$2- 12.5)*'Team B 1'!$AC90</f>
        <v>-14.563402920142664</v>
      </c>
      <c r="M90" s="1">
        <f>'Team B 1'!M90-'Team B 1'!$AA90-('Team B 1'!M$2- 12.5)*'Team B 1'!$AC90</f>
        <v>-0.41002319559017053</v>
      </c>
      <c r="N90" s="1">
        <f>'Team B 1'!N90-'Team B 1'!$AA90-('Team B 1'!N$2- 12.5)*'Team B 1'!$AC90</f>
        <v>-16.256643471037691</v>
      </c>
      <c r="O90" s="1">
        <f>'Team B 1'!O90-'Team B 1'!$AA90-('Team B 1'!O$2- 12.5)*'Team B 1'!$AC90</f>
        <v>17.896736253514803</v>
      </c>
      <c r="P90" s="1">
        <f>'Team B 1'!P90-'Team B 1'!$AA90-('Team B 1'!P$2- 12.5)*'Team B 1'!$AC90</f>
        <v>2.0501159780672538</v>
      </c>
      <c r="Q90" s="1">
        <f>'Team B 1'!Q90-'Team B 1'!$AA90-('Team B 1'!Q$2- 12.5)*'Team B 1'!$AC90</f>
        <v>16.203495702619762</v>
      </c>
      <c r="R90" s="1">
        <f>'Team B 1'!R90-'Team B 1'!$AA90-('Team B 1'!R$2- 12.5)*'Team B 1'!$AC90</f>
        <v>30.356875427172213</v>
      </c>
      <c r="S90" s="1">
        <f>'Team B 1'!S90-'Team B 1'!$AA90-('Team B 1'!S$2- 12.5)*'Team B 1'!$AC90</f>
        <v>4.5102551517247775</v>
      </c>
      <c r="T90" s="1">
        <f>'Team B 1'!T90-'Team B 1'!$AA90-('Team B 1'!T$2- 12.5)*'Team B 1'!$AC90</f>
        <v>-41.336365123722771</v>
      </c>
      <c r="U90" s="1">
        <f>'Team B 1'!U90-'Team B 1'!$AA90-('Team B 1'!U$2- 12.5)*'Team B 1'!$AC90</f>
        <v>-37.18298539917032</v>
      </c>
      <c r="V90" s="1">
        <f>'Team B 1'!V90-'Team B 1'!$AA90-('Team B 1'!V$2- 12.5)*'Team B 1'!$AC90</f>
        <v>-63.029605674617869</v>
      </c>
      <c r="W90" s="1">
        <f>'Team B 1'!W90-'Team B 1'!$AA90-('Team B 1'!W$2- 12.5)*'Team B 1'!$AC90</f>
        <v>21.123774049934582</v>
      </c>
      <c r="X90" s="1">
        <f>'Team B 1'!X90-'Team B 1'!$AA90-('Team B 1'!X$2- 12.5)*'Team B 1'!$AC90</f>
        <v>-34.722846225512967</v>
      </c>
      <c r="Y90" s="1">
        <f>'Team B 1'!Y90-'Team B 1'!$AA90-('Team B 1'!Y$2- 12.5)*'Team B 1'!$AC90</f>
        <v>-20.569466500960516</v>
      </c>
      <c r="AB90" s="1">
        <f>STDEV(B90:Y90)</f>
        <v>26.807646618027473</v>
      </c>
      <c r="AD90" s="5">
        <v>6</v>
      </c>
      <c r="AE90" s="5">
        <v>7</v>
      </c>
      <c r="AF90" s="5">
        <v>3</v>
      </c>
      <c r="AG90" s="5">
        <v>2</v>
      </c>
      <c r="AH90" s="5">
        <v>8</v>
      </c>
      <c r="AI90" s="5" t="s">
        <v>46</v>
      </c>
      <c r="AJ90" s="5">
        <v>4</v>
      </c>
      <c r="AK90" s="5">
        <v>5</v>
      </c>
      <c r="AL90" s="5">
        <v>1</v>
      </c>
      <c r="AM90" s="5">
        <v>9</v>
      </c>
      <c r="AN90" s="5" t="s">
        <v>45</v>
      </c>
      <c r="AO90" s="5" t="s">
        <v>47</v>
      </c>
      <c r="AP90" s="5">
        <v>6</v>
      </c>
      <c r="AQ90" s="5">
        <v>3</v>
      </c>
      <c r="AR90" s="5">
        <v>7</v>
      </c>
      <c r="AS90" s="5">
        <v>8</v>
      </c>
      <c r="AT90" s="5">
        <v>2</v>
      </c>
      <c r="AU90" s="5">
        <v>4</v>
      </c>
      <c r="AV90" s="5" t="s">
        <v>46</v>
      </c>
      <c r="AW90" s="5">
        <v>5</v>
      </c>
      <c r="AX90" s="5">
        <v>9</v>
      </c>
      <c r="AY90" s="5">
        <v>1</v>
      </c>
      <c r="AZ90" s="5" t="s">
        <v>47</v>
      </c>
      <c r="BA90" s="5" t="s">
        <v>45</v>
      </c>
      <c r="BB90" s="5"/>
      <c r="BC90" s="1">
        <f ca="1">OFFSET(A90,0, 9) -0</f>
        <v>17.129837630752377</v>
      </c>
      <c r="BD90" s="1">
        <f ca="1">OFFSET(A90,0, 4) -0</f>
        <v>36.362939007990008</v>
      </c>
      <c r="BE90" s="1">
        <f ca="1">OFFSET(A90,0, 3) -0</f>
        <v>22.209559283437557</v>
      </c>
      <c r="BF90" s="1">
        <f ca="1">OFFSET(A90,0, 7) -0</f>
        <v>-1.1769218183526391</v>
      </c>
      <c r="BG90" s="1">
        <f ca="1">OFFSET(A90,0, 8) -0</f>
        <v>22.976457906199926</v>
      </c>
      <c r="BH90" s="1">
        <f ca="1">OFFSET(A90,0, 1) -0</f>
        <v>13.902799834332654</v>
      </c>
      <c r="BI90" s="1">
        <f ca="1">OFFSET(A90,0, 2) -0</f>
        <v>18.056179558885106</v>
      </c>
      <c r="BJ90" s="1">
        <f ca="1">OFFSET(A90,0, 5) -0</f>
        <v>40.516318732542459</v>
      </c>
      <c r="BK90" s="1">
        <f ca="1">OFFSET(A90,0, 10) -0</f>
        <v>-18.716782644695115</v>
      </c>
      <c r="BL90" s="1">
        <f ca="1">OFFSET(A90,0, 11) -0</f>
        <v>-14.563402920142664</v>
      </c>
      <c r="BM90" s="1">
        <f ca="1">OFFSET(A90,0, 6) -0</f>
        <v>-15.33030154290509</v>
      </c>
      <c r="BN90" s="1">
        <f ca="1">OFFSET(A90,0, 12) -0</f>
        <v>-0.41002319559017053</v>
      </c>
      <c r="BO90" s="1">
        <f ca="1">OFFSET(A90,0, 22) -0</f>
        <v>21.123774049934582</v>
      </c>
      <c r="BP90" s="1">
        <f ca="1">OFFSET(A90,0, 17) -0</f>
        <v>30.356875427172213</v>
      </c>
      <c r="BQ90" s="1">
        <f ca="1">OFFSET(A90,0, 14) -0</f>
        <v>17.896736253514803</v>
      </c>
      <c r="BR90" s="1">
        <f ca="1">OFFSET(A90,0, 18) -0</f>
        <v>4.5102551517247775</v>
      </c>
      <c r="BS90" s="1">
        <f ca="1">OFFSET(A90,0, 20) -0</f>
        <v>-37.18298539917032</v>
      </c>
      <c r="BT90" s="1">
        <f ca="1">OFFSET(A90,0, 13) -0</f>
        <v>-16.256643471037691</v>
      </c>
      <c r="BU90" s="1">
        <f ca="1">OFFSET(A90,0, 15) -0</f>
        <v>2.0501159780672538</v>
      </c>
      <c r="BV90" s="1">
        <f ca="1">OFFSET(A90,0, 16) -0</f>
        <v>16.203495702619762</v>
      </c>
      <c r="BW90" s="1">
        <f ca="1">OFFSET(A90,0, 21) -0</f>
        <v>-63.029605674617869</v>
      </c>
      <c r="BX90" s="1">
        <f ca="1">OFFSET(A90,0, 24) -0</f>
        <v>-20.569466500960516</v>
      </c>
      <c r="BY90" s="1">
        <f ca="1">OFFSET(A90,0, 19) -0</f>
        <v>-41.336365123722771</v>
      </c>
      <c r="BZ90" s="1">
        <f ca="1">OFFSET(A90,0, 23) -0</f>
        <v>-34.722846225512967</v>
      </c>
      <c r="CB90" s="1">
        <f>COUNTIF(B90,"&lt;-69")</f>
        <v>0</v>
      </c>
      <c r="CC90" s="1">
        <f ca="1">COUNTIF(BC90:BN90,"&lt;-49")</f>
        <v>0</v>
      </c>
      <c r="CD90" s="1">
        <f ca="1">COUNTIF(BC90:BN90,"&gt;+49")</f>
        <v>0</v>
      </c>
      <c r="CE90" s="1">
        <f ca="1">COUNTIF(BO90:BZ90,"&lt;-49")</f>
        <v>1</v>
      </c>
      <c r="CF90" s="1">
        <f ca="1">COUNTIF(BO90:BZ90,"&gt;+49")</f>
        <v>0</v>
      </c>
    </row>
    <row r="91" spans="1:84">
      <c r="A91" s="1">
        <v>88</v>
      </c>
      <c r="B91" s="1">
        <f>'Team B 1'!B91-'Team B 1'!$AA91-('Team B 1'!B$2- 12.5)*'Team B 1'!$AC91</f>
        <v>2.2009149207237897</v>
      </c>
      <c r="C91" s="1">
        <f>'Team B 1'!C91-'Team B 1'!$AA91-('Team B 1'!C$2- 12.5)*'Team B 1'!$AC91</f>
        <v>6.103733913123051</v>
      </c>
      <c r="D91" s="1">
        <f>'Team B 1'!D91-'Team B 1'!$AA91-('Team B 1'!D$2- 12.5)*'Team B 1'!$AC91</f>
        <v>20.006552905522085</v>
      </c>
      <c r="E91" s="1">
        <f>'Team B 1'!E91-'Team B 1'!$AA91-('Team B 1'!E$2- 12.5)*'Team B 1'!$AC91</f>
        <v>63.909371897921119</v>
      </c>
      <c r="F91" s="1">
        <f>'Team B 1'!F91-'Team B 1'!$AA91-('Team B 1'!F$2- 12.5)*'Team B 1'!$AC91</f>
        <v>57.81219089032038</v>
      </c>
      <c r="G91" s="1">
        <f>'Team B 1'!G91-'Team B 1'!$AA91-('Team B 1'!G$2- 12.5)*'Team B 1'!$AC91</f>
        <v>31.715009882719414</v>
      </c>
      <c r="H91" s="1">
        <f>'Team B 1'!H91-'Team B 1'!$AA91-('Team B 1'!H$2- 12.5)*'Team B 1'!$AC91</f>
        <v>-24.382171124881324</v>
      </c>
      <c r="I91" s="1">
        <f>'Team B 1'!I91-'Team B 1'!$AA91-('Team B 1'!I$2- 12.5)*'Team B 1'!$AC91</f>
        <v>9.5206478675177095</v>
      </c>
      <c r="J91" s="1">
        <f>'Team B 1'!J91-'Team B 1'!$AA91-('Team B 1'!J$2- 12.5)*'Team B 1'!$AC91</f>
        <v>-26.576533140083029</v>
      </c>
      <c r="K91" s="1">
        <f>'Team B 1'!K91-'Team B 1'!$AA91-('Team B 1'!K$2- 12.5)*'Team B 1'!$AC91</f>
        <v>-12.673714147683938</v>
      </c>
      <c r="L91" s="1">
        <f>'Team B 1'!L91-'Team B 1'!$AA91-('Team B 1'!L$2- 12.5)*'Team B 1'!$AC91</f>
        <v>-58.770895155284791</v>
      </c>
      <c r="M91" s="1">
        <f>'Team B 1'!M91-'Team B 1'!$AA91-('Team B 1'!M$2- 12.5)*'Team B 1'!$AC91</f>
        <v>-4.868076162885643</v>
      </c>
      <c r="N91" s="1">
        <f>'Team B 1'!N91-'Team B 1'!$AA91-('Team B 1'!N$2- 12.5)*'Team B 1'!$AC91</f>
        <v>29.034742829513505</v>
      </c>
      <c r="O91" s="1">
        <f>'Team B 1'!O91-'Team B 1'!$AA91-('Team B 1'!O$2- 12.5)*'Team B 1'!$AC91</f>
        <v>-7.0624381780873478</v>
      </c>
      <c r="P91" s="1">
        <f>'Team B 1'!P91-'Team B 1'!$AA91-('Team B 1'!P$2- 12.5)*'Team B 1'!$AC91</f>
        <v>16.8403808143118</v>
      </c>
      <c r="Q91" s="1">
        <f>'Team B 1'!Q91-'Team B 1'!$AA91-('Team B 1'!Q$2- 12.5)*'Team B 1'!$AC91</f>
        <v>10.743199806710891</v>
      </c>
      <c r="R91" s="1">
        <f>'Team B 1'!R91-'Team B 1'!$AA91-('Team B 1'!R$2- 12.5)*'Team B 1'!$AC91</f>
        <v>14.646018799110152</v>
      </c>
      <c r="S91" s="1">
        <f>'Team B 1'!S91-'Team B 1'!$AA91-('Team B 1'!S$2- 12.5)*'Team B 1'!$AC91</f>
        <v>8.548837791509186</v>
      </c>
      <c r="T91" s="1">
        <f>'Team B 1'!T91-'Team B 1'!$AA91-('Team B 1'!T$2- 12.5)*'Team B 1'!$AC91</f>
        <v>-7.5483432160915527</v>
      </c>
      <c r="U91" s="1">
        <f>'Team B 1'!U91-'Team B 1'!$AA91-('Team B 1'!U$2- 12.5)*'Team B 1'!$AC91</f>
        <v>-13.645524223692519</v>
      </c>
      <c r="V91" s="1">
        <f>'Team B 1'!V91-'Team B 1'!$AA91-('Team B 1'!V$2- 12.5)*'Team B 1'!$AC91</f>
        <v>10.257294768706743</v>
      </c>
      <c r="W91" s="1">
        <f>'Team B 1'!W91-'Team B 1'!$AA91-('Team B 1'!W$2- 12.5)*'Team B 1'!$AC91</f>
        <v>-65.839886238894223</v>
      </c>
      <c r="X91" s="1">
        <f>'Team B 1'!X91-'Team B 1'!$AA91-('Team B 1'!X$2- 12.5)*'Team B 1'!$AC91</f>
        <v>-41.937067246495189</v>
      </c>
      <c r="Y91" s="1">
        <f>'Team B 1'!Y91-'Team B 1'!$AA91-('Team B 1'!Y$2- 12.5)*'Team B 1'!$AC91</f>
        <v>-18.034248254095928</v>
      </c>
      <c r="AB91" s="1">
        <f>STDEV(B91:Y91)</f>
        <v>31.103875829383416</v>
      </c>
      <c r="AD91" s="5">
        <v>3</v>
      </c>
      <c r="AE91" s="5">
        <v>6</v>
      </c>
      <c r="AF91" s="5">
        <v>8</v>
      </c>
      <c r="AG91" s="5">
        <v>7</v>
      </c>
      <c r="AH91" s="5">
        <v>4</v>
      </c>
      <c r="AI91" s="5">
        <v>2</v>
      </c>
      <c r="AJ91" s="5">
        <v>5</v>
      </c>
      <c r="AK91" s="5" t="s">
        <v>46</v>
      </c>
      <c r="AL91" s="5">
        <v>1</v>
      </c>
      <c r="AM91" s="5">
        <v>9</v>
      </c>
      <c r="AN91" s="5" t="s">
        <v>45</v>
      </c>
      <c r="AO91" s="5" t="s">
        <v>47</v>
      </c>
      <c r="AP91" s="5">
        <v>6</v>
      </c>
      <c r="AQ91" s="5">
        <v>3</v>
      </c>
      <c r="AR91" s="5">
        <v>7</v>
      </c>
      <c r="AS91" s="5">
        <v>8</v>
      </c>
      <c r="AT91" s="5">
        <v>2</v>
      </c>
      <c r="AU91" s="5">
        <v>4</v>
      </c>
      <c r="AV91" s="5">
        <v>5</v>
      </c>
      <c r="AW91" s="5">
        <v>1</v>
      </c>
      <c r="AX91" s="5" t="s">
        <v>46</v>
      </c>
      <c r="AY91" s="5">
        <v>9</v>
      </c>
      <c r="AZ91" s="5" t="s">
        <v>47</v>
      </c>
      <c r="BA91" s="5" t="s">
        <v>45</v>
      </c>
      <c r="BB91" s="5"/>
      <c r="BC91" s="1">
        <f ca="1">OFFSET(A91,0, 9) -0</f>
        <v>-26.576533140083029</v>
      </c>
      <c r="BD91" s="1">
        <f ca="1">OFFSET(A91,0, 6) -0</f>
        <v>31.715009882719414</v>
      </c>
      <c r="BE91" s="1">
        <f ca="1">OFFSET(A91,0, 1) -0</f>
        <v>2.2009149207237897</v>
      </c>
      <c r="BF91" s="1">
        <f ca="1">OFFSET(A91,0, 5) -0</f>
        <v>57.81219089032038</v>
      </c>
      <c r="BG91" s="1">
        <f ca="1">OFFSET(A91,0, 7) -0</f>
        <v>-24.382171124881324</v>
      </c>
      <c r="BH91" s="1">
        <f ca="1">OFFSET(A91,0, 2) -0</f>
        <v>6.103733913123051</v>
      </c>
      <c r="BI91" s="1">
        <f ca="1">OFFSET(A91,0, 4) -0</f>
        <v>63.909371897921119</v>
      </c>
      <c r="BJ91" s="1">
        <f ca="1">OFFSET(A91,0, 3) -0</f>
        <v>20.006552905522085</v>
      </c>
      <c r="BK91" s="1">
        <f ca="1">OFFSET(A91,0, 10) -0</f>
        <v>-12.673714147683938</v>
      </c>
      <c r="BL91" s="1">
        <f ca="1">OFFSET(A91,0, 11) -0</f>
        <v>-58.770895155284791</v>
      </c>
      <c r="BM91" s="1">
        <f ca="1">OFFSET(A91,0, 8) -0</f>
        <v>9.5206478675177095</v>
      </c>
      <c r="BN91" s="1">
        <f ca="1">OFFSET(A91,0, 12) -0</f>
        <v>-4.868076162885643</v>
      </c>
      <c r="BO91" s="1">
        <f ca="1">OFFSET(A91,0, 20) -0</f>
        <v>-13.645524223692519</v>
      </c>
      <c r="BP91" s="1">
        <f ca="1">OFFSET(A91,0, 17) -0</f>
        <v>14.646018799110152</v>
      </c>
      <c r="BQ91" s="1">
        <f ca="1">OFFSET(A91,0, 14) -0</f>
        <v>-7.0624381780873478</v>
      </c>
      <c r="BR91" s="1">
        <f ca="1">OFFSET(A91,0, 18) -0</f>
        <v>8.548837791509186</v>
      </c>
      <c r="BS91" s="1">
        <f ca="1">OFFSET(A91,0, 19) -0</f>
        <v>-7.5483432160915527</v>
      </c>
      <c r="BT91" s="1">
        <f ca="1">OFFSET(A91,0, 13) -0</f>
        <v>29.034742829513505</v>
      </c>
      <c r="BU91" s="1">
        <f ca="1">OFFSET(A91,0, 15) -0</f>
        <v>16.8403808143118</v>
      </c>
      <c r="BV91" s="1">
        <f ca="1">OFFSET(A91,0, 16) -0</f>
        <v>10.743199806710891</v>
      </c>
      <c r="BW91" s="1">
        <f ca="1">OFFSET(A91,0, 22) -0</f>
        <v>-65.839886238894223</v>
      </c>
      <c r="BX91" s="1">
        <f ca="1">OFFSET(A91,0, 24) -0</f>
        <v>-18.034248254095928</v>
      </c>
      <c r="BY91" s="1">
        <f ca="1">OFFSET(A91,0, 21) -0</f>
        <v>10.257294768706743</v>
      </c>
      <c r="BZ91" s="1">
        <f ca="1">OFFSET(A91,0, 23) -0</f>
        <v>-41.937067246495189</v>
      </c>
      <c r="CB91" s="1">
        <f>COUNTIF(B91,"&lt;-69")</f>
        <v>0</v>
      </c>
      <c r="CC91" s="1">
        <f ca="1">COUNTIF(BC91:BN91,"&lt;-49")</f>
        <v>1</v>
      </c>
      <c r="CD91" s="1">
        <f ca="1">COUNTIF(BC91:BN91,"&gt;+49")</f>
        <v>2</v>
      </c>
      <c r="CE91" s="1">
        <f ca="1">COUNTIF(BO91:BZ91,"&lt;-49")</f>
        <v>1</v>
      </c>
      <c r="CF91" s="1">
        <f ca="1">COUNTIF(BO91:BZ91,"&gt;+49")</f>
        <v>0</v>
      </c>
    </row>
    <row r="92" spans="1:84">
      <c r="A92" s="1">
        <v>89</v>
      </c>
      <c r="B92" s="1">
        <f>'Team B 1'!B92-'Team B 1'!$AA92-('Team B 1'!B$2- 12.5)*'Team B 1'!$AC92</f>
        <v>-21.799266971467205</v>
      </c>
      <c r="C92" s="1">
        <f>'Team B 1'!C92-'Team B 1'!$AA92-('Team B 1'!C$2- 12.5)*'Team B 1'!$AC92</f>
        <v>2.5963214608345879</v>
      </c>
      <c r="D92" s="1">
        <f>'Team B 1'!D92-'Team B 1'!$AA92-('Team B 1'!D$2- 12.5)*'Team B 1'!$AC92</f>
        <v>-3.0080901068640742</v>
      </c>
      <c r="E92" s="1">
        <f>'Team B 1'!E92-'Team B 1'!$AA92-('Team B 1'!E$2- 12.5)*'Team B 1'!$AC92</f>
        <v>61.387498325437491</v>
      </c>
      <c r="F92" s="1">
        <f>'Team B 1'!F92-'Team B 1'!$AA92-('Team B 1'!F$2- 12.5)*'Team B 1'!$AC92</f>
        <v>45.783086757738829</v>
      </c>
      <c r="G92" s="1">
        <f>'Team B 1'!G92-'Team B 1'!$AA92-('Team B 1'!G$2- 12.5)*'Team B 1'!$AC92</f>
        <v>10.178675190040394</v>
      </c>
      <c r="H92" s="1">
        <f>'Team B 1'!H92-'Team B 1'!$AA92-('Team B 1'!H$2- 12.5)*'Team B 1'!$AC92</f>
        <v>-5.4257363776580405</v>
      </c>
      <c r="I92" s="1">
        <f>'Team B 1'!I92-'Team B 1'!$AA92-('Team B 1'!I$2- 12.5)*'Team B 1'!$AC92</f>
        <v>28.969852054643297</v>
      </c>
      <c r="J92" s="1">
        <f>'Team B 1'!J92-'Team B 1'!$AA92-('Team B 1'!J$2- 12.5)*'Team B 1'!$AC92</f>
        <v>-36.634559513055137</v>
      </c>
      <c r="K92" s="1">
        <f>'Team B 1'!K92-'Team B 1'!$AA92-('Team B 1'!K$2- 12.5)*'Team B 1'!$AC92</f>
        <v>-32.238971080753686</v>
      </c>
      <c r="L92" s="1">
        <f>'Team B 1'!L92-'Team B 1'!$AA92-('Team B 1'!L$2- 12.5)*'Team B 1'!$AC92</f>
        <v>-7.8433826484522342</v>
      </c>
      <c r="M92" s="1">
        <f>'Team B 1'!M92-'Team B 1'!$AA92-('Team B 1'!M$2- 12.5)*'Team B 1'!$AC92</f>
        <v>6.55220578384926</v>
      </c>
      <c r="N92" s="1">
        <f>'Team B 1'!N92-'Team B 1'!$AA92-('Team B 1'!N$2- 12.5)*'Team B 1'!$AC92</f>
        <v>-29.05220578384926</v>
      </c>
      <c r="O92" s="1">
        <f>'Team B 1'!O92-'Team B 1'!$AA92-('Team B 1'!O$2- 12.5)*'Team B 1'!$AC92</f>
        <v>-14.656617351547766</v>
      </c>
      <c r="P92" s="1">
        <f>'Team B 1'!P92-'Team B 1'!$AA92-('Team B 1'!P$2- 12.5)*'Team B 1'!$AC92</f>
        <v>-30.261028919246314</v>
      </c>
      <c r="Q92" s="1">
        <f>'Team B 1'!Q92-'Team B 1'!$AA92-('Team B 1'!Q$2- 12.5)*'Team B 1'!$AC92</f>
        <v>14.134559513055137</v>
      </c>
      <c r="R92" s="1">
        <f>'Team B 1'!R92-'Team B 1'!$AA92-('Team B 1'!R$2- 12.5)*'Team B 1'!$AC92</f>
        <v>-1.4698520546432974</v>
      </c>
      <c r="S92" s="1">
        <f>'Team B 1'!S92-'Team B 1'!$AA92-('Team B 1'!S$2- 12.5)*'Team B 1'!$AC92</f>
        <v>22.925736377658041</v>
      </c>
      <c r="T92" s="1">
        <f>'Team B 1'!T92-'Team B 1'!$AA92-('Team B 1'!T$2- 12.5)*'Team B 1'!$AC92</f>
        <v>-2.6786751900403942</v>
      </c>
      <c r="U92" s="1">
        <f>'Team B 1'!U92-'Team B 1'!$AA92-('Team B 1'!U$2- 12.5)*'Team B 1'!$AC92</f>
        <v>11.716913242261171</v>
      </c>
      <c r="V92" s="1">
        <f>'Team B 1'!V92-'Team B 1'!$AA92-('Team B 1'!V$2- 12.5)*'Team B 1'!$AC92</f>
        <v>16.112501674562509</v>
      </c>
      <c r="W92" s="1">
        <f>'Team B 1'!W92-'Team B 1'!$AA92-('Team B 1'!W$2- 12.5)*'Team B 1'!$AC92</f>
        <v>-9.4919098931359258</v>
      </c>
      <c r="X92" s="1">
        <f>'Team B 1'!X92-'Team B 1'!$AA92-('Team B 1'!X$2- 12.5)*'Team B 1'!$AC92</f>
        <v>-25.096321460834588</v>
      </c>
      <c r="Y92" s="1">
        <f>'Team B 1'!Y92-'Team B 1'!$AA92-('Team B 1'!Y$2- 12.5)*'Team B 1'!$AC92</f>
        <v>-0.70073302853279529</v>
      </c>
      <c r="AB92" s="1">
        <f>STDEV(B92:Y92)</f>
        <v>24.352753201108278</v>
      </c>
      <c r="AD92" s="5">
        <v>3</v>
      </c>
      <c r="AE92" s="5">
        <v>6</v>
      </c>
      <c r="AF92" s="5">
        <v>8</v>
      </c>
      <c r="AG92" s="5">
        <v>7</v>
      </c>
      <c r="AH92" s="5">
        <v>4</v>
      </c>
      <c r="AI92" s="5">
        <v>2</v>
      </c>
      <c r="AJ92" s="5">
        <v>1</v>
      </c>
      <c r="AK92" s="5">
        <v>5</v>
      </c>
      <c r="AL92" s="5">
        <v>9</v>
      </c>
      <c r="AM92" s="5" t="s">
        <v>46</v>
      </c>
      <c r="AN92" s="5" t="s">
        <v>45</v>
      </c>
      <c r="AO92" s="5" t="s">
        <v>47</v>
      </c>
      <c r="AP92" s="5">
        <v>3</v>
      </c>
      <c r="AQ92" s="5">
        <v>8</v>
      </c>
      <c r="AR92" s="5">
        <v>6</v>
      </c>
      <c r="AS92" s="5">
        <v>4</v>
      </c>
      <c r="AT92" s="5">
        <v>7</v>
      </c>
      <c r="AU92" s="5">
        <v>2</v>
      </c>
      <c r="AV92" s="5">
        <v>5</v>
      </c>
      <c r="AW92" s="5">
        <v>1</v>
      </c>
      <c r="AX92" s="5">
        <v>9</v>
      </c>
      <c r="AY92" s="5" t="s">
        <v>45</v>
      </c>
      <c r="AZ92" s="5" t="s">
        <v>46</v>
      </c>
      <c r="BA92" s="5" t="s">
        <v>47</v>
      </c>
      <c r="BB92" s="5"/>
      <c r="BC92" s="1">
        <f ca="1">OFFSET(A92,0, 7) -0</f>
        <v>-5.4257363776580405</v>
      </c>
      <c r="BD92" s="1">
        <f ca="1">OFFSET(A92,0, 6) -0</f>
        <v>10.178675190040394</v>
      </c>
      <c r="BE92" s="1">
        <f ca="1">OFFSET(A92,0, 1) -0</f>
        <v>-21.799266971467205</v>
      </c>
      <c r="BF92" s="1">
        <f ca="1">OFFSET(A92,0, 5) -0</f>
        <v>45.783086757738829</v>
      </c>
      <c r="BG92" s="1">
        <f ca="1">OFFSET(A92,0, 8) -0</f>
        <v>28.969852054643297</v>
      </c>
      <c r="BH92" s="1">
        <f ca="1">OFFSET(A92,0, 2) -0</f>
        <v>2.5963214608345879</v>
      </c>
      <c r="BI92" s="1">
        <f ca="1">OFFSET(A92,0, 4) -0</f>
        <v>61.387498325437491</v>
      </c>
      <c r="BJ92" s="1">
        <f ca="1">OFFSET(A92,0, 3) -0</f>
        <v>-3.0080901068640742</v>
      </c>
      <c r="BK92" s="1">
        <f ca="1">OFFSET(A92,0, 9) -0</f>
        <v>-36.634559513055137</v>
      </c>
      <c r="BL92" s="1">
        <f ca="1">OFFSET(A92,0, 11) -0</f>
        <v>-7.8433826484522342</v>
      </c>
      <c r="BM92" s="1">
        <f ca="1">OFFSET(A92,0, 10) -0</f>
        <v>-32.238971080753686</v>
      </c>
      <c r="BN92" s="1">
        <f ca="1">OFFSET(A92,0, 12) -0</f>
        <v>6.55220578384926</v>
      </c>
      <c r="BO92" s="1">
        <f ca="1">OFFSET(A92,0, 20) -0</f>
        <v>11.716913242261171</v>
      </c>
      <c r="BP92" s="1">
        <f ca="1">OFFSET(A92,0, 18) -0</f>
        <v>22.925736377658041</v>
      </c>
      <c r="BQ92" s="1">
        <f ca="1">OFFSET(A92,0, 13) -0</f>
        <v>-29.05220578384926</v>
      </c>
      <c r="BR92" s="1">
        <f ca="1">OFFSET(A92,0, 16) -0</f>
        <v>14.134559513055137</v>
      </c>
      <c r="BS92" s="1">
        <f ca="1">OFFSET(A92,0, 19) -0</f>
        <v>-2.6786751900403942</v>
      </c>
      <c r="BT92" s="1">
        <f ca="1">OFFSET(A92,0, 15) -0</f>
        <v>-30.261028919246314</v>
      </c>
      <c r="BU92" s="1">
        <f ca="1">OFFSET(A92,0, 17) -0</f>
        <v>-1.4698520546432974</v>
      </c>
      <c r="BV92" s="1">
        <f ca="1">OFFSET(A92,0, 14) -0</f>
        <v>-14.656617351547766</v>
      </c>
      <c r="BW92" s="1">
        <f ca="1">OFFSET(A92,0, 21) -0</f>
        <v>16.112501674562509</v>
      </c>
      <c r="BX92" s="1">
        <f ca="1">OFFSET(A92,0, 22) -0</f>
        <v>-9.4919098931359258</v>
      </c>
      <c r="BY92" s="1">
        <f ca="1">OFFSET(A92,0, 23) -0</f>
        <v>-25.096321460834588</v>
      </c>
      <c r="BZ92" s="1">
        <f ca="1">OFFSET(A92,0, 24) -0</f>
        <v>-0.70073302853279529</v>
      </c>
      <c r="CB92" s="1">
        <f>COUNTIF(B92,"&lt;-69")</f>
        <v>0</v>
      </c>
      <c r="CC92" s="1">
        <f ca="1">COUNTIF(BC92:BN92,"&lt;-49")</f>
        <v>0</v>
      </c>
      <c r="CD92" s="1">
        <f ca="1">COUNTIF(BC92:BN92,"&gt;+49")</f>
        <v>1</v>
      </c>
      <c r="CE92" s="1">
        <f ca="1">COUNTIF(BO92:BZ92,"&lt;-49")</f>
        <v>0</v>
      </c>
      <c r="CF92" s="1">
        <f ca="1">COUNTIF(BO92:BZ92,"&gt;+49")</f>
        <v>0</v>
      </c>
    </row>
    <row r="93" spans="1:84">
      <c r="A93" s="1">
        <v>90</v>
      </c>
      <c r="B93" s="1">
        <f>'Team B 1'!B93-'Team B 1'!$AA93-('Team B 1'!B$2- 12.5)*'Team B 1'!$AC93</f>
        <v>-4.0083774266145156</v>
      </c>
      <c r="C93" s="1">
        <f>'Team B 1'!C93-'Team B 1'!$AA93-('Team B 1'!C$2- 12.5)*'Team B 1'!$AC93</f>
        <v>10.579307567004435</v>
      </c>
      <c r="D93" s="1">
        <f>'Team B 1'!D93-'Team B 1'!$AA93-('Team B 1'!D$2- 12.5)*'Team B 1'!$AC93</f>
        <v>35.16699256062293</v>
      </c>
      <c r="E93" s="1">
        <f>'Team B 1'!E93-'Team B 1'!$AA93-('Team B 1'!E$2- 12.5)*'Team B 1'!$AC93</f>
        <v>39.754677554241653</v>
      </c>
      <c r="F93" s="1">
        <f>'Team B 1'!F93-'Team B 1'!$AA93-('Team B 1'!F$2- 12.5)*'Team B 1'!$AC93</f>
        <v>24.342362547860148</v>
      </c>
      <c r="G93" s="1">
        <f>'Team B 1'!G93-'Team B 1'!$AA93-('Team B 1'!G$2- 12.5)*'Team B 1'!$AC93</f>
        <v>38.930047541478871</v>
      </c>
      <c r="H93" s="1">
        <f>'Team B 1'!H93-'Team B 1'!$AA93-('Team B 1'!H$2- 12.5)*'Team B 1'!$AC93</f>
        <v>13.517732535097593</v>
      </c>
      <c r="I93" s="1">
        <f>'Team B 1'!I93-'Team B 1'!$AA93-('Team B 1'!I$2- 12.5)*'Team B 1'!$AC93</f>
        <v>18.105417528716089</v>
      </c>
      <c r="J93" s="1">
        <f>'Team B 1'!J93-'Team B 1'!$AA93-('Team B 1'!J$2- 12.5)*'Team B 1'!$AC93</f>
        <v>22.693102522334812</v>
      </c>
      <c r="K93" s="1">
        <f>'Team B 1'!K93-'Team B 1'!$AA93-('Team B 1'!K$2- 12.5)*'Team B 1'!$AC93</f>
        <v>-32.719212484046579</v>
      </c>
      <c r="L93" s="1">
        <f>'Team B 1'!L93-'Team B 1'!$AA93-('Team B 1'!L$2- 12.5)*'Team B 1'!$AC93</f>
        <v>-38.13152749042797</v>
      </c>
      <c r="M93" s="1">
        <f>'Team B 1'!M93-'Team B 1'!$AA93-('Team B 1'!M$2- 12.5)*'Team B 1'!$AC93</f>
        <v>-23.543842496809319</v>
      </c>
      <c r="N93" s="1">
        <f>'Team B 1'!N93-'Team B 1'!$AA93-('Team B 1'!N$2- 12.5)*'Team B 1'!$AC93</f>
        <v>-8.9561575031906813</v>
      </c>
      <c r="O93" s="1">
        <f>'Team B 1'!O93-'Team B 1'!$AA93-('Team B 1'!O$2- 12.5)*'Team B 1'!$AC93</f>
        <v>-14.36847250957203</v>
      </c>
      <c r="P93" s="1">
        <f>'Team B 1'!P93-'Team B 1'!$AA93-('Team B 1'!P$2- 12.5)*'Team B 1'!$AC93</f>
        <v>20.219212484046579</v>
      </c>
      <c r="Q93" s="1">
        <f>'Team B 1'!Q93-'Team B 1'!$AA93-('Team B 1'!Q$2- 12.5)*'Team B 1'!$AC93</f>
        <v>-15.193102522334812</v>
      </c>
      <c r="R93" s="1">
        <f>'Team B 1'!R93-'Team B 1'!$AA93-('Team B 1'!R$2- 12.5)*'Team B 1'!$AC93</f>
        <v>19.394582471283911</v>
      </c>
      <c r="S93" s="1">
        <f>'Team B 1'!S93-'Team B 1'!$AA93-('Team B 1'!S$2- 12.5)*'Team B 1'!$AC93</f>
        <v>23.982267464902407</v>
      </c>
      <c r="T93" s="1">
        <f>'Team B 1'!T93-'Team B 1'!$AA93-('Team B 1'!T$2- 12.5)*'Team B 1'!$AC93</f>
        <v>-21.430047541478871</v>
      </c>
      <c r="U93" s="1">
        <f>'Team B 1'!U93-'Team B 1'!$AA93-('Team B 1'!U$2- 12.5)*'Team B 1'!$AC93</f>
        <v>-26.842362547860148</v>
      </c>
      <c r="V93" s="1">
        <f>'Team B 1'!V93-'Team B 1'!$AA93-('Team B 1'!V$2- 12.5)*'Team B 1'!$AC93</f>
        <v>-42.254677554241653</v>
      </c>
      <c r="W93" s="1">
        <f>'Team B 1'!W93-'Team B 1'!$AA93-('Team B 1'!W$2- 12.5)*'Team B 1'!$AC93</f>
        <v>-27.66699256062293</v>
      </c>
      <c r="X93" s="1">
        <f>'Team B 1'!X93-'Team B 1'!$AA93-('Team B 1'!X$2- 12.5)*'Team B 1'!$AC93</f>
        <v>-13.079307567004435</v>
      </c>
      <c r="Y93" s="1">
        <f>'Team B 1'!Y93-'Team B 1'!$AA93-('Team B 1'!Y$2- 12.5)*'Team B 1'!$AC93</f>
        <v>1.5083774266145156</v>
      </c>
      <c r="AB93" s="1">
        <f>STDEV(B93:Y93)</f>
        <v>25.4859377129888</v>
      </c>
      <c r="AD93" s="5">
        <v>8</v>
      </c>
      <c r="AE93" s="5">
        <v>3</v>
      </c>
      <c r="AF93" s="5">
        <v>4</v>
      </c>
      <c r="AG93" s="5">
        <v>6</v>
      </c>
      <c r="AH93" s="5">
        <v>2</v>
      </c>
      <c r="AI93" s="5">
        <v>7</v>
      </c>
      <c r="AJ93" s="5">
        <v>1</v>
      </c>
      <c r="AK93" s="5">
        <v>5</v>
      </c>
      <c r="AL93" s="5" t="s">
        <v>45</v>
      </c>
      <c r="AM93" s="5">
        <v>9</v>
      </c>
      <c r="AN93" s="5" t="s">
        <v>47</v>
      </c>
      <c r="AO93" s="5" t="s">
        <v>46</v>
      </c>
      <c r="AP93" s="5">
        <v>3</v>
      </c>
      <c r="AQ93" s="5">
        <v>8</v>
      </c>
      <c r="AR93" s="5">
        <v>6</v>
      </c>
      <c r="AS93" s="5">
        <v>4</v>
      </c>
      <c r="AT93" s="5">
        <v>2</v>
      </c>
      <c r="AU93" s="5">
        <v>1</v>
      </c>
      <c r="AV93" s="5">
        <v>7</v>
      </c>
      <c r="AW93" s="5">
        <v>5</v>
      </c>
      <c r="AX93" s="5">
        <v>9</v>
      </c>
      <c r="AY93" s="5" t="s">
        <v>45</v>
      </c>
      <c r="AZ93" s="5" t="s">
        <v>46</v>
      </c>
      <c r="BA93" s="5" t="s">
        <v>47</v>
      </c>
      <c r="BB93" s="5"/>
      <c r="BC93" s="1">
        <f ca="1">OFFSET(A93,0, 7) -0</f>
        <v>13.517732535097593</v>
      </c>
      <c r="BD93" s="1">
        <f ca="1">OFFSET(A93,0, 5) -0</f>
        <v>24.342362547860148</v>
      </c>
      <c r="BE93" s="1">
        <f ca="1">OFFSET(A93,0, 2) -0</f>
        <v>10.579307567004435</v>
      </c>
      <c r="BF93" s="1">
        <f ca="1">OFFSET(A93,0, 3) -0</f>
        <v>35.16699256062293</v>
      </c>
      <c r="BG93" s="1">
        <f ca="1">OFFSET(A93,0, 8) -0</f>
        <v>18.105417528716089</v>
      </c>
      <c r="BH93" s="1">
        <f ca="1">OFFSET(A93,0, 4) -0</f>
        <v>39.754677554241653</v>
      </c>
      <c r="BI93" s="1">
        <f ca="1">OFFSET(A93,0, 6) -0</f>
        <v>38.930047541478871</v>
      </c>
      <c r="BJ93" s="1">
        <f ca="1">OFFSET(A93,0, 1) -0</f>
        <v>-4.0083774266145156</v>
      </c>
      <c r="BK93" s="1">
        <f ca="1">OFFSET(A93,0, 10) -0</f>
        <v>-32.719212484046579</v>
      </c>
      <c r="BL93" s="1">
        <f ca="1">OFFSET(A93,0, 9) -0</f>
        <v>22.693102522334812</v>
      </c>
      <c r="BM93" s="1">
        <f ca="1">OFFSET(A93,0, 12) -0</f>
        <v>-23.543842496809319</v>
      </c>
      <c r="BN93" s="1">
        <f ca="1">OFFSET(A93,0, 11) -0</f>
        <v>-38.13152749042797</v>
      </c>
      <c r="BO93" s="1">
        <f ca="1">OFFSET(A93,0, 18) -0</f>
        <v>23.982267464902407</v>
      </c>
      <c r="BP93" s="1">
        <f ca="1">OFFSET(A93,0, 17) -0</f>
        <v>19.394582471283911</v>
      </c>
      <c r="BQ93" s="1">
        <f ca="1">OFFSET(A93,0, 13) -0</f>
        <v>-8.9561575031906813</v>
      </c>
      <c r="BR93" s="1">
        <f ca="1">OFFSET(A93,0, 16) -0</f>
        <v>-15.193102522334812</v>
      </c>
      <c r="BS93" s="1">
        <f ca="1">OFFSET(A93,0, 20) -0</f>
        <v>-26.842362547860148</v>
      </c>
      <c r="BT93" s="1">
        <f ca="1">OFFSET(A93,0, 15) -0</f>
        <v>20.219212484046579</v>
      </c>
      <c r="BU93" s="1">
        <f ca="1">OFFSET(A93,0, 19) -0</f>
        <v>-21.430047541478871</v>
      </c>
      <c r="BV93" s="1">
        <f ca="1">OFFSET(A93,0, 14) -0</f>
        <v>-14.36847250957203</v>
      </c>
      <c r="BW93" s="1">
        <f ca="1">OFFSET(A93,0, 21) -0</f>
        <v>-42.254677554241653</v>
      </c>
      <c r="BX93" s="1">
        <f ca="1">OFFSET(A93,0, 22) -0</f>
        <v>-27.66699256062293</v>
      </c>
      <c r="BY93" s="1">
        <f ca="1">OFFSET(A93,0, 23) -0</f>
        <v>-13.079307567004435</v>
      </c>
      <c r="BZ93" s="1">
        <f ca="1">OFFSET(A93,0, 24) -0</f>
        <v>1.5083774266145156</v>
      </c>
      <c r="CB93" s="1">
        <f>COUNTIF(B93,"&lt;-69")</f>
        <v>0</v>
      </c>
      <c r="CC93" s="1">
        <f ca="1">COUNTIF(BC93:BN93,"&lt;-49")</f>
        <v>0</v>
      </c>
      <c r="CD93" s="1">
        <f ca="1">COUNTIF(BC93:BN93,"&gt;+49")</f>
        <v>0</v>
      </c>
      <c r="CE93" s="1">
        <f ca="1">COUNTIF(BO93:BZ93,"&lt;-49")</f>
        <v>0</v>
      </c>
      <c r="CF93" s="1">
        <f ca="1">COUNTIF(BO93:BZ93,"&gt;+49")</f>
        <v>0</v>
      </c>
    </row>
    <row r="94" spans="1:84">
      <c r="A94" s="1">
        <v>91</v>
      </c>
      <c r="B94" s="1">
        <f>'Team B 1'!B94-'Team B 1'!$AA94-('Team B 1'!B$2- 12.5)*'Team B 1'!$AC94</f>
        <v>-2.6623291459509346</v>
      </c>
      <c r="C94" s="1">
        <f>'Team B 1'!C94-'Team B 1'!$AA94-('Team B 1'!C$2- 12.5)*'Team B 1'!$AC94</f>
        <v>11.917003823261894</v>
      </c>
      <c r="D94" s="1">
        <f>'Team B 1'!D94-'Team B 1'!$AA94-('Team B 1'!D$2- 12.5)*'Team B 1'!$AC94</f>
        <v>-3.5036632075248235</v>
      </c>
      <c r="E94" s="1">
        <f>'Team B 1'!E94-'Team B 1'!$AA94-('Team B 1'!E$2- 12.5)*'Team B 1'!$AC94</f>
        <v>1.075669761688232</v>
      </c>
      <c r="F94" s="1">
        <f>'Team B 1'!F94-'Team B 1'!$AA94-('Team B 1'!F$2- 12.5)*'Team B 1'!$AC94</f>
        <v>45.655002730901515</v>
      </c>
      <c r="G94" s="1">
        <f>'Team B 1'!G94-'Team B 1'!$AA94-('Team B 1'!G$2- 12.5)*'Team B 1'!$AC94</f>
        <v>20.23433570011457</v>
      </c>
      <c r="H94" s="1">
        <f>'Team B 1'!H94-'Team B 1'!$AA94-('Team B 1'!H$2- 12.5)*'Team B 1'!$AC94</f>
        <v>-15.186331330672374</v>
      </c>
      <c r="I94" s="1">
        <f>'Team B 1'!I94-'Team B 1'!$AA94-('Team B 1'!I$2- 12.5)*'Team B 1'!$AC94</f>
        <v>39.393001638540909</v>
      </c>
      <c r="J94" s="1">
        <f>'Team B 1'!J94-'Team B 1'!$AA94-('Team B 1'!J$2- 12.5)*'Team B 1'!$AC94</f>
        <v>13.972334607753965</v>
      </c>
      <c r="K94" s="1">
        <f>'Team B 1'!K94-'Team B 1'!$AA94-('Team B 1'!K$2- 12.5)*'Team B 1'!$AC94</f>
        <v>-41.448332423032866</v>
      </c>
      <c r="L94" s="1">
        <f>'Team B 1'!L94-'Team B 1'!$AA94-('Team B 1'!L$2- 12.5)*'Team B 1'!$AC94</f>
        <v>-56.868999453819697</v>
      </c>
      <c r="M94" s="1">
        <f>'Team B 1'!M94-'Team B 1'!$AA94-('Team B 1'!M$2- 12.5)*'Team B 1'!$AC94</f>
        <v>-2.2896664846065704</v>
      </c>
      <c r="N94" s="1">
        <f>'Team B 1'!N94-'Team B 1'!$AA94-('Team B 1'!N$2- 12.5)*'Team B 1'!$AC94</f>
        <v>22.28966648460657</v>
      </c>
      <c r="O94" s="1">
        <f>'Team B 1'!O94-'Team B 1'!$AA94-('Team B 1'!O$2- 12.5)*'Team B 1'!$AC94</f>
        <v>-23.131000546180303</v>
      </c>
      <c r="P94" s="1">
        <f>'Team B 1'!P94-'Team B 1'!$AA94-('Team B 1'!P$2- 12.5)*'Team B 1'!$AC94</f>
        <v>1.4483324230328662</v>
      </c>
      <c r="Q94" s="1">
        <f>'Team B 1'!Q94-'Team B 1'!$AA94-('Team B 1'!Q$2- 12.5)*'Team B 1'!$AC94</f>
        <v>26.027665392246035</v>
      </c>
      <c r="R94" s="1">
        <f>'Team B 1'!R94-'Team B 1'!$AA94-('Team B 1'!R$2- 12.5)*'Team B 1'!$AC94</f>
        <v>-9.393001638540909</v>
      </c>
      <c r="S94" s="1">
        <f>'Team B 1'!S94-'Team B 1'!$AA94-('Team B 1'!S$2- 12.5)*'Team B 1'!$AC94</f>
        <v>25.186331330672374</v>
      </c>
      <c r="T94" s="1">
        <f>'Team B 1'!T94-'Team B 1'!$AA94-('Team B 1'!T$2- 12.5)*'Team B 1'!$AC94</f>
        <v>-40.23433570011457</v>
      </c>
      <c r="U94" s="1">
        <f>'Team B 1'!U94-'Team B 1'!$AA94-('Team B 1'!U$2- 12.5)*'Team B 1'!$AC94</f>
        <v>-25.655002730901515</v>
      </c>
      <c r="V94" s="1">
        <f>'Team B 1'!V94-'Team B 1'!$AA94-('Team B 1'!V$2- 12.5)*'Team B 1'!$AC94</f>
        <v>18.924330238311768</v>
      </c>
      <c r="W94" s="1">
        <f>'Team B 1'!W94-'Team B 1'!$AA94-('Team B 1'!W$2- 12.5)*'Team B 1'!$AC94</f>
        <v>23.503663207524824</v>
      </c>
      <c r="X94" s="1">
        <f>'Team B 1'!X94-'Team B 1'!$AA94-('Team B 1'!X$2- 12.5)*'Team B 1'!$AC94</f>
        <v>-31.917003823261894</v>
      </c>
      <c r="Y94" s="1">
        <f>'Team B 1'!Y94-'Team B 1'!$AA94-('Team B 1'!Y$2- 12.5)*'Team B 1'!$AC94</f>
        <v>2.6623291459509346</v>
      </c>
      <c r="AB94" s="1">
        <f>STDEV(B94:Y94)</f>
        <v>26.571150060165305</v>
      </c>
      <c r="AD94" s="5">
        <v>8</v>
      </c>
      <c r="AE94" s="5">
        <v>3</v>
      </c>
      <c r="AF94" s="5">
        <v>4</v>
      </c>
      <c r="AG94" s="5">
        <v>6</v>
      </c>
      <c r="AH94" s="5">
        <v>1</v>
      </c>
      <c r="AI94" s="5">
        <v>2</v>
      </c>
      <c r="AJ94" s="5">
        <v>5</v>
      </c>
      <c r="AK94" s="5">
        <v>7</v>
      </c>
      <c r="AL94" s="5" t="s">
        <v>45</v>
      </c>
      <c r="AM94" s="5">
        <v>9</v>
      </c>
      <c r="AN94" s="5" t="s">
        <v>47</v>
      </c>
      <c r="AO94" s="5" t="s">
        <v>46</v>
      </c>
      <c r="AP94" s="5">
        <v>8</v>
      </c>
      <c r="AQ94" s="5">
        <v>4</v>
      </c>
      <c r="AR94" s="5">
        <v>3</v>
      </c>
      <c r="AS94" s="5">
        <v>6</v>
      </c>
      <c r="AT94" s="5">
        <v>2</v>
      </c>
      <c r="AU94" s="5">
        <v>1</v>
      </c>
      <c r="AV94" s="5">
        <v>5</v>
      </c>
      <c r="AW94" s="5" t="s">
        <v>45</v>
      </c>
      <c r="AX94" s="5">
        <v>7</v>
      </c>
      <c r="AY94" s="5" t="s">
        <v>47</v>
      </c>
      <c r="AZ94" s="5">
        <v>9</v>
      </c>
      <c r="BA94" s="5" t="s">
        <v>46</v>
      </c>
      <c r="BB94" s="5"/>
      <c r="BC94" s="1">
        <f ca="1">OFFSET(A94,0, 5) -0</f>
        <v>45.655002730901515</v>
      </c>
      <c r="BD94" s="1">
        <f ca="1">OFFSET(A94,0, 6) -0</f>
        <v>20.23433570011457</v>
      </c>
      <c r="BE94" s="1">
        <f ca="1">OFFSET(A94,0, 2) -0</f>
        <v>11.917003823261894</v>
      </c>
      <c r="BF94" s="1">
        <f ca="1">OFFSET(A94,0, 3) -0</f>
        <v>-3.5036632075248235</v>
      </c>
      <c r="BG94" s="1">
        <f ca="1">OFFSET(A94,0, 7) -0</f>
        <v>-15.186331330672374</v>
      </c>
      <c r="BH94" s="1">
        <f ca="1">OFFSET(A94,0, 4) -0</f>
        <v>1.075669761688232</v>
      </c>
      <c r="BI94" s="1">
        <f ca="1">OFFSET(A94,0, 8) -0</f>
        <v>39.393001638540909</v>
      </c>
      <c r="BJ94" s="1">
        <f ca="1">OFFSET(A94,0, 1) -0</f>
        <v>-2.6623291459509346</v>
      </c>
      <c r="BK94" s="1">
        <f ca="1">OFFSET(A94,0, 10) -0</f>
        <v>-41.448332423032866</v>
      </c>
      <c r="BL94" s="1">
        <f ca="1">OFFSET(A94,0, 9) -0</f>
        <v>13.972334607753965</v>
      </c>
      <c r="BM94" s="1">
        <f ca="1">OFFSET(A94,0, 12) -0</f>
        <v>-2.2896664846065704</v>
      </c>
      <c r="BN94" s="1">
        <f ca="1">OFFSET(A94,0, 11) -0</f>
        <v>-56.868999453819697</v>
      </c>
      <c r="BO94" s="1">
        <f ca="1">OFFSET(A94,0, 18) -0</f>
        <v>25.186331330672374</v>
      </c>
      <c r="BP94" s="1">
        <f ca="1">OFFSET(A94,0, 17) -0</f>
        <v>-9.393001638540909</v>
      </c>
      <c r="BQ94" s="1">
        <f ca="1">OFFSET(A94,0, 15) -0</f>
        <v>1.4483324230328662</v>
      </c>
      <c r="BR94" s="1">
        <f ca="1">OFFSET(A94,0, 14) -0</f>
        <v>-23.131000546180303</v>
      </c>
      <c r="BS94" s="1">
        <f ca="1">OFFSET(A94,0, 19) -0</f>
        <v>-40.23433570011457</v>
      </c>
      <c r="BT94" s="1">
        <f ca="1">OFFSET(A94,0, 16) -0</f>
        <v>26.027665392246035</v>
      </c>
      <c r="BU94" s="1">
        <f ca="1">OFFSET(A94,0, 21) -0</f>
        <v>18.924330238311768</v>
      </c>
      <c r="BV94" s="1">
        <f ca="1">OFFSET(A94,0, 13) -0</f>
        <v>22.28966648460657</v>
      </c>
      <c r="BW94" s="1">
        <f ca="1">OFFSET(A94,0, 23) -0</f>
        <v>-31.917003823261894</v>
      </c>
      <c r="BX94" s="1">
        <f ca="1">OFFSET(A94,0, 20) -0</f>
        <v>-25.655002730901515</v>
      </c>
      <c r="BY94" s="1">
        <f ca="1">OFFSET(A94,0, 24) -0</f>
        <v>2.6623291459509346</v>
      </c>
      <c r="BZ94" s="1">
        <f ca="1">OFFSET(A94,0, 22) -0</f>
        <v>23.503663207524824</v>
      </c>
      <c r="CB94" s="1">
        <f>COUNTIF(B94,"&lt;-69")</f>
        <v>0</v>
      </c>
      <c r="CC94" s="1">
        <f ca="1">COUNTIF(BC94:BN94,"&lt;-49")</f>
        <v>1</v>
      </c>
      <c r="CD94" s="1">
        <f ca="1">COUNTIF(BC94:BN94,"&gt;+49")</f>
        <v>0</v>
      </c>
      <c r="CE94" s="1">
        <f ca="1">COUNTIF(BO94:BZ94,"&lt;-49")</f>
        <v>0</v>
      </c>
      <c r="CF94" s="1">
        <f ca="1">COUNTIF(BO94:BZ94,"&gt;+49")</f>
        <v>0</v>
      </c>
    </row>
    <row r="95" spans="1:84">
      <c r="A95" s="1">
        <v>92</v>
      </c>
      <c r="B95" s="1">
        <f>'Team B 1'!B95-'Team B 1'!$AA95-('Team B 1'!B$2- 12.5)*'Team B 1'!$AC95</f>
        <v>4.7118937322020429</v>
      </c>
      <c r="C95" s="1">
        <f>'Team B 1'!C95-'Team B 1'!$AA95-('Team B 1'!C$2- 12.5)*'Team B 1'!$AC95</f>
        <v>-20.516676737266607</v>
      </c>
      <c r="D95" s="1">
        <f>'Team B 1'!D95-'Team B 1'!$AA95-('Team B 1'!D$2- 12.5)*'Team B 1'!$AC95</f>
        <v>44.25475279326497</v>
      </c>
      <c r="E95" s="1">
        <f>'Team B 1'!E95-'Team B 1'!$AA95-('Team B 1'!E$2- 12.5)*'Team B 1'!$AC95</f>
        <v>9.0261823237965473</v>
      </c>
      <c r="F95" s="1">
        <f>'Team B 1'!F95-'Team B 1'!$AA95-('Team B 1'!F$2- 12.5)*'Team B 1'!$AC95</f>
        <v>23.797611854327897</v>
      </c>
      <c r="G95" s="1">
        <f>'Team B 1'!G95-'Team B 1'!$AA95-('Team B 1'!G$2- 12.5)*'Team B 1'!$AC95</f>
        <v>-11.430958615140526</v>
      </c>
      <c r="H95" s="1">
        <f>'Team B 1'!H95-'Team B 1'!$AA95-('Team B 1'!H$2- 12.5)*'Team B 1'!$AC95</f>
        <v>3.3404709153908243</v>
      </c>
      <c r="I95" s="1">
        <f>'Team B 1'!I95-'Team B 1'!$AA95-('Team B 1'!I$2- 12.5)*'Team B 1'!$AC95</f>
        <v>8.1119004459224016</v>
      </c>
      <c r="J95" s="1">
        <f>'Team B 1'!J95-'Team B 1'!$AA95-('Team B 1'!J$2- 12.5)*'Team B 1'!$AC95</f>
        <v>12.883329976453751</v>
      </c>
      <c r="K95" s="1">
        <f>'Team B 1'!K95-'Team B 1'!$AA95-('Team B 1'!K$2- 12.5)*'Team B 1'!$AC95</f>
        <v>17.654759506985272</v>
      </c>
      <c r="L95" s="1">
        <f>'Team B 1'!L95-'Team B 1'!$AA95-('Team B 1'!L$2- 12.5)*'Team B 1'!$AC95</f>
        <v>-27.573810962483265</v>
      </c>
      <c r="M95" s="1">
        <f>'Team B 1'!M95-'Team B 1'!$AA95-('Team B 1'!M$2- 12.5)*'Team B 1'!$AC95</f>
        <v>-2.802381431951801</v>
      </c>
      <c r="N95" s="1">
        <f>'Team B 1'!N95-'Team B 1'!$AA95-('Team B 1'!N$2- 12.5)*'Team B 1'!$AC95</f>
        <v>-28.030951901420337</v>
      </c>
      <c r="O95" s="1">
        <f>'Team B 1'!O95-'Team B 1'!$AA95-('Team B 1'!O$2- 12.5)*'Team B 1'!$AC95</f>
        <v>-33.259522370888874</v>
      </c>
      <c r="P95" s="1">
        <f>'Team B 1'!P95-'Team B 1'!$AA95-('Team B 1'!P$2- 12.5)*'Team B 1'!$AC95</f>
        <v>-28.48809284035741</v>
      </c>
      <c r="Q95" s="1">
        <f>'Team B 1'!Q95-'Team B 1'!$AA95-('Team B 1'!Q$2- 12.5)*'Team B 1'!$AC95</f>
        <v>6.2833366901741101</v>
      </c>
      <c r="R95" s="1">
        <f>'Team B 1'!R95-'Team B 1'!$AA95-('Team B 1'!R$2- 12.5)*'Team B 1'!$AC95</f>
        <v>31.05476622070546</v>
      </c>
      <c r="S95" s="1">
        <f>'Team B 1'!S95-'Team B 1'!$AA95-('Team B 1'!S$2- 12.5)*'Team B 1'!$AC95</f>
        <v>5.8261957512370373</v>
      </c>
      <c r="T95" s="1">
        <f>'Team B 1'!T95-'Team B 1'!$AA95-('Team B 1'!T$2- 12.5)*'Team B 1'!$AC95</f>
        <v>20.597625281768387</v>
      </c>
      <c r="U95" s="1">
        <f>'Team B 1'!U95-'Team B 1'!$AA95-('Team B 1'!U$2- 12.5)*'Team B 1'!$AC95</f>
        <v>-34.630945187700036</v>
      </c>
      <c r="V95" s="1">
        <f>'Team B 1'!V95-'Team B 1'!$AA95-('Team B 1'!V$2- 12.5)*'Team B 1'!$AC95</f>
        <v>20.140484342831314</v>
      </c>
      <c r="W95" s="1">
        <f>'Team B 1'!W95-'Team B 1'!$AA95-('Team B 1'!W$2- 12.5)*'Team B 1'!$AC95</f>
        <v>4.9119138733628915</v>
      </c>
      <c r="X95" s="1">
        <f>'Team B 1'!X95-'Team B 1'!$AA95-('Team B 1'!X$2- 12.5)*'Team B 1'!$AC95</f>
        <v>-30.316656596105531</v>
      </c>
      <c r="Y95" s="1">
        <f>'Team B 1'!Y95-'Team B 1'!$AA95-('Team B 1'!Y$2- 12.5)*'Team B 1'!$AC95</f>
        <v>4.4547729344258187</v>
      </c>
      <c r="AB95" s="1">
        <f>STDEV(B95:Y95)</f>
        <v>22.103005041272088</v>
      </c>
      <c r="AD95" s="5">
        <v>4</v>
      </c>
      <c r="AE95" s="5">
        <v>8</v>
      </c>
      <c r="AF95" s="5">
        <v>6</v>
      </c>
      <c r="AG95" s="5">
        <v>3</v>
      </c>
      <c r="AH95" s="5">
        <v>1</v>
      </c>
      <c r="AI95" s="5">
        <v>2</v>
      </c>
      <c r="AJ95" s="5" t="s">
        <v>45</v>
      </c>
      <c r="AK95" s="5">
        <v>5</v>
      </c>
      <c r="AL95" s="5" t="s">
        <v>47</v>
      </c>
      <c r="AM95" s="5">
        <v>7</v>
      </c>
      <c r="AN95" s="5" t="s">
        <v>46</v>
      </c>
      <c r="AO95" s="5">
        <v>9</v>
      </c>
      <c r="AP95" s="5">
        <v>8</v>
      </c>
      <c r="AQ95" s="5">
        <v>4</v>
      </c>
      <c r="AR95" s="5">
        <v>6</v>
      </c>
      <c r="AS95" s="5">
        <v>1</v>
      </c>
      <c r="AT95" s="5">
        <v>3</v>
      </c>
      <c r="AU95" s="5">
        <v>2</v>
      </c>
      <c r="AV95" s="5">
        <v>5</v>
      </c>
      <c r="AW95" s="5" t="s">
        <v>45</v>
      </c>
      <c r="AX95" s="5">
        <v>7</v>
      </c>
      <c r="AY95" s="5" t="s">
        <v>47</v>
      </c>
      <c r="AZ95" s="5">
        <v>9</v>
      </c>
      <c r="BA95" s="5" t="s">
        <v>46</v>
      </c>
      <c r="BB95" s="5"/>
      <c r="BC95" s="1">
        <f ca="1">OFFSET(A95,0, 5) -0</f>
        <v>23.797611854327897</v>
      </c>
      <c r="BD95" s="1">
        <f ca="1">OFFSET(A95,0, 6) -0</f>
        <v>-11.430958615140526</v>
      </c>
      <c r="BE95" s="1">
        <f ca="1">OFFSET(A95,0, 4) -0</f>
        <v>9.0261823237965473</v>
      </c>
      <c r="BF95" s="1">
        <f ca="1">OFFSET(A95,0, 1) -0</f>
        <v>4.7118937322020429</v>
      </c>
      <c r="BG95" s="1">
        <f ca="1">OFFSET(A95,0, 8) -0</f>
        <v>8.1119004459224016</v>
      </c>
      <c r="BH95" s="1">
        <f ca="1">OFFSET(A95,0, 3) -0</f>
        <v>44.25475279326497</v>
      </c>
      <c r="BI95" s="1">
        <f ca="1">OFFSET(A95,0, 10) -0</f>
        <v>17.654759506985272</v>
      </c>
      <c r="BJ95" s="1">
        <f ca="1">OFFSET(A95,0, 2) -0</f>
        <v>-20.516676737266607</v>
      </c>
      <c r="BK95" s="1">
        <f ca="1">OFFSET(A95,0, 12) -0</f>
        <v>-2.802381431951801</v>
      </c>
      <c r="BL95" s="1">
        <f ca="1">OFFSET(A95,0, 7) -0</f>
        <v>3.3404709153908243</v>
      </c>
      <c r="BM95" s="1">
        <f ca="1">OFFSET(A95,0, 11) -0</f>
        <v>-27.573810962483265</v>
      </c>
      <c r="BN95" s="1">
        <f ca="1">OFFSET(A95,0, 9) -0</f>
        <v>12.883329976453751</v>
      </c>
      <c r="BO95" s="1">
        <f ca="1">OFFSET(A95,0, 16) -0</f>
        <v>6.2833366901741101</v>
      </c>
      <c r="BP95" s="1">
        <f ca="1">OFFSET(A95,0, 18) -0</f>
        <v>5.8261957512370373</v>
      </c>
      <c r="BQ95" s="1">
        <f ca="1">OFFSET(A95,0, 17) -0</f>
        <v>31.05476622070546</v>
      </c>
      <c r="BR95" s="1">
        <f ca="1">OFFSET(A95,0, 14) -0</f>
        <v>-33.259522370888874</v>
      </c>
      <c r="BS95" s="1">
        <f ca="1">OFFSET(A95,0, 19) -0</f>
        <v>20.597625281768387</v>
      </c>
      <c r="BT95" s="1">
        <f ca="1">OFFSET(A95,0, 15) -0</f>
        <v>-28.48809284035741</v>
      </c>
      <c r="BU95" s="1">
        <f ca="1">OFFSET(A95,0, 21) -0</f>
        <v>20.140484342831314</v>
      </c>
      <c r="BV95" s="1">
        <f ca="1">OFFSET(A95,0, 13) -0</f>
        <v>-28.030951901420337</v>
      </c>
      <c r="BW95" s="1">
        <f ca="1">OFFSET(A95,0, 23) -0</f>
        <v>-30.316656596105531</v>
      </c>
      <c r="BX95" s="1">
        <f ca="1">OFFSET(A95,0, 20) -0</f>
        <v>-34.630945187700036</v>
      </c>
      <c r="BY95" s="1">
        <f ca="1">OFFSET(A95,0, 24) -0</f>
        <v>4.4547729344258187</v>
      </c>
      <c r="BZ95" s="1">
        <f ca="1">OFFSET(A95,0, 22) -0</f>
        <v>4.9119138733628915</v>
      </c>
      <c r="CB95" s="1">
        <f>COUNTIF(B95,"&lt;-69")</f>
        <v>0</v>
      </c>
      <c r="CC95" s="1">
        <f ca="1">COUNTIF(BC95:BN95,"&lt;-49")</f>
        <v>0</v>
      </c>
      <c r="CD95" s="1">
        <f ca="1">COUNTIF(BC95:BN95,"&gt;+49")</f>
        <v>0</v>
      </c>
      <c r="CE95" s="1">
        <f ca="1">COUNTIF(BO95:BZ95,"&lt;-49")</f>
        <v>0</v>
      </c>
      <c r="CF95" s="1">
        <f ca="1">COUNTIF(BO95:BZ95,"&gt;+49")</f>
        <v>0</v>
      </c>
    </row>
    <row r="96" spans="1:84">
      <c r="A96" s="1">
        <v>93</v>
      </c>
      <c r="B96" s="1">
        <f>'Team B 1'!B96-'Team B 1'!$AA96-('Team B 1'!B$2- 12.5)*'Team B 1'!$AC96</f>
        <v>6.1215167495265632</v>
      </c>
      <c r="C96" s="1">
        <f>'Team B 1'!C96-'Team B 1'!$AA96-('Team B 1'!C$2- 12.5)*'Team B 1'!$AC96</f>
        <v>-9.157165866372452</v>
      </c>
      <c r="D96" s="1">
        <f>'Team B 1'!D96-'Team B 1'!$AA96-('Team B 1'!D$2- 12.5)*'Team B 1'!$AC96</f>
        <v>25.564151517728305</v>
      </c>
      <c r="E96" s="1">
        <f>'Team B 1'!E96-'Team B 1'!$AA96-('Team B 1'!E$2- 12.5)*'Team B 1'!$AC96</f>
        <v>-19.714531098170937</v>
      </c>
      <c r="F96" s="1">
        <f>'Team B 1'!F96-'Team B 1'!$AA96-('Team B 1'!F$2- 12.5)*'Team B 1'!$AC96</f>
        <v>-14.993213714069952</v>
      </c>
      <c r="G96" s="1">
        <f>'Team B 1'!G96-'Team B 1'!$AA96-('Team B 1'!G$2- 12.5)*'Team B 1'!$AC96</f>
        <v>19.728103670030805</v>
      </c>
      <c r="H96" s="1">
        <f>'Team B 1'!H96-'Team B 1'!$AA96-('Team B 1'!H$2- 12.5)*'Team B 1'!$AC96</f>
        <v>24.449421054131562</v>
      </c>
      <c r="I96" s="1">
        <f>'Team B 1'!I96-'Team B 1'!$AA96-('Team B 1'!I$2- 12.5)*'Team B 1'!$AC96</f>
        <v>29.170738438232434</v>
      </c>
      <c r="J96" s="1">
        <f>'Team B 1'!J96-'Team B 1'!$AA96-('Team B 1'!J$2- 12.5)*'Team B 1'!$AC96</f>
        <v>23.892055822333191</v>
      </c>
      <c r="K96" s="1">
        <f>'Team B 1'!K96-'Team B 1'!$AA96-('Team B 1'!K$2- 12.5)*'Team B 1'!$AC96</f>
        <v>-1.386626793565938</v>
      </c>
      <c r="L96" s="1">
        <f>'Team B 1'!L96-'Team B 1'!$AA96-('Team B 1'!L$2- 12.5)*'Team B 1'!$AC96</f>
        <v>3.3346905905348194</v>
      </c>
      <c r="M96" s="1">
        <f>'Team B 1'!M96-'Team B 1'!$AA96-('Team B 1'!M$2- 12.5)*'Team B 1'!$AC96</f>
        <v>-1.9439920253643379</v>
      </c>
      <c r="N96" s="1">
        <f>'Team B 1'!N96-'Team B 1'!$AA96-('Team B 1'!N$2- 12.5)*'Team B 1'!$AC96</f>
        <v>-27.222674641263524</v>
      </c>
      <c r="O96" s="1">
        <f>'Team B 1'!O96-'Team B 1'!$AA96-('Team B 1'!O$2- 12.5)*'Team B 1'!$AC96</f>
        <v>-22.501357257162681</v>
      </c>
      <c r="P96" s="1">
        <f>'Team B 1'!P96-'Team B 1'!$AA96-('Team B 1'!P$2- 12.5)*'Team B 1'!$AC96</f>
        <v>-17.780039873061924</v>
      </c>
      <c r="Q96" s="1">
        <f>'Team B 1'!Q96-'Team B 1'!$AA96-('Team B 1'!Q$2- 12.5)*'Team B 1'!$AC96</f>
        <v>16.941277511038948</v>
      </c>
      <c r="R96" s="1">
        <f>'Team B 1'!R96-'Team B 1'!$AA96-('Team B 1'!R$2- 12.5)*'Team B 1'!$AC96</f>
        <v>11.662594895139705</v>
      </c>
      <c r="S96" s="1">
        <f>'Team B 1'!S96-'Team B 1'!$AA96-('Team B 1'!S$2- 12.5)*'Team B 1'!$AC96</f>
        <v>-3.616087720759424</v>
      </c>
      <c r="T96" s="1">
        <f>'Team B 1'!T96-'Team B 1'!$AA96-('Team B 1'!T$2- 12.5)*'Team B 1'!$AC96</f>
        <v>-8.8947703366586666</v>
      </c>
      <c r="U96" s="1">
        <f>'Team B 1'!U96-'Team B 1'!$AA96-('Team B 1'!U$2- 12.5)*'Team B 1'!$AC96</f>
        <v>5.8265470474420908</v>
      </c>
      <c r="V96" s="1">
        <f>'Team B 1'!V96-'Team B 1'!$AA96-('Team B 1'!V$2- 12.5)*'Team B 1'!$AC96</f>
        <v>0.54786443154307563</v>
      </c>
      <c r="W96" s="1">
        <f>'Team B 1'!W96-'Team B 1'!$AA96-('Team B 1'!W$2- 12.5)*'Team B 1'!$AC96</f>
        <v>5.269181815643833</v>
      </c>
      <c r="X96" s="1">
        <f>'Team B 1'!X96-'Team B 1'!$AA96-('Team B 1'!X$2- 12.5)*'Team B 1'!$AC96</f>
        <v>-30.00950080025541</v>
      </c>
      <c r="Y96" s="1">
        <f>'Team B 1'!Y96-'Team B 1'!$AA96-('Team B 1'!Y$2- 12.5)*'Team B 1'!$AC96</f>
        <v>-15.288183416154425</v>
      </c>
      <c r="AB96" s="1">
        <f>STDEV(B96:Y96)</f>
        <v>17.556010967544541</v>
      </c>
      <c r="AD96" s="5">
        <v>4</v>
      </c>
      <c r="AE96" s="5">
        <v>8</v>
      </c>
      <c r="AF96" s="5">
        <v>1</v>
      </c>
      <c r="AG96" s="5">
        <v>6</v>
      </c>
      <c r="AH96" s="5">
        <v>2</v>
      </c>
      <c r="AI96" s="5">
        <v>3</v>
      </c>
      <c r="AJ96" s="5" t="s">
        <v>45</v>
      </c>
      <c r="AK96" s="5">
        <v>5</v>
      </c>
      <c r="AL96" s="5" t="s">
        <v>47</v>
      </c>
      <c r="AM96" s="5">
        <v>7</v>
      </c>
      <c r="AN96" s="5" t="s">
        <v>46</v>
      </c>
      <c r="AO96" s="5">
        <v>9</v>
      </c>
      <c r="AP96" s="5">
        <v>4</v>
      </c>
      <c r="AQ96" s="5">
        <v>8</v>
      </c>
      <c r="AR96" s="5">
        <v>6</v>
      </c>
      <c r="AS96" s="5">
        <v>1</v>
      </c>
      <c r="AT96" s="5">
        <v>2</v>
      </c>
      <c r="AU96" s="5" t="s">
        <v>45</v>
      </c>
      <c r="AV96" s="5">
        <v>3</v>
      </c>
      <c r="AW96" s="5" t="s">
        <v>47</v>
      </c>
      <c r="AX96" s="5">
        <v>5</v>
      </c>
      <c r="AY96" s="5" t="s">
        <v>46</v>
      </c>
      <c r="AZ96" s="5">
        <v>7</v>
      </c>
      <c r="BA96" s="5">
        <v>9</v>
      </c>
      <c r="BB96" s="5"/>
      <c r="BC96" s="1">
        <f ca="1">OFFSET(A96,0, 3) -0</f>
        <v>25.564151517728305</v>
      </c>
      <c r="BD96" s="1">
        <f ca="1">OFFSET(A96,0, 5) -0</f>
        <v>-14.993213714069952</v>
      </c>
      <c r="BE96" s="1">
        <f ca="1">OFFSET(A96,0, 6) -0</f>
        <v>19.728103670030805</v>
      </c>
      <c r="BF96" s="1">
        <f ca="1">OFFSET(A96,0, 1) -0</f>
        <v>6.1215167495265632</v>
      </c>
      <c r="BG96" s="1">
        <f ca="1">OFFSET(A96,0, 8) -0</f>
        <v>29.170738438232434</v>
      </c>
      <c r="BH96" s="1">
        <f ca="1">OFFSET(A96,0, 4) -0</f>
        <v>-19.714531098170937</v>
      </c>
      <c r="BI96" s="1">
        <f ca="1">OFFSET(A96,0, 10) -0</f>
        <v>-1.386626793565938</v>
      </c>
      <c r="BJ96" s="1">
        <f ca="1">OFFSET(A96,0, 2) -0</f>
        <v>-9.157165866372452</v>
      </c>
      <c r="BK96" s="1">
        <f ca="1">OFFSET(A96,0, 12) -0</f>
        <v>-1.9439920253643379</v>
      </c>
      <c r="BL96" s="1">
        <f ca="1">OFFSET(A96,0, 7) -0</f>
        <v>24.449421054131562</v>
      </c>
      <c r="BM96" s="1">
        <f ca="1">OFFSET(A96,0, 11) -0</f>
        <v>3.3346905905348194</v>
      </c>
      <c r="BN96" s="1">
        <f ca="1">OFFSET(A96,0, 9) -0</f>
        <v>23.892055822333191</v>
      </c>
      <c r="BO96" s="1">
        <f ca="1">OFFSET(A96,0, 16) -0</f>
        <v>16.941277511038948</v>
      </c>
      <c r="BP96" s="1">
        <f ca="1">OFFSET(A96,0, 17) -0</f>
        <v>11.662594895139705</v>
      </c>
      <c r="BQ96" s="1">
        <f ca="1">OFFSET(A96,0, 19) -0</f>
        <v>-8.8947703366586666</v>
      </c>
      <c r="BR96" s="1">
        <f ca="1">OFFSET(A96,0, 13) -0</f>
        <v>-27.222674641263524</v>
      </c>
      <c r="BS96" s="1">
        <f ca="1">OFFSET(A96,0, 21) -0</f>
        <v>0.54786443154307563</v>
      </c>
      <c r="BT96" s="1">
        <f ca="1">OFFSET(A96,0, 15) -0</f>
        <v>-17.780039873061924</v>
      </c>
      <c r="BU96" s="1">
        <f ca="1">OFFSET(A96,0, 23) -0</f>
        <v>-30.00950080025541</v>
      </c>
      <c r="BV96" s="1">
        <f ca="1">OFFSET(A96,0, 14) -0</f>
        <v>-22.501357257162681</v>
      </c>
      <c r="BW96" s="1">
        <f ca="1">OFFSET(A96,0, 24) -0</f>
        <v>-15.288183416154425</v>
      </c>
      <c r="BX96" s="1">
        <f ca="1">OFFSET(A96,0, 18) -0</f>
        <v>-3.616087720759424</v>
      </c>
      <c r="BY96" s="1">
        <f ca="1">OFFSET(A96,0, 22) -0</f>
        <v>5.269181815643833</v>
      </c>
      <c r="BZ96" s="1">
        <f ca="1">OFFSET(A96,0, 20) -0</f>
        <v>5.8265470474420908</v>
      </c>
      <c r="CB96" s="1">
        <f>COUNTIF(B96,"&lt;-69")</f>
        <v>0</v>
      </c>
      <c r="CC96" s="1">
        <f ca="1">COUNTIF(BC96:BN96,"&lt;-49")</f>
        <v>0</v>
      </c>
      <c r="CD96" s="1">
        <f ca="1">COUNTIF(BC96:BN96,"&gt;+49")</f>
        <v>0</v>
      </c>
      <c r="CE96" s="1">
        <f ca="1">COUNTIF(BO96:BZ96,"&lt;-49")</f>
        <v>0</v>
      </c>
      <c r="CF96" s="1">
        <f ca="1">COUNTIF(BO96:BZ96,"&gt;+49")</f>
        <v>0</v>
      </c>
    </row>
    <row r="97" spans="1:84">
      <c r="A97" s="1">
        <v>94</v>
      </c>
      <c r="B97" s="1">
        <f>'Team B 1'!B97-'Team B 1'!$AA97-('Team B 1'!B$2- 12.5)*'Team B 1'!$AC97</f>
        <v>25.702105379978093</v>
      </c>
      <c r="C97" s="1">
        <f>'Team B 1'!C97-'Team B 1'!$AA97-('Team B 1'!C$2- 12.5)*'Team B 1'!$AC97</f>
        <v>30.206270129544919</v>
      </c>
      <c r="D97" s="1">
        <f>'Team B 1'!D97-'Team B 1'!$AA97-('Team B 1'!D$2- 12.5)*'Team B 1'!$AC97</f>
        <v>74.710434879112199</v>
      </c>
      <c r="E97" s="1">
        <f>'Team B 1'!E97-'Team B 1'!$AA97-('Team B 1'!E$2- 12.5)*'Team B 1'!$AC97</f>
        <v>-10.785400371320748</v>
      </c>
      <c r="F97" s="1">
        <f>'Team B 1'!F97-'Team B 1'!$AA97-('Team B 1'!F$2- 12.5)*'Team B 1'!$AC97</f>
        <v>-6.2812356217534671</v>
      </c>
      <c r="G97" s="1">
        <f>'Team B 1'!G97-'Team B 1'!$AA97-('Team B 1'!G$2- 12.5)*'Team B 1'!$AC97</f>
        <v>18.222929127813586</v>
      </c>
      <c r="H97" s="1">
        <f>'Team B 1'!H97-'Team B 1'!$AA97-('Team B 1'!H$2- 12.5)*'Team B 1'!$AC97</f>
        <v>12.727093877380639</v>
      </c>
      <c r="I97" s="1">
        <f>'Team B 1'!I97-'Team B 1'!$AA97-('Team B 1'!I$2- 12.5)*'Team B 1'!$AC97</f>
        <v>-12.76874137305208</v>
      </c>
      <c r="J97" s="1">
        <f>'Team B 1'!J97-'Team B 1'!$AA97-('Team B 1'!J$2- 12.5)*'Team B 1'!$AC97</f>
        <v>-18.264576623485027</v>
      </c>
      <c r="K97" s="1">
        <f>'Team B 1'!K97-'Team B 1'!$AA97-('Team B 1'!K$2- 12.5)*'Team B 1'!$AC97</f>
        <v>-13.76041187391786</v>
      </c>
      <c r="L97" s="1">
        <f>'Team B 1'!L97-'Team B 1'!$AA97-('Team B 1'!L$2- 12.5)*'Team B 1'!$AC97</f>
        <v>-29.256247124350693</v>
      </c>
      <c r="M97" s="1">
        <f>'Team B 1'!M97-'Team B 1'!$AA97-('Team B 1'!M$2- 12.5)*'Team B 1'!$AC97</f>
        <v>35.247917625216431</v>
      </c>
      <c r="N97" s="1">
        <f>'Team B 1'!N97-'Team B 1'!$AA97-('Team B 1'!N$2- 12.5)*'Team B 1'!$AC97</f>
        <v>19.752082374783569</v>
      </c>
      <c r="O97" s="1">
        <f>'Team B 1'!O97-'Team B 1'!$AA97-('Team B 1'!O$2- 12.5)*'Team B 1'!$AC97</f>
        <v>24.256247124350693</v>
      </c>
      <c r="P97" s="1">
        <f>'Team B 1'!P97-'Team B 1'!$AA97-('Team B 1'!P$2- 12.5)*'Team B 1'!$AC97</f>
        <v>-51.23958812608214</v>
      </c>
      <c r="Q97" s="1">
        <f>'Team B 1'!Q97-'Team B 1'!$AA97-('Team B 1'!Q$2- 12.5)*'Team B 1'!$AC97</f>
        <v>-36.735423376514973</v>
      </c>
      <c r="R97" s="1">
        <f>'Team B 1'!R97-'Team B 1'!$AA97-('Team B 1'!R$2- 12.5)*'Team B 1'!$AC97</f>
        <v>-2.2312586269479198</v>
      </c>
      <c r="S97" s="1">
        <f>'Team B 1'!S97-'Team B 1'!$AA97-('Team B 1'!S$2- 12.5)*'Team B 1'!$AC97</f>
        <v>12.272906122619361</v>
      </c>
      <c r="T97" s="1">
        <f>'Team B 1'!T97-'Team B 1'!$AA97-('Team B 1'!T$2- 12.5)*'Team B 1'!$AC97</f>
        <v>16.777070872186414</v>
      </c>
      <c r="U97" s="1">
        <f>'Team B 1'!U97-'Team B 1'!$AA97-('Team B 1'!U$2- 12.5)*'Team B 1'!$AC97</f>
        <v>-18.718764378246533</v>
      </c>
      <c r="V97" s="1">
        <f>'Team B 1'!V97-'Team B 1'!$AA97-('Team B 1'!V$2- 12.5)*'Team B 1'!$AC97</f>
        <v>-44.214599628679252</v>
      </c>
      <c r="W97" s="1">
        <f>'Team B 1'!W97-'Team B 1'!$AA97-('Team B 1'!W$2- 12.5)*'Team B 1'!$AC97</f>
        <v>-39.710434879112199</v>
      </c>
      <c r="X97" s="1">
        <f>'Team B 1'!X97-'Team B 1'!$AA97-('Team B 1'!X$2- 12.5)*'Team B 1'!$AC97</f>
        <v>14.793729870455081</v>
      </c>
      <c r="Y97" s="1">
        <f>'Team B 1'!Y97-'Team B 1'!$AA97-('Team B 1'!Y$2- 12.5)*'Team B 1'!$AC97</f>
        <v>-0.70210537997809297</v>
      </c>
      <c r="AB97" s="1">
        <f>STDEV(B97:Y97)</f>
        <v>29.548034504726928</v>
      </c>
      <c r="AD97" s="5">
        <v>8</v>
      </c>
      <c r="AE97" s="5">
        <v>4</v>
      </c>
      <c r="AF97" s="5">
        <v>1</v>
      </c>
      <c r="AG97" s="5">
        <v>6</v>
      </c>
      <c r="AH97" s="5" t="s">
        <v>45</v>
      </c>
      <c r="AI97" s="5">
        <v>2</v>
      </c>
      <c r="AJ97" s="5" t="s">
        <v>47</v>
      </c>
      <c r="AK97" s="5">
        <v>3</v>
      </c>
      <c r="AL97" s="5" t="s">
        <v>46</v>
      </c>
      <c r="AM97" s="5">
        <v>5</v>
      </c>
      <c r="AN97" s="5">
        <v>9</v>
      </c>
      <c r="AO97" s="5">
        <v>7</v>
      </c>
      <c r="AP97" s="5">
        <v>8</v>
      </c>
      <c r="AQ97" s="5">
        <v>1</v>
      </c>
      <c r="AR97" s="5">
        <v>4</v>
      </c>
      <c r="AS97" s="5">
        <v>6</v>
      </c>
      <c r="AT97" s="5">
        <v>2</v>
      </c>
      <c r="AU97" s="5" t="s">
        <v>45</v>
      </c>
      <c r="AV97" s="5">
        <v>3</v>
      </c>
      <c r="AW97" s="5" t="s">
        <v>47</v>
      </c>
      <c r="AX97" s="5">
        <v>5</v>
      </c>
      <c r="AY97" s="5" t="s">
        <v>46</v>
      </c>
      <c r="AZ97" s="5">
        <v>7</v>
      </c>
      <c r="BA97" s="5">
        <v>9</v>
      </c>
      <c r="BB97" s="5"/>
      <c r="BC97" s="1">
        <f ca="1">OFFSET(A97,0, 3) -0</f>
        <v>74.710434879112199</v>
      </c>
      <c r="BD97" s="1">
        <f ca="1">OFFSET(A97,0, 6) -0</f>
        <v>18.222929127813586</v>
      </c>
      <c r="BE97" s="1">
        <f ca="1">OFFSET(A97,0, 8) -0</f>
        <v>-12.76874137305208</v>
      </c>
      <c r="BF97" s="1">
        <f ca="1">OFFSET(A97,0, 2) -0</f>
        <v>30.206270129544919</v>
      </c>
      <c r="BG97" s="1">
        <f ca="1">OFFSET(A97,0, 10) -0</f>
        <v>-13.76041187391786</v>
      </c>
      <c r="BH97" s="1">
        <f ca="1">OFFSET(A97,0, 4) -0</f>
        <v>-10.785400371320748</v>
      </c>
      <c r="BI97" s="1">
        <f ca="1">OFFSET(A97,0, 12) -0</f>
        <v>35.247917625216431</v>
      </c>
      <c r="BJ97" s="1">
        <f ca="1">OFFSET(A97,0, 1) -0</f>
        <v>25.702105379978093</v>
      </c>
      <c r="BK97" s="1">
        <f ca="1">OFFSET(A97,0, 11) -0</f>
        <v>-29.256247124350693</v>
      </c>
      <c r="BL97" s="1">
        <f ca="1">OFFSET(A97,0, 5) -0</f>
        <v>-6.2812356217534671</v>
      </c>
      <c r="BM97" s="1">
        <f ca="1">OFFSET(A97,0, 9) -0</f>
        <v>-18.264576623485027</v>
      </c>
      <c r="BN97" s="1">
        <f ca="1">OFFSET(A97,0, 7) -0</f>
        <v>12.727093877380639</v>
      </c>
      <c r="BO97" s="1">
        <f ca="1">OFFSET(A97,0, 14) -0</f>
        <v>24.256247124350693</v>
      </c>
      <c r="BP97" s="1">
        <f ca="1">OFFSET(A97,0, 17) -0</f>
        <v>-2.2312586269479198</v>
      </c>
      <c r="BQ97" s="1">
        <f ca="1">OFFSET(A97,0, 19) -0</f>
        <v>16.777070872186414</v>
      </c>
      <c r="BR97" s="1">
        <f ca="1">OFFSET(A97,0, 15) -0</f>
        <v>-51.23958812608214</v>
      </c>
      <c r="BS97" s="1">
        <f ca="1">OFFSET(A97,0, 21) -0</f>
        <v>-44.214599628679252</v>
      </c>
      <c r="BT97" s="1">
        <f ca="1">OFFSET(A97,0, 16) -0</f>
        <v>-36.735423376514973</v>
      </c>
      <c r="BU97" s="1">
        <f ca="1">OFFSET(A97,0, 23) -0</f>
        <v>14.793729870455081</v>
      </c>
      <c r="BV97" s="1">
        <f ca="1">OFFSET(A97,0, 13) -0</f>
        <v>19.752082374783569</v>
      </c>
      <c r="BW97" s="1">
        <f ca="1">OFFSET(A97,0, 24) -0</f>
        <v>-0.70210537997809297</v>
      </c>
      <c r="BX97" s="1">
        <f ca="1">OFFSET(A97,0, 18) -0</f>
        <v>12.272906122619361</v>
      </c>
      <c r="BY97" s="1">
        <f ca="1">OFFSET(A97,0, 22) -0</f>
        <v>-39.710434879112199</v>
      </c>
      <c r="BZ97" s="1">
        <f ca="1">OFFSET(A97,0, 20) -0</f>
        <v>-18.718764378246533</v>
      </c>
      <c r="CB97" s="1">
        <f>COUNTIF(B97,"&lt;-69")</f>
        <v>0</v>
      </c>
      <c r="CC97" s="1">
        <f ca="1">COUNTIF(BC97:BN97,"&lt;-49")</f>
        <v>0</v>
      </c>
      <c r="CD97" s="1">
        <f ca="1">COUNTIF(BC97:BN97,"&gt;+49")</f>
        <v>1</v>
      </c>
      <c r="CE97" s="1">
        <f ca="1">COUNTIF(BO97:BZ97,"&lt;-49")</f>
        <v>1</v>
      </c>
      <c r="CF97" s="1">
        <f ca="1">COUNTIF(BO97:BZ97,"&gt;+49")</f>
        <v>0</v>
      </c>
    </row>
    <row r="98" spans="1:84">
      <c r="A98" s="1">
        <v>95</v>
      </c>
      <c r="B98" s="1">
        <f>'Team B 1'!B98-'Team B 1'!$AA98-('Team B 1'!B$2- 12.5)*'Team B 1'!$AC98</f>
        <v>7.3349261511725672</v>
      </c>
      <c r="C98" s="1">
        <f>'Team B 1'!C98-'Team B 1'!$AA98-('Team B 1'!C$2- 12.5)*'Team B 1'!$AC98</f>
        <v>11.697106485853055</v>
      </c>
      <c r="D98" s="1">
        <f>'Team B 1'!D98-'Team B 1'!$AA98-('Team B 1'!D$2- 12.5)*'Team B 1'!$AC98</f>
        <v>56.059286820533771</v>
      </c>
      <c r="E98" s="1">
        <f>'Team B 1'!E98-'Team B 1'!$AA98-('Team B 1'!E$2- 12.5)*'Team B 1'!$AC98</f>
        <v>30.421467155214486</v>
      </c>
      <c r="F98" s="1">
        <f>'Team B 1'!F98-'Team B 1'!$AA98-('Team B 1'!F$2- 12.5)*'Team B 1'!$AC98</f>
        <v>14.783647489894975</v>
      </c>
      <c r="G98" s="1">
        <f>'Team B 1'!G98-'Team B 1'!$AA98-('Team B 1'!G$2- 12.5)*'Team B 1'!$AC98</f>
        <v>19.14582782457569</v>
      </c>
      <c r="H98" s="1">
        <f>'Team B 1'!H98-'Team B 1'!$AA98-('Team B 1'!H$2- 12.5)*'Team B 1'!$AC98</f>
        <v>-6.4919918407435944</v>
      </c>
      <c r="I98" s="1">
        <f>'Team B 1'!I98-'Team B 1'!$AA98-('Team B 1'!I$2- 12.5)*'Team B 1'!$AC98</f>
        <v>-12.129811506062993</v>
      </c>
      <c r="J98" s="1">
        <f>'Team B 1'!J98-'Team B 1'!$AA98-('Team B 1'!J$2- 12.5)*'Team B 1'!$AC98</f>
        <v>-27.767631171382277</v>
      </c>
      <c r="K98" s="1">
        <f>'Team B 1'!K98-'Team B 1'!$AA98-('Team B 1'!K$2- 12.5)*'Team B 1'!$AC98</f>
        <v>-33.405450836701675</v>
      </c>
      <c r="L98" s="1">
        <f>'Team B 1'!L98-'Team B 1'!$AA98-('Team B 1'!L$2- 12.5)*'Team B 1'!$AC98</f>
        <v>-49.04327050202096</v>
      </c>
      <c r="M98" s="1">
        <f>'Team B 1'!M98-'Team B 1'!$AA98-('Team B 1'!M$2- 12.5)*'Team B 1'!$AC98</f>
        <v>15.318909832659671</v>
      </c>
      <c r="N98" s="1">
        <f>'Team B 1'!N98-'Team B 1'!$AA98-('Team B 1'!N$2- 12.5)*'Team B 1'!$AC98</f>
        <v>9.6810901673403293</v>
      </c>
      <c r="O98" s="1">
        <f>'Team B 1'!O98-'Team B 1'!$AA98-('Team B 1'!O$2- 12.5)*'Team B 1'!$AC98</f>
        <v>34.04327050202096</v>
      </c>
      <c r="P98" s="1">
        <f>'Team B 1'!P98-'Team B 1'!$AA98-('Team B 1'!P$2- 12.5)*'Team B 1'!$AC98</f>
        <v>28.405450836701675</v>
      </c>
      <c r="Q98" s="1">
        <f>'Team B 1'!Q98-'Team B 1'!$AA98-('Team B 1'!Q$2- 12.5)*'Team B 1'!$AC98</f>
        <v>32.767631171382277</v>
      </c>
      <c r="R98" s="1">
        <f>'Team B 1'!R98-'Team B 1'!$AA98-('Team B 1'!R$2- 12.5)*'Team B 1'!$AC98</f>
        <v>-12.870188493937007</v>
      </c>
      <c r="S98" s="1">
        <f>'Team B 1'!S98-'Team B 1'!$AA98-('Team B 1'!S$2- 12.5)*'Team B 1'!$AC98</f>
        <v>11.491991840743594</v>
      </c>
      <c r="T98" s="1">
        <f>'Team B 1'!T98-'Team B 1'!$AA98-('Team B 1'!T$2- 12.5)*'Team B 1'!$AC98</f>
        <v>35.85417217542431</v>
      </c>
      <c r="U98" s="1">
        <f>'Team B 1'!U98-'Team B 1'!$AA98-('Team B 1'!U$2- 12.5)*'Team B 1'!$AC98</f>
        <v>-9.7836474898949746</v>
      </c>
      <c r="V98" s="1">
        <f>'Team B 1'!V98-'Team B 1'!$AA98-('Team B 1'!V$2- 12.5)*'Team B 1'!$AC98</f>
        <v>-35.421467155214486</v>
      </c>
      <c r="W98" s="1">
        <f>'Team B 1'!W98-'Team B 1'!$AA98-('Team B 1'!W$2- 12.5)*'Team B 1'!$AC98</f>
        <v>-41.059286820533771</v>
      </c>
      <c r="X98" s="1">
        <f>'Team B 1'!X98-'Team B 1'!$AA98-('Team B 1'!X$2- 12.5)*'Team B 1'!$AC98</f>
        <v>-76.697106485853055</v>
      </c>
      <c r="Y98" s="1">
        <f>'Team B 1'!Y98-'Team B 1'!$AA98-('Team B 1'!Y$2- 12.5)*'Team B 1'!$AC98</f>
        <v>-2.3349261511725672</v>
      </c>
      <c r="AB98" s="1">
        <f>STDEV(B98:Y98)</f>
        <v>31.760417228056884</v>
      </c>
      <c r="AD98" s="5">
        <v>1</v>
      </c>
      <c r="AE98" s="5">
        <v>8</v>
      </c>
      <c r="AF98" s="5">
        <v>6</v>
      </c>
      <c r="AG98" s="5">
        <v>4</v>
      </c>
      <c r="AH98" s="5" t="s">
        <v>45</v>
      </c>
      <c r="AI98" s="5">
        <v>2</v>
      </c>
      <c r="AJ98" s="5" t="s">
        <v>47</v>
      </c>
      <c r="AK98" s="5">
        <v>3</v>
      </c>
      <c r="AL98" s="5" t="s">
        <v>46</v>
      </c>
      <c r="AM98" s="5">
        <v>5</v>
      </c>
      <c r="AN98" s="5">
        <v>9</v>
      </c>
      <c r="AO98" s="5">
        <v>7</v>
      </c>
      <c r="AP98" s="5">
        <v>8</v>
      </c>
      <c r="AQ98" s="5">
        <v>1</v>
      </c>
      <c r="AR98" s="5">
        <v>6</v>
      </c>
      <c r="AS98" s="5" t="s">
        <v>45</v>
      </c>
      <c r="AT98" s="5">
        <v>4</v>
      </c>
      <c r="AU98" s="5" t="s">
        <v>47</v>
      </c>
      <c r="AV98" s="5">
        <v>2</v>
      </c>
      <c r="AW98" s="5" t="s">
        <v>46</v>
      </c>
      <c r="AX98" s="5">
        <v>3</v>
      </c>
      <c r="AY98" s="5">
        <v>9</v>
      </c>
      <c r="AZ98" s="5">
        <v>5</v>
      </c>
      <c r="BA98" s="5">
        <v>7</v>
      </c>
      <c r="BB98" s="5"/>
      <c r="BC98" s="1">
        <f ca="1">OFFSET(A98,0, 1) -0</f>
        <v>7.3349261511725672</v>
      </c>
      <c r="BD98" s="1">
        <f ca="1">OFFSET(A98,0, 6) -0</f>
        <v>19.14582782457569</v>
      </c>
      <c r="BE98" s="1">
        <f ca="1">OFFSET(A98,0, 8) -0</f>
        <v>-12.129811506062993</v>
      </c>
      <c r="BF98" s="1">
        <f ca="1">OFFSET(A98,0, 4) -0</f>
        <v>30.421467155214486</v>
      </c>
      <c r="BG98" s="1">
        <f ca="1">OFFSET(A98,0, 10) -0</f>
        <v>-33.405450836701675</v>
      </c>
      <c r="BH98" s="1">
        <f ca="1">OFFSET(A98,0, 3) -0</f>
        <v>56.059286820533771</v>
      </c>
      <c r="BI98" s="1">
        <f ca="1">OFFSET(A98,0, 12) -0</f>
        <v>15.318909832659671</v>
      </c>
      <c r="BJ98" s="1">
        <f ca="1">OFFSET(A98,0, 2) -0</f>
        <v>11.697106485853055</v>
      </c>
      <c r="BK98" s="1">
        <f ca="1">OFFSET(A98,0, 11) -0</f>
        <v>-49.04327050202096</v>
      </c>
      <c r="BL98" s="1">
        <f ca="1">OFFSET(A98,0, 5) -0</f>
        <v>14.783647489894975</v>
      </c>
      <c r="BM98" s="1">
        <f ca="1">OFFSET(A98,0, 9) -0</f>
        <v>-27.767631171382277</v>
      </c>
      <c r="BN98" s="1">
        <f ca="1">OFFSET(A98,0, 7) -0</f>
        <v>-6.4919918407435944</v>
      </c>
      <c r="BO98" s="1">
        <f ca="1">OFFSET(A98,0, 14) -0</f>
        <v>34.04327050202096</v>
      </c>
      <c r="BP98" s="1">
        <f ca="1">OFFSET(A98,0, 19) -0</f>
        <v>35.85417217542431</v>
      </c>
      <c r="BQ98" s="1">
        <f ca="1">OFFSET(A98,0, 21) -0</f>
        <v>-35.421467155214486</v>
      </c>
      <c r="BR98" s="1">
        <f ca="1">OFFSET(A98,0, 17) -0</f>
        <v>-12.870188493937007</v>
      </c>
      <c r="BS98" s="1">
        <f ca="1">OFFSET(A98,0, 23) -0</f>
        <v>-76.697106485853055</v>
      </c>
      <c r="BT98" s="1">
        <f ca="1">OFFSET(A98,0, 15) -0</f>
        <v>28.405450836701675</v>
      </c>
      <c r="BU98" s="1">
        <f ca="1">OFFSET(A98,0, 24) -0</f>
        <v>-2.3349261511725672</v>
      </c>
      <c r="BV98" s="1">
        <f ca="1">OFFSET(A98,0, 13) -0</f>
        <v>9.6810901673403293</v>
      </c>
      <c r="BW98" s="1">
        <f ca="1">OFFSET(A98,0, 22) -0</f>
        <v>-41.059286820533771</v>
      </c>
      <c r="BX98" s="1">
        <f ca="1">OFFSET(A98,0, 16) -0</f>
        <v>32.767631171382277</v>
      </c>
      <c r="BY98" s="1">
        <f ca="1">OFFSET(A98,0, 20) -0</f>
        <v>-9.7836474898949746</v>
      </c>
      <c r="BZ98" s="1">
        <f ca="1">OFFSET(A98,0, 18) -0</f>
        <v>11.491991840743594</v>
      </c>
      <c r="CB98" s="1">
        <f>COUNTIF(B98,"&lt;-69")</f>
        <v>0</v>
      </c>
      <c r="CC98" s="1">
        <f ca="1">COUNTIF(BC98:BN98,"&lt;-49")</f>
        <v>1</v>
      </c>
      <c r="CD98" s="1">
        <f ca="1">COUNTIF(BC98:BN98,"&gt;+49")</f>
        <v>1</v>
      </c>
      <c r="CE98" s="1">
        <f ca="1">COUNTIF(BO98:BZ98,"&lt;-49")</f>
        <v>1</v>
      </c>
      <c r="CF98" s="1">
        <f ca="1">COUNTIF(BO98:BZ98,"&gt;+49")</f>
        <v>0</v>
      </c>
    </row>
    <row r="99" spans="1:84">
      <c r="A99" s="1">
        <v>96</v>
      </c>
      <c r="B99" s="1">
        <f>'Team B 1'!B99-'Team B 1'!$AA99-('Team B 1'!B$2- 12.5)*'Team B 1'!$AC99</f>
        <v>50.600567693575613</v>
      </c>
      <c r="C99" s="1">
        <f>'Team B 1'!C99-'Team B 1'!$AA99-('Team B 1'!C$2- 12.5)*'Team B 1'!$AC99</f>
        <v>-15.321220801517939</v>
      </c>
      <c r="D99" s="1">
        <f>'Team B 1'!D99-'Team B 1'!$AA99-('Team B 1'!D$2- 12.5)*'Team B 1'!$AC99</f>
        <v>38.75699070338851</v>
      </c>
      <c r="E99" s="1">
        <f>'Team B 1'!E99-'Team B 1'!$AA99-('Team B 1'!E$2- 12.5)*'Team B 1'!$AC99</f>
        <v>12.835202208294959</v>
      </c>
      <c r="F99" s="1">
        <f>'Team B 1'!F99-'Team B 1'!$AA99-('Team B 1'!F$2- 12.5)*'Team B 1'!$AC99</f>
        <v>26.913413713201408</v>
      </c>
      <c r="G99" s="1">
        <f>'Team B 1'!G99-'Team B 1'!$AA99-('Team B 1'!G$2- 12.5)*'Team B 1'!$AC99</f>
        <v>10.991625218107856</v>
      </c>
      <c r="H99" s="1">
        <f>'Team B 1'!H99-'Team B 1'!$AA99-('Team B 1'!H$2- 12.5)*'Team B 1'!$AC99</f>
        <v>-4.9301632769856951</v>
      </c>
      <c r="I99" s="1">
        <f>'Team B 1'!I99-'Team B 1'!$AA99-('Team B 1'!I$2- 12.5)*'Team B 1'!$AC99</f>
        <v>-0.85195177207913275</v>
      </c>
      <c r="J99" s="1">
        <f>'Team B 1'!J99-'Team B 1'!$AA99-('Team B 1'!J$2- 12.5)*'Team B 1'!$AC99</f>
        <v>-36.773740267172684</v>
      </c>
      <c r="K99" s="1">
        <f>'Team B 1'!K99-'Team B 1'!$AA99-('Team B 1'!K$2- 12.5)*'Team B 1'!$AC99</f>
        <v>-22.695528762266179</v>
      </c>
      <c r="L99" s="1">
        <f>'Team B 1'!L99-'Team B 1'!$AA99-('Team B 1'!L$2- 12.5)*'Team B 1'!$AC99</f>
        <v>-8.6173172573597299</v>
      </c>
      <c r="M99" s="1">
        <f>'Team B 1'!M99-'Team B 1'!$AA99-('Team B 1'!M$2- 12.5)*'Team B 1'!$AC99</f>
        <v>-4.5391057524532386</v>
      </c>
      <c r="N99" s="1">
        <f>'Team B 1'!N99-'Team B 1'!$AA99-('Team B 1'!N$2- 12.5)*'Team B 1'!$AC99</f>
        <v>19.539105752453239</v>
      </c>
      <c r="O99" s="1">
        <f>'Team B 1'!O99-'Team B 1'!$AA99-('Team B 1'!O$2- 12.5)*'Team B 1'!$AC99</f>
        <v>-16.38268274264027</v>
      </c>
      <c r="P99" s="1">
        <f>'Team B 1'!P99-'Team B 1'!$AA99-('Team B 1'!P$2- 12.5)*'Team B 1'!$AC99</f>
        <v>-2.3044712377338215</v>
      </c>
      <c r="Q99" s="1">
        <f>'Team B 1'!Q99-'Team B 1'!$AA99-('Team B 1'!Q$2- 12.5)*'Team B 1'!$AC99</f>
        <v>1.7737402671726841</v>
      </c>
      <c r="R99" s="1">
        <f>'Team B 1'!R99-'Team B 1'!$AA99-('Team B 1'!R$2- 12.5)*'Team B 1'!$AC99</f>
        <v>-14.148048227920867</v>
      </c>
      <c r="S99" s="1">
        <f>'Team B 1'!S99-'Team B 1'!$AA99-('Team B 1'!S$2- 12.5)*'Team B 1'!$AC99</f>
        <v>-20.069836723014305</v>
      </c>
      <c r="T99" s="1">
        <f>'Team B 1'!T99-'Team B 1'!$AA99-('Team B 1'!T$2- 12.5)*'Team B 1'!$AC99</f>
        <v>14.008374781892144</v>
      </c>
      <c r="U99" s="1">
        <f>'Team B 1'!U99-'Team B 1'!$AA99-('Team B 1'!U$2- 12.5)*'Team B 1'!$AC99</f>
        <v>8.0865862867985925</v>
      </c>
      <c r="V99" s="1">
        <f>'Team B 1'!V99-'Team B 1'!$AA99-('Team B 1'!V$2- 12.5)*'Team B 1'!$AC99</f>
        <v>2.1647977917050412</v>
      </c>
      <c r="W99" s="1">
        <f>'Team B 1'!W99-'Team B 1'!$AA99-('Team B 1'!W$2- 12.5)*'Team B 1'!$AC99</f>
        <v>-13.75699070338851</v>
      </c>
      <c r="X99" s="1">
        <f>'Team B 1'!X99-'Team B 1'!$AA99-('Team B 1'!X$2- 12.5)*'Team B 1'!$AC99</f>
        <v>-29.678779198482061</v>
      </c>
      <c r="Y99" s="1">
        <f>'Team B 1'!Y99-'Team B 1'!$AA99-('Team B 1'!Y$2- 12.5)*'Team B 1'!$AC99</f>
        <v>4.3994323064243872</v>
      </c>
      <c r="AB99" s="1">
        <f>STDEV(B99:Y99)</f>
        <v>20.759267664571087</v>
      </c>
      <c r="AD99" s="5">
        <v>1</v>
      </c>
      <c r="AE99" s="5">
        <v>8</v>
      </c>
      <c r="AF99" s="5" t="s">
        <v>45</v>
      </c>
      <c r="AG99" s="5">
        <v>6</v>
      </c>
      <c r="AH99" s="5" t="s">
        <v>47</v>
      </c>
      <c r="AI99" s="5">
        <v>4</v>
      </c>
      <c r="AJ99" s="5" t="s">
        <v>46</v>
      </c>
      <c r="AK99" s="5">
        <v>2</v>
      </c>
      <c r="AL99" s="5">
        <v>9</v>
      </c>
      <c r="AM99" s="5">
        <v>3</v>
      </c>
      <c r="AN99" s="5">
        <v>7</v>
      </c>
      <c r="AO99" s="5">
        <v>5</v>
      </c>
      <c r="AP99" s="5">
        <v>1</v>
      </c>
      <c r="AQ99" s="5">
        <v>8</v>
      </c>
      <c r="AR99" s="5">
        <v>6</v>
      </c>
      <c r="AS99" s="5" t="s">
        <v>45</v>
      </c>
      <c r="AT99" s="5">
        <v>4</v>
      </c>
      <c r="AU99" s="5" t="s">
        <v>47</v>
      </c>
      <c r="AV99" s="5">
        <v>2</v>
      </c>
      <c r="AW99" s="5" t="s">
        <v>46</v>
      </c>
      <c r="AX99" s="5">
        <v>3</v>
      </c>
      <c r="AY99" s="5">
        <v>9</v>
      </c>
      <c r="AZ99" s="5">
        <v>5</v>
      </c>
      <c r="BA99" s="5">
        <v>7</v>
      </c>
      <c r="BB99" s="5"/>
      <c r="BC99" s="1">
        <f ca="1">OFFSET(A99,0, 1) -0</f>
        <v>50.600567693575613</v>
      </c>
      <c r="BD99" s="1">
        <f ca="1">OFFSET(A99,0, 8) -0</f>
        <v>-0.85195177207913275</v>
      </c>
      <c r="BE99" s="1">
        <f ca="1">OFFSET(A99,0, 10) -0</f>
        <v>-22.695528762266179</v>
      </c>
      <c r="BF99" s="1">
        <f ca="1">OFFSET(A99,0, 6) -0</f>
        <v>10.991625218107856</v>
      </c>
      <c r="BG99" s="1">
        <f ca="1">OFFSET(A99,0, 12) -0</f>
        <v>-4.5391057524532386</v>
      </c>
      <c r="BH99" s="1">
        <f ca="1">OFFSET(A99,0, 4) -0</f>
        <v>12.835202208294959</v>
      </c>
      <c r="BI99" s="1">
        <f ca="1">OFFSET(A99,0, 11) -0</f>
        <v>-8.6173172573597299</v>
      </c>
      <c r="BJ99" s="1">
        <f ca="1">OFFSET(A99,0, 2) -0</f>
        <v>-15.321220801517939</v>
      </c>
      <c r="BK99" s="1">
        <f ca="1">OFFSET(A99,0, 9) -0</f>
        <v>-36.773740267172684</v>
      </c>
      <c r="BL99" s="1">
        <f ca="1">OFFSET(A99,0, 3) -0</f>
        <v>38.75699070338851</v>
      </c>
      <c r="BM99" s="1">
        <f ca="1">OFFSET(A99,0, 7) -0</f>
        <v>-4.9301632769856951</v>
      </c>
      <c r="BN99" s="1">
        <f ca="1">OFFSET(A99,0, 5) -0</f>
        <v>26.913413713201408</v>
      </c>
      <c r="BO99" s="1">
        <f ca="1">OFFSET(A99,0, 13) -0</f>
        <v>19.539105752453239</v>
      </c>
      <c r="BP99" s="1">
        <f ca="1">OFFSET(A99,0, 19) -0</f>
        <v>14.008374781892144</v>
      </c>
      <c r="BQ99" s="1">
        <f ca="1">OFFSET(A99,0, 21) -0</f>
        <v>2.1647977917050412</v>
      </c>
      <c r="BR99" s="1">
        <f ca="1">OFFSET(A99,0, 17) -0</f>
        <v>-14.148048227920867</v>
      </c>
      <c r="BS99" s="1">
        <f ca="1">OFFSET(A99,0, 23) -0</f>
        <v>-29.678779198482061</v>
      </c>
      <c r="BT99" s="1">
        <f ca="1">OFFSET(A99,0, 15) -0</f>
        <v>-2.3044712377338215</v>
      </c>
      <c r="BU99" s="1">
        <f ca="1">OFFSET(A99,0, 24) -0</f>
        <v>4.3994323064243872</v>
      </c>
      <c r="BV99" s="1">
        <f ca="1">OFFSET(A99,0, 14) -0</f>
        <v>-16.38268274264027</v>
      </c>
      <c r="BW99" s="1">
        <f ca="1">OFFSET(A99,0, 22) -0</f>
        <v>-13.75699070338851</v>
      </c>
      <c r="BX99" s="1">
        <f ca="1">OFFSET(A99,0, 16) -0</f>
        <v>1.7737402671726841</v>
      </c>
      <c r="BY99" s="1">
        <f ca="1">OFFSET(A99,0, 20) -0</f>
        <v>8.0865862867985925</v>
      </c>
      <c r="BZ99" s="1">
        <f ca="1">OFFSET(A99,0, 18) -0</f>
        <v>-20.069836723014305</v>
      </c>
      <c r="CB99" s="1">
        <f>COUNTIF(B99,"&lt;-69")</f>
        <v>0</v>
      </c>
      <c r="CC99" s="1">
        <f ca="1">COUNTIF(BC99:BN99,"&lt;-49")</f>
        <v>0</v>
      </c>
      <c r="CD99" s="1">
        <f ca="1">COUNTIF(BC99:BN99,"&gt;+49")</f>
        <v>1</v>
      </c>
      <c r="CE99" s="1">
        <f ca="1">COUNTIF(BO99:BZ99,"&lt;-49")</f>
        <v>0</v>
      </c>
      <c r="CF99" s="1">
        <f ca="1">COUNTIF(BO99:BZ99,"&gt;+49")</f>
        <v>0</v>
      </c>
    </row>
    <row r="100" spans="1:84">
      <c r="A100" s="1">
        <v>97</v>
      </c>
      <c r="B100" s="1">
        <f>'Team B 1'!B100-'Team B 1'!$AA100-('Team B 1'!B$2- 12.5)*'Team B 1'!$AC100</f>
        <v>19.411397727302756</v>
      </c>
      <c r="C100" s="1">
        <f>'Team B 1'!C100-'Team B 1'!$AA100-('Team B 1'!C$2- 12.5)*'Team B 1'!$AC100</f>
        <v>43.230696475651257</v>
      </c>
      <c r="D100" s="1">
        <f>'Team B 1'!D100-'Team B 1'!$AA100-('Team B 1'!D$2- 12.5)*'Team B 1'!$AC100</f>
        <v>17.049995224000213</v>
      </c>
      <c r="E100" s="1">
        <f>'Team B 1'!E100-'Team B 1'!$AA100-('Team B 1'!E$2- 12.5)*'Team B 1'!$AC100</f>
        <v>30.869293972348942</v>
      </c>
      <c r="F100" s="1">
        <f>'Team B 1'!F100-'Team B 1'!$AA100-('Team B 1'!F$2- 12.5)*'Team B 1'!$AC100</f>
        <v>14.688592720697898</v>
      </c>
      <c r="G100" s="1">
        <f>'Team B 1'!G100-'Team B 1'!$AA100-('Team B 1'!G$2- 12.5)*'Team B 1'!$AC100</f>
        <v>38.507891469046626</v>
      </c>
      <c r="H100" s="1">
        <f>'Team B 1'!H100-'Team B 1'!$AA100-('Team B 1'!H$2- 12.5)*'Team B 1'!$AC100</f>
        <v>-7.6728097826046451</v>
      </c>
      <c r="I100" s="1">
        <f>'Team B 1'!I100-'Team B 1'!$AA100-('Team B 1'!I$2- 12.5)*'Team B 1'!$AC100</f>
        <v>-3.8535110342556891</v>
      </c>
      <c r="J100" s="1">
        <f>'Team B 1'!J100-'Team B 1'!$AA100-('Team B 1'!J$2- 12.5)*'Team B 1'!$AC100</f>
        <v>-30.03421228590696</v>
      </c>
      <c r="K100" s="1">
        <f>'Team B 1'!K100-'Team B 1'!$AA100-('Team B 1'!K$2- 12.5)*'Team B 1'!$AC100</f>
        <v>-16.214913537558118</v>
      </c>
      <c r="L100" s="1">
        <f>'Team B 1'!L100-'Team B 1'!$AA100-('Team B 1'!L$2- 12.5)*'Team B 1'!$AC100</f>
        <v>-42.395614789209276</v>
      </c>
      <c r="M100" s="1">
        <f>'Team B 1'!M100-'Team B 1'!$AA100-('Team B 1'!M$2- 12.5)*'Team B 1'!$AC100</f>
        <v>21.423683959139524</v>
      </c>
      <c r="N100" s="1">
        <f>'Team B 1'!N100-'Team B 1'!$AA100-('Team B 1'!N$2- 12.5)*'Team B 1'!$AC100</f>
        <v>15.242982707488338</v>
      </c>
      <c r="O100" s="1">
        <f>'Team B 1'!O100-'Team B 1'!$AA100-('Team B 1'!O$2- 12.5)*'Team B 1'!$AC100</f>
        <v>-0.9377185441628626</v>
      </c>
      <c r="P100" s="1">
        <f>'Team B 1'!P100-'Team B 1'!$AA100-('Team B 1'!P$2- 12.5)*'Team B 1'!$AC100</f>
        <v>-57.11841979581402</v>
      </c>
      <c r="Q100" s="1">
        <f>'Team B 1'!Q100-'Team B 1'!$AA100-('Team B 1'!Q$2- 12.5)*'Team B 1'!$AC100</f>
        <v>-23.299121047465178</v>
      </c>
      <c r="R100" s="1">
        <f>'Team B 1'!R100-'Team B 1'!$AA100-('Team B 1'!R$2- 12.5)*'Team B 1'!$AC100</f>
        <v>0.52017770088355064</v>
      </c>
      <c r="S100" s="1">
        <f>'Team B 1'!S100-'Team B 1'!$AA100-('Team B 1'!S$2- 12.5)*'Team B 1'!$AC100</f>
        <v>4.3394764492325066</v>
      </c>
      <c r="T100" s="1">
        <f>'Team B 1'!T100-'Team B 1'!$AA100-('Team B 1'!T$2- 12.5)*'Team B 1'!$AC100</f>
        <v>-21.841224802418765</v>
      </c>
      <c r="U100" s="1">
        <f>'Team B 1'!U100-'Team B 1'!$AA100-('Team B 1'!U$2- 12.5)*'Team B 1'!$AC100</f>
        <v>1.9780739459299639</v>
      </c>
      <c r="V100" s="1">
        <f>'Team B 1'!V100-'Team B 1'!$AA100-('Team B 1'!V$2- 12.5)*'Team B 1'!$AC100</f>
        <v>-14.20262730572108</v>
      </c>
      <c r="W100" s="1">
        <f>'Team B 1'!W100-'Team B 1'!$AA100-('Team B 1'!W$2- 12.5)*'Team B 1'!$AC100</f>
        <v>19.616671442627649</v>
      </c>
      <c r="X100" s="1">
        <f>'Team B 1'!X100-'Team B 1'!$AA100-('Team B 1'!X$2- 12.5)*'Team B 1'!$AC100</f>
        <v>3.4359701909766045</v>
      </c>
      <c r="Y100" s="1">
        <f>'Team B 1'!Y100-'Team B 1'!$AA100-('Team B 1'!Y$2- 12.5)*'Team B 1'!$AC100</f>
        <v>-12.744731060674894</v>
      </c>
      <c r="AB100" s="1">
        <f>STDEV(B100:Y100)</f>
        <v>24.656237963263813</v>
      </c>
      <c r="AD100" s="5">
        <v>8</v>
      </c>
      <c r="AE100" s="5">
        <v>1</v>
      </c>
      <c r="AF100" s="5" t="s">
        <v>45</v>
      </c>
      <c r="AG100" s="5">
        <v>6</v>
      </c>
      <c r="AH100" s="5" t="s">
        <v>47</v>
      </c>
      <c r="AI100" s="5">
        <v>4</v>
      </c>
      <c r="AJ100" s="5" t="s">
        <v>46</v>
      </c>
      <c r="AK100" s="5">
        <v>2</v>
      </c>
      <c r="AL100" s="5">
        <v>9</v>
      </c>
      <c r="AM100" s="5">
        <v>3</v>
      </c>
      <c r="AN100" s="5">
        <v>7</v>
      </c>
      <c r="AO100" s="5">
        <v>5</v>
      </c>
      <c r="AP100" s="5">
        <v>1</v>
      </c>
      <c r="AQ100" s="5">
        <v>8</v>
      </c>
      <c r="AR100" s="5" t="s">
        <v>45</v>
      </c>
      <c r="AS100" s="5" t="s">
        <v>47</v>
      </c>
      <c r="AT100" s="5">
        <v>6</v>
      </c>
      <c r="AU100" s="5" t="s">
        <v>46</v>
      </c>
      <c r="AV100" s="5">
        <v>4</v>
      </c>
      <c r="AW100" s="5">
        <v>9</v>
      </c>
      <c r="AX100" s="5">
        <v>2</v>
      </c>
      <c r="AY100" s="5">
        <v>7</v>
      </c>
      <c r="AZ100" s="5">
        <v>3</v>
      </c>
      <c r="BA100" s="5">
        <v>5</v>
      </c>
      <c r="BB100" s="5"/>
      <c r="BC100" s="1">
        <f ca="1">OFFSET(A100,0, 2) -0</f>
        <v>43.230696475651257</v>
      </c>
      <c r="BD100" s="1">
        <f ca="1">OFFSET(A100,0, 8) -0</f>
        <v>-3.8535110342556891</v>
      </c>
      <c r="BE100" s="1">
        <f ca="1">OFFSET(A100,0, 10) -0</f>
        <v>-16.214913537558118</v>
      </c>
      <c r="BF100" s="1">
        <f ca="1">OFFSET(A100,0, 6) -0</f>
        <v>38.507891469046626</v>
      </c>
      <c r="BG100" s="1">
        <f ca="1">OFFSET(A100,0, 12) -0</f>
        <v>21.423683959139524</v>
      </c>
      <c r="BH100" s="1">
        <f ca="1">OFFSET(A100,0, 4) -0</f>
        <v>30.869293972348942</v>
      </c>
      <c r="BI100" s="1">
        <f ca="1">OFFSET(A100,0, 11) -0</f>
        <v>-42.395614789209276</v>
      </c>
      <c r="BJ100" s="1">
        <f ca="1">OFFSET(A100,0, 1) -0</f>
        <v>19.411397727302756</v>
      </c>
      <c r="BK100" s="1">
        <f ca="1">OFFSET(A100,0, 9) -0</f>
        <v>-30.03421228590696</v>
      </c>
      <c r="BL100" s="1">
        <f ca="1">OFFSET(A100,0, 3) -0</f>
        <v>17.049995224000213</v>
      </c>
      <c r="BM100" s="1">
        <f ca="1">OFFSET(A100,0, 7) -0</f>
        <v>-7.6728097826046451</v>
      </c>
      <c r="BN100" s="1">
        <f ca="1">OFFSET(A100,0, 5) -0</f>
        <v>14.688592720697898</v>
      </c>
      <c r="BO100" s="1">
        <f ca="1">OFFSET(A100,0, 13) -0</f>
        <v>15.242982707488338</v>
      </c>
      <c r="BP100" s="1">
        <f ca="1">OFFSET(A100,0, 21) -0</f>
        <v>-14.20262730572108</v>
      </c>
      <c r="BQ100" s="1">
        <f ca="1">OFFSET(A100,0, 23) -0</f>
        <v>3.4359701909766045</v>
      </c>
      <c r="BR100" s="1">
        <f ca="1">OFFSET(A100,0, 19) -0</f>
        <v>-21.841224802418765</v>
      </c>
      <c r="BS100" s="1">
        <f ca="1">OFFSET(A100,0, 24) -0</f>
        <v>-12.744731060674894</v>
      </c>
      <c r="BT100" s="1">
        <f ca="1">OFFSET(A100,0, 17) -0</f>
        <v>0.52017770088355064</v>
      </c>
      <c r="BU100" s="1">
        <f ca="1">OFFSET(A100,0, 22) -0</f>
        <v>19.616671442627649</v>
      </c>
      <c r="BV100" s="1">
        <f ca="1">OFFSET(A100,0, 14) -0</f>
        <v>-0.9377185441628626</v>
      </c>
      <c r="BW100" s="1">
        <f ca="1">OFFSET(A100,0, 20) -0</f>
        <v>1.9780739459299639</v>
      </c>
      <c r="BX100" s="1">
        <f ca="1">OFFSET(A100,0, 15) -0</f>
        <v>-57.11841979581402</v>
      </c>
      <c r="BY100" s="1">
        <f ca="1">OFFSET(A100,0, 18) -0</f>
        <v>4.3394764492325066</v>
      </c>
      <c r="BZ100" s="1">
        <f ca="1">OFFSET(A100,0, 16) -0</f>
        <v>-23.299121047465178</v>
      </c>
      <c r="CB100" s="1">
        <f>COUNTIF(B100,"&lt;-69")</f>
        <v>0</v>
      </c>
      <c r="CC100" s="1">
        <f ca="1">COUNTIF(BC100:BN100,"&lt;-49")</f>
        <v>0</v>
      </c>
      <c r="CD100" s="1">
        <f ca="1">COUNTIF(BC100:BN100,"&gt;+49")</f>
        <v>0</v>
      </c>
      <c r="CE100" s="1">
        <f ca="1">COUNTIF(BO100:BZ100,"&lt;-49")</f>
        <v>1</v>
      </c>
      <c r="CF100" s="1">
        <f ca="1">COUNTIF(BO100:BZ100,"&gt;+49")</f>
        <v>0</v>
      </c>
    </row>
    <row r="101" spans="1:84">
      <c r="A101" s="1">
        <v>98</v>
      </c>
      <c r="B101" s="1">
        <f>'Team B 1'!B101-'Team B 1'!$AA101-('Team B 1'!B$2- 12.5)*'Team B 1'!$AC101</f>
        <v>8.0424823626976831</v>
      </c>
      <c r="C101" s="1">
        <f>'Team B 1'!C101-'Team B 1'!$AA101-('Team B 1'!C$2- 12.5)*'Team B 1'!$AC101</f>
        <v>82.596759258696693</v>
      </c>
      <c r="D101" s="1">
        <f>'Team B 1'!D101-'Team B 1'!$AA101-('Team B 1'!D$2- 12.5)*'Team B 1'!$AC101</f>
        <v>-32.848963845304297</v>
      </c>
      <c r="E101" s="1">
        <f>'Team B 1'!E101-'Team B 1'!$AA101-('Team B 1'!E$2- 12.5)*'Team B 1'!$AC101</f>
        <v>11.705313050694713</v>
      </c>
      <c r="F101" s="1">
        <f>'Team B 1'!F101-'Team B 1'!$AA101-('Team B 1'!F$2- 12.5)*'Team B 1'!$AC101</f>
        <v>6.2595899466937226</v>
      </c>
      <c r="G101" s="1">
        <f>'Team B 1'!G101-'Team B 1'!$AA101-('Team B 1'!G$2- 12.5)*'Team B 1'!$AC101</f>
        <v>-9.1861331573072675</v>
      </c>
      <c r="H101" s="1">
        <f>'Team B 1'!H101-'Team B 1'!$AA101-('Team B 1'!H$2- 12.5)*'Team B 1'!$AC101</f>
        <v>-14.631856261308258</v>
      </c>
      <c r="I101" s="1">
        <f>'Team B 1'!I101-'Team B 1'!$AA101-('Team B 1'!I$2- 12.5)*'Team B 1'!$AC101</f>
        <v>-7.7579365309361492E-2</v>
      </c>
      <c r="J101" s="1">
        <f>'Team B 1'!J101-'Team B 1'!$AA101-('Team B 1'!J$2- 12.5)*'Team B 1'!$AC101</f>
        <v>-15.523302469310352</v>
      </c>
      <c r="K101" s="1">
        <f>'Team B 1'!K101-'Team B 1'!$AA101-('Team B 1'!K$2- 12.5)*'Team B 1'!$AC101</f>
        <v>-20.969025573311399</v>
      </c>
      <c r="L101" s="1">
        <f>'Team B 1'!L101-'Team B 1'!$AA101-('Team B 1'!L$2- 12.5)*'Team B 1'!$AC101</f>
        <v>-26.414748677312389</v>
      </c>
      <c r="M101" s="1">
        <f>'Team B 1'!M101-'Team B 1'!$AA101-('Team B 1'!M$2- 12.5)*'Team B 1'!$AC101</f>
        <v>-21.860471781313422</v>
      </c>
      <c r="N101" s="1">
        <f>'Team B 1'!N101-'Team B 1'!$AA101-('Team B 1'!N$2- 12.5)*'Team B 1'!$AC101</f>
        <v>2.6938051146855599</v>
      </c>
      <c r="O101" s="1">
        <f>'Team B 1'!O101-'Team B 1'!$AA101-('Team B 1'!O$2- 12.5)*'Team B 1'!$AC101</f>
        <v>-2.7519179893154728</v>
      </c>
      <c r="P101" s="1">
        <f>'Team B 1'!P101-'Team B 1'!$AA101-('Team B 1'!P$2- 12.5)*'Team B 1'!$AC101</f>
        <v>21.802358906683537</v>
      </c>
      <c r="Q101" s="1">
        <f>'Team B 1'!Q101-'Team B 1'!$AA101-('Team B 1'!Q$2- 12.5)*'Team B 1'!$AC101</f>
        <v>-23.64336419731751</v>
      </c>
      <c r="R101" s="1">
        <f>'Team B 1'!R101-'Team B 1'!$AA101-('Team B 1'!R$2- 12.5)*'Team B 1'!$AC101</f>
        <v>30.9109126986815</v>
      </c>
      <c r="S101" s="1">
        <f>'Team B 1'!S101-'Team B 1'!$AA101-('Team B 1'!S$2- 12.5)*'Team B 1'!$AC101</f>
        <v>-24.534810405319604</v>
      </c>
      <c r="T101" s="1">
        <f>'Team B 1'!T101-'Team B 1'!$AA101-('Team B 1'!T$2- 12.5)*'Team B 1'!$AC101</f>
        <v>-29.980533509320594</v>
      </c>
      <c r="U101" s="1">
        <f>'Team B 1'!U101-'Team B 1'!$AA101-('Team B 1'!U$2- 12.5)*'Team B 1'!$AC101</f>
        <v>-25.426256613321584</v>
      </c>
      <c r="V101" s="1">
        <f>'Team B 1'!V101-'Team B 1'!$AA101-('Team B 1'!V$2- 12.5)*'Team B 1'!$AC101</f>
        <v>9.1280202826774257</v>
      </c>
      <c r="W101" s="1">
        <f>'Team B 1'!W101-'Team B 1'!$AA101-('Team B 1'!W$2- 12.5)*'Team B 1'!$AC101</f>
        <v>33.682297178676436</v>
      </c>
      <c r="X101" s="1">
        <f>'Team B 1'!X101-'Team B 1'!$AA101-('Team B 1'!X$2- 12.5)*'Team B 1'!$AC101</f>
        <v>18.236574074675445</v>
      </c>
      <c r="Y101" s="1">
        <f>'Team B 1'!Y101-'Team B 1'!$AA101-('Team B 1'!Y$2- 12.5)*'Team B 1'!$AC101</f>
        <v>22.790850970674455</v>
      </c>
      <c r="AB101" s="1">
        <f>STDEV(B101:Y101)</f>
        <v>26.799330586179526</v>
      </c>
      <c r="AD101" s="5">
        <v>8</v>
      </c>
      <c r="AE101" s="5">
        <v>1</v>
      </c>
      <c r="AF101" s="5" t="s">
        <v>47</v>
      </c>
      <c r="AG101" s="5" t="s">
        <v>45</v>
      </c>
      <c r="AH101" s="5" t="s">
        <v>46</v>
      </c>
      <c r="AI101" s="5">
        <v>6</v>
      </c>
      <c r="AJ101" s="5">
        <v>9</v>
      </c>
      <c r="AK101" s="5">
        <v>4</v>
      </c>
      <c r="AL101" s="5">
        <v>7</v>
      </c>
      <c r="AM101" s="5">
        <v>2</v>
      </c>
      <c r="AN101" s="5">
        <v>5</v>
      </c>
      <c r="AO101" s="5">
        <v>3</v>
      </c>
      <c r="AP101" s="5">
        <v>8</v>
      </c>
      <c r="AQ101" s="5" t="s">
        <v>47</v>
      </c>
      <c r="AR101" s="5">
        <v>1</v>
      </c>
      <c r="AS101" s="5" t="s">
        <v>45</v>
      </c>
      <c r="AT101" s="5">
        <v>6</v>
      </c>
      <c r="AU101" s="5" t="s">
        <v>46</v>
      </c>
      <c r="AV101" s="5">
        <v>4</v>
      </c>
      <c r="AW101" s="5">
        <v>9</v>
      </c>
      <c r="AX101" s="5">
        <v>2</v>
      </c>
      <c r="AY101" s="5">
        <v>7</v>
      </c>
      <c r="AZ101" s="5">
        <v>3</v>
      </c>
      <c r="BA101" s="5">
        <v>5</v>
      </c>
      <c r="BB101" s="5"/>
      <c r="BC101" s="1">
        <f ca="1">OFFSET(A101,0, 2) -0</f>
        <v>82.596759258696693</v>
      </c>
      <c r="BD101" s="1">
        <f ca="1">OFFSET(A101,0, 10) -0</f>
        <v>-20.969025573311399</v>
      </c>
      <c r="BE101" s="1">
        <f ca="1">OFFSET(A101,0, 12) -0</f>
        <v>-21.860471781313422</v>
      </c>
      <c r="BF101" s="1">
        <f ca="1">OFFSET(A101,0, 8) -0</f>
        <v>-7.7579365309361492E-2</v>
      </c>
      <c r="BG101" s="1">
        <f ca="1">OFFSET(A101,0, 11) -0</f>
        <v>-26.414748677312389</v>
      </c>
      <c r="BH101" s="1">
        <f ca="1">OFFSET(A101,0, 6) -0</f>
        <v>-9.1861331573072675</v>
      </c>
      <c r="BI101" s="1">
        <f ca="1">OFFSET(A101,0, 9) -0</f>
        <v>-15.523302469310352</v>
      </c>
      <c r="BJ101" s="1">
        <f ca="1">OFFSET(A101,0, 1) -0</f>
        <v>8.0424823626976831</v>
      </c>
      <c r="BK101" s="1">
        <f ca="1">OFFSET(A101,0, 7) -0</f>
        <v>-14.631856261308258</v>
      </c>
      <c r="BL101" s="1">
        <f ca="1">OFFSET(A101,0, 4) -0</f>
        <v>11.705313050694713</v>
      </c>
      <c r="BM101" s="1">
        <f ca="1">OFFSET(A101,0, 5) -0</f>
        <v>6.2595899466937226</v>
      </c>
      <c r="BN101" s="1">
        <f ca="1">OFFSET(A101,0, 3) -0</f>
        <v>-32.848963845304297</v>
      </c>
      <c r="BO101" s="1">
        <f ca="1">OFFSET(A101,0, 15) -0</f>
        <v>21.802358906683537</v>
      </c>
      <c r="BP101" s="1">
        <f ca="1">OFFSET(A101,0, 21) -0</f>
        <v>9.1280202826774257</v>
      </c>
      <c r="BQ101" s="1">
        <f ca="1">OFFSET(A101,0, 23) -0</f>
        <v>18.236574074675445</v>
      </c>
      <c r="BR101" s="1">
        <f ca="1">OFFSET(A101,0, 19) -0</f>
        <v>-29.980533509320594</v>
      </c>
      <c r="BS101" s="1">
        <f ca="1">OFFSET(A101,0, 24) -0</f>
        <v>22.790850970674455</v>
      </c>
      <c r="BT101" s="1">
        <f ca="1">OFFSET(A101,0, 17) -0</f>
        <v>30.9109126986815</v>
      </c>
      <c r="BU101" s="1">
        <f ca="1">OFFSET(A101,0, 22) -0</f>
        <v>33.682297178676436</v>
      </c>
      <c r="BV101" s="1">
        <f ca="1">OFFSET(A101,0, 13) -0</f>
        <v>2.6938051146855599</v>
      </c>
      <c r="BW101" s="1">
        <f ca="1">OFFSET(A101,0, 20) -0</f>
        <v>-25.426256613321584</v>
      </c>
      <c r="BX101" s="1">
        <f ca="1">OFFSET(A101,0, 16) -0</f>
        <v>-23.64336419731751</v>
      </c>
      <c r="BY101" s="1">
        <f ca="1">OFFSET(A101,0, 18) -0</f>
        <v>-24.534810405319604</v>
      </c>
      <c r="BZ101" s="1">
        <f ca="1">OFFSET(A101,0, 14) -0</f>
        <v>-2.7519179893154728</v>
      </c>
      <c r="CB101" s="1">
        <f>COUNTIF(B101,"&lt;-69")</f>
        <v>0</v>
      </c>
      <c r="CC101" s="1">
        <f ca="1">COUNTIF(BC101:BN101,"&lt;-49")</f>
        <v>0</v>
      </c>
      <c r="CD101" s="1">
        <f ca="1">COUNTIF(BC101:BN101,"&gt;+49")</f>
        <v>1</v>
      </c>
      <c r="CE101" s="1">
        <f ca="1">COUNTIF(BO101:BZ101,"&lt;-49")</f>
        <v>0</v>
      </c>
      <c r="CF101" s="1">
        <f ca="1">COUNTIF(BO101:BZ101,"&gt;+49")</f>
        <v>0</v>
      </c>
    </row>
    <row r="102" spans="1:84">
      <c r="A102" s="1">
        <v>99</v>
      </c>
      <c r="B102" s="1">
        <f>'Team B 1'!B102-'Team B 1'!$AA102-('Team B 1'!B$2- 12.5)*'Team B 1'!$AC102</f>
        <v>1.0337025774924768</v>
      </c>
      <c r="C102" s="1">
        <f>'Team B 1'!C102-'Team B 1'!$AA102-('Team B 1'!C$2- 12.5)*'Team B 1'!$AC102</f>
        <v>6.4148298895963762</v>
      </c>
      <c r="D102" s="1">
        <f>'Team B 1'!D102-'Team B 1'!$AA102-('Team B 1'!D$2- 12.5)*'Team B 1'!$AC102</f>
        <v>-48.204042798299952</v>
      </c>
      <c r="E102" s="1">
        <f>'Team B 1'!E102-'Team B 1'!$AA102-('Team B 1'!E$2- 12.5)*'Team B 1'!$AC102</f>
        <v>7.1770845138039476</v>
      </c>
      <c r="F102" s="1">
        <f>'Team B 1'!F102-'Team B 1'!$AA102-('Team B 1'!F$2- 12.5)*'Team B 1'!$AC102</f>
        <v>12.55821182590762</v>
      </c>
      <c r="G102" s="1">
        <f>'Team B 1'!G102-'Team B 1'!$AA102-('Team B 1'!G$2- 12.5)*'Team B 1'!$AC102</f>
        <v>27.939339138011519</v>
      </c>
      <c r="H102" s="1">
        <f>'Team B 1'!H102-'Team B 1'!$AA102-('Team B 1'!H$2- 12.5)*'Team B 1'!$AC102</f>
        <v>23.320466450115191</v>
      </c>
      <c r="I102" s="1">
        <f>'Team B 1'!I102-'Team B 1'!$AA102-('Team B 1'!I$2- 12.5)*'Team B 1'!$AC102</f>
        <v>-21.29840623778091</v>
      </c>
      <c r="J102" s="1">
        <f>'Team B 1'!J102-'Team B 1'!$AA102-('Team B 1'!J$2- 12.5)*'Team B 1'!$AC102</f>
        <v>-5.9172789256772376</v>
      </c>
      <c r="K102" s="1">
        <f>'Team B 1'!K102-'Team B 1'!$AA102-('Team B 1'!K$2- 12.5)*'Team B 1'!$AC102</f>
        <v>29.463848386426605</v>
      </c>
      <c r="L102" s="1">
        <f>'Team B 1'!L102-'Team B 1'!$AA102-('Team B 1'!L$2- 12.5)*'Team B 1'!$AC102</f>
        <v>14.844975698530391</v>
      </c>
      <c r="M102" s="1">
        <f>'Team B 1'!M102-'Team B 1'!$AA102-('Team B 1'!M$2- 12.5)*'Team B 1'!$AC102</f>
        <v>20.226103010634176</v>
      </c>
      <c r="N102" s="1">
        <f>'Team B 1'!N102-'Team B 1'!$AA102-('Team B 1'!N$2- 12.5)*'Team B 1'!$AC102</f>
        <v>-4.3927696772620379</v>
      </c>
      <c r="O102" s="1">
        <f>'Team B 1'!O102-'Team B 1'!$AA102-('Team B 1'!O$2- 12.5)*'Team B 1'!$AC102</f>
        <v>-39.011642365158252</v>
      </c>
      <c r="P102" s="1">
        <f>'Team B 1'!P102-'Team B 1'!$AA102-('Team B 1'!P$2- 12.5)*'Team B 1'!$AC102</f>
        <v>-13.630515053054467</v>
      </c>
      <c r="Q102" s="1">
        <f>'Team B 1'!Q102-'Team B 1'!$AA102-('Team B 1'!Q$2- 12.5)*'Team B 1'!$AC102</f>
        <v>-48.249387740950624</v>
      </c>
      <c r="R102" s="1">
        <f>'Team B 1'!R102-'Team B 1'!$AA102-('Team B 1'!R$2- 12.5)*'Team B 1'!$AC102</f>
        <v>17.131739571153048</v>
      </c>
      <c r="S102" s="1">
        <f>'Team B 1'!S102-'Team B 1'!$AA102-('Team B 1'!S$2- 12.5)*'Team B 1'!$AC102</f>
        <v>22.512866883256947</v>
      </c>
      <c r="T102" s="1">
        <f>'Team B 1'!T102-'Team B 1'!$AA102-('Team B 1'!T$2- 12.5)*'Team B 1'!$AC102</f>
        <v>-2.1060058046393806</v>
      </c>
      <c r="U102" s="1">
        <f>'Team B 1'!U102-'Team B 1'!$AA102-('Team B 1'!U$2- 12.5)*'Team B 1'!$AC102</f>
        <v>33.275121507464519</v>
      </c>
      <c r="V102" s="1">
        <f>'Team B 1'!V102-'Team B 1'!$AA102-('Team B 1'!V$2- 12.5)*'Team B 1'!$AC102</f>
        <v>-21.343751180431809</v>
      </c>
      <c r="W102" s="1">
        <f>'Team B 1'!W102-'Team B 1'!$AA102-('Team B 1'!W$2- 12.5)*'Team B 1'!$AC102</f>
        <v>-15.96262386832791</v>
      </c>
      <c r="X102" s="1">
        <f>'Team B 1'!X102-'Team B 1'!$AA102-('Team B 1'!X$2- 12.5)*'Team B 1'!$AC102</f>
        <v>19.418503443775762</v>
      </c>
      <c r="Y102" s="1">
        <f>'Team B 1'!Y102-'Team B 1'!$AA102-('Team B 1'!Y$2- 12.5)*'Team B 1'!$AC102</f>
        <v>-15.200369244120338</v>
      </c>
      <c r="AB102" s="1">
        <f>STDEV(B102:Y102)</f>
        <v>23.930357137686038</v>
      </c>
      <c r="AD102" s="5" t="s">
        <v>47</v>
      </c>
      <c r="AE102" s="5">
        <v>8</v>
      </c>
      <c r="AF102" s="5" t="s">
        <v>45</v>
      </c>
      <c r="AG102" s="5">
        <v>1</v>
      </c>
      <c r="AH102" s="5" t="s">
        <v>46</v>
      </c>
      <c r="AI102" s="5">
        <v>6</v>
      </c>
      <c r="AJ102" s="5">
        <v>9</v>
      </c>
      <c r="AK102" s="5">
        <v>4</v>
      </c>
      <c r="AL102" s="5">
        <v>7</v>
      </c>
      <c r="AM102" s="5">
        <v>2</v>
      </c>
      <c r="AN102" s="5">
        <v>5</v>
      </c>
      <c r="AO102" s="5">
        <v>3</v>
      </c>
      <c r="AP102" s="5" t="s">
        <v>47</v>
      </c>
      <c r="AQ102" s="5">
        <v>8</v>
      </c>
      <c r="AR102" s="5">
        <v>1</v>
      </c>
      <c r="AS102" s="5" t="s">
        <v>45</v>
      </c>
      <c r="AT102" s="5" t="s">
        <v>46</v>
      </c>
      <c r="AU102" s="5">
        <v>9</v>
      </c>
      <c r="AV102" s="5">
        <v>6</v>
      </c>
      <c r="AW102" s="5">
        <v>7</v>
      </c>
      <c r="AX102" s="5">
        <v>4</v>
      </c>
      <c r="AY102" s="5">
        <v>5</v>
      </c>
      <c r="AZ102" s="5">
        <v>2</v>
      </c>
      <c r="BA102" s="5">
        <v>3</v>
      </c>
      <c r="BB102" s="5"/>
      <c r="BC102" s="1">
        <f ca="1">OFFSET(A102,0, 4) -0</f>
        <v>7.1770845138039476</v>
      </c>
      <c r="BD102" s="1">
        <f ca="1">OFFSET(A102,0, 10) -0</f>
        <v>29.463848386426605</v>
      </c>
      <c r="BE102" s="1">
        <f ca="1">OFFSET(A102,0, 12) -0</f>
        <v>20.226103010634176</v>
      </c>
      <c r="BF102" s="1">
        <f ca="1">OFFSET(A102,0, 8) -0</f>
        <v>-21.29840623778091</v>
      </c>
      <c r="BG102" s="1">
        <f ca="1">OFFSET(A102,0, 11) -0</f>
        <v>14.844975698530391</v>
      </c>
      <c r="BH102" s="1">
        <f ca="1">OFFSET(A102,0, 6) -0</f>
        <v>27.939339138011519</v>
      </c>
      <c r="BI102" s="1">
        <f ca="1">OFFSET(A102,0, 9) -0</f>
        <v>-5.9172789256772376</v>
      </c>
      <c r="BJ102" s="1">
        <f ca="1">OFFSET(A102,0, 2) -0</f>
        <v>6.4148298895963762</v>
      </c>
      <c r="BK102" s="1">
        <f ca="1">OFFSET(A102,0, 7) -0</f>
        <v>23.320466450115191</v>
      </c>
      <c r="BL102" s="1">
        <f ca="1">OFFSET(A102,0, 3) -0</f>
        <v>-48.204042798299952</v>
      </c>
      <c r="BM102" s="1">
        <f ca="1">OFFSET(A102,0, 5) -0</f>
        <v>12.55821182590762</v>
      </c>
      <c r="BN102" s="1">
        <f ca="1">OFFSET(A102,0, 1) -0</f>
        <v>1.0337025774924768</v>
      </c>
      <c r="BO102" s="1">
        <f ca="1">OFFSET(A102,0, 15) -0</f>
        <v>-13.630515053054467</v>
      </c>
      <c r="BP102" s="1">
        <f ca="1">OFFSET(A102,0, 23) -0</f>
        <v>19.418503443775762</v>
      </c>
      <c r="BQ102" s="1">
        <f ca="1">OFFSET(A102,0, 24) -0</f>
        <v>-15.200369244120338</v>
      </c>
      <c r="BR102" s="1">
        <f ca="1">OFFSET(A102,0, 21) -0</f>
        <v>-21.343751180431809</v>
      </c>
      <c r="BS102" s="1">
        <f ca="1">OFFSET(A102,0, 22) -0</f>
        <v>-15.96262386832791</v>
      </c>
      <c r="BT102" s="1">
        <f ca="1">OFFSET(A102,0, 19) -0</f>
        <v>-2.1060058046393806</v>
      </c>
      <c r="BU102" s="1">
        <f ca="1">OFFSET(A102,0, 20) -0</f>
        <v>33.275121507464519</v>
      </c>
      <c r="BV102" s="1">
        <f ca="1">OFFSET(A102,0, 14) -0</f>
        <v>-39.011642365158252</v>
      </c>
      <c r="BW102" s="1">
        <f ca="1">OFFSET(A102,0, 18) -0</f>
        <v>22.512866883256947</v>
      </c>
      <c r="BX102" s="1">
        <f ca="1">OFFSET(A102,0, 16) -0</f>
        <v>-48.249387740950624</v>
      </c>
      <c r="BY102" s="1">
        <f ca="1">OFFSET(A102,0, 17) -0</f>
        <v>17.131739571153048</v>
      </c>
      <c r="BZ102" s="1">
        <f ca="1">OFFSET(A102,0, 13) -0</f>
        <v>-4.3927696772620379</v>
      </c>
      <c r="CB102" s="1">
        <f>COUNTIF(B102,"&lt;-69")</f>
        <v>0</v>
      </c>
      <c r="CC102" s="1">
        <f ca="1">COUNTIF(BC102:BN102,"&lt;-49")</f>
        <v>0</v>
      </c>
      <c r="CD102" s="1">
        <f ca="1">COUNTIF(BC102:BN102,"&gt;+49")</f>
        <v>0</v>
      </c>
      <c r="CE102" s="1">
        <f ca="1">COUNTIF(BO102:BZ102,"&lt;-49")</f>
        <v>0</v>
      </c>
      <c r="CF102" s="1">
        <f ca="1">COUNTIF(BO102:BZ102,"&gt;+49")</f>
        <v>0</v>
      </c>
    </row>
    <row r="103" spans="1:84">
      <c r="A103" s="1">
        <v>100</v>
      </c>
      <c r="B103" s="1">
        <f>'Team B 1'!B103-'Team B 1'!$AA103-('Team B 1'!B$2- 12.5)*'Team B 1'!$AC103</f>
        <v>2.1524360499197428</v>
      </c>
      <c r="C103" s="1">
        <f>'Team B 1'!C103-'Team B 1'!$AA103-('Team B 1'!C$2- 12.5)*'Team B 1'!$AC103</f>
        <v>-2.708645345725472</v>
      </c>
      <c r="D103" s="1">
        <f>'Team B 1'!D103-'Team B 1'!$AA103-('Team B 1'!D$2- 12.5)*'Team B 1'!$AC103</f>
        <v>-17.569726741370687</v>
      </c>
      <c r="E103" s="1">
        <f>'Team B 1'!E103-'Team B 1'!$AA103-('Team B 1'!E$2- 12.5)*'Team B 1'!$AC103</f>
        <v>37.569191862984098</v>
      </c>
      <c r="F103" s="1">
        <f>'Team B 1'!F103-'Team B 1'!$AA103-('Team B 1'!F$2- 12.5)*'Team B 1'!$AC103</f>
        <v>2.7081104673388836</v>
      </c>
      <c r="G103" s="1">
        <f>'Team B 1'!G103-'Team B 1'!$AA103-('Team B 1'!G$2- 12.5)*'Team B 1'!$AC103</f>
        <v>37.847029071693669</v>
      </c>
      <c r="H103" s="1">
        <f>'Team B 1'!H103-'Team B 1'!$AA103-('Team B 1'!H$2- 12.5)*'Team B 1'!$AC103</f>
        <v>22.985947676048454</v>
      </c>
      <c r="I103" s="1">
        <f>'Team B 1'!I103-'Team B 1'!$AA103-('Team B 1'!I$2- 12.5)*'Team B 1'!$AC103</f>
        <v>-11.875133719596647</v>
      </c>
      <c r="J103" s="1">
        <f>'Team B 1'!J103-'Team B 1'!$AA103-('Team B 1'!J$2- 12.5)*'Team B 1'!$AC103</f>
        <v>3.2637848847581381</v>
      </c>
      <c r="K103" s="1">
        <f>'Team B 1'!K103-'Team B 1'!$AA103-('Team B 1'!K$2- 12.5)*'Team B 1'!$AC103</f>
        <v>-1.5972965108870198</v>
      </c>
      <c r="L103" s="1">
        <f>'Team B 1'!L103-'Team B 1'!$AA103-('Team B 1'!L$2- 12.5)*'Team B 1'!$AC103</f>
        <v>-26.458377906532235</v>
      </c>
      <c r="M103" s="1">
        <f>'Team B 1'!M103-'Team B 1'!$AA103-('Team B 1'!M$2- 12.5)*'Team B 1'!$AC103</f>
        <v>-21.319459302177407</v>
      </c>
      <c r="N103" s="1">
        <f>'Team B 1'!N103-'Team B 1'!$AA103-('Team B 1'!N$2- 12.5)*'Team B 1'!$AC103</f>
        <v>-26.180540697822593</v>
      </c>
      <c r="O103" s="1">
        <f>'Team B 1'!O103-'Team B 1'!$AA103-('Team B 1'!O$2- 12.5)*'Team B 1'!$AC103</f>
        <v>28.958377906532235</v>
      </c>
      <c r="P103" s="1">
        <f>'Team B 1'!P103-'Team B 1'!$AA103-('Team B 1'!P$2- 12.5)*'Team B 1'!$AC103</f>
        <v>-5.9027034891129802</v>
      </c>
      <c r="Q103" s="1">
        <f>'Team B 1'!Q103-'Team B 1'!$AA103-('Team B 1'!Q$2- 12.5)*'Team B 1'!$AC103</f>
        <v>9.2362151152418619</v>
      </c>
      <c r="R103" s="1">
        <f>'Team B 1'!R103-'Team B 1'!$AA103-('Team B 1'!R$2- 12.5)*'Team B 1'!$AC103</f>
        <v>4.3751337195966471</v>
      </c>
      <c r="S103" s="1">
        <f>'Team B 1'!S103-'Team B 1'!$AA103-('Team B 1'!S$2- 12.5)*'Team B 1'!$AC103</f>
        <v>-10.485947676048454</v>
      </c>
      <c r="T103" s="1">
        <f>'Team B 1'!T103-'Team B 1'!$AA103-('Team B 1'!T$2- 12.5)*'Team B 1'!$AC103</f>
        <v>-25.347029071693669</v>
      </c>
      <c r="U103" s="1">
        <f>'Team B 1'!U103-'Team B 1'!$AA103-('Team B 1'!U$2- 12.5)*'Team B 1'!$AC103</f>
        <v>19.791889532661116</v>
      </c>
      <c r="V103" s="1">
        <f>'Team B 1'!V103-'Team B 1'!$AA103-('Team B 1'!V$2- 12.5)*'Team B 1'!$AC103</f>
        <v>-25.069191862984098</v>
      </c>
      <c r="W103" s="1">
        <f>'Team B 1'!W103-'Team B 1'!$AA103-('Team B 1'!W$2- 12.5)*'Team B 1'!$AC103</f>
        <v>10.069726741370687</v>
      </c>
      <c r="X103" s="1">
        <f>'Team B 1'!X103-'Team B 1'!$AA103-('Team B 1'!X$2- 12.5)*'Team B 1'!$AC103</f>
        <v>5.208645345725472</v>
      </c>
      <c r="Y103" s="1">
        <f>'Team B 1'!Y103-'Team B 1'!$AA103-('Team B 1'!Y$2- 12.5)*'Team B 1'!$AC103</f>
        <v>-9.6524360499197428</v>
      </c>
      <c r="AB103" s="1">
        <f>STDEV(B103:Y103)</f>
        <v>19.411550714877723</v>
      </c>
      <c r="AD103" s="5">
        <v>8</v>
      </c>
      <c r="AE103" s="5" t="s">
        <v>47</v>
      </c>
      <c r="AF103" s="5" t="s">
        <v>45</v>
      </c>
      <c r="AG103" s="5">
        <v>1</v>
      </c>
      <c r="AH103" s="5">
        <v>9</v>
      </c>
      <c r="AI103" s="5" t="s">
        <v>46</v>
      </c>
      <c r="AJ103" s="5">
        <v>7</v>
      </c>
      <c r="AK103" s="5">
        <v>6</v>
      </c>
      <c r="AL103" s="5">
        <v>5</v>
      </c>
      <c r="AM103" s="5">
        <v>4</v>
      </c>
      <c r="AN103" s="5">
        <v>3</v>
      </c>
      <c r="AO103" s="5">
        <v>2</v>
      </c>
      <c r="AP103" s="5" t="s">
        <v>47</v>
      </c>
      <c r="AQ103" s="5">
        <v>8</v>
      </c>
      <c r="AR103" s="5" t="s">
        <v>45</v>
      </c>
      <c r="AS103" s="5">
        <v>9</v>
      </c>
      <c r="AT103" s="5">
        <v>1</v>
      </c>
      <c r="AU103" s="5" t="s">
        <v>46</v>
      </c>
      <c r="AV103" s="5">
        <v>6</v>
      </c>
      <c r="AW103" s="5">
        <v>7</v>
      </c>
      <c r="AX103" s="5">
        <v>4</v>
      </c>
      <c r="AY103" s="5">
        <v>5</v>
      </c>
      <c r="AZ103" s="5">
        <v>2</v>
      </c>
      <c r="BA103" s="5">
        <v>3</v>
      </c>
      <c r="BB103" s="5"/>
      <c r="BC103" s="1">
        <f ca="1">OFFSET(A103,0, 4) -0</f>
        <v>37.569191862984098</v>
      </c>
      <c r="BD103" s="1">
        <f ca="1">OFFSET(A103,0, 12) -0</f>
        <v>-21.319459302177407</v>
      </c>
      <c r="BE103" s="1">
        <f ca="1">OFFSET(A103,0, 11) -0</f>
        <v>-26.458377906532235</v>
      </c>
      <c r="BF103" s="1">
        <f ca="1">OFFSET(A103,0, 10) -0</f>
        <v>-1.5972965108870198</v>
      </c>
      <c r="BG103" s="1">
        <f ca="1">OFFSET(A103,0, 9) -0</f>
        <v>3.2637848847581381</v>
      </c>
      <c r="BH103" s="1">
        <f ca="1">OFFSET(A103,0, 8) -0</f>
        <v>-11.875133719596647</v>
      </c>
      <c r="BI103" s="1">
        <f ca="1">OFFSET(A103,0, 7) -0</f>
        <v>22.985947676048454</v>
      </c>
      <c r="BJ103" s="1">
        <f ca="1">OFFSET(A103,0, 1) -0</f>
        <v>2.1524360499197428</v>
      </c>
      <c r="BK103" s="1">
        <f ca="1">OFFSET(A103,0, 5) -0</f>
        <v>2.7081104673388836</v>
      </c>
      <c r="BL103" s="1">
        <f ca="1">OFFSET(A103,0, 3) -0</f>
        <v>-17.569726741370687</v>
      </c>
      <c r="BM103" s="1">
        <f ca="1">OFFSET(A103,0, 6) -0</f>
        <v>37.847029071693669</v>
      </c>
      <c r="BN103" s="1">
        <f ca="1">OFFSET(A103,0, 2) -0</f>
        <v>-2.708645345725472</v>
      </c>
      <c r="BO103" s="1">
        <f ca="1">OFFSET(A103,0, 17) -0</f>
        <v>4.3751337195966471</v>
      </c>
      <c r="BP103" s="1">
        <f ca="1">OFFSET(A103,0, 23) -0</f>
        <v>5.208645345725472</v>
      </c>
      <c r="BQ103" s="1">
        <f ca="1">OFFSET(A103,0, 24) -0</f>
        <v>-9.6524360499197428</v>
      </c>
      <c r="BR103" s="1">
        <f ca="1">OFFSET(A103,0, 21) -0</f>
        <v>-25.069191862984098</v>
      </c>
      <c r="BS103" s="1">
        <f ca="1">OFFSET(A103,0, 22) -0</f>
        <v>10.069726741370687</v>
      </c>
      <c r="BT103" s="1">
        <f ca="1">OFFSET(A103,0, 19) -0</f>
        <v>-25.347029071693669</v>
      </c>
      <c r="BU103" s="1">
        <f ca="1">OFFSET(A103,0, 20) -0</f>
        <v>19.791889532661116</v>
      </c>
      <c r="BV103" s="1">
        <f ca="1">OFFSET(A103,0, 14) -0</f>
        <v>28.958377906532235</v>
      </c>
      <c r="BW103" s="1">
        <f ca="1">OFFSET(A103,0, 16) -0</f>
        <v>9.2362151152418619</v>
      </c>
      <c r="BX103" s="1">
        <f ca="1">OFFSET(A103,0, 15) -0</f>
        <v>-5.9027034891129802</v>
      </c>
      <c r="BY103" s="1">
        <f ca="1">OFFSET(A103,0, 18) -0</f>
        <v>-10.485947676048454</v>
      </c>
      <c r="BZ103" s="1">
        <f ca="1">OFFSET(A103,0, 13) -0</f>
        <v>-26.180540697822593</v>
      </c>
      <c r="CB103" s="1">
        <f>COUNTIF(B103,"&lt;-69")</f>
        <v>0</v>
      </c>
      <c r="CC103" s="1">
        <f ca="1">COUNTIF(BC103:BN103,"&lt;-49")</f>
        <v>0</v>
      </c>
      <c r="CD103" s="1">
        <f ca="1">COUNTIF(BC103:BN103,"&gt;+49")</f>
        <v>0</v>
      </c>
      <c r="CE103" s="1">
        <f ca="1">COUNTIF(BO103:BZ103,"&lt;-49")</f>
        <v>0</v>
      </c>
      <c r="CF103" s="1">
        <f ca="1">COUNTIF(BO103:BZ103,"&gt;+49")</f>
        <v>0</v>
      </c>
    </row>
    <row r="104" spans="1:84">
      <c r="A104" s="1">
        <v>101</v>
      </c>
      <c r="B104" s="1">
        <f>'Team B 1'!B104-'Team B 1'!$AA104-('Team B 1'!B$2- 12.5)*'Team B 1'!$AC104</f>
        <v>-17.526945564115522</v>
      </c>
      <c r="C104" s="1">
        <f>'Team B 1'!C104-'Team B 1'!$AA104-('Team B 1'!C$2- 12.5)*'Team B 1'!$AC104</f>
        <v>-22.379674935355297</v>
      </c>
      <c r="D104" s="1">
        <f>'Team B 1'!D104-'Team B 1'!$AA104-('Team B 1'!D$2- 12.5)*'Team B 1'!$AC104</f>
        <v>22.767595693404928</v>
      </c>
      <c r="E104" s="1">
        <f>'Team B 1'!E104-'Team B 1'!$AA104-('Team B 1'!E$2- 12.5)*'Team B 1'!$AC104</f>
        <v>27.914866322165153</v>
      </c>
      <c r="F104" s="1">
        <f>'Team B 1'!F104-'Team B 1'!$AA104-('Team B 1'!F$2- 12.5)*'Team B 1'!$AC104</f>
        <v>13.062136950925606</v>
      </c>
      <c r="G104" s="1">
        <f>'Team B 1'!G104-'Team B 1'!$AA104-('Team B 1'!G$2- 12.5)*'Team B 1'!$AC104</f>
        <v>58.209407579685831</v>
      </c>
      <c r="H104" s="1">
        <f>'Team B 1'!H104-'Team B 1'!$AA104-('Team B 1'!H$2- 12.5)*'Team B 1'!$AC104</f>
        <v>3.3566782084460556</v>
      </c>
      <c r="I104" s="1">
        <f>'Team B 1'!I104-'Team B 1'!$AA104-('Team B 1'!I$2- 12.5)*'Team B 1'!$AC104</f>
        <v>-11.496051162793492</v>
      </c>
      <c r="J104" s="1">
        <f>'Team B 1'!J104-'Team B 1'!$AA104-('Team B 1'!J$2- 12.5)*'Team B 1'!$AC104</f>
        <v>-6.348780534033267</v>
      </c>
      <c r="K104" s="1">
        <f>'Team B 1'!K104-'Team B 1'!$AA104-('Team B 1'!K$2- 12.5)*'Team B 1'!$AC104</f>
        <v>-11.201509905272928</v>
      </c>
      <c r="L104" s="1">
        <f>'Team B 1'!L104-'Team B 1'!$AA104-('Team B 1'!L$2- 12.5)*'Team B 1'!$AC104</f>
        <v>-6.0542392765125896</v>
      </c>
      <c r="M104" s="1">
        <f>'Team B 1'!M104-'Team B 1'!$AA104-('Team B 1'!M$2- 12.5)*'Team B 1'!$AC104</f>
        <v>9.0930313522477064</v>
      </c>
      <c r="N104" s="1">
        <f>'Team B 1'!N104-'Team B 1'!$AA104-('Team B 1'!N$2- 12.5)*'Team B 1'!$AC104</f>
        <v>-45.759698018991983</v>
      </c>
      <c r="O104" s="1">
        <f>'Team B 1'!O104-'Team B 1'!$AA104-('Team B 1'!O$2- 12.5)*'Team B 1'!$AC104</f>
        <v>-50.612427390231687</v>
      </c>
      <c r="P104" s="1">
        <f>'Team B 1'!P104-'Team B 1'!$AA104-('Team B 1'!P$2- 12.5)*'Team B 1'!$AC104</f>
        <v>-5.4651567614713485</v>
      </c>
      <c r="Q104" s="1">
        <f>'Team B 1'!Q104-'Team B 1'!$AA104-('Team B 1'!Q$2- 12.5)*'Team B 1'!$AC104</f>
        <v>29.68211386728899</v>
      </c>
      <c r="R104" s="1">
        <f>'Team B 1'!R104-'Team B 1'!$AA104-('Team B 1'!R$2- 12.5)*'Team B 1'!$AC104</f>
        <v>4.8293844960492152</v>
      </c>
      <c r="S104" s="1">
        <f>'Team B 1'!S104-'Team B 1'!$AA104-('Team B 1'!S$2- 12.5)*'Team B 1'!$AC104</f>
        <v>-10.023344875190332</v>
      </c>
      <c r="T104" s="1">
        <f>'Team B 1'!T104-'Team B 1'!$AA104-('Team B 1'!T$2- 12.5)*'Team B 1'!$AC104</f>
        <v>5.1239257535698925</v>
      </c>
      <c r="U104" s="1">
        <f>'Team B 1'!U104-'Team B 1'!$AA104-('Team B 1'!U$2- 12.5)*'Team B 1'!$AC104</f>
        <v>-19.728803617669882</v>
      </c>
      <c r="V104" s="1">
        <f>'Team B 1'!V104-'Team B 1'!$AA104-('Team B 1'!V$2- 12.5)*'Team B 1'!$AC104</f>
        <v>5.4184670110905699</v>
      </c>
      <c r="W104" s="1">
        <f>'Team B 1'!W104-'Team B 1'!$AA104-('Team B 1'!W$2- 12.5)*'Team B 1'!$AC104</f>
        <v>-9.4342623601492051</v>
      </c>
      <c r="X104" s="1">
        <f>'Team B 1'!X104-'Team B 1'!$AA104-('Team B 1'!X$2- 12.5)*'Team B 1'!$AC104</f>
        <v>5.71300826861102</v>
      </c>
      <c r="Y104" s="1">
        <f>'Team B 1'!Y104-'Team B 1'!$AA104-('Team B 1'!Y$2- 12.5)*'Team B 1'!$AC104</f>
        <v>30.860278897371245</v>
      </c>
      <c r="AB104" s="1">
        <f>STDEV(B104:Y104)</f>
        <v>24.04908062459992</v>
      </c>
      <c r="AD104" s="5">
        <v>8</v>
      </c>
      <c r="AE104" s="5" t="s">
        <v>47</v>
      </c>
      <c r="AF104" s="5">
        <v>9</v>
      </c>
      <c r="AG104" s="5" t="s">
        <v>45</v>
      </c>
      <c r="AH104" s="5" t="s">
        <v>46</v>
      </c>
      <c r="AI104" s="5">
        <v>1</v>
      </c>
      <c r="AJ104" s="5">
        <v>7</v>
      </c>
      <c r="AK104" s="5">
        <v>6</v>
      </c>
      <c r="AL104" s="5">
        <v>5</v>
      </c>
      <c r="AM104" s="5">
        <v>4</v>
      </c>
      <c r="AN104" s="5">
        <v>3</v>
      </c>
      <c r="AO104" s="5">
        <v>2</v>
      </c>
      <c r="AP104" s="5">
        <v>8</v>
      </c>
      <c r="AQ104" s="5">
        <v>9</v>
      </c>
      <c r="AR104" s="5" t="s">
        <v>47</v>
      </c>
      <c r="AS104" s="5" t="s">
        <v>45</v>
      </c>
      <c r="AT104" s="5">
        <v>1</v>
      </c>
      <c r="AU104" s="5" t="s">
        <v>46</v>
      </c>
      <c r="AV104" s="5">
        <v>7</v>
      </c>
      <c r="AW104" s="5">
        <v>5</v>
      </c>
      <c r="AX104" s="5">
        <v>6</v>
      </c>
      <c r="AY104" s="5">
        <v>3</v>
      </c>
      <c r="AZ104" s="5">
        <v>4</v>
      </c>
      <c r="BA104" s="5">
        <v>2</v>
      </c>
      <c r="BB104" s="5"/>
      <c r="BC104" s="1">
        <f ca="1">OFFSET(A104,0, 6) -0</f>
        <v>58.209407579685831</v>
      </c>
      <c r="BD104" s="1">
        <f ca="1">OFFSET(A104,0, 12) -0</f>
        <v>9.0930313522477064</v>
      </c>
      <c r="BE104" s="1">
        <f ca="1">OFFSET(A104,0, 11) -0</f>
        <v>-6.0542392765125896</v>
      </c>
      <c r="BF104" s="1">
        <f ca="1">OFFSET(A104,0, 10) -0</f>
        <v>-11.201509905272928</v>
      </c>
      <c r="BG104" s="1">
        <f ca="1">OFFSET(A104,0, 9) -0</f>
        <v>-6.348780534033267</v>
      </c>
      <c r="BH104" s="1">
        <f ca="1">OFFSET(A104,0, 8) -0</f>
        <v>-11.496051162793492</v>
      </c>
      <c r="BI104" s="1">
        <f ca="1">OFFSET(A104,0, 7) -0</f>
        <v>3.3566782084460556</v>
      </c>
      <c r="BJ104" s="1">
        <f ca="1">OFFSET(A104,0, 1) -0</f>
        <v>-17.526945564115522</v>
      </c>
      <c r="BK104" s="1">
        <f ca="1">OFFSET(A104,0, 3) -0</f>
        <v>22.767595693404928</v>
      </c>
      <c r="BL104" s="1">
        <f ca="1">OFFSET(A104,0, 4) -0</f>
        <v>27.914866322165153</v>
      </c>
      <c r="BM104" s="1">
        <f ca="1">OFFSET(A104,0, 5) -0</f>
        <v>13.062136950925606</v>
      </c>
      <c r="BN104" s="1">
        <f ca="1">OFFSET(A104,0, 2) -0</f>
        <v>-22.379674935355297</v>
      </c>
      <c r="BO104" s="1">
        <f ca="1">OFFSET(A104,0, 17) -0</f>
        <v>4.8293844960492152</v>
      </c>
      <c r="BP104" s="1">
        <f ca="1">OFFSET(A104,0, 24) -0</f>
        <v>30.860278897371245</v>
      </c>
      <c r="BQ104" s="1">
        <f ca="1">OFFSET(A104,0, 22) -0</f>
        <v>-9.4342623601492051</v>
      </c>
      <c r="BR104" s="1">
        <f ca="1">OFFSET(A104,0, 23) -0</f>
        <v>5.71300826861102</v>
      </c>
      <c r="BS104" s="1">
        <f ca="1">OFFSET(A104,0, 20) -0</f>
        <v>-19.728803617669882</v>
      </c>
      <c r="BT104" s="1">
        <f ca="1">OFFSET(A104,0, 21) -0</f>
        <v>5.4184670110905699</v>
      </c>
      <c r="BU104" s="1">
        <f ca="1">OFFSET(A104,0, 19) -0</f>
        <v>5.1239257535698925</v>
      </c>
      <c r="BV104" s="1">
        <f ca="1">OFFSET(A104,0, 13) -0</f>
        <v>-45.759698018991983</v>
      </c>
      <c r="BW104" s="1">
        <f ca="1">OFFSET(A104,0, 14) -0</f>
        <v>-50.612427390231687</v>
      </c>
      <c r="BX104" s="1">
        <f ca="1">OFFSET(A104,0, 16) -0</f>
        <v>29.68211386728899</v>
      </c>
      <c r="BY104" s="1">
        <f ca="1">OFFSET(A104,0, 18) -0</f>
        <v>-10.023344875190332</v>
      </c>
      <c r="BZ104" s="1">
        <f ca="1">OFFSET(A104,0, 15) -0</f>
        <v>-5.4651567614713485</v>
      </c>
      <c r="CB104" s="1">
        <f>COUNTIF(B104,"&lt;-69")</f>
        <v>0</v>
      </c>
      <c r="CC104" s="1">
        <f ca="1">COUNTIF(BC104:BN104,"&lt;-49")</f>
        <v>0</v>
      </c>
      <c r="CD104" s="1">
        <f ca="1">COUNTIF(BC104:BN104,"&gt;+49")</f>
        <v>1</v>
      </c>
      <c r="CE104" s="1">
        <f ca="1">COUNTIF(BO104:BZ104,"&lt;-49")</f>
        <v>1</v>
      </c>
      <c r="CF104" s="1">
        <f ca="1">COUNTIF(BO104:BZ104,"&gt;+49")</f>
        <v>0</v>
      </c>
    </row>
    <row r="105" spans="1:84">
      <c r="A105" s="1">
        <v>102</v>
      </c>
      <c r="B105" s="1">
        <f>'Team B 1'!B105-'Team B 1'!$AA105-('Team B 1'!B$2- 12.5)*'Team B 1'!$AC105</f>
        <v>-40.3137180546737</v>
      </c>
      <c r="C105" s="1">
        <f>'Team B 1'!C105-'Team B 1'!$AA105-('Team B 1'!C$2- 12.5)*'Team B 1'!$AC105</f>
        <v>-15.032815035430303</v>
      </c>
      <c r="D105" s="1">
        <f>'Team B 1'!D105-'Team B 1'!$AA105-('Team B 1'!D$2- 12.5)*'Team B 1'!$AC105</f>
        <v>-9.7519120161864521</v>
      </c>
      <c r="E105" s="1">
        <f>'Team B 1'!E105-'Team B 1'!$AA105-('Team B 1'!E$2- 12.5)*'Team B 1'!$AC105</f>
        <v>15.528991003056944</v>
      </c>
      <c r="F105" s="1">
        <f>'Team B 1'!F105-'Team B 1'!$AA105-('Team B 1'!F$2- 12.5)*'Team B 1'!$AC105</f>
        <v>0.80989402230079577</v>
      </c>
      <c r="G105" s="1">
        <f>'Team B 1'!G105-'Team B 1'!$AA105-('Team B 1'!G$2- 12.5)*'Team B 1'!$AC105</f>
        <v>26.090797041544192</v>
      </c>
      <c r="H105" s="1">
        <f>'Team B 1'!H105-'Team B 1'!$AA105-('Team B 1'!H$2- 12.5)*'Team B 1'!$AC105</f>
        <v>1.3717000607880436</v>
      </c>
      <c r="I105" s="1">
        <f>'Team B 1'!I105-'Team B 1'!$AA105-('Team B 1'!I$2- 12.5)*'Team B 1'!$AC105</f>
        <v>-3.3473969199684461</v>
      </c>
      <c r="J105" s="1">
        <f>'Team B 1'!J105-'Team B 1'!$AA105-('Team B 1'!J$2- 12.5)*'Team B 1'!$AC105</f>
        <v>21.933506099275178</v>
      </c>
      <c r="K105" s="1">
        <f>'Team B 1'!K105-'Team B 1'!$AA105-('Team B 1'!K$2- 12.5)*'Team B 1'!$AC105</f>
        <v>47.214409118518802</v>
      </c>
      <c r="L105" s="1">
        <f>'Team B 1'!L105-'Team B 1'!$AA105-('Team B 1'!L$2- 12.5)*'Team B 1'!$AC105</f>
        <v>2.4953121377624257</v>
      </c>
      <c r="M105" s="1">
        <f>'Team B 1'!M105-'Team B 1'!$AA105-('Team B 1'!M$2- 12.5)*'Team B 1'!$AC105</f>
        <v>-2.2237848429939504</v>
      </c>
      <c r="N105" s="1">
        <f>'Team B 1'!N105-'Team B 1'!$AA105-('Team B 1'!N$2- 12.5)*'Team B 1'!$AC105</f>
        <v>3.0571181762496735</v>
      </c>
      <c r="O105" s="1">
        <f>'Team B 1'!O105-'Team B 1'!$AA105-('Team B 1'!O$2- 12.5)*'Team B 1'!$AC105</f>
        <v>-21.661978804506703</v>
      </c>
      <c r="P105" s="1">
        <f>'Team B 1'!P105-'Team B 1'!$AA105-('Team B 1'!P$2- 12.5)*'Team B 1'!$AC105</f>
        <v>-16.381075785263079</v>
      </c>
      <c r="Q105" s="1">
        <f>'Team B 1'!Q105-'Team B 1'!$AA105-('Team B 1'!Q$2- 12.5)*'Team B 1'!$AC105</f>
        <v>-11.100172766019455</v>
      </c>
      <c r="R105" s="1">
        <f>'Team B 1'!R105-'Team B 1'!$AA105-('Team B 1'!R$2- 12.5)*'Team B 1'!$AC105</f>
        <v>-5.8192697467758308</v>
      </c>
      <c r="S105" s="1">
        <f>'Team B 1'!S105-'Team B 1'!$AA105-('Team B 1'!S$2- 12.5)*'Team B 1'!$AC105</f>
        <v>-40.538366727532321</v>
      </c>
      <c r="T105" s="1">
        <f>'Team B 1'!T105-'Team B 1'!$AA105-('Team B 1'!T$2- 12.5)*'Team B 1'!$AC105</f>
        <v>-15.257463708288469</v>
      </c>
      <c r="U105" s="1">
        <f>'Team B 1'!U105-'Team B 1'!$AA105-('Team B 1'!U$2- 12.5)*'Team B 1'!$AC105</f>
        <v>20.023439310954927</v>
      </c>
      <c r="V105" s="1">
        <f>'Team B 1'!V105-'Team B 1'!$AA105-('Team B 1'!V$2- 12.5)*'Team B 1'!$AC105</f>
        <v>15.304342330198779</v>
      </c>
      <c r="W105" s="1">
        <f>'Team B 1'!W105-'Team B 1'!$AA105-('Team B 1'!W$2- 12.5)*'Team B 1'!$AC105</f>
        <v>30.585245349442175</v>
      </c>
      <c r="X105" s="1">
        <f>'Team B 1'!X105-'Team B 1'!$AA105-('Team B 1'!X$2- 12.5)*'Team B 1'!$AC105</f>
        <v>5.8661483686860265</v>
      </c>
      <c r="Y105" s="1">
        <f>'Team B 1'!Y105-'Team B 1'!$AA105-('Team B 1'!Y$2- 12.5)*'Team B 1'!$AC105</f>
        <v>-8.8529486120705769</v>
      </c>
      <c r="AB105" s="1">
        <f>STDEV(B105:Y105)</f>
        <v>20.92108630912578</v>
      </c>
      <c r="AD105" s="5">
        <v>9</v>
      </c>
      <c r="AE105" s="5">
        <v>8</v>
      </c>
      <c r="AF105" s="5" t="s">
        <v>45</v>
      </c>
      <c r="AG105" s="5" t="s">
        <v>47</v>
      </c>
      <c r="AH105" s="5" t="s">
        <v>46</v>
      </c>
      <c r="AI105" s="5">
        <v>1</v>
      </c>
      <c r="AJ105" s="5">
        <v>5</v>
      </c>
      <c r="AK105" s="5">
        <v>7</v>
      </c>
      <c r="AL105" s="5">
        <v>3</v>
      </c>
      <c r="AM105" s="5">
        <v>6</v>
      </c>
      <c r="AN105" s="5">
        <v>2</v>
      </c>
      <c r="AO105" s="5">
        <v>4</v>
      </c>
      <c r="AP105" s="5">
        <v>8</v>
      </c>
      <c r="AQ105" s="5">
        <v>9</v>
      </c>
      <c r="AR105" s="5" t="s">
        <v>47</v>
      </c>
      <c r="AS105" s="5" t="s">
        <v>45</v>
      </c>
      <c r="AT105" s="5" t="s">
        <v>46</v>
      </c>
      <c r="AU105" s="5">
        <v>5</v>
      </c>
      <c r="AV105" s="5">
        <v>1</v>
      </c>
      <c r="AW105" s="5">
        <v>7</v>
      </c>
      <c r="AX105" s="5">
        <v>6</v>
      </c>
      <c r="AY105" s="5">
        <v>3</v>
      </c>
      <c r="AZ105" s="5">
        <v>4</v>
      </c>
      <c r="BA105" s="5">
        <v>2</v>
      </c>
      <c r="BB105" s="5"/>
      <c r="BC105" s="1">
        <f ca="1">OFFSET(A105,0, 6) -0</f>
        <v>26.090797041544192</v>
      </c>
      <c r="BD105" s="1">
        <f ca="1">OFFSET(A105,0, 11) -0</f>
        <v>2.4953121377624257</v>
      </c>
      <c r="BE105" s="1">
        <f ca="1">OFFSET(A105,0, 9) -0</f>
        <v>21.933506099275178</v>
      </c>
      <c r="BF105" s="1">
        <f ca="1">OFFSET(A105,0, 12) -0</f>
        <v>-2.2237848429939504</v>
      </c>
      <c r="BG105" s="1">
        <f ca="1">OFFSET(A105,0, 7) -0</f>
        <v>1.3717000607880436</v>
      </c>
      <c r="BH105" s="1">
        <f ca="1">OFFSET(A105,0, 10) -0</f>
        <v>47.214409118518802</v>
      </c>
      <c r="BI105" s="1">
        <f ca="1">OFFSET(A105,0, 8) -0</f>
        <v>-3.3473969199684461</v>
      </c>
      <c r="BJ105" s="1">
        <f ca="1">OFFSET(A105,0, 2) -0</f>
        <v>-15.032815035430303</v>
      </c>
      <c r="BK105" s="1">
        <f ca="1">OFFSET(A105,0, 1) -0</f>
        <v>-40.3137180546737</v>
      </c>
      <c r="BL105" s="1">
        <f ca="1">OFFSET(A105,0, 3) -0</f>
        <v>-9.7519120161864521</v>
      </c>
      <c r="BM105" s="1">
        <f ca="1">OFFSET(A105,0, 5) -0</f>
        <v>0.80989402230079577</v>
      </c>
      <c r="BN105" s="1">
        <f ca="1">OFFSET(A105,0, 4) -0</f>
        <v>15.528991003056944</v>
      </c>
      <c r="BO105" s="1">
        <f ca="1">OFFSET(A105,0, 19) -0</f>
        <v>-15.257463708288469</v>
      </c>
      <c r="BP105" s="1">
        <f ca="1">OFFSET(A105,0, 24) -0</f>
        <v>-8.8529486120705769</v>
      </c>
      <c r="BQ105" s="1">
        <f ca="1">OFFSET(A105,0, 22) -0</f>
        <v>30.585245349442175</v>
      </c>
      <c r="BR105" s="1">
        <f ca="1">OFFSET(A105,0, 23) -0</f>
        <v>5.8661483686860265</v>
      </c>
      <c r="BS105" s="1">
        <f ca="1">OFFSET(A105,0, 18) -0</f>
        <v>-40.538366727532321</v>
      </c>
      <c r="BT105" s="1">
        <f ca="1">OFFSET(A105,0, 21) -0</f>
        <v>15.304342330198779</v>
      </c>
      <c r="BU105" s="1">
        <f ca="1">OFFSET(A105,0, 20) -0</f>
        <v>20.023439310954927</v>
      </c>
      <c r="BV105" s="1">
        <f ca="1">OFFSET(A105,0, 13) -0</f>
        <v>3.0571181762496735</v>
      </c>
      <c r="BW105" s="1">
        <f ca="1">OFFSET(A105,0, 14) -0</f>
        <v>-21.661978804506703</v>
      </c>
      <c r="BX105" s="1">
        <f ca="1">OFFSET(A105,0, 16) -0</f>
        <v>-11.100172766019455</v>
      </c>
      <c r="BY105" s="1">
        <f ca="1">OFFSET(A105,0, 17) -0</f>
        <v>-5.8192697467758308</v>
      </c>
      <c r="BZ105" s="1">
        <f ca="1">OFFSET(A105,0, 15) -0</f>
        <v>-16.381075785263079</v>
      </c>
      <c r="CB105" s="1">
        <f>COUNTIF(B105,"&lt;-69")</f>
        <v>0</v>
      </c>
      <c r="CC105" s="1">
        <f ca="1">COUNTIF(BC105:BN105,"&lt;-49")</f>
        <v>0</v>
      </c>
      <c r="CD105" s="1">
        <f ca="1">COUNTIF(BC105:BN105,"&gt;+49")</f>
        <v>0</v>
      </c>
      <c r="CE105" s="1">
        <f ca="1">COUNTIF(BO105:BZ105,"&lt;-49")</f>
        <v>0</v>
      </c>
      <c r="CF105" s="1">
        <f ca="1">COUNTIF(BO105:BZ105,"&gt;+49")</f>
        <v>0</v>
      </c>
    </row>
    <row r="106" spans="1:84">
      <c r="A106" s="1">
        <v>103</v>
      </c>
      <c r="B106" s="1">
        <f>'Team B 1'!B106-'Team B 1'!$AA106-('Team B 1'!B$2- 12.5)*'Team B 1'!$AC106</f>
        <v>0.99573962769318314</v>
      </c>
      <c r="C106" s="1">
        <f>'Team B 1'!C106-'Team B 1'!$AA106-('Team B 1'!C$2- 12.5)*'Team B 1'!$AC106</f>
        <v>15.909153573111325</v>
      </c>
      <c r="D106" s="1">
        <f>'Team B 1'!D106-'Team B 1'!$AA106-('Team B 1'!D$2- 12.5)*'Team B 1'!$AC106</f>
        <v>30.82256751852924</v>
      </c>
      <c r="E106" s="1">
        <f>'Team B 1'!E106-'Team B 1'!$AA106-('Team B 1'!E$2- 12.5)*'Team B 1'!$AC106</f>
        <v>15.735981463947155</v>
      </c>
      <c r="F106" s="1">
        <f>'Team B 1'!F106-'Team B 1'!$AA106-('Team B 1'!F$2- 12.5)*'Team B 1'!$AC106</f>
        <v>20.649395409365297</v>
      </c>
      <c r="G106" s="1">
        <f>'Team B 1'!G106-'Team B 1'!$AA106-('Team B 1'!G$2- 12.5)*'Team B 1'!$AC106</f>
        <v>-4.4371906452167877</v>
      </c>
      <c r="H106" s="1">
        <f>'Team B 1'!H106-'Team B 1'!$AA106-('Team B 1'!H$2- 12.5)*'Team B 1'!$AC106</f>
        <v>-39.523776699798873</v>
      </c>
      <c r="I106" s="1">
        <f>'Team B 1'!I106-'Team B 1'!$AA106-('Team B 1'!I$2- 12.5)*'Team B 1'!$AC106</f>
        <v>-4.6103627543808443</v>
      </c>
      <c r="J106" s="1">
        <f>'Team B 1'!J106-'Team B 1'!$AA106-('Team B 1'!J$2- 12.5)*'Team B 1'!$AC106</f>
        <v>-9.6969488089629294</v>
      </c>
      <c r="K106" s="1">
        <f>'Team B 1'!K106-'Team B 1'!$AA106-('Team B 1'!K$2- 12.5)*'Team B 1'!$AC106</f>
        <v>15.216465136455099</v>
      </c>
      <c r="L106" s="1">
        <f>'Team B 1'!L106-'Team B 1'!$AA106-('Team B 1'!L$2- 12.5)*'Team B 1'!$AC106</f>
        <v>-9.870120918126986</v>
      </c>
      <c r="M106" s="1">
        <f>'Team B 1'!M106-'Team B 1'!$AA106-('Team B 1'!M$2- 12.5)*'Team B 1'!$AC106</f>
        <v>-14.956706972708986</v>
      </c>
      <c r="N106" s="1">
        <f>'Team B 1'!N106-'Team B 1'!$AA106-('Team B 1'!N$2- 12.5)*'Team B 1'!$AC106</f>
        <v>-4.3293027291014141E-2</v>
      </c>
      <c r="O106" s="1">
        <f>'Team B 1'!O106-'Team B 1'!$AA106-('Team B 1'!O$2- 12.5)*'Team B 1'!$AC106</f>
        <v>14.870120918126986</v>
      </c>
      <c r="P106" s="1">
        <f>'Team B 1'!P106-'Team B 1'!$AA106-('Team B 1'!P$2- 12.5)*'Team B 1'!$AC106</f>
        <v>-10.216465136455099</v>
      </c>
      <c r="Q106" s="1">
        <f>'Team B 1'!Q106-'Team B 1'!$AA106-('Team B 1'!Q$2- 12.5)*'Team B 1'!$AC106</f>
        <v>24.696948808962929</v>
      </c>
      <c r="R106" s="1">
        <f>'Team B 1'!R106-'Team B 1'!$AA106-('Team B 1'!R$2- 12.5)*'Team B 1'!$AC106</f>
        <v>-50.389637245619156</v>
      </c>
      <c r="S106" s="1">
        <f>'Team B 1'!S106-'Team B 1'!$AA106-('Team B 1'!S$2- 12.5)*'Team B 1'!$AC106</f>
        <v>-35.476223300201127</v>
      </c>
      <c r="T106" s="1">
        <f>'Team B 1'!T106-'Team B 1'!$AA106-('Team B 1'!T$2- 12.5)*'Team B 1'!$AC106</f>
        <v>-0.56280935478321226</v>
      </c>
      <c r="U106" s="1">
        <f>'Team B 1'!U106-'Team B 1'!$AA106-('Team B 1'!U$2- 12.5)*'Team B 1'!$AC106</f>
        <v>54.350604590634703</v>
      </c>
      <c r="V106" s="1">
        <f>'Team B 1'!V106-'Team B 1'!$AA106-('Team B 1'!V$2- 12.5)*'Team B 1'!$AC106</f>
        <v>-20.735981463947155</v>
      </c>
      <c r="W106" s="1">
        <f>'Team B 1'!W106-'Team B 1'!$AA106-('Team B 1'!W$2- 12.5)*'Team B 1'!$AC106</f>
        <v>4.1774324814707597</v>
      </c>
      <c r="X106" s="1">
        <f>'Team B 1'!X106-'Team B 1'!$AA106-('Team B 1'!X$2- 12.5)*'Team B 1'!$AC106</f>
        <v>19.090846426888675</v>
      </c>
      <c r="Y106" s="1">
        <f>'Team B 1'!Y106-'Team B 1'!$AA106-('Team B 1'!Y$2- 12.5)*'Team B 1'!$AC106</f>
        <v>-15.995739627693183</v>
      </c>
      <c r="AB106" s="1">
        <f>STDEV(B106:Y106)</f>
        <v>23.667153649984879</v>
      </c>
      <c r="AD106" s="5">
        <v>9</v>
      </c>
      <c r="AE106" s="5">
        <v>8</v>
      </c>
      <c r="AF106" s="5" t="s">
        <v>45</v>
      </c>
      <c r="AG106" s="5" t="s">
        <v>47</v>
      </c>
      <c r="AH106" s="5">
        <v>5</v>
      </c>
      <c r="AI106" s="5" t="s">
        <v>46</v>
      </c>
      <c r="AJ106" s="5">
        <v>7</v>
      </c>
      <c r="AK106" s="5">
        <v>1</v>
      </c>
      <c r="AL106" s="5">
        <v>3</v>
      </c>
      <c r="AM106" s="5">
        <v>6</v>
      </c>
      <c r="AN106" s="5">
        <v>2</v>
      </c>
      <c r="AO106" s="5">
        <v>4</v>
      </c>
      <c r="AP106" s="5">
        <v>9</v>
      </c>
      <c r="AQ106" s="5" t="s">
        <v>45</v>
      </c>
      <c r="AR106" s="5">
        <v>8</v>
      </c>
      <c r="AS106" s="5">
        <v>5</v>
      </c>
      <c r="AT106" s="5" t="s">
        <v>47</v>
      </c>
      <c r="AU106" s="5" t="s">
        <v>46</v>
      </c>
      <c r="AV106" s="5">
        <v>1</v>
      </c>
      <c r="AW106" s="5">
        <v>7</v>
      </c>
      <c r="AX106" s="5">
        <v>3</v>
      </c>
      <c r="AY106" s="5">
        <v>2</v>
      </c>
      <c r="AZ106" s="5">
        <v>6</v>
      </c>
      <c r="BA106" s="5">
        <v>4</v>
      </c>
      <c r="BB106" s="5"/>
      <c r="BC106" s="1">
        <f ca="1">OFFSET(A106,0, 8) -0</f>
        <v>-4.6103627543808443</v>
      </c>
      <c r="BD106" s="1">
        <f ca="1">OFFSET(A106,0, 11) -0</f>
        <v>-9.870120918126986</v>
      </c>
      <c r="BE106" s="1">
        <f ca="1">OFFSET(A106,0, 9) -0</f>
        <v>-9.6969488089629294</v>
      </c>
      <c r="BF106" s="1">
        <f ca="1">OFFSET(A106,0, 12) -0</f>
        <v>-14.956706972708986</v>
      </c>
      <c r="BG106" s="1">
        <f ca="1">OFFSET(A106,0, 5) -0</f>
        <v>20.649395409365297</v>
      </c>
      <c r="BH106" s="1">
        <f ca="1">OFFSET(A106,0, 10) -0</f>
        <v>15.216465136455099</v>
      </c>
      <c r="BI106" s="1">
        <f ca="1">OFFSET(A106,0, 7) -0</f>
        <v>-39.523776699798873</v>
      </c>
      <c r="BJ106" s="1">
        <f ca="1">OFFSET(A106,0, 2) -0</f>
        <v>15.909153573111325</v>
      </c>
      <c r="BK106" s="1">
        <f ca="1">OFFSET(A106,0, 1) -0</f>
        <v>0.99573962769318314</v>
      </c>
      <c r="BL106" s="1">
        <f ca="1">OFFSET(A106,0, 3) -0</f>
        <v>30.82256751852924</v>
      </c>
      <c r="BM106" s="1">
        <f ca="1">OFFSET(A106,0, 6) -0</f>
        <v>-4.4371906452167877</v>
      </c>
      <c r="BN106" s="1">
        <f ca="1">OFFSET(A106,0, 4) -0</f>
        <v>15.735981463947155</v>
      </c>
      <c r="BO106" s="1">
        <f ca="1">OFFSET(A106,0, 19) -0</f>
        <v>-0.56280935478321226</v>
      </c>
      <c r="BP106" s="1">
        <f ca="1">OFFSET(A106,0, 22) -0</f>
        <v>4.1774324814707597</v>
      </c>
      <c r="BQ106" s="1">
        <f ca="1">OFFSET(A106,0, 21) -0</f>
        <v>-20.735981463947155</v>
      </c>
      <c r="BR106" s="1">
        <f ca="1">OFFSET(A106,0, 24) -0</f>
        <v>-15.995739627693183</v>
      </c>
      <c r="BS106" s="1">
        <f ca="1">OFFSET(A106,0, 16) -0</f>
        <v>24.696948808962929</v>
      </c>
      <c r="BT106" s="1">
        <f ca="1">OFFSET(A106,0, 23) -0</f>
        <v>19.090846426888675</v>
      </c>
      <c r="BU106" s="1">
        <f ca="1">OFFSET(A106,0, 20) -0</f>
        <v>54.350604590634703</v>
      </c>
      <c r="BV106" s="1">
        <f ca="1">OFFSET(A106,0, 15) -0</f>
        <v>-10.216465136455099</v>
      </c>
      <c r="BW106" s="1">
        <f ca="1">OFFSET(A106,0, 13) -0</f>
        <v>-4.3293027291014141E-2</v>
      </c>
      <c r="BX106" s="1">
        <f ca="1">OFFSET(A106,0, 14) -0</f>
        <v>14.870120918126986</v>
      </c>
      <c r="BY106" s="1">
        <f ca="1">OFFSET(A106,0, 18) -0</f>
        <v>-35.476223300201127</v>
      </c>
      <c r="BZ106" s="1">
        <f ca="1">OFFSET(A106,0, 17) -0</f>
        <v>-50.389637245619156</v>
      </c>
      <c r="CB106" s="1">
        <f>COUNTIF(B106,"&lt;-69")</f>
        <v>0</v>
      </c>
      <c r="CC106" s="1">
        <f ca="1">COUNTIF(BC106:BN106,"&lt;-49")</f>
        <v>0</v>
      </c>
      <c r="CD106" s="1">
        <f ca="1">COUNTIF(BC106:BN106,"&gt;+49")</f>
        <v>0</v>
      </c>
      <c r="CE106" s="1">
        <f ca="1">COUNTIF(BO106:BZ106,"&lt;-49")</f>
        <v>1</v>
      </c>
      <c r="CF106" s="1">
        <f ca="1">COUNTIF(BO106:BZ106,"&gt;+49")</f>
        <v>1</v>
      </c>
    </row>
    <row r="107" spans="1:84">
      <c r="A107" s="1">
        <v>104</v>
      </c>
      <c r="B107" s="1">
        <f>'Team B 1'!B107-'Team B 1'!$AA107-('Team B 1'!B$2- 12.5)*'Team B 1'!$AC107</f>
        <v>-15.514048724588974</v>
      </c>
      <c r="C107" s="1">
        <f>'Team B 1'!C107-'Team B 1'!$AA107-('Team B 1'!C$2- 12.5)*'Team B 1'!$AC107</f>
        <v>-30.867899560135356</v>
      </c>
      <c r="D107" s="1">
        <f>'Team B 1'!D107-'Team B 1'!$AA107-('Team B 1'!D$2- 12.5)*'Team B 1'!$AC107</f>
        <v>-6.2217503956817382</v>
      </c>
      <c r="E107" s="1">
        <f>'Team B 1'!E107-'Team B 1'!$AA107-('Team B 1'!E$2- 12.5)*'Team B 1'!$AC107</f>
        <v>8.42439876877188</v>
      </c>
      <c r="F107" s="1">
        <f>'Team B 1'!F107-'Team B 1'!$AA107-('Team B 1'!F$2- 12.5)*'Team B 1'!$AC107</f>
        <v>-26.929452066774502</v>
      </c>
      <c r="G107" s="1">
        <f>'Team B 1'!G107-'Team B 1'!$AA107-('Team B 1'!G$2- 12.5)*'Team B 1'!$AC107</f>
        <v>17.716697097679116</v>
      </c>
      <c r="H107" s="1">
        <f>'Team B 1'!H107-'Team B 1'!$AA107-('Team B 1'!H$2- 12.5)*'Team B 1'!$AC107</f>
        <v>22.362846262132734</v>
      </c>
      <c r="I107" s="1">
        <f>'Team B 1'!I107-'Team B 1'!$AA107-('Team B 1'!I$2- 12.5)*'Team B 1'!$AC107</f>
        <v>17.008995426586466</v>
      </c>
      <c r="J107" s="1">
        <f>'Team B 1'!J107-'Team B 1'!$AA107-('Team B 1'!J$2- 12.5)*'Team B 1'!$AC107</f>
        <v>21.655144591040084</v>
      </c>
      <c r="K107" s="1">
        <f>'Team B 1'!K107-'Team B 1'!$AA107-('Team B 1'!K$2- 12.5)*'Team B 1'!$AC107</f>
        <v>-23.698706244506241</v>
      </c>
      <c r="L107" s="1">
        <f>'Team B 1'!L107-'Team B 1'!$AA107-('Team B 1'!L$2- 12.5)*'Team B 1'!$AC107</f>
        <v>-9.0525570800526225</v>
      </c>
      <c r="M107" s="1">
        <f>'Team B 1'!M107-'Team B 1'!$AA107-('Team B 1'!M$2- 12.5)*'Team B 1'!$AC107</f>
        <v>5.5935920844010383</v>
      </c>
      <c r="N107" s="1">
        <f>'Team B 1'!N107-'Team B 1'!$AA107-('Team B 1'!N$2- 12.5)*'Team B 1'!$AC107</f>
        <v>-29.760258751145315</v>
      </c>
      <c r="O107" s="1">
        <f>'Team B 1'!O107-'Team B 1'!$AA107-('Team B 1'!O$2- 12.5)*'Team B 1'!$AC107</f>
        <v>-25.114109586691654</v>
      </c>
      <c r="P107" s="1">
        <f>'Team B 1'!P107-'Team B 1'!$AA107-('Team B 1'!P$2- 12.5)*'Team B 1'!$AC107</f>
        <v>-20.467960422238036</v>
      </c>
      <c r="Q107" s="1">
        <f>'Team B 1'!Q107-'Team B 1'!$AA107-('Team B 1'!Q$2- 12.5)*'Team B 1'!$AC107</f>
        <v>-5.8218112577843613</v>
      </c>
      <c r="R107" s="1">
        <f>'Team B 1'!R107-'Team B 1'!$AA107-('Team B 1'!R$2- 12.5)*'Team B 1'!$AC107</f>
        <v>-11.175662093330743</v>
      </c>
      <c r="S107" s="1">
        <f>'Team B 1'!S107-'Team B 1'!$AA107-('Team B 1'!S$2- 12.5)*'Team B 1'!$AC107</f>
        <v>13.470487071122989</v>
      </c>
      <c r="T107" s="1">
        <f>'Team B 1'!T107-'Team B 1'!$AA107-('Team B 1'!T$2- 12.5)*'Team B 1'!$AC107</f>
        <v>-1.8833637644233931</v>
      </c>
      <c r="U107" s="1">
        <f>'Team B 1'!U107-'Team B 1'!$AA107-('Team B 1'!U$2- 12.5)*'Team B 1'!$AC107</f>
        <v>32.762785400030225</v>
      </c>
      <c r="V107" s="1">
        <f>'Team B 1'!V107-'Team B 1'!$AA107-('Team B 1'!V$2- 12.5)*'Team B 1'!$AC107</f>
        <v>47.408934564483843</v>
      </c>
      <c r="W107" s="1">
        <f>'Team B 1'!W107-'Team B 1'!$AA107-('Team B 1'!W$2- 12.5)*'Team B 1'!$AC107</f>
        <v>12.055083728937461</v>
      </c>
      <c r="X107" s="1">
        <f>'Team B 1'!X107-'Team B 1'!$AA107-('Team B 1'!X$2- 12.5)*'Team B 1'!$AC107</f>
        <v>-3.2987671066089206</v>
      </c>
      <c r="Y107" s="1">
        <f>'Team B 1'!Y107-'Team B 1'!$AA107-('Team B 1'!Y$2- 12.5)*'Team B 1'!$AC107</f>
        <v>11.347382057844698</v>
      </c>
      <c r="AB107" s="1">
        <f>STDEV(B107:Y107)</f>
        <v>21.018191148752361</v>
      </c>
      <c r="AD107" s="5" t="s">
        <v>45</v>
      </c>
      <c r="AE107" s="5">
        <v>9</v>
      </c>
      <c r="AF107" s="5">
        <v>5</v>
      </c>
      <c r="AG107" s="5">
        <v>8</v>
      </c>
      <c r="AH107" s="5" t="s">
        <v>46</v>
      </c>
      <c r="AI107" s="5" t="s">
        <v>47</v>
      </c>
      <c r="AJ107" s="5">
        <v>7</v>
      </c>
      <c r="AK107" s="5">
        <v>1</v>
      </c>
      <c r="AL107" s="5">
        <v>2</v>
      </c>
      <c r="AM107" s="5">
        <v>3</v>
      </c>
      <c r="AN107" s="5">
        <v>4</v>
      </c>
      <c r="AO107" s="5">
        <v>6</v>
      </c>
      <c r="AP107" s="5">
        <v>9</v>
      </c>
      <c r="AQ107" s="5" t="s">
        <v>45</v>
      </c>
      <c r="AR107" s="5">
        <v>8</v>
      </c>
      <c r="AS107" s="5">
        <v>5</v>
      </c>
      <c r="AT107" s="5" t="s">
        <v>47</v>
      </c>
      <c r="AU107" s="5" t="s">
        <v>46</v>
      </c>
      <c r="AV107" s="5">
        <v>7</v>
      </c>
      <c r="AW107" s="5">
        <v>2</v>
      </c>
      <c r="AX107" s="5">
        <v>1</v>
      </c>
      <c r="AY107" s="5">
        <v>3</v>
      </c>
      <c r="AZ107" s="5">
        <v>6</v>
      </c>
      <c r="BA107" s="5">
        <v>4</v>
      </c>
      <c r="BB107" s="5"/>
      <c r="BC107" s="1">
        <f ca="1">OFFSET(A107,0, 8) -0</f>
        <v>17.008995426586466</v>
      </c>
      <c r="BD107" s="1">
        <f ca="1">OFFSET(A107,0, 9) -0</f>
        <v>21.655144591040084</v>
      </c>
      <c r="BE107" s="1">
        <f ca="1">OFFSET(A107,0, 10) -0</f>
        <v>-23.698706244506241</v>
      </c>
      <c r="BF107" s="1">
        <f ca="1">OFFSET(A107,0, 11) -0</f>
        <v>-9.0525570800526225</v>
      </c>
      <c r="BG107" s="1">
        <f ca="1">OFFSET(A107,0, 3) -0</f>
        <v>-6.2217503956817382</v>
      </c>
      <c r="BH107" s="1">
        <f ca="1">OFFSET(A107,0, 12) -0</f>
        <v>5.5935920844010383</v>
      </c>
      <c r="BI107" s="1">
        <f ca="1">OFFSET(A107,0, 7) -0</f>
        <v>22.362846262132734</v>
      </c>
      <c r="BJ107" s="1">
        <f ca="1">OFFSET(A107,0, 4) -0</f>
        <v>8.42439876877188</v>
      </c>
      <c r="BK107" s="1">
        <f ca="1">OFFSET(A107,0, 2) -0</f>
        <v>-30.867899560135356</v>
      </c>
      <c r="BL107" s="1">
        <f ca="1">OFFSET(A107,0, 1) -0</f>
        <v>-15.514048724588974</v>
      </c>
      <c r="BM107" s="1">
        <f ca="1">OFFSET(A107,0, 5) -0</f>
        <v>-26.929452066774502</v>
      </c>
      <c r="BN107" s="1">
        <f ca="1">OFFSET(A107,0, 6) -0</f>
        <v>17.716697097679116</v>
      </c>
      <c r="BO107" s="1">
        <f ca="1">OFFSET(A107,0, 21) -0</f>
        <v>47.408934564483843</v>
      </c>
      <c r="BP107" s="1">
        <f ca="1">OFFSET(A107,0, 20) -0</f>
        <v>32.762785400030225</v>
      </c>
      <c r="BQ107" s="1">
        <f ca="1">OFFSET(A107,0, 22) -0</f>
        <v>12.055083728937461</v>
      </c>
      <c r="BR107" s="1">
        <f ca="1">OFFSET(A107,0, 24) -0</f>
        <v>11.347382057844698</v>
      </c>
      <c r="BS107" s="1">
        <f ca="1">OFFSET(A107,0, 16) -0</f>
        <v>-5.8218112577843613</v>
      </c>
      <c r="BT107" s="1">
        <f ca="1">OFFSET(A107,0, 23) -0</f>
        <v>-3.2987671066089206</v>
      </c>
      <c r="BU107" s="1">
        <f ca="1">OFFSET(A107,0, 19) -0</f>
        <v>-1.8833637644233931</v>
      </c>
      <c r="BV107" s="1">
        <f ca="1">OFFSET(A107,0, 15) -0</f>
        <v>-20.467960422238036</v>
      </c>
      <c r="BW107" s="1">
        <f ca="1">OFFSET(A107,0, 13) -0</f>
        <v>-29.760258751145315</v>
      </c>
      <c r="BX107" s="1">
        <f ca="1">OFFSET(A107,0, 14) -0</f>
        <v>-25.114109586691654</v>
      </c>
      <c r="BY107" s="1">
        <f ca="1">OFFSET(A107,0, 18) -0</f>
        <v>13.470487071122989</v>
      </c>
      <c r="BZ107" s="1">
        <f ca="1">OFFSET(A107,0, 17) -0</f>
        <v>-11.175662093330743</v>
      </c>
      <c r="CB107" s="1">
        <f>COUNTIF(B107,"&lt;-69")</f>
        <v>0</v>
      </c>
      <c r="CC107" s="1">
        <f ca="1">COUNTIF(BC107:BN107,"&lt;-49")</f>
        <v>0</v>
      </c>
      <c r="CD107" s="1">
        <f ca="1">COUNTIF(BC107:BN107,"&gt;+49")</f>
        <v>0</v>
      </c>
      <c r="CE107" s="1">
        <f ca="1">COUNTIF(BO107:BZ107,"&lt;-49")</f>
        <v>0</v>
      </c>
      <c r="CF107" s="1">
        <f ca="1">COUNTIF(BO107:BZ107,"&gt;+49")</f>
        <v>0</v>
      </c>
    </row>
    <row r="108" spans="1:84">
      <c r="A108" s="1">
        <v>105</v>
      </c>
      <c r="B108" s="1">
        <f>'Team B 1'!B108-'Team B 1'!$AA108-('Team B 1'!B$2- 12.5)*'Team B 1'!$AC108</f>
        <v>-28.21026234022338</v>
      </c>
      <c r="C108" s="1">
        <f>'Team B 1'!C108-'Team B 1'!$AA108-('Team B 1'!C$2- 12.5)*'Team B 1'!$AC108</f>
        <v>-23.87313807875762</v>
      </c>
      <c r="D108" s="1">
        <f>'Team B 1'!D108-'Team B 1'!$AA108-('Team B 1'!D$2- 12.5)*'Team B 1'!$AC108</f>
        <v>10.463986182707458</v>
      </c>
      <c r="E108" s="1">
        <f>'Team B 1'!E108-'Team B 1'!$AA108-('Team B 1'!E$2- 12.5)*'Team B 1'!$AC108</f>
        <v>-15.198889555827236</v>
      </c>
      <c r="F108" s="1">
        <f>'Team B 1'!F108-'Team B 1'!$AA108-('Team B 1'!F$2- 12.5)*'Team B 1'!$AC108</f>
        <v>-30.861765294361931</v>
      </c>
      <c r="G108" s="1">
        <f>'Team B 1'!G108-'Team B 1'!$AA108-('Team B 1'!G$2- 12.5)*'Team B 1'!$AC108</f>
        <v>33.475358967103375</v>
      </c>
      <c r="H108" s="1">
        <f>'Team B 1'!H108-'Team B 1'!$AA108-('Team B 1'!H$2- 12.5)*'Team B 1'!$AC108</f>
        <v>37.812483228568681</v>
      </c>
      <c r="I108" s="1">
        <f>'Team B 1'!I108-'Team B 1'!$AA108-('Team B 1'!I$2- 12.5)*'Team B 1'!$AC108</f>
        <v>2.1496074900339863</v>
      </c>
      <c r="J108" s="1">
        <f>'Team B 1'!J108-'Team B 1'!$AA108-('Team B 1'!J$2- 12.5)*'Team B 1'!$AC108</f>
        <v>6.4867317514992919</v>
      </c>
      <c r="K108" s="1">
        <f>'Team B 1'!K108-'Team B 1'!$AA108-('Team B 1'!K$2- 12.5)*'Team B 1'!$AC108</f>
        <v>50.823856012964598</v>
      </c>
      <c r="L108" s="1">
        <f>'Team B 1'!L108-'Team B 1'!$AA108-('Team B 1'!L$2- 12.5)*'Team B 1'!$AC108</f>
        <v>-4.8390197255700969</v>
      </c>
      <c r="M108" s="1">
        <f>'Team B 1'!M108-'Team B 1'!$AA108-('Team B 1'!M$2- 12.5)*'Team B 1'!$AC108</f>
        <v>9.4981045358952088</v>
      </c>
      <c r="N108" s="1">
        <f>'Team B 1'!N108-'Team B 1'!$AA108-('Team B 1'!N$2- 12.5)*'Team B 1'!$AC108</f>
        <v>3.8352287973605144</v>
      </c>
      <c r="O108" s="1">
        <f>'Team B 1'!O108-'Team B 1'!$AA108-('Team B 1'!O$2- 12.5)*'Team B 1'!$AC108</f>
        <v>18.17235305882582</v>
      </c>
      <c r="P108" s="1">
        <f>'Team B 1'!P108-'Team B 1'!$AA108-('Team B 1'!P$2- 12.5)*'Team B 1'!$AC108</f>
        <v>-7.4905226797088744</v>
      </c>
      <c r="Q108" s="1">
        <f>'Team B 1'!Q108-'Team B 1'!$AA108-('Team B 1'!Q$2- 12.5)*'Team B 1'!$AC108</f>
        <v>-23.153398418243569</v>
      </c>
      <c r="R108" s="1">
        <f>'Team B 1'!R108-'Team B 1'!$AA108-('Team B 1'!R$2- 12.5)*'Team B 1'!$AC108</f>
        <v>-8.8162741567782632</v>
      </c>
      <c r="S108" s="1">
        <f>'Team B 1'!S108-'Team B 1'!$AA108-('Team B 1'!S$2- 12.5)*'Team B 1'!$AC108</f>
        <v>-14.479149895312958</v>
      </c>
      <c r="T108" s="1">
        <f>'Team B 1'!T108-'Team B 1'!$AA108-('Team B 1'!T$2- 12.5)*'Team B 1'!$AC108</f>
        <v>-0.14202563384765199</v>
      </c>
      <c r="U108" s="1">
        <f>'Team B 1'!U108-'Team B 1'!$AA108-('Team B 1'!U$2- 12.5)*'Team B 1'!$AC108</f>
        <v>-5.8049013723823464</v>
      </c>
      <c r="V108" s="1">
        <f>'Team B 1'!V108-'Team B 1'!$AA108-('Team B 1'!V$2- 12.5)*'Team B 1'!$AC108</f>
        <v>18.532222889082959</v>
      </c>
      <c r="W108" s="1">
        <f>'Team B 1'!W108-'Team B 1'!$AA108-('Team B 1'!W$2- 12.5)*'Team B 1'!$AC108</f>
        <v>12.869347150548265</v>
      </c>
      <c r="X108" s="1">
        <f>'Team B 1'!X108-'Team B 1'!$AA108-('Team B 1'!X$2- 12.5)*'Team B 1'!$AC108</f>
        <v>-12.793528587986657</v>
      </c>
      <c r="Y108" s="1">
        <f>'Team B 1'!Y108-'Team B 1'!$AA108-('Team B 1'!Y$2- 12.5)*'Team B 1'!$AC108</f>
        <v>-28.456404326520897</v>
      </c>
      <c r="AB108" s="1">
        <f>STDEV(B108:Y108)</f>
        <v>21.562041252627566</v>
      </c>
      <c r="AD108" s="5" t="s">
        <v>45</v>
      </c>
      <c r="AE108" s="5">
        <v>9</v>
      </c>
      <c r="AF108" s="5">
        <v>5</v>
      </c>
      <c r="AG108" s="5">
        <v>8</v>
      </c>
      <c r="AH108" s="5" t="s">
        <v>46</v>
      </c>
      <c r="AI108" s="5" t="s">
        <v>47</v>
      </c>
      <c r="AJ108" s="5">
        <v>2</v>
      </c>
      <c r="AK108" s="5">
        <v>7</v>
      </c>
      <c r="AL108" s="5">
        <v>3</v>
      </c>
      <c r="AM108" s="5">
        <v>1</v>
      </c>
      <c r="AN108" s="5">
        <v>4</v>
      </c>
      <c r="AO108" s="5">
        <v>6</v>
      </c>
      <c r="AP108" s="5" t="s">
        <v>45</v>
      </c>
      <c r="AQ108" s="5">
        <v>5</v>
      </c>
      <c r="AR108" s="5">
        <v>9</v>
      </c>
      <c r="AS108" s="5" t="s">
        <v>46</v>
      </c>
      <c r="AT108" s="5">
        <v>8</v>
      </c>
      <c r="AU108" s="5">
        <v>2</v>
      </c>
      <c r="AV108" s="5" t="s">
        <v>47</v>
      </c>
      <c r="AW108" s="5">
        <v>7</v>
      </c>
      <c r="AX108" s="5">
        <v>1</v>
      </c>
      <c r="AY108" s="5">
        <v>3</v>
      </c>
      <c r="AZ108" s="5">
        <v>6</v>
      </c>
      <c r="BA108" s="5">
        <v>4</v>
      </c>
      <c r="BB108" s="5"/>
      <c r="BC108" s="1">
        <f ca="1">OFFSET(A108,0, 10) -0</f>
        <v>50.823856012964598</v>
      </c>
      <c r="BD108" s="1">
        <f ca="1">OFFSET(A108,0, 7) -0</f>
        <v>37.812483228568681</v>
      </c>
      <c r="BE108" s="1">
        <f ca="1">OFFSET(A108,0, 9) -0</f>
        <v>6.4867317514992919</v>
      </c>
      <c r="BF108" s="1">
        <f ca="1">OFFSET(A108,0, 11) -0</f>
        <v>-4.8390197255700969</v>
      </c>
      <c r="BG108" s="1">
        <f ca="1">OFFSET(A108,0, 3) -0</f>
        <v>10.463986182707458</v>
      </c>
      <c r="BH108" s="1">
        <f ca="1">OFFSET(A108,0, 12) -0</f>
        <v>9.4981045358952088</v>
      </c>
      <c r="BI108" s="1">
        <f ca="1">OFFSET(A108,0, 8) -0</f>
        <v>2.1496074900339863</v>
      </c>
      <c r="BJ108" s="1">
        <f ca="1">OFFSET(A108,0, 4) -0</f>
        <v>-15.198889555827236</v>
      </c>
      <c r="BK108" s="1">
        <f ca="1">OFFSET(A108,0, 2) -0</f>
        <v>-23.87313807875762</v>
      </c>
      <c r="BL108" s="1">
        <f ca="1">OFFSET(A108,0, 1) -0</f>
        <v>-28.21026234022338</v>
      </c>
      <c r="BM108" s="1">
        <f ca="1">OFFSET(A108,0, 5) -0</f>
        <v>-30.861765294361931</v>
      </c>
      <c r="BN108" s="1">
        <f ca="1">OFFSET(A108,0, 6) -0</f>
        <v>33.475358967103375</v>
      </c>
      <c r="BO108" s="1">
        <f ca="1">OFFSET(A108,0, 21) -0</f>
        <v>18.532222889082959</v>
      </c>
      <c r="BP108" s="1">
        <f ca="1">OFFSET(A108,0, 18) -0</f>
        <v>-14.479149895312958</v>
      </c>
      <c r="BQ108" s="1">
        <f ca="1">OFFSET(A108,0, 22) -0</f>
        <v>12.869347150548265</v>
      </c>
      <c r="BR108" s="1">
        <f ca="1">OFFSET(A108,0, 24) -0</f>
        <v>-28.456404326520897</v>
      </c>
      <c r="BS108" s="1">
        <f ca="1">OFFSET(A108,0, 14) -0</f>
        <v>18.17235305882582</v>
      </c>
      <c r="BT108" s="1">
        <f ca="1">OFFSET(A108,0, 23) -0</f>
        <v>-12.793528587986657</v>
      </c>
      <c r="BU108" s="1">
        <f ca="1">OFFSET(A108,0, 20) -0</f>
        <v>-5.8049013723823464</v>
      </c>
      <c r="BV108" s="1">
        <f ca="1">OFFSET(A108,0, 17) -0</f>
        <v>-8.8162741567782632</v>
      </c>
      <c r="BW108" s="1">
        <f ca="1">OFFSET(A108,0, 15) -0</f>
        <v>-7.4905226797088744</v>
      </c>
      <c r="BX108" s="1">
        <f ca="1">OFFSET(A108,0, 13) -0</f>
        <v>3.8352287973605144</v>
      </c>
      <c r="BY108" s="1">
        <f ca="1">OFFSET(A108,0, 16) -0</f>
        <v>-23.153398418243569</v>
      </c>
      <c r="BZ108" s="1">
        <f ca="1">OFFSET(A108,0, 19) -0</f>
        <v>-0.14202563384765199</v>
      </c>
      <c r="CB108" s="1">
        <f>COUNTIF(B108,"&lt;-69")</f>
        <v>0</v>
      </c>
      <c r="CC108" s="1">
        <f ca="1">COUNTIF(BC108:BN108,"&lt;-49")</f>
        <v>0</v>
      </c>
      <c r="CD108" s="1">
        <f ca="1">COUNTIF(BC108:BN108,"&gt;+49")</f>
        <v>1</v>
      </c>
      <c r="CE108" s="1">
        <f ca="1">COUNTIF(BO108:BZ108,"&lt;-49")</f>
        <v>0</v>
      </c>
      <c r="CF108" s="1">
        <f ca="1">COUNTIF(BO108:BZ108,"&gt;+49")</f>
        <v>0</v>
      </c>
    </row>
    <row r="109" spans="1:84">
      <c r="A109" s="1">
        <v>106</v>
      </c>
      <c r="B109" s="1">
        <f>'Team B 1'!B109-'Team B 1'!$AA109-('Team B 1'!B$2- 12.5)*'Team B 1'!$AC109</f>
        <v>-19.272282833231202</v>
      </c>
      <c r="C109" s="1">
        <f>'Team B 1'!C109-'Team B 1'!$AA109-('Team B 1'!C$2- 12.5)*'Team B 1'!$AC109</f>
        <v>14.722408427626306</v>
      </c>
      <c r="D109" s="1">
        <f>'Team B 1'!D109-'Team B 1'!$AA109-('Team B 1'!D$2- 12.5)*'Team B 1'!$AC109</f>
        <v>18.717099688483358</v>
      </c>
      <c r="E109" s="1">
        <f>'Team B 1'!E109-'Team B 1'!$AA109-('Team B 1'!E$2- 12.5)*'Team B 1'!$AC109</f>
        <v>12.711790949340639</v>
      </c>
      <c r="F109" s="1">
        <f>'Team B 1'!F109-'Team B 1'!$AA109-('Team B 1'!F$2- 12.5)*'Team B 1'!$AC109</f>
        <v>-3.2935177898018537</v>
      </c>
      <c r="G109" s="1">
        <f>'Team B 1'!G109-'Team B 1'!$AA109-('Team B 1'!G$2- 12.5)*'Team B 1'!$AC109</f>
        <v>-9.2988265289445735</v>
      </c>
      <c r="H109" s="1">
        <f>'Team B 1'!H109-'Team B 1'!$AA109-('Team B 1'!H$2- 12.5)*'Team B 1'!$AC109</f>
        <v>14.695864731912707</v>
      </c>
      <c r="I109" s="1">
        <f>'Team B 1'!I109-'Team B 1'!$AA109-('Team B 1'!I$2- 12.5)*'Team B 1'!$AC109</f>
        <v>48.690555992769987</v>
      </c>
      <c r="J109" s="1">
        <f>'Team B 1'!J109-'Team B 1'!$AA109-('Team B 1'!J$2- 12.5)*'Team B 1'!$AC109</f>
        <v>-27.314752746372733</v>
      </c>
      <c r="K109" s="1">
        <f>'Team B 1'!K109-'Team B 1'!$AA109-('Team B 1'!K$2- 12.5)*'Team B 1'!$AC109</f>
        <v>16.679938514484604</v>
      </c>
      <c r="L109" s="1">
        <f>'Team B 1'!L109-'Team B 1'!$AA109-('Team B 1'!L$2- 12.5)*'Team B 1'!$AC109</f>
        <v>10.674629775341884</v>
      </c>
      <c r="M109" s="1">
        <f>'Team B 1'!M109-'Team B 1'!$AA109-('Team B 1'!M$2- 12.5)*'Team B 1'!$AC109</f>
        <v>-15.330678963800793</v>
      </c>
      <c r="N109" s="1">
        <f>'Team B 1'!N109-'Team B 1'!$AA109-('Team B 1'!N$2- 12.5)*'Team B 1'!$AC109</f>
        <v>-21.335987702943484</v>
      </c>
      <c r="O109" s="1">
        <f>'Team B 1'!O109-'Team B 1'!$AA109-('Team B 1'!O$2- 12.5)*'Team B 1'!$AC109</f>
        <v>12.658703557913839</v>
      </c>
      <c r="P109" s="1">
        <f>'Team B 1'!P109-'Team B 1'!$AA109-('Team B 1'!P$2- 12.5)*'Team B 1'!$AC109</f>
        <v>-33.346605181228881</v>
      </c>
      <c r="Q109" s="1">
        <f>'Team B 1'!Q109-'Team B 1'!$AA109-('Team B 1'!Q$2- 12.5)*'Team B 1'!$AC109</f>
        <v>-29.351913920371544</v>
      </c>
      <c r="R109" s="1">
        <f>'Team B 1'!R109-'Team B 1'!$AA109-('Team B 1'!R$2- 12.5)*'Team B 1'!$AC109</f>
        <v>-15.357222659514264</v>
      </c>
      <c r="S109" s="1">
        <f>'Team B 1'!S109-'Team B 1'!$AA109-('Team B 1'!S$2- 12.5)*'Team B 1'!$AC109</f>
        <v>8.6374686013430164</v>
      </c>
      <c r="T109" s="1">
        <f>'Team B 1'!T109-'Team B 1'!$AA109-('Team B 1'!T$2- 12.5)*'Team B 1'!$AC109</f>
        <v>2.6321598622002966</v>
      </c>
      <c r="U109" s="1">
        <f>'Team B 1'!U109-'Team B 1'!$AA109-('Team B 1'!U$2- 12.5)*'Team B 1'!$AC109</f>
        <v>16.626851123057577</v>
      </c>
      <c r="V109" s="1">
        <f>'Team B 1'!V109-'Team B 1'!$AA109-('Team B 1'!V$2- 12.5)*'Team B 1'!$AC109</f>
        <v>0.62154238391508443</v>
      </c>
      <c r="W109" s="1">
        <f>'Team B 1'!W109-'Team B 1'!$AA109-('Team B 1'!W$2- 12.5)*'Team B 1'!$AC109</f>
        <v>-15.383766355227635</v>
      </c>
      <c r="X109" s="1">
        <f>'Team B 1'!X109-'Team B 1'!$AA109-('Team B 1'!X$2- 12.5)*'Team B 1'!$AC109</f>
        <v>-1.3890750943705825</v>
      </c>
      <c r="Y109" s="1">
        <f>'Team B 1'!Y109-'Team B 1'!$AA109-('Team B 1'!Y$2- 12.5)*'Team B 1'!$AC109</f>
        <v>12.605616166486925</v>
      </c>
      <c r="AB109" s="1">
        <f>STDEV(B109:Y109)</f>
        <v>19.491518343471895</v>
      </c>
      <c r="AD109" s="5">
        <v>5</v>
      </c>
      <c r="AE109" s="5" t="s">
        <v>45</v>
      </c>
      <c r="AF109" s="5" t="s">
        <v>46</v>
      </c>
      <c r="AG109" s="5">
        <v>9</v>
      </c>
      <c r="AH109" s="5">
        <v>2</v>
      </c>
      <c r="AI109" s="5">
        <v>8</v>
      </c>
      <c r="AJ109" s="5">
        <v>7</v>
      </c>
      <c r="AK109" s="5" t="s">
        <v>47</v>
      </c>
      <c r="AL109" s="5">
        <v>3</v>
      </c>
      <c r="AM109" s="5">
        <v>1</v>
      </c>
      <c r="AN109" s="5">
        <v>4</v>
      </c>
      <c r="AO109" s="5">
        <v>6</v>
      </c>
      <c r="AP109" s="5" t="s">
        <v>45</v>
      </c>
      <c r="AQ109" s="5">
        <v>5</v>
      </c>
      <c r="AR109" s="5">
        <v>9</v>
      </c>
      <c r="AS109" s="5" t="s">
        <v>46</v>
      </c>
      <c r="AT109" s="5">
        <v>8</v>
      </c>
      <c r="AU109" s="5">
        <v>2</v>
      </c>
      <c r="AV109" s="5" t="s">
        <v>47</v>
      </c>
      <c r="AW109" s="5">
        <v>7</v>
      </c>
      <c r="AX109" s="5">
        <v>3</v>
      </c>
      <c r="AY109" s="5">
        <v>4</v>
      </c>
      <c r="AZ109" s="5">
        <v>1</v>
      </c>
      <c r="BA109" s="5">
        <v>6</v>
      </c>
      <c r="BB109" s="5"/>
      <c r="BC109" s="1">
        <f ca="1">OFFSET(A109,0, 10) -0</f>
        <v>16.679938514484604</v>
      </c>
      <c r="BD109" s="1">
        <f ca="1">OFFSET(A109,0, 5) -0</f>
        <v>-3.2935177898018537</v>
      </c>
      <c r="BE109" s="1">
        <f ca="1">OFFSET(A109,0, 9) -0</f>
        <v>-27.314752746372733</v>
      </c>
      <c r="BF109" s="1">
        <f ca="1">OFFSET(A109,0, 11) -0</f>
        <v>10.674629775341884</v>
      </c>
      <c r="BG109" s="1">
        <f ca="1">OFFSET(A109,0, 1) -0</f>
        <v>-19.272282833231202</v>
      </c>
      <c r="BH109" s="1">
        <f ca="1">OFFSET(A109,0, 12) -0</f>
        <v>-15.330678963800793</v>
      </c>
      <c r="BI109" s="1">
        <f ca="1">OFFSET(A109,0, 7) -0</f>
        <v>14.695864731912707</v>
      </c>
      <c r="BJ109" s="1">
        <f ca="1">OFFSET(A109,0, 6) -0</f>
        <v>-9.2988265289445735</v>
      </c>
      <c r="BK109" s="1">
        <f ca="1">OFFSET(A109,0, 4) -0</f>
        <v>12.711790949340639</v>
      </c>
      <c r="BL109" s="1">
        <f ca="1">OFFSET(A109,0, 2) -0</f>
        <v>14.722408427626306</v>
      </c>
      <c r="BM109" s="1">
        <f ca="1">OFFSET(A109,0, 3) -0</f>
        <v>18.717099688483358</v>
      </c>
      <c r="BN109" s="1">
        <f ca="1">OFFSET(A109,0, 8) -0</f>
        <v>48.690555992769987</v>
      </c>
      <c r="BO109" s="1">
        <f ca="1">OFFSET(A109,0, 23) -0</f>
        <v>-1.3890750943705825</v>
      </c>
      <c r="BP109" s="1">
        <f ca="1">OFFSET(A109,0, 18) -0</f>
        <v>8.6374686013430164</v>
      </c>
      <c r="BQ109" s="1">
        <f ca="1">OFFSET(A109,0, 21) -0</f>
        <v>0.62154238391508443</v>
      </c>
      <c r="BR109" s="1">
        <f ca="1">OFFSET(A109,0, 22) -0</f>
        <v>-15.383766355227635</v>
      </c>
      <c r="BS109" s="1">
        <f ca="1">OFFSET(A109,0, 14) -0</f>
        <v>12.658703557913839</v>
      </c>
      <c r="BT109" s="1">
        <f ca="1">OFFSET(A109,0, 24) -0</f>
        <v>12.605616166486925</v>
      </c>
      <c r="BU109" s="1">
        <f ca="1">OFFSET(A109,0, 20) -0</f>
        <v>16.626851123057577</v>
      </c>
      <c r="BV109" s="1">
        <f ca="1">OFFSET(A109,0, 17) -0</f>
        <v>-15.357222659514264</v>
      </c>
      <c r="BW109" s="1">
        <f ca="1">OFFSET(A109,0, 15) -0</f>
        <v>-33.346605181228881</v>
      </c>
      <c r="BX109" s="1">
        <f ca="1">OFFSET(A109,0, 13) -0</f>
        <v>-21.335987702943484</v>
      </c>
      <c r="BY109" s="1">
        <f ca="1">OFFSET(A109,0, 16) -0</f>
        <v>-29.351913920371544</v>
      </c>
      <c r="BZ109" s="1">
        <f ca="1">OFFSET(A109,0, 19) -0</f>
        <v>2.6321598622002966</v>
      </c>
      <c r="CB109" s="1">
        <f>COUNTIF(B109,"&lt;-69")</f>
        <v>0</v>
      </c>
      <c r="CC109" s="1">
        <f ca="1">COUNTIF(BC109:BN109,"&lt;-49")</f>
        <v>0</v>
      </c>
      <c r="CD109" s="1">
        <f ca="1">COUNTIF(BC109:BN109,"&gt;+49")</f>
        <v>0</v>
      </c>
      <c r="CE109" s="1">
        <f ca="1">COUNTIF(BO109:BZ109,"&lt;-49")</f>
        <v>0</v>
      </c>
      <c r="CF109" s="1">
        <f ca="1">COUNTIF(BO109:BZ109,"&gt;+49")</f>
        <v>0</v>
      </c>
    </row>
    <row r="110" spans="1:84">
      <c r="A110" s="1">
        <v>107</v>
      </c>
      <c r="B110" s="1">
        <f>'Team B 1'!B110-'Team B 1'!$AA110-('Team B 1'!B$2- 12.5)*'Team B 1'!$AC110</f>
        <v>-30.204409149999719</v>
      </c>
      <c r="C110" s="1">
        <f>'Team B 1'!C110-'Team B 1'!$AA110-('Team B 1'!C$2- 12.5)*'Team B 1'!$AC110</f>
        <v>-16.418518499271613</v>
      </c>
      <c r="D110" s="1">
        <f>'Team B 1'!D110-'Team B 1'!$AA110-('Team B 1'!D$2- 12.5)*'Team B 1'!$AC110</f>
        <v>-2.6326278485437342</v>
      </c>
      <c r="E110" s="1">
        <f>'Team B 1'!E110-'Team B 1'!$AA110-('Team B 1'!E$2- 12.5)*'Team B 1'!$AC110</f>
        <v>-8.8467371978158553</v>
      </c>
      <c r="F110" s="1">
        <f>'Team B 1'!F110-'Team B 1'!$AA110-('Team B 1'!F$2- 12.5)*'Team B 1'!$AC110</f>
        <v>-15.060846547087749</v>
      </c>
      <c r="G110" s="1">
        <f>'Team B 1'!G110-'Team B 1'!$AA110-('Team B 1'!G$2- 12.5)*'Team B 1'!$AC110</f>
        <v>-21.27495589635987</v>
      </c>
      <c r="H110" s="1">
        <f>'Team B 1'!H110-'Team B 1'!$AA110-('Team B 1'!H$2- 12.5)*'Team B 1'!$AC110</f>
        <v>2.5109347543682361</v>
      </c>
      <c r="I110" s="1">
        <f>'Team B 1'!I110-'Team B 1'!$AA110-('Team B 1'!I$2- 12.5)*'Team B 1'!$AC110</f>
        <v>36.296825405096115</v>
      </c>
      <c r="J110" s="1">
        <f>'Team B 1'!J110-'Team B 1'!$AA110-('Team B 1'!J$2- 12.5)*'Team B 1'!$AC110</f>
        <v>20.082716055824221</v>
      </c>
      <c r="K110" s="1">
        <f>'Team B 1'!K110-'Team B 1'!$AA110-('Team B 1'!K$2- 12.5)*'Team B 1'!$AC110</f>
        <v>13.868606706552157</v>
      </c>
      <c r="L110" s="1">
        <f>'Team B 1'!L110-'Team B 1'!$AA110-('Team B 1'!L$2- 12.5)*'Team B 1'!$AC110</f>
        <v>-12.34550264271985</v>
      </c>
      <c r="M110" s="1">
        <f>'Team B 1'!M110-'Team B 1'!$AA110-('Team B 1'!M$2- 12.5)*'Team B 1'!$AC110</f>
        <v>21.440388008008142</v>
      </c>
      <c r="N110" s="1">
        <f>'Team B 1'!N110-'Team B 1'!$AA110-('Team B 1'!N$2- 12.5)*'Team B 1'!$AC110</f>
        <v>-4.7737213412638653</v>
      </c>
      <c r="O110" s="1">
        <f>'Team B 1'!O110-'Team B 1'!$AA110-('Team B 1'!O$2- 12.5)*'Team B 1'!$AC110</f>
        <v>-30.987830690535873</v>
      </c>
      <c r="P110" s="1">
        <f>'Team B 1'!P110-'Team B 1'!$AA110-('Team B 1'!P$2- 12.5)*'Team B 1'!$AC110</f>
        <v>-37.20194003980788</v>
      </c>
      <c r="Q110" s="1">
        <f>'Team B 1'!Q110-'Team B 1'!$AA110-('Team B 1'!Q$2- 12.5)*'Team B 1'!$AC110</f>
        <v>16.583950610920056</v>
      </c>
      <c r="R110" s="1">
        <f>'Team B 1'!R110-'Team B 1'!$AA110-('Team B 1'!R$2- 12.5)*'Team B 1'!$AC110</f>
        <v>-9.6301587383518381</v>
      </c>
      <c r="S110" s="1">
        <f>'Team B 1'!S110-'Team B 1'!$AA110-('Team B 1'!S$2- 12.5)*'Team B 1'!$AC110</f>
        <v>-5.8442680876239592</v>
      </c>
      <c r="T110" s="1">
        <f>'Team B 1'!T110-'Team B 1'!$AA110-('Team B 1'!T$2- 12.5)*'Team B 1'!$AC110</f>
        <v>-12.058377436895853</v>
      </c>
      <c r="U110" s="1">
        <f>'Team B 1'!U110-'Team B 1'!$AA110-('Team B 1'!U$2- 12.5)*'Team B 1'!$AC110</f>
        <v>-8.2724867861679741</v>
      </c>
      <c r="V110" s="1">
        <f>'Team B 1'!V110-'Team B 1'!$AA110-('Team B 1'!V$2- 12.5)*'Team B 1'!$AC110</f>
        <v>5.5134038645601322</v>
      </c>
      <c r="W110" s="1">
        <f>'Team B 1'!W110-'Team B 1'!$AA110-('Team B 1'!W$2- 12.5)*'Team B 1'!$AC110</f>
        <v>19.299294515288011</v>
      </c>
      <c r="X110" s="1">
        <f>'Team B 1'!X110-'Team B 1'!$AA110-('Team B 1'!X$2- 12.5)*'Team B 1'!$AC110</f>
        <v>33.08518516601589</v>
      </c>
      <c r="Y110" s="1">
        <f>'Team B 1'!Y110-'Team B 1'!$AA110-('Team B 1'!Y$2- 12.5)*'Team B 1'!$AC110</f>
        <v>46.871075816743996</v>
      </c>
      <c r="AB110" s="1">
        <f>STDEV(B110:Y110)</f>
        <v>22.022922375692396</v>
      </c>
      <c r="AD110" s="5">
        <v>5</v>
      </c>
      <c r="AE110" s="5" t="s">
        <v>45</v>
      </c>
      <c r="AF110" s="5" t="s">
        <v>46</v>
      </c>
      <c r="AG110" s="5">
        <v>9</v>
      </c>
      <c r="AH110" s="5">
        <v>2</v>
      </c>
      <c r="AI110" s="5">
        <v>8</v>
      </c>
      <c r="AJ110" s="5">
        <v>7</v>
      </c>
      <c r="AK110" s="5" t="s">
        <v>47</v>
      </c>
      <c r="AL110" s="5">
        <v>4</v>
      </c>
      <c r="AM110" s="5">
        <v>3</v>
      </c>
      <c r="AN110" s="5">
        <v>6</v>
      </c>
      <c r="AO110" s="5">
        <v>1</v>
      </c>
      <c r="AP110" s="5">
        <v>5</v>
      </c>
      <c r="AQ110" s="5" t="s">
        <v>46</v>
      </c>
      <c r="AR110" s="5" t="s">
        <v>45</v>
      </c>
      <c r="AS110" s="5">
        <v>2</v>
      </c>
      <c r="AT110" s="5">
        <v>9</v>
      </c>
      <c r="AU110" s="5">
        <v>7</v>
      </c>
      <c r="AV110" s="5">
        <v>8</v>
      </c>
      <c r="AW110" s="5">
        <v>4</v>
      </c>
      <c r="AX110" s="5" t="s">
        <v>47</v>
      </c>
      <c r="AY110" s="5">
        <v>3</v>
      </c>
      <c r="AZ110" s="5">
        <v>1</v>
      </c>
      <c r="BA110" s="5">
        <v>6</v>
      </c>
      <c r="BB110" s="5"/>
      <c r="BC110" s="1">
        <f ca="1">OFFSET(A110,0, 12) -0</f>
        <v>21.440388008008142</v>
      </c>
      <c r="BD110" s="1">
        <f ca="1">OFFSET(A110,0, 5) -0</f>
        <v>-15.060846547087749</v>
      </c>
      <c r="BE110" s="1">
        <f ca="1">OFFSET(A110,0, 10) -0</f>
        <v>13.868606706552157</v>
      </c>
      <c r="BF110" s="1">
        <f ca="1">OFFSET(A110,0, 9) -0</f>
        <v>20.082716055824221</v>
      </c>
      <c r="BG110" s="1">
        <f ca="1">OFFSET(A110,0, 1) -0</f>
        <v>-30.204409149999719</v>
      </c>
      <c r="BH110" s="1">
        <f ca="1">OFFSET(A110,0, 11) -0</f>
        <v>-12.34550264271985</v>
      </c>
      <c r="BI110" s="1">
        <f ca="1">OFFSET(A110,0, 7) -0</f>
        <v>2.5109347543682361</v>
      </c>
      <c r="BJ110" s="1">
        <f ca="1">OFFSET(A110,0, 6) -0</f>
        <v>-21.27495589635987</v>
      </c>
      <c r="BK110" s="1">
        <f ca="1">OFFSET(A110,0, 4) -0</f>
        <v>-8.8467371978158553</v>
      </c>
      <c r="BL110" s="1">
        <f ca="1">OFFSET(A110,0, 2) -0</f>
        <v>-16.418518499271613</v>
      </c>
      <c r="BM110" s="1">
        <f ca="1">OFFSET(A110,0, 3) -0</f>
        <v>-2.6326278485437342</v>
      </c>
      <c r="BN110" s="1">
        <f ca="1">OFFSET(A110,0, 8) -0</f>
        <v>36.296825405096115</v>
      </c>
      <c r="BO110" s="1">
        <f ca="1">OFFSET(A110,0, 23) -0</f>
        <v>33.08518516601589</v>
      </c>
      <c r="BP110" s="1">
        <f ca="1">OFFSET(A110,0, 16) -0</f>
        <v>16.583950610920056</v>
      </c>
      <c r="BQ110" s="1">
        <f ca="1">OFFSET(A110,0, 22) -0</f>
        <v>19.299294515288011</v>
      </c>
      <c r="BR110" s="1">
        <f ca="1">OFFSET(A110,0, 20) -0</f>
        <v>-8.2724867861679741</v>
      </c>
      <c r="BS110" s="1">
        <f ca="1">OFFSET(A110,0, 13) -0</f>
        <v>-4.7737213412638653</v>
      </c>
      <c r="BT110" s="1">
        <f ca="1">OFFSET(A110,0, 24) -0</f>
        <v>46.871075816743996</v>
      </c>
      <c r="BU110" s="1">
        <f ca="1">OFFSET(A110,0, 18) -0</f>
        <v>-5.8442680876239592</v>
      </c>
      <c r="BV110" s="1">
        <f ca="1">OFFSET(A110,0, 19) -0</f>
        <v>-12.058377436895853</v>
      </c>
      <c r="BW110" s="1">
        <f ca="1">OFFSET(A110,0, 17) -0</f>
        <v>-9.6301587383518381</v>
      </c>
      <c r="BX110" s="1">
        <f ca="1">OFFSET(A110,0, 15) -0</f>
        <v>-37.20194003980788</v>
      </c>
      <c r="BY110" s="1">
        <f ca="1">OFFSET(A110,0, 14) -0</f>
        <v>-30.987830690535873</v>
      </c>
      <c r="BZ110" s="1">
        <f ca="1">OFFSET(A110,0, 21) -0</f>
        <v>5.5134038645601322</v>
      </c>
      <c r="CB110" s="1">
        <f>COUNTIF(B110,"&lt;-69")</f>
        <v>0</v>
      </c>
      <c r="CC110" s="1">
        <f ca="1">COUNTIF(BC110:BN110,"&lt;-49")</f>
        <v>0</v>
      </c>
      <c r="CD110" s="1">
        <f ca="1">COUNTIF(BC110:BN110,"&gt;+49")</f>
        <v>0</v>
      </c>
      <c r="CE110" s="1">
        <f ca="1">COUNTIF(BO110:BZ110,"&lt;-49")</f>
        <v>0</v>
      </c>
      <c r="CF110" s="1">
        <f ca="1">COUNTIF(BO110:BZ110,"&gt;+49")</f>
        <v>0</v>
      </c>
    </row>
    <row r="111" spans="1:84">
      <c r="A111" s="1">
        <v>108</v>
      </c>
      <c r="B111" s="1">
        <f>'Team B 1'!B111-'Team B 1'!$AA111-('Team B 1'!B$2- 12.5)*'Team B 1'!$AC111</f>
        <v>-26.101317220020064</v>
      </c>
      <c r="C111" s="1">
        <f>'Team B 1'!C111-'Team B 1'!$AA111-('Team B 1'!C$2- 12.5)*'Team B 1'!$AC111</f>
        <v>27.726333552732285</v>
      </c>
      <c r="D111" s="1">
        <f>'Team B 1'!D111-'Team B 1'!$AA111-('Team B 1'!D$2- 12.5)*'Team B 1'!$AC111</f>
        <v>11.553984325483952</v>
      </c>
      <c r="E111" s="1">
        <f>'Team B 1'!E111-'Team B 1'!$AA111-('Team B 1'!E$2- 12.5)*'Team B 1'!$AC111</f>
        <v>-4.6183649017639254</v>
      </c>
      <c r="F111" s="1">
        <f>'Team B 1'!F111-'Team B 1'!$AA111-('Team B 1'!F$2- 12.5)*'Team B 1'!$AC111</f>
        <v>-10.790714129012031</v>
      </c>
      <c r="G111" s="1">
        <f>'Team B 1'!G111-'Team B 1'!$AA111-('Team B 1'!G$2- 12.5)*'Team B 1'!$AC111</f>
        <v>3.0369366437400913</v>
      </c>
      <c r="H111" s="1">
        <f>'Team B 1'!H111-'Team B 1'!$AA111-('Team B 1'!H$2- 12.5)*'Team B 1'!$AC111</f>
        <v>-73.135412583508014</v>
      </c>
      <c r="I111" s="1">
        <f>'Team B 1'!I111-'Team B 1'!$AA111-('Team B 1'!I$2- 12.5)*'Team B 1'!$AC111</f>
        <v>-39.307761810756006</v>
      </c>
      <c r="J111" s="1">
        <f>'Team B 1'!J111-'Team B 1'!$AA111-('Team B 1'!J$2- 12.5)*'Team B 1'!$AC111</f>
        <v>-5.4801110380041109</v>
      </c>
      <c r="K111" s="1">
        <f>'Team B 1'!K111-'Team B 1'!$AA111-('Team B 1'!K$2- 12.5)*'Team B 1'!$AC111</f>
        <v>8.3475397347478975</v>
      </c>
      <c r="L111" s="1">
        <f>'Team B 1'!L111-'Team B 1'!$AA111-('Team B 1'!L$2- 12.5)*'Team B 1'!$AC111</f>
        <v>-7.8248094925000942</v>
      </c>
      <c r="M111" s="1">
        <f>'Team B 1'!M111-'Team B 1'!$AA111-('Team B 1'!M$2- 12.5)*'Team B 1'!$AC111</f>
        <v>26.002841280251872</v>
      </c>
      <c r="N111" s="1">
        <f>'Team B 1'!N111-'Team B 1'!$AA111-('Team B 1'!N$2- 12.5)*'Team B 1'!$AC111</f>
        <v>29.830492053003852</v>
      </c>
      <c r="O111" s="1">
        <f>'Team B 1'!O111-'Team B 1'!$AA111-('Team B 1'!O$2- 12.5)*'Team B 1'!$AC111</f>
        <v>3.6581428257558173</v>
      </c>
      <c r="P111" s="1">
        <f>'Team B 1'!P111-'Team B 1'!$AA111-('Team B 1'!P$2- 12.5)*'Team B 1'!$AC111</f>
        <v>-2.5142064014921743</v>
      </c>
      <c r="Q111" s="1">
        <f>'Team B 1'!Q111-'Team B 1'!$AA111-('Team B 1'!Q$2- 12.5)*'Team B 1'!$AC111</f>
        <v>21.313444371259834</v>
      </c>
      <c r="R111" s="1">
        <f>'Team B 1'!R111-'Team B 1'!$AA111-('Team B 1'!R$2- 12.5)*'Team B 1'!$AC111</f>
        <v>-4.8589048559882713</v>
      </c>
      <c r="S111" s="1">
        <f>'Team B 1'!S111-'Team B 1'!$AA111-('Team B 1'!S$2- 12.5)*'Team B 1'!$AC111</f>
        <v>8.9687459167637371</v>
      </c>
      <c r="T111" s="1">
        <f>'Team B 1'!T111-'Team B 1'!$AA111-('Team B 1'!T$2- 12.5)*'Team B 1'!$AC111</f>
        <v>-7.2036033104843682</v>
      </c>
      <c r="U111" s="1">
        <f>'Team B 1'!U111-'Team B 1'!$AA111-('Team B 1'!U$2- 12.5)*'Team B 1'!$AC111</f>
        <v>-13.375952537732246</v>
      </c>
      <c r="V111" s="1">
        <f>'Team B 1'!V111-'Team B 1'!$AA111-('Team B 1'!V$2- 12.5)*'Team B 1'!$AC111</f>
        <v>-9.5483017649803514</v>
      </c>
      <c r="W111" s="1">
        <f>'Team B 1'!W111-'Team B 1'!$AA111-('Team B 1'!W$2- 12.5)*'Team B 1'!$AC111</f>
        <v>14.279349007771771</v>
      </c>
      <c r="X111" s="1">
        <f>'Team B 1'!X111-'Team B 1'!$AA111-('Team B 1'!X$2- 12.5)*'Team B 1'!$AC111</f>
        <v>18.106999780523438</v>
      </c>
      <c r="Y111" s="1">
        <f>'Team B 1'!Y111-'Team B 1'!$AA111-('Team B 1'!Y$2- 12.5)*'Team B 1'!$AC111</f>
        <v>31.934650553275787</v>
      </c>
      <c r="AB111" s="1">
        <f>STDEV(B111:Y111)</f>
        <v>23.593409932919606</v>
      </c>
      <c r="AD111" s="5" t="s">
        <v>46</v>
      </c>
      <c r="AE111" s="5">
        <v>5</v>
      </c>
      <c r="AF111" s="5">
        <v>2</v>
      </c>
      <c r="AG111" s="5" t="s">
        <v>45</v>
      </c>
      <c r="AH111" s="5">
        <v>7</v>
      </c>
      <c r="AI111" s="5">
        <v>9</v>
      </c>
      <c r="AJ111" s="5">
        <v>4</v>
      </c>
      <c r="AK111" s="5">
        <v>8</v>
      </c>
      <c r="AL111" s="5">
        <v>3</v>
      </c>
      <c r="AM111" s="5" t="s">
        <v>47</v>
      </c>
      <c r="AN111" s="5">
        <v>6</v>
      </c>
      <c r="AO111" s="5">
        <v>1</v>
      </c>
      <c r="AP111" s="5">
        <v>5</v>
      </c>
      <c r="AQ111" s="5" t="s">
        <v>46</v>
      </c>
      <c r="AR111" s="5" t="s">
        <v>45</v>
      </c>
      <c r="AS111" s="5">
        <v>2</v>
      </c>
      <c r="AT111" s="5">
        <v>9</v>
      </c>
      <c r="AU111" s="5">
        <v>7</v>
      </c>
      <c r="AV111" s="5">
        <v>8</v>
      </c>
      <c r="AW111" s="5">
        <v>4</v>
      </c>
      <c r="AX111" s="5" t="s">
        <v>47</v>
      </c>
      <c r="AY111" s="5">
        <v>3</v>
      </c>
      <c r="AZ111" s="5">
        <v>6</v>
      </c>
      <c r="BA111" s="5">
        <v>1</v>
      </c>
      <c r="BB111" s="5"/>
      <c r="BC111" s="1">
        <f ca="1">OFFSET(A111,0, 12) -0</f>
        <v>26.002841280251872</v>
      </c>
      <c r="BD111" s="1">
        <f ca="1">OFFSET(A111,0, 3) -0</f>
        <v>11.553984325483952</v>
      </c>
      <c r="BE111" s="1">
        <f ca="1">OFFSET(A111,0, 9) -0</f>
        <v>-5.4801110380041109</v>
      </c>
      <c r="BF111" s="1">
        <f ca="1">OFFSET(A111,0, 7) -0</f>
        <v>-73.135412583508014</v>
      </c>
      <c r="BG111" s="1">
        <f ca="1">OFFSET(A111,0, 2) -0</f>
        <v>27.726333552732285</v>
      </c>
      <c r="BH111" s="1">
        <f ca="1">OFFSET(A111,0, 11) -0</f>
        <v>-7.8248094925000942</v>
      </c>
      <c r="BI111" s="1">
        <f ca="1">OFFSET(A111,0, 5) -0</f>
        <v>-10.790714129012031</v>
      </c>
      <c r="BJ111" s="1">
        <f ca="1">OFFSET(A111,0, 8) -0</f>
        <v>-39.307761810756006</v>
      </c>
      <c r="BK111" s="1">
        <f ca="1">OFFSET(A111,0, 6) -0</f>
        <v>3.0369366437400913</v>
      </c>
      <c r="BL111" s="1">
        <f ca="1">OFFSET(A111,0, 4) -0</f>
        <v>-4.6183649017639254</v>
      </c>
      <c r="BM111" s="1">
        <f ca="1">OFFSET(A111,0, 1) -0</f>
        <v>-26.101317220020064</v>
      </c>
      <c r="BN111" s="1">
        <f ca="1">OFFSET(A111,0, 10) -0</f>
        <v>8.3475397347478975</v>
      </c>
      <c r="BO111" s="1">
        <f ca="1">OFFSET(A111,0, 24) -0</f>
        <v>31.934650553275787</v>
      </c>
      <c r="BP111" s="1">
        <f ca="1">OFFSET(A111,0, 16) -0</f>
        <v>21.313444371259834</v>
      </c>
      <c r="BQ111" s="1">
        <f ca="1">OFFSET(A111,0, 22) -0</f>
        <v>14.279349007771771</v>
      </c>
      <c r="BR111" s="1">
        <f ca="1">OFFSET(A111,0, 20) -0</f>
        <v>-13.375952537732246</v>
      </c>
      <c r="BS111" s="1">
        <f ca="1">OFFSET(A111,0, 13) -0</f>
        <v>29.830492053003852</v>
      </c>
      <c r="BT111" s="1">
        <f ca="1">OFFSET(A111,0, 23) -0</f>
        <v>18.106999780523438</v>
      </c>
      <c r="BU111" s="1">
        <f ca="1">OFFSET(A111,0, 18) -0</f>
        <v>8.9687459167637371</v>
      </c>
      <c r="BV111" s="1">
        <f ca="1">OFFSET(A111,0, 19) -0</f>
        <v>-7.2036033104843682</v>
      </c>
      <c r="BW111" s="1">
        <f ca="1">OFFSET(A111,0, 17) -0</f>
        <v>-4.8589048559882713</v>
      </c>
      <c r="BX111" s="1">
        <f ca="1">OFFSET(A111,0, 15) -0</f>
        <v>-2.5142064014921743</v>
      </c>
      <c r="BY111" s="1">
        <f ca="1">OFFSET(A111,0, 14) -0</f>
        <v>3.6581428257558173</v>
      </c>
      <c r="BZ111" s="1">
        <f ca="1">OFFSET(A111,0, 21) -0</f>
        <v>-9.5483017649803514</v>
      </c>
      <c r="CB111" s="1">
        <f>COUNTIF(B111,"&lt;-69")</f>
        <v>0</v>
      </c>
      <c r="CC111" s="1">
        <f ca="1">COUNTIF(BC111:BN111,"&lt;-49")</f>
        <v>1</v>
      </c>
      <c r="CD111" s="1">
        <f ca="1">COUNTIF(BC111:BN111,"&gt;+49")</f>
        <v>0</v>
      </c>
      <c r="CE111" s="1">
        <f ca="1">COUNTIF(BO111:BZ111,"&lt;-49")</f>
        <v>0</v>
      </c>
      <c r="CF111" s="1">
        <f ca="1">COUNTIF(BO111:BZ111,"&gt;+49")</f>
        <v>0</v>
      </c>
    </row>
    <row r="112" spans="1:84">
      <c r="A112" s="1">
        <v>109</v>
      </c>
      <c r="B112" s="1">
        <f>'Team B 1'!B112-'Team B 1'!$AA112-('Team B 1'!B$2- 12.5)*'Team B 1'!$AC112</f>
        <v>-66.102689571491737</v>
      </c>
      <c r="C112" s="1">
        <f>'Team B 1'!C112-'Team B 1'!$AA112-('Team B 1'!C$2- 12.5)*'Team B 1'!$AC112</f>
        <v>-42.383615116003057</v>
      </c>
      <c r="D112" s="1">
        <f>'Team B 1'!D112-'Team B 1'!$AA112-('Team B 1'!D$2- 12.5)*'Team B 1'!$AC112</f>
        <v>-18.664540660514376</v>
      </c>
      <c r="E112" s="1">
        <f>'Team B 1'!E112-'Team B 1'!$AA112-('Team B 1'!E$2- 12.5)*'Team B 1'!$AC112</f>
        <v>15.054533794974304</v>
      </c>
      <c r="F112" s="1">
        <f>'Team B 1'!F112-'Team B 1'!$AA112-('Team B 1'!F$2- 12.5)*'Team B 1'!$AC112</f>
        <v>48.773608250462985</v>
      </c>
      <c r="G112" s="1">
        <f>'Team B 1'!G112-'Team B 1'!$AA112-('Team B 1'!G$2- 12.5)*'Team B 1'!$AC112</f>
        <v>32.492682705951665</v>
      </c>
      <c r="H112" s="1">
        <f>'Team B 1'!H112-'Team B 1'!$AA112-('Team B 1'!H$2- 12.5)*'Team B 1'!$AC112</f>
        <v>-23.788242838559654</v>
      </c>
      <c r="I112" s="1">
        <f>'Team B 1'!I112-'Team B 1'!$AA112-('Team B 1'!I$2- 12.5)*'Team B 1'!$AC112</f>
        <v>-20.069168383071087</v>
      </c>
      <c r="J112" s="1">
        <f>'Team B 1'!J112-'Team B 1'!$AA112-('Team B 1'!J$2- 12.5)*'Team B 1'!$AC112</f>
        <v>13.649906072417593</v>
      </c>
      <c r="K112" s="1">
        <f>'Team B 1'!K112-'Team B 1'!$AA112-('Team B 1'!K$2- 12.5)*'Team B 1'!$AC112</f>
        <v>67.368980527906217</v>
      </c>
      <c r="L112" s="1">
        <f>'Team B 1'!L112-'Team B 1'!$AA112-('Team B 1'!L$2- 12.5)*'Team B 1'!$AC112</f>
        <v>-8.9119450166051024</v>
      </c>
      <c r="M112" s="1">
        <f>'Team B 1'!M112-'Team B 1'!$AA112-('Team B 1'!M$2- 12.5)*'Team B 1'!$AC112</f>
        <v>-5.1928705611164645</v>
      </c>
      <c r="N112" s="1">
        <f>'Team B 1'!N112-'Team B 1'!$AA112-('Team B 1'!N$2- 12.5)*'Team B 1'!$AC112</f>
        <v>-21.473796105627812</v>
      </c>
      <c r="O112" s="1">
        <f>'Team B 1'!O112-'Team B 1'!$AA112-('Team B 1'!O$2- 12.5)*'Team B 1'!$AC112</f>
        <v>-7.7547216501391745</v>
      </c>
      <c r="P112" s="1">
        <f>'Team B 1'!P112-'Team B 1'!$AA112-('Team B 1'!P$2- 12.5)*'Team B 1'!$AC112</f>
        <v>-44.035647194650494</v>
      </c>
      <c r="Q112" s="1">
        <f>'Team B 1'!Q112-'Team B 1'!$AA112-('Team B 1'!Q$2- 12.5)*'Team B 1'!$AC112</f>
        <v>19.68342726083813</v>
      </c>
      <c r="R112" s="1">
        <f>'Team B 1'!R112-'Team B 1'!$AA112-('Team B 1'!R$2- 12.5)*'Team B 1'!$AC112</f>
        <v>-6.5974982836731897</v>
      </c>
      <c r="S112" s="1">
        <f>'Team B 1'!S112-'Team B 1'!$AA112-('Team B 1'!S$2- 12.5)*'Team B 1'!$AC112</f>
        <v>-22.878423828184623</v>
      </c>
      <c r="T112" s="1">
        <f>'Team B 1'!T112-'Team B 1'!$AA112-('Team B 1'!T$2- 12.5)*'Team B 1'!$AC112</f>
        <v>10.840650627304058</v>
      </c>
      <c r="U112" s="1">
        <f>'Team B 1'!U112-'Team B 1'!$AA112-('Team B 1'!U$2- 12.5)*'Team B 1'!$AC112</f>
        <v>-15.440274917207262</v>
      </c>
      <c r="V112" s="1">
        <f>'Team B 1'!V112-'Team B 1'!$AA112-('Team B 1'!V$2- 12.5)*'Team B 1'!$AC112</f>
        <v>-1.7212004617185812</v>
      </c>
      <c r="W112" s="1">
        <f>'Team B 1'!W112-'Team B 1'!$AA112-('Team B 1'!W$2- 12.5)*'Team B 1'!$AC112</f>
        <v>31.997873993770099</v>
      </c>
      <c r="X112" s="1">
        <f>'Team B 1'!X112-'Team B 1'!$AA112-('Team B 1'!X$2- 12.5)*'Team B 1'!$AC112</f>
        <v>35.71694844925878</v>
      </c>
      <c r="Y112" s="1">
        <f>'Team B 1'!Y112-'Team B 1'!$AA112-('Team B 1'!Y$2- 12.5)*'Team B 1'!$AC112</f>
        <v>29.43602290474746</v>
      </c>
      <c r="AB112" s="1">
        <f>STDEV(B112:Y112)</f>
        <v>31.564449218292811</v>
      </c>
      <c r="AD112" s="5" t="s">
        <v>46</v>
      </c>
      <c r="AE112" s="5">
        <v>5</v>
      </c>
      <c r="AF112" s="5">
        <v>2</v>
      </c>
      <c r="AG112" s="5" t="s">
        <v>45</v>
      </c>
      <c r="AH112" s="5">
        <v>7</v>
      </c>
      <c r="AI112" s="5">
        <v>9</v>
      </c>
      <c r="AJ112" s="5">
        <v>4</v>
      </c>
      <c r="AK112" s="5">
        <v>8</v>
      </c>
      <c r="AL112" s="5">
        <v>3</v>
      </c>
      <c r="AM112" s="5" t="s">
        <v>47</v>
      </c>
      <c r="AN112" s="5">
        <v>1</v>
      </c>
      <c r="AO112" s="5">
        <v>6</v>
      </c>
      <c r="AP112" s="5" t="s">
        <v>46</v>
      </c>
      <c r="AQ112" s="5">
        <v>2</v>
      </c>
      <c r="AR112" s="5">
        <v>5</v>
      </c>
      <c r="AS112" s="5">
        <v>7</v>
      </c>
      <c r="AT112" s="5" t="s">
        <v>45</v>
      </c>
      <c r="AU112" s="5">
        <v>4</v>
      </c>
      <c r="AV112" s="5">
        <v>9</v>
      </c>
      <c r="AW112" s="5">
        <v>3</v>
      </c>
      <c r="AX112" s="5">
        <v>8</v>
      </c>
      <c r="AY112" s="5" t="s">
        <v>47</v>
      </c>
      <c r="AZ112" s="5">
        <v>6</v>
      </c>
      <c r="BA112" s="5">
        <v>1</v>
      </c>
      <c r="BB112" s="5"/>
      <c r="BC112" s="1">
        <f ca="1">OFFSET(A112,0, 11) -0</f>
        <v>-8.9119450166051024</v>
      </c>
      <c r="BD112" s="1">
        <f ca="1">OFFSET(A112,0, 3) -0</f>
        <v>-18.664540660514376</v>
      </c>
      <c r="BE112" s="1">
        <f ca="1">OFFSET(A112,0, 9) -0</f>
        <v>13.649906072417593</v>
      </c>
      <c r="BF112" s="1">
        <f ca="1">OFFSET(A112,0, 7) -0</f>
        <v>-23.788242838559654</v>
      </c>
      <c r="BG112" s="1">
        <f ca="1">OFFSET(A112,0, 2) -0</f>
        <v>-42.383615116003057</v>
      </c>
      <c r="BH112" s="1">
        <f ca="1">OFFSET(A112,0, 12) -0</f>
        <v>-5.1928705611164645</v>
      </c>
      <c r="BI112" s="1">
        <f ca="1">OFFSET(A112,0, 5) -0</f>
        <v>48.773608250462985</v>
      </c>
      <c r="BJ112" s="1">
        <f ca="1">OFFSET(A112,0, 8) -0</f>
        <v>-20.069168383071087</v>
      </c>
      <c r="BK112" s="1">
        <f ca="1">OFFSET(A112,0, 6) -0</f>
        <v>32.492682705951665</v>
      </c>
      <c r="BL112" s="1">
        <f ca="1">OFFSET(A112,0, 4) -0</f>
        <v>15.054533794974304</v>
      </c>
      <c r="BM112" s="1">
        <f ca="1">OFFSET(A112,0, 1) -0</f>
        <v>-66.102689571491737</v>
      </c>
      <c r="BN112" s="1">
        <f ca="1">OFFSET(A112,0, 10) -0</f>
        <v>67.368980527906217</v>
      </c>
      <c r="BO112" s="1">
        <f ca="1">OFFSET(A112,0, 24) -0</f>
        <v>29.43602290474746</v>
      </c>
      <c r="BP112" s="1">
        <f ca="1">OFFSET(A112,0, 14) -0</f>
        <v>-7.7547216501391745</v>
      </c>
      <c r="BQ112" s="1">
        <f ca="1">OFFSET(A112,0, 20) -0</f>
        <v>-15.440274917207262</v>
      </c>
      <c r="BR112" s="1">
        <f ca="1">OFFSET(A112,0, 18) -0</f>
        <v>-22.878423828184623</v>
      </c>
      <c r="BS112" s="1">
        <f ca="1">OFFSET(A112,0, 15) -0</f>
        <v>-44.035647194650494</v>
      </c>
      <c r="BT112" s="1">
        <f ca="1">OFFSET(A112,0, 23) -0</f>
        <v>35.71694844925878</v>
      </c>
      <c r="BU112" s="1">
        <f ca="1">OFFSET(A112,0, 16) -0</f>
        <v>19.68342726083813</v>
      </c>
      <c r="BV112" s="1">
        <f ca="1">OFFSET(A112,0, 21) -0</f>
        <v>-1.7212004617185812</v>
      </c>
      <c r="BW112" s="1">
        <f ca="1">OFFSET(A112,0, 19) -0</f>
        <v>10.840650627304058</v>
      </c>
      <c r="BX112" s="1">
        <f ca="1">OFFSET(A112,0, 17) -0</f>
        <v>-6.5974982836731897</v>
      </c>
      <c r="BY112" s="1">
        <f ca="1">OFFSET(A112,0, 13) -0</f>
        <v>-21.473796105627812</v>
      </c>
      <c r="BZ112" s="1">
        <f ca="1">OFFSET(A112,0, 22) -0</f>
        <v>31.997873993770099</v>
      </c>
      <c r="CB112" s="1">
        <f>COUNTIF(B112,"&lt;-69")</f>
        <v>0</v>
      </c>
      <c r="CC112" s="1">
        <f ca="1">COUNTIF(BC112:BN112,"&lt;-49")</f>
        <v>1</v>
      </c>
      <c r="CD112" s="1">
        <f ca="1">COUNTIF(BC112:BN112,"&gt;+49")</f>
        <v>1</v>
      </c>
      <c r="CE112" s="1">
        <f ca="1">COUNTIF(BO112:BZ112,"&lt;-49")</f>
        <v>0</v>
      </c>
      <c r="CF112" s="1">
        <f ca="1">COUNTIF(BO112:BZ112,"&gt;+49")</f>
        <v>0</v>
      </c>
    </row>
    <row r="113" spans="1:84">
      <c r="A113" s="1">
        <v>110</v>
      </c>
      <c r="B113" s="1">
        <f>'Team B 1'!B113-'Team B 1'!$AA113-('Team B 1'!B$2- 12.5)*'Team B 1'!$AC113</f>
        <v>17.770342847550637</v>
      </c>
      <c r="C113" s="1">
        <f>'Team B 1'!C113-'Team B 1'!$AA113-('Team B 1'!C$2- 12.5)*'Team B 1'!$AC113</f>
        <v>21.080168107187092</v>
      </c>
      <c r="D113" s="1">
        <f>'Team B 1'!D113-'Team B 1'!$AA113-('Team B 1'!D$2- 12.5)*'Team B 1'!$AC113</f>
        <v>-15.610006633175999</v>
      </c>
      <c r="E113" s="1">
        <f>'Team B 1'!E113-'Team B 1'!$AA113-('Team B 1'!E$2- 12.5)*'Team B 1'!$AC113</f>
        <v>17.699818626460683</v>
      </c>
      <c r="F113" s="1">
        <f>'Team B 1'!F113-'Team B 1'!$AA113-('Team B 1'!F$2- 12.5)*'Team B 1'!$AC113</f>
        <v>1.0096438860971375</v>
      </c>
      <c r="G113" s="1">
        <f>'Team B 1'!G113-'Team B 1'!$AA113-('Team B 1'!G$2- 12.5)*'Team B 1'!$AC113</f>
        <v>14.319469145733819</v>
      </c>
      <c r="H113" s="1">
        <f>'Team B 1'!H113-'Team B 1'!$AA113-('Team B 1'!H$2- 12.5)*'Team B 1'!$AC113</f>
        <v>7.6292944053705014</v>
      </c>
      <c r="I113" s="1">
        <f>'Team B 1'!I113-'Team B 1'!$AA113-('Team B 1'!I$2- 12.5)*'Team B 1'!$AC113</f>
        <v>-29.060880334992817</v>
      </c>
      <c r="J113" s="1">
        <f>'Team B 1'!J113-'Team B 1'!$AA113-('Team B 1'!J$2- 12.5)*'Team B 1'!$AC113</f>
        <v>4.2489449246438653</v>
      </c>
      <c r="K113" s="1">
        <f>'Team B 1'!K113-'Team B 1'!$AA113-('Team B 1'!K$2- 12.5)*'Team B 1'!$AC113</f>
        <v>-12.44122981571951</v>
      </c>
      <c r="L113" s="1">
        <f>'Team B 1'!L113-'Team B 1'!$AA113-('Team B 1'!L$2- 12.5)*'Team B 1'!$AC113</f>
        <v>-9.1314045560828276</v>
      </c>
      <c r="M113" s="1">
        <f>'Team B 1'!M113-'Team B 1'!$AA113-('Team B 1'!M$2- 12.5)*'Team B 1'!$AC113</f>
        <v>-5.8215792964461883</v>
      </c>
      <c r="N113" s="1">
        <f>'Team B 1'!N113-'Team B 1'!$AA113-('Team B 1'!N$2- 12.5)*'Team B 1'!$AC113</f>
        <v>7.4882459631904652</v>
      </c>
      <c r="O113" s="1">
        <f>'Team B 1'!O113-'Team B 1'!$AA113-('Team B 1'!O$2- 12.5)*'Team B 1'!$AC113</f>
        <v>30.798071222827105</v>
      </c>
      <c r="P113" s="1">
        <f>'Team B 1'!P113-'Team B 1'!$AA113-('Team B 1'!P$2- 12.5)*'Team B 1'!$AC113</f>
        <v>-5.8921035175362135</v>
      </c>
      <c r="Q113" s="1">
        <f>'Team B 1'!Q113-'Team B 1'!$AA113-('Team B 1'!Q$2- 12.5)*'Team B 1'!$AC113</f>
        <v>7.4177217421004116</v>
      </c>
      <c r="R113" s="1">
        <f>'Team B 1'!R113-'Team B 1'!$AA113-('Team B 1'!R$2- 12.5)*'Team B 1'!$AC113</f>
        <v>0.72754700173709352</v>
      </c>
      <c r="S113" s="1">
        <f>'Team B 1'!S113-'Team B 1'!$AA113-('Team B 1'!S$2- 12.5)*'Team B 1'!$AC113</f>
        <v>-15.962627738626225</v>
      </c>
      <c r="T113" s="1">
        <f>'Team B 1'!T113-'Team B 1'!$AA113-('Team B 1'!T$2- 12.5)*'Team B 1'!$AC113</f>
        <v>-22.652802478989543</v>
      </c>
      <c r="U113" s="1">
        <f>'Team B 1'!U113-'Team B 1'!$AA113-('Team B 1'!U$2- 12.5)*'Team B 1'!$AC113</f>
        <v>10.657022780647139</v>
      </c>
      <c r="V113" s="1">
        <f>'Team B 1'!V113-'Team B 1'!$AA113-('Team B 1'!V$2- 12.5)*'Team B 1'!$AC113</f>
        <v>-26.033151959716406</v>
      </c>
      <c r="W113" s="1">
        <f>'Team B 1'!W113-'Team B 1'!$AA113-('Team B 1'!W$2- 12.5)*'Team B 1'!$AC113</f>
        <v>-12.723326700079724</v>
      </c>
      <c r="X113" s="1">
        <f>'Team B 1'!X113-'Team B 1'!$AA113-('Team B 1'!X$2- 12.5)*'Team B 1'!$AC113</f>
        <v>0.58649855955718522</v>
      </c>
      <c r="Y113" s="1">
        <f>'Team B 1'!Y113-'Team B 1'!$AA113-('Team B 1'!Y$2- 12.5)*'Team B 1'!$AC113</f>
        <v>13.89632381919364</v>
      </c>
      <c r="AB113" s="1">
        <f>STDEV(B113:Y113)</f>
        <v>15.777644812004933</v>
      </c>
      <c r="AD113" s="5">
        <v>2</v>
      </c>
      <c r="AE113" s="5" t="s">
        <v>46</v>
      </c>
      <c r="AF113" s="5">
        <v>7</v>
      </c>
      <c r="AG113" s="5">
        <v>5</v>
      </c>
      <c r="AH113" s="5">
        <v>4</v>
      </c>
      <c r="AI113" s="5" t="s">
        <v>45</v>
      </c>
      <c r="AJ113" s="5">
        <v>3</v>
      </c>
      <c r="AK113" s="5">
        <v>9</v>
      </c>
      <c r="AL113" s="5" t="s">
        <v>47</v>
      </c>
      <c r="AM113" s="5">
        <v>8</v>
      </c>
      <c r="AN113" s="5">
        <v>1</v>
      </c>
      <c r="AO113" s="5">
        <v>6</v>
      </c>
      <c r="AP113" s="5" t="s">
        <v>46</v>
      </c>
      <c r="AQ113" s="5">
        <v>2</v>
      </c>
      <c r="AR113" s="5">
        <v>5</v>
      </c>
      <c r="AS113" s="5">
        <v>7</v>
      </c>
      <c r="AT113" s="5" t="s">
        <v>45</v>
      </c>
      <c r="AU113" s="5">
        <v>4</v>
      </c>
      <c r="AV113" s="5">
        <v>9</v>
      </c>
      <c r="AW113" s="5">
        <v>3</v>
      </c>
      <c r="AX113" s="5" t="s">
        <v>47</v>
      </c>
      <c r="AY113" s="5">
        <v>1</v>
      </c>
      <c r="AZ113" s="5">
        <v>8</v>
      </c>
      <c r="BA113" s="5">
        <v>6</v>
      </c>
      <c r="BB113" s="5"/>
      <c r="BC113" s="1">
        <f ca="1">OFFSET(A113,0, 11) -0</f>
        <v>-9.1314045560828276</v>
      </c>
      <c r="BD113" s="1">
        <f ca="1">OFFSET(A113,0, 1) -0</f>
        <v>17.770342847550637</v>
      </c>
      <c r="BE113" s="1">
        <f ca="1">OFFSET(A113,0, 7) -0</f>
        <v>7.6292944053705014</v>
      </c>
      <c r="BF113" s="1">
        <f ca="1">OFFSET(A113,0, 5) -0</f>
        <v>1.0096438860971375</v>
      </c>
      <c r="BG113" s="1">
        <f ca="1">OFFSET(A113,0, 4) -0</f>
        <v>17.699818626460683</v>
      </c>
      <c r="BH113" s="1">
        <f ca="1">OFFSET(A113,0, 12) -0</f>
        <v>-5.8215792964461883</v>
      </c>
      <c r="BI113" s="1">
        <f ca="1">OFFSET(A113,0, 3) -0</f>
        <v>-15.610006633175999</v>
      </c>
      <c r="BJ113" s="1">
        <f ca="1">OFFSET(A113,0, 10) -0</f>
        <v>-12.44122981571951</v>
      </c>
      <c r="BK113" s="1">
        <f ca="1">OFFSET(A113,0, 8) -0</f>
        <v>-29.060880334992817</v>
      </c>
      <c r="BL113" s="1">
        <f ca="1">OFFSET(A113,0, 6) -0</f>
        <v>14.319469145733819</v>
      </c>
      <c r="BM113" s="1">
        <f ca="1">OFFSET(A113,0, 2) -0</f>
        <v>21.080168107187092</v>
      </c>
      <c r="BN113" s="1">
        <f ca="1">OFFSET(A113,0, 9) -0</f>
        <v>4.2489449246438653</v>
      </c>
      <c r="BO113" s="1">
        <f ca="1">OFFSET(A113,0, 22) -0</f>
        <v>-12.723326700079724</v>
      </c>
      <c r="BP113" s="1">
        <f ca="1">OFFSET(A113,0, 14) -0</f>
        <v>30.798071222827105</v>
      </c>
      <c r="BQ113" s="1">
        <f ca="1">OFFSET(A113,0, 20) -0</f>
        <v>10.657022780647139</v>
      </c>
      <c r="BR113" s="1">
        <f ca="1">OFFSET(A113,0, 18) -0</f>
        <v>-15.962627738626225</v>
      </c>
      <c r="BS113" s="1">
        <f ca="1">OFFSET(A113,0, 15) -0</f>
        <v>-5.8921035175362135</v>
      </c>
      <c r="BT113" s="1">
        <f ca="1">OFFSET(A113,0, 24) -0</f>
        <v>13.89632381919364</v>
      </c>
      <c r="BU113" s="1">
        <f ca="1">OFFSET(A113,0, 16) -0</f>
        <v>7.4177217421004116</v>
      </c>
      <c r="BV113" s="1">
        <f ca="1">OFFSET(A113,0, 23) -0</f>
        <v>0.58649855955718522</v>
      </c>
      <c r="BW113" s="1">
        <f ca="1">OFFSET(A113,0, 19) -0</f>
        <v>-22.652802478989543</v>
      </c>
      <c r="BX113" s="1">
        <f ca="1">OFFSET(A113,0, 17) -0</f>
        <v>0.72754700173709352</v>
      </c>
      <c r="BY113" s="1">
        <f ca="1">OFFSET(A113,0, 13) -0</f>
        <v>7.4882459631904652</v>
      </c>
      <c r="BZ113" s="1">
        <f ca="1">OFFSET(A113,0, 21) -0</f>
        <v>-26.033151959716406</v>
      </c>
      <c r="CB113" s="1">
        <f>COUNTIF(B113,"&lt;-70")</f>
        <v>0</v>
      </c>
      <c r="CC113" s="1">
        <f ca="1">COUNTIF(BC113:BN113,"&lt;-49")</f>
        <v>0</v>
      </c>
      <c r="CD113" s="1">
        <f ca="1">COUNTIF(BC113:BN113,"&gt;+49")</f>
        <v>0</v>
      </c>
      <c r="CE113" s="1">
        <f ca="1">COUNTIF(BO113:BZ113,"&lt;-49")</f>
        <v>0</v>
      </c>
      <c r="CF113" s="1">
        <f ca="1">COUNTIF(BO113:BZ113,"&gt;+49")</f>
        <v>0</v>
      </c>
    </row>
    <row r="114" spans="1:84">
      <c r="A114" s="1">
        <v>111</v>
      </c>
      <c r="B114" s="1">
        <f>'Team B 1'!B114-'Team B 1'!$AA114-('Team B 1'!B$2- 12.5)*'Team B 1'!$AC114</f>
        <v>9.1881999733745943</v>
      </c>
      <c r="C114" s="1">
        <f>'Team B 1'!C114-'Team B 1'!$AA114-('Team B 1'!C$2- 12.5)*'Team B 1'!$AC114</f>
        <v>-16.900629009820932</v>
      </c>
      <c r="D114" s="1">
        <f>'Team B 1'!D114-'Team B 1'!$AA114-('Team B 1'!D$2- 12.5)*'Team B 1'!$AC114</f>
        <v>-12.989457993016231</v>
      </c>
      <c r="E114" s="1">
        <f>'Team B 1'!E114-'Team B 1'!$AA114-('Team B 1'!E$2- 12.5)*'Team B 1'!$AC114</f>
        <v>0.92171302378847031</v>
      </c>
      <c r="F114" s="1">
        <f>'Team B 1'!F114-'Team B 1'!$AA114-('Team B 1'!F$2- 12.5)*'Team B 1'!$AC114</f>
        <v>24.832884040592944</v>
      </c>
      <c r="G114" s="1">
        <f>'Team B 1'!G114-'Team B 1'!$AA114-('Team B 1'!G$2- 12.5)*'Team B 1'!$AC114</f>
        <v>8.7440550573976452</v>
      </c>
      <c r="H114" s="1">
        <f>'Team B 1'!H114-'Team B 1'!$AA114-('Team B 1'!H$2- 12.5)*'Team B 1'!$AC114</f>
        <v>2.6552260742023464</v>
      </c>
      <c r="I114" s="1">
        <f>'Team B 1'!I114-'Team B 1'!$AA114-('Team B 1'!I$2- 12.5)*'Team B 1'!$AC114</f>
        <v>36.566397091006934</v>
      </c>
      <c r="J114" s="1">
        <f>'Team B 1'!J114-'Team B 1'!$AA114-('Team B 1'!J$2- 12.5)*'Team B 1'!$AC114</f>
        <v>10.477568107811635</v>
      </c>
      <c r="K114" s="1">
        <f>'Team B 1'!K114-'Team B 1'!$AA114-('Team B 1'!K$2- 12.5)*'Team B 1'!$AC114</f>
        <v>14.388739124616222</v>
      </c>
      <c r="L114" s="1">
        <f>'Team B 1'!L114-'Team B 1'!$AA114-('Team B 1'!L$2- 12.5)*'Team B 1'!$AC114</f>
        <v>-51.700089858579076</v>
      </c>
      <c r="M114" s="1">
        <f>'Team B 1'!M114-'Team B 1'!$AA114-('Team B 1'!M$2- 12.5)*'Team B 1'!$AC114</f>
        <v>-67.788918841774461</v>
      </c>
      <c r="N114" s="1">
        <f>'Team B 1'!N114-'Team B 1'!$AA114-('Team B 1'!N$2- 12.5)*'Team B 1'!$AC114</f>
        <v>-3.8777478249698163</v>
      </c>
      <c r="O114" s="1">
        <f>'Team B 1'!O114-'Team B 1'!$AA114-('Team B 1'!O$2- 12.5)*'Team B 1'!$AC114</f>
        <v>50.0334231918348</v>
      </c>
      <c r="P114" s="1">
        <f>'Team B 1'!P114-'Team B 1'!$AA114-('Team B 1'!P$2- 12.5)*'Team B 1'!$AC114</f>
        <v>-6.0554057913604993</v>
      </c>
      <c r="Q114" s="1">
        <f>'Team B 1'!Q114-'Team B 1'!$AA114-('Team B 1'!Q$2- 12.5)*'Team B 1'!$AC114</f>
        <v>-22.144234774555912</v>
      </c>
      <c r="R114" s="1">
        <f>'Team B 1'!R114-'Team B 1'!$AA114-('Team B 1'!R$2- 12.5)*'Team B 1'!$AC114</f>
        <v>11.766936242248789</v>
      </c>
      <c r="S114" s="1">
        <f>'Team B 1'!S114-'Team B 1'!$AA114-('Team B 1'!S$2- 12.5)*'Team B 1'!$AC114</f>
        <v>-44.321892740946623</v>
      </c>
      <c r="T114" s="1">
        <f>'Team B 1'!T114-'Team B 1'!$AA114-('Team B 1'!T$2- 12.5)*'Team B 1'!$AC114</f>
        <v>-50.410721724141922</v>
      </c>
      <c r="U114" s="1">
        <f>'Team B 1'!U114-'Team B 1'!$AA114-('Team B 1'!U$2- 12.5)*'Team B 1'!$AC114</f>
        <v>-6.499550707337221</v>
      </c>
      <c r="V114" s="1">
        <f>'Team B 1'!V114-'Team B 1'!$AA114-('Team B 1'!V$2- 12.5)*'Team B 1'!$AC114</f>
        <v>27.411620309467253</v>
      </c>
      <c r="W114" s="1">
        <f>'Team B 1'!W114-'Team B 1'!$AA114-('Team B 1'!W$2- 12.5)*'Team B 1'!$AC114</f>
        <v>51.322791326271954</v>
      </c>
      <c r="X114" s="1">
        <f>'Team B 1'!X114-'Team B 1'!$AA114-('Team B 1'!X$2- 12.5)*'Team B 1'!$AC114</f>
        <v>25.233962343076655</v>
      </c>
      <c r="Y114" s="1">
        <f>'Team B 1'!Y114-'Team B 1'!$AA114-('Team B 1'!Y$2- 12.5)*'Team B 1'!$AC114</f>
        <v>9.1451333598811289</v>
      </c>
      <c r="AB114" s="1">
        <f>STDEV(B114:Y114)</f>
        <v>30.927381806001883</v>
      </c>
      <c r="AD114" s="5">
        <v>2</v>
      </c>
      <c r="AE114" s="5" t="s">
        <v>46</v>
      </c>
      <c r="AF114" s="5">
        <v>7</v>
      </c>
      <c r="AG114" s="5">
        <v>5</v>
      </c>
      <c r="AH114" s="5">
        <v>4</v>
      </c>
      <c r="AI114" s="5" t="s">
        <v>45</v>
      </c>
      <c r="AJ114" s="5">
        <v>3</v>
      </c>
      <c r="AK114" s="5">
        <v>9</v>
      </c>
      <c r="AL114" s="5">
        <v>1</v>
      </c>
      <c r="AM114" s="5" t="s">
        <v>47</v>
      </c>
      <c r="AN114" s="5">
        <v>6</v>
      </c>
      <c r="AO114" s="5">
        <v>8</v>
      </c>
      <c r="AP114" s="5">
        <v>2</v>
      </c>
      <c r="AQ114" s="5">
        <v>7</v>
      </c>
      <c r="AR114" s="5" t="s">
        <v>46</v>
      </c>
      <c r="AS114" s="5">
        <v>4</v>
      </c>
      <c r="AT114" s="5">
        <v>5</v>
      </c>
      <c r="AU114" s="5">
        <v>3</v>
      </c>
      <c r="AV114" s="5" t="s">
        <v>45</v>
      </c>
      <c r="AW114" s="5">
        <v>9</v>
      </c>
      <c r="AX114" s="5" t="s">
        <v>47</v>
      </c>
      <c r="AY114" s="5">
        <v>1</v>
      </c>
      <c r="AZ114" s="5">
        <v>8</v>
      </c>
      <c r="BA114" s="5">
        <v>6</v>
      </c>
      <c r="BB114" s="5"/>
      <c r="BC114" s="1">
        <f ca="1">OFFSET(A114,0, 9) -0</f>
        <v>10.477568107811635</v>
      </c>
      <c r="BD114" s="1">
        <f ca="1">OFFSET(A114,0, 1) -0</f>
        <v>9.1881999733745943</v>
      </c>
      <c r="BE114" s="1">
        <f ca="1">OFFSET(A114,0, 7) -0</f>
        <v>2.6552260742023464</v>
      </c>
      <c r="BF114" s="1">
        <f ca="1">OFFSET(A114,0, 5) -0</f>
        <v>24.832884040592944</v>
      </c>
      <c r="BG114" s="1">
        <f ca="1">OFFSET(A114,0, 4) -0</f>
        <v>0.92171302378847031</v>
      </c>
      <c r="BH114" s="1">
        <f ca="1">OFFSET(A114,0, 11) -0</f>
        <v>-51.700089858579076</v>
      </c>
      <c r="BI114" s="1">
        <f ca="1">OFFSET(A114,0, 3) -0</f>
        <v>-12.989457993016231</v>
      </c>
      <c r="BJ114" s="1">
        <f ca="1">OFFSET(A114,0, 12) -0</f>
        <v>-67.788918841774461</v>
      </c>
      <c r="BK114" s="1">
        <f ca="1">OFFSET(A114,0, 8) -0</f>
        <v>36.566397091006934</v>
      </c>
      <c r="BL114" s="1">
        <f ca="1">OFFSET(A114,0, 6) -0</f>
        <v>8.7440550573976452</v>
      </c>
      <c r="BM114" s="1">
        <f ca="1">OFFSET(A114,0, 2) -0</f>
        <v>-16.900629009820932</v>
      </c>
      <c r="BN114" s="1">
        <f ca="1">OFFSET(A114,0, 10) -0</f>
        <v>14.388739124616222</v>
      </c>
      <c r="BO114" s="1">
        <f ca="1">OFFSET(A114,0, 22) -0</f>
        <v>51.322791326271954</v>
      </c>
      <c r="BP114" s="1">
        <f ca="1">OFFSET(A114,0, 13) -0</f>
        <v>-3.8777478249698163</v>
      </c>
      <c r="BQ114" s="1">
        <f ca="1">OFFSET(A114,0, 18) -0</f>
        <v>-44.321892740946623</v>
      </c>
      <c r="BR114" s="1">
        <f ca="1">OFFSET(A114,0, 16) -0</f>
        <v>-22.144234774555912</v>
      </c>
      <c r="BS114" s="1">
        <f ca="1">OFFSET(A114,0, 17) -0</f>
        <v>11.766936242248789</v>
      </c>
      <c r="BT114" s="1">
        <f ca="1">OFFSET(A114,0, 24) -0</f>
        <v>9.1451333598811289</v>
      </c>
      <c r="BU114" s="1">
        <f ca="1">OFFSET(A114,0, 14) -0</f>
        <v>50.0334231918348</v>
      </c>
      <c r="BV114" s="1">
        <f ca="1">OFFSET(A114,0, 23) -0</f>
        <v>25.233962343076655</v>
      </c>
      <c r="BW114" s="1">
        <f ca="1">OFFSET(A114,0, 20) -0</f>
        <v>-6.499550707337221</v>
      </c>
      <c r="BX114" s="1">
        <f ca="1">OFFSET(A114,0, 19) -0</f>
        <v>-50.410721724141922</v>
      </c>
      <c r="BY114" s="1">
        <f ca="1">OFFSET(A114,0, 15) -0</f>
        <v>-6.0554057913604993</v>
      </c>
      <c r="BZ114" s="1">
        <f ca="1">OFFSET(A114,0, 21) -0</f>
        <v>27.411620309467253</v>
      </c>
      <c r="CB114" s="1">
        <f>COUNTIF(B114,"&lt;-69")</f>
        <v>0</v>
      </c>
      <c r="CC114" s="1">
        <f ca="1">COUNTIF(BC114:BN114,"&lt;-49")</f>
        <v>2</v>
      </c>
      <c r="CD114" s="1">
        <f ca="1">COUNTIF(BC114:BN114,"&gt;+49")</f>
        <v>0</v>
      </c>
      <c r="CE114" s="1">
        <f ca="1">COUNTIF(BO114:BZ114,"&lt;-49")</f>
        <v>1</v>
      </c>
      <c r="CF114" s="1">
        <f ca="1">COUNTIF(BO114:BZ114,"&gt;+49")</f>
        <v>2</v>
      </c>
    </row>
    <row r="115" spans="1:84">
      <c r="A115" s="1">
        <v>112</v>
      </c>
      <c r="B115" s="1">
        <f>'Team B 1'!B115-'Team B 1'!$AA115-('Team B 1'!B$2- 12.5)*'Team B 1'!$AC115</f>
        <v>39.614473100152281</v>
      </c>
      <c r="C115" s="1">
        <f>'Team B 1'!C115-'Team B 1'!$AA115-('Team B 1'!C$2- 12.5)*'Team B 1'!$AC115</f>
        <v>-5.7143216621766442</v>
      </c>
      <c r="D115" s="1">
        <f>'Team B 1'!D115-'Team B 1'!$AA115-('Team B 1'!D$2- 12.5)*'Team B 1'!$AC115</f>
        <v>8.956883575494885</v>
      </c>
      <c r="E115" s="1">
        <f>'Team B 1'!E115-'Team B 1'!$AA115-('Team B 1'!E$2- 12.5)*'Team B 1'!$AC115</f>
        <v>-46.371911186834041</v>
      </c>
      <c r="F115" s="1">
        <f>'Team B 1'!F115-'Team B 1'!$AA115-('Team B 1'!F$2- 12.5)*'Team B 1'!$AC115</f>
        <v>-21.700705949162511</v>
      </c>
      <c r="G115" s="1">
        <f>'Team B 1'!G115-'Team B 1'!$AA115-('Team B 1'!G$2- 12.5)*'Team B 1'!$AC115</f>
        <v>22.970499288508563</v>
      </c>
      <c r="H115" s="1">
        <f>'Team B 1'!H115-'Team B 1'!$AA115-('Team B 1'!H$2- 12.5)*'Team B 1'!$AC115</f>
        <v>-22.358295473819908</v>
      </c>
      <c r="I115" s="1">
        <f>'Team B 1'!I115-'Team B 1'!$AA115-('Team B 1'!I$2- 12.5)*'Team B 1'!$AC115</f>
        <v>-17.68709023614872</v>
      </c>
      <c r="J115" s="1">
        <f>'Team B 1'!J115-'Team B 1'!$AA115-('Team B 1'!J$2- 12.5)*'Team B 1'!$AC115</f>
        <v>-3.0158849984774179</v>
      </c>
      <c r="K115" s="1">
        <f>'Team B 1'!K115-'Team B 1'!$AA115-('Team B 1'!K$2- 12.5)*'Team B 1'!$AC115</f>
        <v>21.655320239193884</v>
      </c>
      <c r="L115" s="1">
        <f>'Team B 1'!L115-'Team B 1'!$AA115-('Team B 1'!L$2- 12.5)*'Team B 1'!$AC115</f>
        <v>16.326525476865186</v>
      </c>
      <c r="M115" s="1">
        <f>'Team B 1'!M115-'Team B 1'!$AA115-('Team B 1'!M$2- 12.5)*'Team B 1'!$AC115</f>
        <v>20.997730714536488</v>
      </c>
      <c r="N115" s="1">
        <f>'Team B 1'!N115-'Team B 1'!$AA115-('Team B 1'!N$2- 12.5)*'Team B 1'!$AC115</f>
        <v>25.668935952207789</v>
      </c>
      <c r="O115" s="1">
        <f>'Team B 1'!O115-'Team B 1'!$AA115-('Team B 1'!O$2- 12.5)*'Team B 1'!$AC115</f>
        <v>40.340141189879091</v>
      </c>
      <c r="P115" s="1">
        <f>'Team B 1'!P115-'Team B 1'!$AA115-('Team B 1'!P$2- 12.5)*'Team B 1'!$AC115</f>
        <v>5.0113464275503929</v>
      </c>
      <c r="Q115" s="1">
        <f>'Team B 1'!Q115-'Team B 1'!$AA115-('Team B 1'!Q$2- 12.5)*'Team B 1'!$AC115</f>
        <v>-30.317448334778305</v>
      </c>
      <c r="R115" s="1">
        <f>'Team B 1'!R115-'Team B 1'!$AA115-('Team B 1'!R$2- 12.5)*'Team B 1'!$AC115</f>
        <v>-15.646243097107003</v>
      </c>
      <c r="S115" s="1">
        <f>'Team B 1'!S115-'Team B 1'!$AA115-('Team B 1'!S$2- 12.5)*'Team B 1'!$AC115</f>
        <v>-20.975037859435815</v>
      </c>
      <c r="T115" s="1">
        <f>'Team B 1'!T115-'Team B 1'!$AA115-('Team B 1'!T$2- 12.5)*'Team B 1'!$AC115</f>
        <v>-16.303832621764286</v>
      </c>
      <c r="U115" s="1">
        <f>'Team B 1'!U115-'Team B 1'!$AA115-('Team B 1'!U$2- 12.5)*'Team B 1'!$AC115</f>
        <v>-11.632627384093212</v>
      </c>
      <c r="V115" s="1">
        <f>'Team B 1'!V115-'Team B 1'!$AA115-('Team B 1'!V$2- 12.5)*'Team B 1'!$AC115</f>
        <v>-26.961422146421683</v>
      </c>
      <c r="W115" s="1">
        <f>'Team B 1'!W115-'Team B 1'!$AA115-('Team B 1'!W$2- 12.5)*'Team B 1'!$AC115</f>
        <v>-22.290216908750608</v>
      </c>
      <c r="X115" s="1">
        <f>'Team B 1'!X115-'Team B 1'!$AA115-('Team B 1'!X$2- 12.5)*'Team B 1'!$AC115</f>
        <v>12.380988328920921</v>
      </c>
      <c r="Y115" s="1">
        <f>'Team B 1'!Y115-'Team B 1'!$AA115-('Team B 1'!Y$2- 12.5)*'Team B 1'!$AC115</f>
        <v>47.052193566591995</v>
      </c>
      <c r="AB115" s="1">
        <f>STDEV(B115:Y115)</f>
        <v>25.312552266842371</v>
      </c>
      <c r="AD115" s="5">
        <v>7</v>
      </c>
      <c r="AE115" s="5">
        <v>2</v>
      </c>
      <c r="AF115" s="5">
        <v>4</v>
      </c>
      <c r="AG115" s="5" t="s">
        <v>46</v>
      </c>
      <c r="AH115" s="5">
        <v>3</v>
      </c>
      <c r="AI115" s="5">
        <v>5</v>
      </c>
      <c r="AJ115" s="5">
        <v>9</v>
      </c>
      <c r="AK115" s="5" t="s">
        <v>45</v>
      </c>
      <c r="AL115" s="5">
        <v>1</v>
      </c>
      <c r="AM115" s="5" t="s">
        <v>47</v>
      </c>
      <c r="AN115" s="5">
        <v>6</v>
      </c>
      <c r="AO115" s="5">
        <v>8</v>
      </c>
      <c r="AP115" s="5">
        <v>2</v>
      </c>
      <c r="AQ115" s="5">
        <v>7</v>
      </c>
      <c r="AR115" s="5" t="s">
        <v>46</v>
      </c>
      <c r="AS115" s="5">
        <v>4</v>
      </c>
      <c r="AT115" s="5">
        <v>5</v>
      </c>
      <c r="AU115" s="5">
        <v>3</v>
      </c>
      <c r="AV115" s="5">
        <v>9</v>
      </c>
      <c r="AW115" s="5">
        <v>1</v>
      </c>
      <c r="AX115" s="5" t="s">
        <v>45</v>
      </c>
      <c r="AY115" s="5" t="s">
        <v>47</v>
      </c>
      <c r="AZ115" s="5">
        <v>8</v>
      </c>
      <c r="BA115" s="5">
        <v>6</v>
      </c>
      <c r="BB115" s="5"/>
      <c r="BC115" s="1">
        <f ca="1">OFFSET(A115,0, 9) -0</f>
        <v>-3.0158849984774179</v>
      </c>
      <c r="BD115" s="1">
        <f ca="1">OFFSET(A115,0, 2) -0</f>
        <v>-5.7143216621766442</v>
      </c>
      <c r="BE115" s="1">
        <f ca="1">OFFSET(A115,0, 5) -0</f>
        <v>-21.700705949162511</v>
      </c>
      <c r="BF115" s="1">
        <f ca="1">OFFSET(A115,0, 3) -0</f>
        <v>8.956883575494885</v>
      </c>
      <c r="BG115" s="1">
        <f ca="1">OFFSET(A115,0, 6) -0</f>
        <v>22.970499288508563</v>
      </c>
      <c r="BH115" s="1">
        <f ca="1">OFFSET(A115,0, 11) -0</f>
        <v>16.326525476865186</v>
      </c>
      <c r="BI115" s="1">
        <f ca="1">OFFSET(A115,0, 1) -0</f>
        <v>39.614473100152281</v>
      </c>
      <c r="BJ115" s="1">
        <f ca="1">OFFSET(A115,0, 12) -0</f>
        <v>20.997730714536488</v>
      </c>
      <c r="BK115" s="1">
        <f ca="1">OFFSET(A115,0, 7) -0</f>
        <v>-22.358295473819908</v>
      </c>
      <c r="BL115" s="1">
        <f ca="1">OFFSET(A115,0, 8) -0</f>
        <v>-17.68709023614872</v>
      </c>
      <c r="BM115" s="1">
        <f ca="1">OFFSET(A115,0, 4) -0</f>
        <v>-46.371911186834041</v>
      </c>
      <c r="BN115" s="1">
        <f ca="1">OFFSET(A115,0, 10) -0</f>
        <v>21.655320239193884</v>
      </c>
      <c r="BO115" s="1">
        <f ca="1">OFFSET(A115,0, 20) -0</f>
        <v>-11.632627384093212</v>
      </c>
      <c r="BP115" s="1">
        <f ca="1">OFFSET(A115,0, 13) -0</f>
        <v>25.668935952207789</v>
      </c>
      <c r="BQ115" s="1">
        <f ca="1">OFFSET(A115,0, 18) -0</f>
        <v>-20.975037859435815</v>
      </c>
      <c r="BR115" s="1">
        <f ca="1">OFFSET(A115,0, 16) -0</f>
        <v>-30.317448334778305</v>
      </c>
      <c r="BS115" s="1">
        <f ca="1">OFFSET(A115,0, 17) -0</f>
        <v>-15.646243097107003</v>
      </c>
      <c r="BT115" s="1">
        <f ca="1">OFFSET(A115,0, 24) -0</f>
        <v>47.052193566591995</v>
      </c>
      <c r="BU115" s="1">
        <f ca="1">OFFSET(A115,0, 14) -0</f>
        <v>40.340141189879091</v>
      </c>
      <c r="BV115" s="1">
        <f ca="1">OFFSET(A115,0, 23) -0</f>
        <v>12.380988328920921</v>
      </c>
      <c r="BW115" s="1">
        <f ca="1">OFFSET(A115,0, 19) -0</f>
        <v>-16.303832621764286</v>
      </c>
      <c r="BX115" s="1">
        <f ca="1">OFFSET(A115,0, 21) -0</f>
        <v>-26.961422146421683</v>
      </c>
      <c r="BY115" s="1">
        <f ca="1">OFFSET(A115,0, 15) -0</f>
        <v>5.0113464275503929</v>
      </c>
      <c r="BZ115" s="1">
        <f ca="1">OFFSET(A115,0, 22) -0</f>
        <v>-22.290216908750608</v>
      </c>
      <c r="CB115" s="1">
        <f>COUNTIF(B115,"&lt;-69")</f>
        <v>0</v>
      </c>
      <c r="CC115" s="1">
        <f ca="1">COUNTIF(BC115:BN115,"&lt;-49")</f>
        <v>0</v>
      </c>
      <c r="CD115" s="1">
        <f ca="1">COUNTIF(BC115:BN115,"&gt;+49")</f>
        <v>0</v>
      </c>
      <c r="CE115" s="1">
        <f ca="1">COUNTIF(BO115:BZ115,"&lt;-49")</f>
        <v>0</v>
      </c>
      <c r="CF115" s="1">
        <f ca="1">COUNTIF(BO115:BZ115,"&gt;+49")</f>
        <v>0</v>
      </c>
    </row>
    <row r="116" spans="1:84">
      <c r="A116" s="1">
        <v>113</v>
      </c>
      <c r="B116" s="1">
        <f>'Team B 1'!B116-'Team B 1'!$AA116-('Team B 1'!B$2- 12.5)*'Team B 1'!$AC116</f>
        <v>10.378742291150047</v>
      </c>
      <c r="C116" s="1">
        <f>'Team B 1'!C116-'Team B 1'!$AA116-('Team B 1'!C$2- 12.5)*'Team B 1'!$AC116</f>
        <v>44.657402381778411</v>
      </c>
      <c r="D116" s="1">
        <f>'Team B 1'!D116-'Team B 1'!$AA116-('Team B 1'!D$2- 12.5)*'Team B 1'!$AC116</f>
        <v>38.936062472406093</v>
      </c>
      <c r="E116" s="1">
        <f>'Team B 1'!E116-'Team B 1'!$AA116-('Team B 1'!E$2- 12.5)*'Team B 1'!$AC116</f>
        <v>-26.785277436965771</v>
      </c>
      <c r="F116" s="1">
        <f>'Team B 1'!F116-'Team B 1'!$AA116-('Team B 1'!F$2- 12.5)*'Team B 1'!$AC116</f>
        <v>-32.506617346337862</v>
      </c>
      <c r="G116" s="1">
        <f>'Team B 1'!G116-'Team B 1'!$AA116-('Team B 1'!G$2- 12.5)*'Team B 1'!$AC116</f>
        <v>51.772042744290275</v>
      </c>
      <c r="H116" s="1">
        <f>'Team B 1'!H116-'Team B 1'!$AA116-('Team B 1'!H$2- 12.5)*'Team B 1'!$AC116</f>
        <v>16.050702834918184</v>
      </c>
      <c r="I116" s="1">
        <f>'Team B 1'!I116-'Team B 1'!$AA116-('Team B 1'!I$2- 12.5)*'Team B 1'!$AC116</f>
        <v>-39.670637074453794</v>
      </c>
      <c r="J116" s="1">
        <f>'Team B 1'!J116-'Team B 1'!$AA116-('Team B 1'!J$2- 12.5)*'Team B 1'!$AC116</f>
        <v>-15.391976983825884</v>
      </c>
      <c r="K116" s="1">
        <f>'Team B 1'!K116-'Team B 1'!$AA116-('Team B 1'!K$2- 12.5)*'Team B 1'!$AC116</f>
        <v>-1.1133168931978616</v>
      </c>
      <c r="L116" s="1">
        <f>'Team B 1'!L116-'Team B 1'!$AA116-('Team B 1'!L$2- 12.5)*'Team B 1'!$AC116</f>
        <v>-16.834656802569839</v>
      </c>
      <c r="M116" s="1">
        <f>'Team B 1'!M116-'Team B 1'!$AA116-('Team B 1'!M$2- 12.5)*'Team B 1'!$AC116</f>
        <v>-22.555996711941859</v>
      </c>
      <c r="N116" s="1">
        <f>'Team B 1'!N116-'Team B 1'!$AA116-('Team B 1'!N$2- 12.5)*'Team B 1'!$AC116</f>
        <v>-28.277336621313864</v>
      </c>
      <c r="O116" s="1">
        <f>'Team B 1'!O116-'Team B 1'!$AA116-('Team B 1'!O$2- 12.5)*'Team B 1'!$AC116</f>
        <v>-3.9986765306858842</v>
      </c>
      <c r="P116" s="1">
        <f>'Team B 1'!P116-'Team B 1'!$AA116-('Team B 1'!P$2- 12.5)*'Team B 1'!$AC116</f>
        <v>20.279983559942139</v>
      </c>
      <c r="Q116" s="1">
        <f>'Team B 1'!Q116-'Team B 1'!$AA116-('Team B 1'!Q$2- 12.5)*'Team B 1'!$AC116</f>
        <v>34.558643650570161</v>
      </c>
      <c r="R116" s="1">
        <f>'Team B 1'!R116-'Team B 1'!$AA116-('Team B 1'!R$2- 12.5)*'Team B 1'!$AC116</f>
        <v>-1.1626962588019296</v>
      </c>
      <c r="S116" s="1">
        <f>'Team B 1'!S116-'Team B 1'!$AA116-('Team B 1'!S$2- 12.5)*'Team B 1'!$AC116</f>
        <v>-26.884036168173907</v>
      </c>
      <c r="T116" s="1">
        <f>'Team B 1'!T116-'Team B 1'!$AA116-('Team B 1'!T$2- 12.5)*'Team B 1'!$AC116</f>
        <v>-2.6053760775459978</v>
      </c>
      <c r="U116" s="1">
        <f>'Team B 1'!U116-'Team B 1'!$AA116-('Team B 1'!U$2- 12.5)*'Team B 1'!$AC116</f>
        <v>11.673284013082139</v>
      </c>
      <c r="V116" s="1">
        <f>'Team B 1'!V116-'Team B 1'!$AA116-('Team B 1'!V$2- 12.5)*'Team B 1'!$AC116</f>
        <v>-14.048055896289952</v>
      </c>
      <c r="W116" s="1">
        <f>'Team B 1'!W116-'Team B 1'!$AA116-('Team B 1'!W$2- 12.5)*'Team B 1'!$AC116</f>
        <v>0.23060419433818424</v>
      </c>
      <c r="X116" s="1">
        <f>'Team B 1'!X116-'Team B 1'!$AA116-('Team B 1'!X$2- 12.5)*'Team B 1'!$AC116</f>
        <v>4.509264284965866</v>
      </c>
      <c r="Y116" s="1">
        <f>'Team B 1'!Y116-'Team B 1'!$AA116-('Team B 1'!Y$2- 12.5)*'Team B 1'!$AC116</f>
        <v>-1.2120756244057702</v>
      </c>
      <c r="AB116" s="1">
        <f>STDEV(B116:Y116)</f>
        <v>25.057972192874363</v>
      </c>
      <c r="AD116" s="5">
        <v>7</v>
      </c>
      <c r="AE116" s="5">
        <v>2</v>
      </c>
      <c r="AF116" s="5">
        <v>4</v>
      </c>
      <c r="AG116" s="5" t="s">
        <v>46</v>
      </c>
      <c r="AH116" s="5">
        <v>3</v>
      </c>
      <c r="AI116" s="5">
        <v>5</v>
      </c>
      <c r="AJ116" s="5">
        <v>1</v>
      </c>
      <c r="AK116" s="5">
        <v>9</v>
      </c>
      <c r="AL116" s="5" t="s">
        <v>47</v>
      </c>
      <c r="AM116" s="5" t="s">
        <v>45</v>
      </c>
      <c r="AN116" s="5">
        <v>6</v>
      </c>
      <c r="AO116" s="5">
        <v>8</v>
      </c>
      <c r="AP116" s="5">
        <v>7</v>
      </c>
      <c r="AQ116" s="5">
        <v>4</v>
      </c>
      <c r="AR116" s="5">
        <v>2</v>
      </c>
      <c r="AS116" s="5">
        <v>3</v>
      </c>
      <c r="AT116" s="5" t="s">
        <v>46</v>
      </c>
      <c r="AU116" s="5">
        <v>5</v>
      </c>
      <c r="AV116" s="5">
        <v>9</v>
      </c>
      <c r="AW116" s="5">
        <v>1</v>
      </c>
      <c r="AX116" s="5" t="s">
        <v>47</v>
      </c>
      <c r="AY116" s="5">
        <v>6</v>
      </c>
      <c r="AZ116" s="5" t="s">
        <v>45</v>
      </c>
      <c r="BA116" s="5">
        <v>8</v>
      </c>
      <c r="BB116" s="5"/>
      <c r="BC116" s="1">
        <f ca="1">OFFSET(A116,0, 7) -0</f>
        <v>16.050702834918184</v>
      </c>
      <c r="BD116" s="1">
        <f ca="1">OFFSET(A116,0, 2) -0</f>
        <v>44.657402381778411</v>
      </c>
      <c r="BE116" s="1">
        <f ca="1">OFFSET(A116,0, 5) -0</f>
        <v>-32.506617346337862</v>
      </c>
      <c r="BF116" s="1">
        <f ca="1">OFFSET(A116,0, 3) -0</f>
        <v>38.936062472406093</v>
      </c>
      <c r="BG116" s="1">
        <f ca="1">OFFSET(A116,0, 6) -0</f>
        <v>51.772042744290275</v>
      </c>
      <c r="BH116" s="1">
        <f ca="1">OFFSET(A116,0, 11) -0</f>
        <v>-16.834656802569839</v>
      </c>
      <c r="BI116" s="1">
        <f ca="1">OFFSET(A116,0, 1) -0</f>
        <v>10.378742291150047</v>
      </c>
      <c r="BJ116" s="1">
        <f ca="1">OFFSET(A116,0, 12) -0</f>
        <v>-22.555996711941859</v>
      </c>
      <c r="BK116" s="1">
        <f ca="1">OFFSET(A116,0, 8) -0</f>
        <v>-39.670637074453794</v>
      </c>
      <c r="BL116" s="1">
        <f ca="1">OFFSET(A116,0, 10) -0</f>
        <v>-1.1133168931978616</v>
      </c>
      <c r="BM116" s="1">
        <f ca="1">OFFSET(A116,0, 4) -0</f>
        <v>-26.785277436965771</v>
      </c>
      <c r="BN116" s="1">
        <f ca="1">OFFSET(A116,0, 9) -0</f>
        <v>-15.391976983825884</v>
      </c>
      <c r="BO116" s="1">
        <f ca="1">OFFSET(A116,0, 20) -0</f>
        <v>11.673284013082139</v>
      </c>
      <c r="BP116" s="1">
        <f ca="1">OFFSET(A116,0, 15) -0</f>
        <v>20.279983559942139</v>
      </c>
      <c r="BQ116" s="1">
        <f ca="1">OFFSET(A116,0, 16) -0</f>
        <v>34.558643650570161</v>
      </c>
      <c r="BR116" s="1">
        <f ca="1">OFFSET(A116,0, 14) -0</f>
        <v>-3.9986765306858842</v>
      </c>
      <c r="BS116" s="1">
        <f ca="1">OFFSET(A116,0, 18) -0</f>
        <v>-26.884036168173907</v>
      </c>
      <c r="BT116" s="1">
        <f ca="1">OFFSET(A116,0, 22) -0</f>
        <v>0.23060419433818424</v>
      </c>
      <c r="BU116" s="1">
        <f ca="1">OFFSET(A116,0, 13) -0</f>
        <v>-28.277336621313864</v>
      </c>
      <c r="BV116" s="1">
        <f ca="1">OFFSET(A116,0, 24) -0</f>
        <v>-1.2120756244057702</v>
      </c>
      <c r="BW116" s="1">
        <f ca="1">OFFSET(A116,0, 19) -0</f>
        <v>-2.6053760775459978</v>
      </c>
      <c r="BX116" s="1">
        <f ca="1">OFFSET(A116,0, 23) -0</f>
        <v>4.509264284965866</v>
      </c>
      <c r="BY116" s="1">
        <f ca="1">OFFSET(A116,0, 17) -0</f>
        <v>-1.1626962588019296</v>
      </c>
      <c r="BZ116" s="1">
        <f ca="1">OFFSET(A116,0, 21) -0</f>
        <v>-14.048055896289952</v>
      </c>
      <c r="CB116" s="1">
        <f>COUNTIF(B116,"&lt;-69")</f>
        <v>0</v>
      </c>
      <c r="CC116" s="1">
        <f ca="1">COUNTIF(BC116:BN116,"&lt;-49")</f>
        <v>0</v>
      </c>
      <c r="CD116" s="1">
        <f ca="1">COUNTIF(BC116:BN116,"&gt;+49")</f>
        <v>1</v>
      </c>
      <c r="CE116" s="1">
        <f ca="1">COUNTIF(BO116:BZ116,"&lt;-49")</f>
        <v>0</v>
      </c>
      <c r="CF116" s="1">
        <f ca="1">COUNTIF(BO116:BZ116,"&gt;+49")</f>
        <v>0</v>
      </c>
    </row>
    <row r="117" spans="1:84">
      <c r="A117" s="1">
        <v>114</v>
      </c>
      <c r="B117" s="1">
        <f>'Team B 1'!B117-'Team B 1'!$AA117-('Team B 1'!B$2- 12.5)*'Team B 1'!$AC117</f>
        <v>4.2842482540509081</v>
      </c>
      <c r="C117" s="1">
        <f>'Team B 1'!C117-'Team B 1'!$AA117-('Team B 1'!C$2- 12.5)*'Team B 1'!$AC117</f>
        <v>58.18706724644926</v>
      </c>
      <c r="D117" s="1">
        <f>'Team B 1'!D117-'Team B 1'!$AA117-('Team B 1'!D$2- 12.5)*'Team B 1'!$AC117</f>
        <v>42.08988623884693</v>
      </c>
      <c r="E117" s="1">
        <f>'Team B 1'!E117-'Team B 1'!$AA117-('Team B 1'!E$2- 12.5)*'Team B 1'!$AC117</f>
        <v>15.992705231245054</v>
      </c>
      <c r="F117" s="1">
        <f>'Team B 1'!F117-'Team B 1'!$AA117-('Team B 1'!F$2- 12.5)*'Team B 1'!$AC117</f>
        <v>-30.104475776357049</v>
      </c>
      <c r="G117" s="1">
        <f>'Team B 1'!G117-'Team B 1'!$AA117-('Team B 1'!G$2- 12.5)*'Team B 1'!$AC117</f>
        <v>-16.201656783958924</v>
      </c>
      <c r="H117" s="1">
        <f>'Team B 1'!H117-'Team B 1'!$AA117-('Team B 1'!H$2- 12.5)*'Team B 1'!$AC117</f>
        <v>17.701162208438973</v>
      </c>
      <c r="I117" s="1">
        <f>'Team B 1'!I117-'Team B 1'!$AA117-('Team B 1'!I$2- 12.5)*'Team B 1'!$AC117</f>
        <v>-28.396018799163016</v>
      </c>
      <c r="J117" s="1">
        <f>'Team B 1'!J117-'Team B 1'!$AA117-('Team B 1'!J$2- 12.5)*'Team B 1'!$AC117</f>
        <v>5.5068001932348807</v>
      </c>
      <c r="K117" s="1">
        <f>'Team B 1'!K117-'Team B 1'!$AA117-('Team B 1'!K$2- 12.5)*'Team B 1'!$AC117</f>
        <v>-20.590380814367109</v>
      </c>
      <c r="L117" s="1">
        <f>'Team B 1'!L117-'Team B 1'!$AA117-('Team B 1'!L$2- 12.5)*'Team B 1'!$AC117</f>
        <v>-26.687561821969098</v>
      </c>
      <c r="M117" s="1">
        <f>'Team B 1'!M117-'Team B 1'!$AA117-('Team B 1'!M$2- 12.5)*'Team B 1'!$AC117</f>
        <v>27.21525717042887</v>
      </c>
      <c r="N117" s="1">
        <f>'Team B 1'!N117-'Team B 1'!$AA117-('Team B 1'!N$2- 12.5)*'Team B 1'!$AC117</f>
        <v>11.118076162826853</v>
      </c>
      <c r="O117" s="1">
        <f>'Team B 1'!O117-'Team B 1'!$AA117-('Team B 1'!O$2- 12.5)*'Team B 1'!$AC117</f>
        <v>-74.979104844775179</v>
      </c>
      <c r="P117" s="1">
        <f>'Team B 1'!P117-'Team B 1'!$AA117-('Team B 1'!P$2- 12.5)*'Team B 1'!$AC117</f>
        <v>-1.0762858523771683</v>
      </c>
      <c r="Q117" s="1">
        <f>'Team B 1'!Q117-'Team B 1'!$AA117-('Team B 1'!Q$2- 12.5)*'Team B 1'!$AC117</f>
        <v>12.826533140020842</v>
      </c>
      <c r="R117" s="1">
        <f>'Team B 1'!R117-'Team B 1'!$AA117-('Team B 1'!R$2- 12.5)*'Team B 1'!$AC117</f>
        <v>-13.27064786758126</v>
      </c>
      <c r="S117" s="1">
        <f>'Team B 1'!S117-'Team B 1'!$AA117-('Team B 1'!S$2- 12.5)*'Team B 1'!$AC117</f>
        <v>0.63217112481675031</v>
      </c>
      <c r="T117" s="1">
        <f>'Team B 1'!T117-'Team B 1'!$AA117-('Team B 1'!T$2- 12.5)*'Team B 1'!$AC117</f>
        <v>-35.465009882785353</v>
      </c>
      <c r="U117" s="1">
        <f>'Team B 1'!U117-'Team B 1'!$AA117-('Team B 1'!U$2- 12.5)*'Team B 1'!$AC117</f>
        <v>-31.562190890387228</v>
      </c>
      <c r="V117" s="1">
        <f>'Team B 1'!V117-'Team B 1'!$AA117-('Team B 1'!V$2- 12.5)*'Team B 1'!$AC117</f>
        <v>12.340628102010669</v>
      </c>
      <c r="W117" s="1">
        <f>'Team B 1'!W117-'Team B 1'!$AA117-('Team B 1'!W$2- 12.5)*'Team B 1'!$AC117</f>
        <v>16.243447094408793</v>
      </c>
      <c r="X117" s="1">
        <f>'Team B 1'!X117-'Team B 1'!$AA117-('Team B 1'!X$2- 12.5)*'Team B 1'!$AC117</f>
        <v>0.14626608680646314</v>
      </c>
      <c r="Y117" s="1">
        <f>'Team B 1'!Y117-'Team B 1'!$AA117-('Team B 1'!Y$2- 12.5)*'Team B 1'!$AC117</f>
        <v>54.049085079204815</v>
      </c>
      <c r="AB117" s="1">
        <f>STDEV(B117:Y117)</f>
        <v>30.436039885116458</v>
      </c>
      <c r="AD117" s="5">
        <v>4</v>
      </c>
      <c r="AE117" s="5">
        <v>7</v>
      </c>
      <c r="AF117" s="5">
        <v>3</v>
      </c>
      <c r="AG117" s="5">
        <v>2</v>
      </c>
      <c r="AH117" s="5">
        <v>5</v>
      </c>
      <c r="AI117" s="5" t="s">
        <v>46</v>
      </c>
      <c r="AJ117" s="5">
        <v>1</v>
      </c>
      <c r="AK117" s="5">
        <v>9</v>
      </c>
      <c r="AL117" s="5">
        <v>6</v>
      </c>
      <c r="AM117" s="5" t="s">
        <v>47</v>
      </c>
      <c r="AN117" s="5">
        <v>8</v>
      </c>
      <c r="AO117" s="5" t="s">
        <v>45</v>
      </c>
      <c r="AP117" s="5">
        <v>7</v>
      </c>
      <c r="AQ117" s="5">
        <v>4</v>
      </c>
      <c r="AR117" s="5">
        <v>2</v>
      </c>
      <c r="AS117" s="5">
        <v>3</v>
      </c>
      <c r="AT117" s="5">
        <v>5</v>
      </c>
      <c r="AU117" s="5">
        <v>1</v>
      </c>
      <c r="AV117" s="5" t="s">
        <v>46</v>
      </c>
      <c r="AW117" s="5">
        <v>9</v>
      </c>
      <c r="AX117" s="5" t="s">
        <v>47</v>
      </c>
      <c r="AY117" s="5">
        <v>6</v>
      </c>
      <c r="AZ117" s="5" t="s">
        <v>45</v>
      </c>
      <c r="BA117" s="5">
        <v>8</v>
      </c>
      <c r="BB117" s="5"/>
      <c r="BC117" s="1">
        <f ca="1">OFFSET(A117,0, 7) -0</f>
        <v>17.701162208438973</v>
      </c>
      <c r="BD117" s="1">
        <f ca="1">OFFSET(A117,0, 4) -0</f>
        <v>15.992705231245054</v>
      </c>
      <c r="BE117" s="1">
        <f ca="1">OFFSET(A117,0, 3) -0</f>
        <v>42.08988623884693</v>
      </c>
      <c r="BF117" s="1">
        <f ca="1">OFFSET(A117,0, 1) -0</f>
        <v>4.2842482540509081</v>
      </c>
      <c r="BG117" s="1">
        <f ca="1">OFFSET(A117,0, 5) -0</f>
        <v>-30.104475776357049</v>
      </c>
      <c r="BH117" s="1">
        <f ca="1">OFFSET(A117,0, 9) -0</f>
        <v>5.5068001932348807</v>
      </c>
      <c r="BI117" s="1">
        <f ca="1">OFFSET(A117,0, 2) -0</f>
        <v>58.18706724644926</v>
      </c>
      <c r="BJ117" s="1">
        <f ca="1">OFFSET(A117,0, 11) -0</f>
        <v>-26.687561821969098</v>
      </c>
      <c r="BK117" s="1">
        <f ca="1">OFFSET(A117,0, 8) -0</f>
        <v>-28.396018799163016</v>
      </c>
      <c r="BL117" s="1">
        <f ca="1">OFFSET(A117,0, 12) -0</f>
        <v>27.21525717042887</v>
      </c>
      <c r="BM117" s="1">
        <f ca="1">OFFSET(A117,0, 6) -0</f>
        <v>-16.201656783958924</v>
      </c>
      <c r="BN117" s="1">
        <f ca="1">OFFSET(A117,0, 10) -0</f>
        <v>-20.590380814367109</v>
      </c>
      <c r="BO117" s="1">
        <f ca="1">OFFSET(A117,0, 18) -0</f>
        <v>0.63217112481675031</v>
      </c>
      <c r="BP117" s="1">
        <f ca="1">OFFSET(A117,0, 15) -0</f>
        <v>-1.0762858523771683</v>
      </c>
      <c r="BQ117" s="1">
        <f ca="1">OFFSET(A117,0, 16) -0</f>
        <v>12.826533140020842</v>
      </c>
      <c r="BR117" s="1">
        <f ca="1">OFFSET(A117,0, 14) -0</f>
        <v>-74.979104844775179</v>
      </c>
      <c r="BS117" s="1">
        <f ca="1">OFFSET(A117,0, 17) -0</f>
        <v>-13.27064786758126</v>
      </c>
      <c r="BT117" s="1">
        <f ca="1">OFFSET(A117,0, 22) -0</f>
        <v>16.243447094408793</v>
      </c>
      <c r="BU117" s="1">
        <f ca="1">OFFSET(A117,0, 13) -0</f>
        <v>11.118076162826853</v>
      </c>
      <c r="BV117" s="1">
        <f ca="1">OFFSET(A117,0, 24) -0</f>
        <v>54.049085079204815</v>
      </c>
      <c r="BW117" s="1">
        <f ca="1">OFFSET(A117,0, 20) -0</f>
        <v>-31.562190890387228</v>
      </c>
      <c r="BX117" s="1">
        <f ca="1">OFFSET(A117,0, 23) -0</f>
        <v>0.14626608680646314</v>
      </c>
      <c r="BY117" s="1">
        <f ca="1">OFFSET(A117,0, 19) -0</f>
        <v>-35.465009882785353</v>
      </c>
      <c r="BZ117" s="1">
        <f ca="1">OFFSET(A117,0, 21) -0</f>
        <v>12.340628102010669</v>
      </c>
      <c r="CB117" s="1">
        <f>COUNTIF(B117,"&lt;-69")</f>
        <v>0</v>
      </c>
      <c r="CC117" s="1">
        <f ca="1">COUNTIF(BC117:BN117,"&lt;-49")</f>
        <v>0</v>
      </c>
      <c r="CD117" s="1">
        <f ca="1">COUNTIF(BC117:BN117,"&gt;+49")</f>
        <v>1</v>
      </c>
      <c r="CE117" s="1">
        <f ca="1">COUNTIF(BO117:BZ117,"&lt;-49")</f>
        <v>1</v>
      </c>
      <c r="CF117" s="1">
        <f ca="1">COUNTIF(BO117:BZ117,"&gt;+49")</f>
        <v>1</v>
      </c>
    </row>
    <row r="118" spans="1:84">
      <c r="A118" s="1">
        <v>115</v>
      </c>
      <c r="B118" s="1">
        <f>'Team B 1'!B118-'Team B 1'!$AA118-('Team B 1'!B$2- 12.5)*'Team B 1'!$AC118</f>
        <v>17.942317027682293</v>
      </c>
      <c r="C118" s="1">
        <f>'Team B 1'!C118-'Team B 1'!$AA118-('Team B 1'!C$2- 12.5)*'Team B 1'!$AC118</f>
        <v>32.179216996285959</v>
      </c>
      <c r="D118" s="1">
        <f>'Team B 1'!D118-'Team B 1'!$AA118-('Team B 1'!D$2- 12.5)*'Team B 1'!$AC118</f>
        <v>26.41611696489008</v>
      </c>
      <c r="E118" s="1">
        <f>'Team B 1'!E118-'Team B 1'!$AA118-('Team B 1'!E$2- 12.5)*'Team B 1'!$AC118</f>
        <v>10.653016933493973</v>
      </c>
      <c r="F118" s="1">
        <f>'Team B 1'!F118-'Team B 1'!$AA118-('Team B 1'!F$2- 12.5)*'Team B 1'!$AC118</f>
        <v>14.889916902098093</v>
      </c>
      <c r="G118" s="1">
        <f>'Team B 1'!G118-'Team B 1'!$AA118-('Team B 1'!G$2- 12.5)*'Team B 1'!$AC118</f>
        <v>29.126816870701987</v>
      </c>
      <c r="H118" s="1">
        <f>'Team B 1'!H118-'Team B 1'!$AA118-('Team B 1'!H$2- 12.5)*'Team B 1'!$AC118</f>
        <v>-56.63628316069412</v>
      </c>
      <c r="I118" s="1">
        <f>'Team B 1'!I118-'Team B 1'!$AA118-('Team B 1'!I$2- 12.5)*'Team B 1'!$AC118</f>
        <v>-12.399383192089999</v>
      </c>
      <c r="J118" s="1">
        <f>'Team B 1'!J118-'Team B 1'!$AA118-('Team B 1'!J$2- 12.5)*'Team B 1'!$AC118</f>
        <v>-8.162483223486106</v>
      </c>
      <c r="K118" s="1">
        <f>'Team B 1'!K118-'Team B 1'!$AA118-('Team B 1'!K$2- 12.5)*'Team B 1'!$AC118</f>
        <v>6.074416745117901</v>
      </c>
      <c r="L118" s="1">
        <f>'Team B 1'!L118-'Team B 1'!$AA118-('Team B 1'!L$2- 12.5)*'Team B 1'!$AC118</f>
        <v>10.311316713721908</v>
      </c>
      <c r="M118" s="1">
        <f>'Team B 1'!M118-'Team B 1'!$AA118-('Team B 1'!M$2- 12.5)*'Team B 1'!$AC118</f>
        <v>14.548216682325872</v>
      </c>
      <c r="N118" s="1">
        <f>'Team B 1'!N118-'Team B 1'!$AA118-('Team B 1'!N$2- 12.5)*'Team B 1'!$AC118</f>
        <v>-1.2148833490701492</v>
      </c>
      <c r="O118" s="1">
        <f>'Team B 1'!O118-'Team B 1'!$AA118-('Team B 1'!O$2- 12.5)*'Team B 1'!$AC118</f>
        <v>-6.9779833804661848</v>
      </c>
      <c r="P118" s="1">
        <f>'Team B 1'!P118-'Team B 1'!$AA118-('Team B 1'!P$2- 12.5)*'Team B 1'!$AC118</f>
        <v>7.2589165881378221</v>
      </c>
      <c r="Q118" s="1">
        <f>'Team B 1'!Q118-'Team B 1'!$AA118-('Team B 1'!Q$2- 12.5)*'Team B 1'!$AC118</f>
        <v>11.495816556741829</v>
      </c>
      <c r="R118" s="1">
        <f>'Team B 1'!R118-'Team B 1'!$AA118-('Team B 1'!R$2- 12.5)*'Team B 1'!$AC118</f>
        <v>5.7327165253457224</v>
      </c>
      <c r="S118" s="1">
        <f>'Team B 1'!S118-'Team B 1'!$AA118-('Team B 1'!S$2- 12.5)*'Team B 1'!$AC118</f>
        <v>19.969616493949843</v>
      </c>
      <c r="T118" s="1">
        <f>'Team B 1'!T118-'Team B 1'!$AA118-('Team B 1'!T$2- 12.5)*'Team B 1'!$AC118</f>
        <v>-5.7934835374462637</v>
      </c>
      <c r="U118" s="1">
        <f>'Team B 1'!U118-'Team B 1'!$AA118-('Team B 1'!U$2- 12.5)*'Team B 1'!$AC118</f>
        <v>-11.55658356884237</v>
      </c>
      <c r="V118" s="1">
        <f>'Team B 1'!V118-'Team B 1'!$AA118-('Team B 1'!V$2- 12.5)*'Team B 1'!$AC118</f>
        <v>-67.31968360023825</v>
      </c>
      <c r="W118" s="1">
        <f>'Team B 1'!W118-'Team B 1'!$AA118-('Team B 1'!W$2- 12.5)*'Team B 1'!$AC118</f>
        <v>-3.0827836316343564</v>
      </c>
      <c r="X118" s="1">
        <f>'Team B 1'!X118-'Team B 1'!$AA118-('Team B 1'!X$2- 12.5)*'Team B 1'!$AC118</f>
        <v>-18.845883663030236</v>
      </c>
      <c r="Y118" s="1">
        <f>'Team B 1'!Y118-'Team B 1'!$AA118-('Team B 1'!Y$2- 12.5)*'Team B 1'!$AC118</f>
        <v>-14.60898369442657</v>
      </c>
      <c r="AB118" s="1">
        <f>STDEV(B118:Y118)</f>
        <v>23.742765757666426</v>
      </c>
      <c r="AD118" s="5">
        <v>4</v>
      </c>
      <c r="AE118" s="5">
        <v>7</v>
      </c>
      <c r="AF118" s="5">
        <v>3</v>
      </c>
      <c r="AG118" s="5">
        <v>2</v>
      </c>
      <c r="AH118" s="5">
        <v>1</v>
      </c>
      <c r="AI118" s="5">
        <v>5</v>
      </c>
      <c r="AJ118" s="5">
        <v>9</v>
      </c>
      <c r="AK118" s="5" t="s">
        <v>46</v>
      </c>
      <c r="AL118" s="5">
        <v>6</v>
      </c>
      <c r="AM118" s="5" t="s">
        <v>47</v>
      </c>
      <c r="AN118" s="5">
        <v>8</v>
      </c>
      <c r="AO118" s="5" t="s">
        <v>45</v>
      </c>
      <c r="AP118" s="5">
        <v>4</v>
      </c>
      <c r="AQ118" s="5">
        <v>3</v>
      </c>
      <c r="AR118" s="5">
        <v>7</v>
      </c>
      <c r="AS118" s="5">
        <v>2</v>
      </c>
      <c r="AT118" s="5">
        <v>5</v>
      </c>
      <c r="AU118" s="5">
        <v>1</v>
      </c>
      <c r="AV118" s="5">
        <v>9</v>
      </c>
      <c r="AW118" s="5">
        <v>6</v>
      </c>
      <c r="AX118" s="5" t="s">
        <v>46</v>
      </c>
      <c r="AY118" s="5">
        <v>8</v>
      </c>
      <c r="AZ118" s="5" t="s">
        <v>47</v>
      </c>
      <c r="BA118" s="5" t="s">
        <v>45</v>
      </c>
      <c r="BB118" s="5"/>
      <c r="BC118" s="1">
        <f ca="1">OFFSET(A118,0, 5) -0</f>
        <v>14.889916902098093</v>
      </c>
      <c r="BD118" s="1">
        <f ca="1">OFFSET(A118,0, 4) -0</f>
        <v>10.653016933493973</v>
      </c>
      <c r="BE118" s="1">
        <f ca="1">OFFSET(A118,0, 3) -0</f>
        <v>26.41611696489008</v>
      </c>
      <c r="BF118" s="1">
        <f ca="1">OFFSET(A118,0, 1) -0</f>
        <v>17.942317027682293</v>
      </c>
      <c r="BG118" s="1">
        <f ca="1">OFFSET(A118,0, 6) -0</f>
        <v>29.126816870701987</v>
      </c>
      <c r="BH118" s="1">
        <f ca="1">OFFSET(A118,0, 9) -0</f>
        <v>-8.162483223486106</v>
      </c>
      <c r="BI118" s="1">
        <f ca="1">OFFSET(A118,0, 2) -0</f>
        <v>32.179216996285959</v>
      </c>
      <c r="BJ118" s="1">
        <f ca="1">OFFSET(A118,0, 11) -0</f>
        <v>10.311316713721908</v>
      </c>
      <c r="BK118" s="1">
        <f ca="1">OFFSET(A118,0, 7) -0</f>
        <v>-56.63628316069412</v>
      </c>
      <c r="BL118" s="1">
        <f ca="1">OFFSET(A118,0, 12) -0</f>
        <v>14.548216682325872</v>
      </c>
      <c r="BM118" s="1">
        <f ca="1">OFFSET(A118,0, 8) -0</f>
        <v>-12.399383192089999</v>
      </c>
      <c r="BN118" s="1">
        <f ca="1">OFFSET(A118,0, 10) -0</f>
        <v>6.074416745117901</v>
      </c>
      <c r="BO118" s="1">
        <f ca="1">OFFSET(A118,0, 18) -0</f>
        <v>19.969616493949843</v>
      </c>
      <c r="BP118" s="1">
        <f ca="1">OFFSET(A118,0, 16) -0</f>
        <v>11.495816556741829</v>
      </c>
      <c r="BQ118" s="1">
        <f ca="1">OFFSET(A118,0, 14) -0</f>
        <v>-6.9779833804661848</v>
      </c>
      <c r="BR118" s="1">
        <f ca="1">OFFSET(A118,0, 13) -0</f>
        <v>-1.2148833490701492</v>
      </c>
      <c r="BS118" s="1">
        <f ca="1">OFFSET(A118,0, 17) -0</f>
        <v>5.7327165253457224</v>
      </c>
      <c r="BT118" s="1">
        <f ca="1">OFFSET(A118,0, 20) -0</f>
        <v>-11.55658356884237</v>
      </c>
      <c r="BU118" s="1">
        <f ca="1">OFFSET(A118,0, 15) -0</f>
        <v>7.2589165881378221</v>
      </c>
      <c r="BV118" s="1">
        <f ca="1">OFFSET(A118,0, 22) -0</f>
        <v>-3.0827836316343564</v>
      </c>
      <c r="BW118" s="1">
        <f ca="1">OFFSET(A118,0, 19) -0</f>
        <v>-5.7934835374462637</v>
      </c>
      <c r="BX118" s="1">
        <f ca="1">OFFSET(A118,0, 24) -0</f>
        <v>-14.60898369442657</v>
      </c>
      <c r="BY118" s="1">
        <f ca="1">OFFSET(A118,0, 21) -0</f>
        <v>-67.31968360023825</v>
      </c>
      <c r="BZ118" s="1">
        <f ca="1">OFFSET(A118,0, 23) -0</f>
        <v>-18.845883663030236</v>
      </c>
      <c r="CB118" s="1">
        <f>COUNTIF(B118,"&lt;-69")</f>
        <v>0</v>
      </c>
      <c r="CC118" s="1">
        <f ca="1">COUNTIF(BC118:BN118,"&lt;-49")</f>
        <v>1</v>
      </c>
      <c r="CD118" s="1">
        <f ca="1">COUNTIF(BC118:BN118,"&gt;+49")</f>
        <v>0</v>
      </c>
      <c r="CE118" s="1">
        <f ca="1">COUNTIF(BO118:BZ118,"&lt;-49")</f>
        <v>1</v>
      </c>
      <c r="CF118" s="1">
        <f ca="1">COUNTIF(BO118:BZ118,"&gt;+49")</f>
        <v>0</v>
      </c>
    </row>
    <row r="119" spans="1:84">
      <c r="A119" s="1">
        <v>116</v>
      </c>
      <c r="B119" s="1">
        <f>'Team B 1'!B119-'Team B 1'!$AA119-('Team B 1'!B$2- 12.5)*'Team B 1'!$AC119</f>
        <v>16.892647697597113</v>
      </c>
      <c r="C119" s="1">
        <f>'Team B 1'!C119-'Team B 1'!$AA119-('Team B 1'!C$2- 12.5)*'Team B 1'!$AC119</f>
        <v>21.764301520991012</v>
      </c>
      <c r="D119" s="1">
        <f>'Team B 1'!D119-'Team B 1'!$AA119-('Team B 1'!D$2- 12.5)*'Team B 1'!$AC119</f>
        <v>-3.3640446556150891</v>
      </c>
      <c r="E119" s="1">
        <f>'Team B 1'!E119-'Team B 1'!$AA119-('Team B 1'!E$2- 12.5)*'Team B 1'!$AC119</f>
        <v>31.507609167779037</v>
      </c>
      <c r="F119" s="1">
        <f>'Team B 1'!F119-'Team B 1'!$AA119-('Team B 1'!F$2- 12.5)*'Team B 1'!$AC119</f>
        <v>6.3792629911729364</v>
      </c>
      <c r="G119" s="1">
        <f>'Team B 1'!G119-'Team B 1'!$AA119-('Team B 1'!G$2- 12.5)*'Team B 1'!$AC119</f>
        <v>21.250916814567063</v>
      </c>
      <c r="H119" s="1">
        <f>'Team B 1'!H119-'Team B 1'!$AA119-('Team B 1'!H$2- 12.5)*'Team B 1'!$AC119</f>
        <v>6.1225706379609619</v>
      </c>
      <c r="I119" s="1">
        <f>'Team B 1'!I119-'Team B 1'!$AA119-('Team B 1'!I$2- 12.5)*'Team B 1'!$AC119</f>
        <v>-9.0057755386450253</v>
      </c>
      <c r="J119" s="1">
        <f>'Team B 1'!J119-'Team B 1'!$AA119-('Team B 1'!J$2- 12.5)*'Team B 1'!$AC119</f>
        <v>-4.1341217152511263</v>
      </c>
      <c r="K119" s="1">
        <f>'Team B 1'!K119-'Team B 1'!$AA119-('Team B 1'!K$2- 12.5)*'Team B 1'!$AC119</f>
        <v>-9.2624678918571135</v>
      </c>
      <c r="L119" s="1">
        <f>'Team B 1'!L119-'Team B 1'!$AA119-('Team B 1'!L$2- 12.5)*'Team B 1'!$AC119</f>
        <v>-14.390814068463101</v>
      </c>
      <c r="M119" s="1">
        <f>'Team B 1'!M119-'Team B 1'!$AA119-('Team B 1'!M$2- 12.5)*'Team B 1'!$AC119</f>
        <v>0.48083975493086939</v>
      </c>
      <c r="N119" s="1">
        <f>'Team B 1'!N119-'Team B 1'!$AA119-('Team B 1'!N$2- 12.5)*'Team B 1'!$AC119</f>
        <v>-4.6475064216751463</v>
      </c>
      <c r="O119" s="1">
        <f>'Team B 1'!O119-'Team B 1'!$AA119-('Team B 1'!O$2- 12.5)*'Team B 1'!$AC119</f>
        <v>20.224147401718824</v>
      </c>
      <c r="P119" s="1">
        <f>'Team B 1'!P119-'Team B 1'!$AA119-('Team B 1'!P$2- 12.5)*'Team B 1'!$AC119</f>
        <v>-4.9041987748871634</v>
      </c>
      <c r="Q119" s="1">
        <f>'Team B 1'!Q119-'Team B 1'!$AA119-('Team B 1'!Q$2- 12.5)*'Team B 1'!$AC119</f>
        <v>19.967455048506849</v>
      </c>
      <c r="R119" s="1">
        <f>'Team B 1'!R119-'Team B 1'!$AA119-('Team B 1'!R$2- 12.5)*'Team B 1'!$AC119</f>
        <v>4.8391088719007485</v>
      </c>
      <c r="S119" s="1">
        <f>'Team B 1'!S119-'Team B 1'!$AA119-('Team B 1'!S$2- 12.5)*'Team B 1'!$AC119</f>
        <v>-30.289237304705239</v>
      </c>
      <c r="T119" s="1">
        <f>'Team B 1'!T119-'Team B 1'!$AA119-('Team B 1'!T$2- 12.5)*'Team B 1'!$AC119</f>
        <v>-25.41758348131134</v>
      </c>
      <c r="U119" s="1">
        <f>'Team B 1'!U119-'Team B 1'!$AA119-('Team B 1'!U$2- 12.5)*'Team B 1'!$AC119</f>
        <v>-0.54592965791721326</v>
      </c>
      <c r="V119" s="1">
        <f>'Team B 1'!V119-'Team B 1'!$AA119-('Team B 1'!V$2- 12.5)*'Team B 1'!$AC119</f>
        <v>-35.674275834523314</v>
      </c>
      <c r="W119" s="1">
        <f>'Team B 1'!W119-'Team B 1'!$AA119-('Team B 1'!W$2- 12.5)*'Team B 1'!$AC119</f>
        <v>-0.80262201112918774</v>
      </c>
      <c r="X119" s="1">
        <f>'Team B 1'!X119-'Team B 1'!$AA119-('Team B 1'!X$2- 12.5)*'Team B 1'!$AC119</f>
        <v>-25.930968187735289</v>
      </c>
      <c r="Y119" s="1">
        <f>'Team B 1'!Y119-'Team B 1'!$AA119-('Team B 1'!Y$2- 12.5)*'Team B 1'!$AC119</f>
        <v>18.94068563565861</v>
      </c>
      <c r="AB119" s="1">
        <f>STDEV(B119:Y119)</f>
        <v>17.972473056007278</v>
      </c>
      <c r="AD119" s="5">
        <v>3</v>
      </c>
      <c r="AE119" s="5">
        <v>4</v>
      </c>
      <c r="AF119" s="5">
        <v>2</v>
      </c>
      <c r="AG119" s="5">
        <v>7</v>
      </c>
      <c r="AH119" s="5">
        <v>1</v>
      </c>
      <c r="AI119" s="5">
        <v>5</v>
      </c>
      <c r="AJ119" s="5">
        <v>6</v>
      </c>
      <c r="AK119" s="5">
        <v>9</v>
      </c>
      <c r="AL119" s="5">
        <v>8</v>
      </c>
      <c r="AM119" s="5" t="s">
        <v>46</v>
      </c>
      <c r="AN119" s="5" t="s">
        <v>45</v>
      </c>
      <c r="AO119" s="5" t="s">
        <v>47</v>
      </c>
      <c r="AP119" s="5">
        <v>4</v>
      </c>
      <c r="AQ119" s="5">
        <v>3</v>
      </c>
      <c r="AR119" s="5">
        <v>2</v>
      </c>
      <c r="AS119" s="5">
        <v>1</v>
      </c>
      <c r="AT119" s="5">
        <v>7</v>
      </c>
      <c r="AU119" s="5">
        <v>5</v>
      </c>
      <c r="AV119" s="5">
        <v>9</v>
      </c>
      <c r="AW119" s="5">
        <v>6</v>
      </c>
      <c r="AX119" s="5" t="s">
        <v>46</v>
      </c>
      <c r="AY119" s="5">
        <v>8</v>
      </c>
      <c r="AZ119" s="5" t="s">
        <v>47</v>
      </c>
      <c r="BA119" s="5" t="s">
        <v>45</v>
      </c>
      <c r="BB119" s="5"/>
      <c r="BC119" s="1">
        <f ca="1">OFFSET(A119,0, 5) -0</f>
        <v>6.3792629911729364</v>
      </c>
      <c r="BD119" s="1">
        <f ca="1">OFFSET(A119,0, 3) -0</f>
        <v>-3.3640446556150891</v>
      </c>
      <c r="BE119" s="1">
        <f ca="1">OFFSET(A119,0, 1) -0</f>
        <v>16.892647697597113</v>
      </c>
      <c r="BF119" s="1">
        <f ca="1">OFFSET(A119,0, 2) -0</f>
        <v>21.764301520991012</v>
      </c>
      <c r="BG119" s="1">
        <f ca="1">OFFSET(A119,0, 6) -0</f>
        <v>21.250916814567063</v>
      </c>
      <c r="BH119" s="1">
        <f ca="1">OFFSET(A119,0, 7) -0</f>
        <v>6.1225706379609619</v>
      </c>
      <c r="BI119" s="1">
        <f ca="1">OFFSET(A119,0, 4) -0</f>
        <v>31.507609167779037</v>
      </c>
      <c r="BJ119" s="1">
        <f ca="1">OFFSET(A119,0, 9) -0</f>
        <v>-4.1341217152511263</v>
      </c>
      <c r="BK119" s="1">
        <f ca="1">OFFSET(A119,0, 8) -0</f>
        <v>-9.0057755386450253</v>
      </c>
      <c r="BL119" s="1">
        <f ca="1">OFFSET(A119,0, 11) -0</f>
        <v>-14.390814068463101</v>
      </c>
      <c r="BM119" s="1">
        <f ca="1">OFFSET(A119,0, 10) -0</f>
        <v>-9.2624678918571135</v>
      </c>
      <c r="BN119" s="1">
        <f ca="1">OFFSET(A119,0, 12) -0</f>
        <v>0.48083975493086939</v>
      </c>
      <c r="BO119" s="1">
        <f ca="1">OFFSET(A119,0, 16) -0</f>
        <v>19.967455048506849</v>
      </c>
      <c r="BP119" s="1">
        <f ca="1">OFFSET(A119,0, 15) -0</f>
        <v>-4.9041987748871634</v>
      </c>
      <c r="BQ119" s="1">
        <f ca="1">OFFSET(A119,0, 14) -0</f>
        <v>20.224147401718824</v>
      </c>
      <c r="BR119" s="1">
        <f ca="1">OFFSET(A119,0, 13) -0</f>
        <v>-4.6475064216751463</v>
      </c>
      <c r="BS119" s="1">
        <f ca="1">OFFSET(A119,0, 18) -0</f>
        <v>-30.289237304705239</v>
      </c>
      <c r="BT119" s="1">
        <f ca="1">OFFSET(A119,0, 20) -0</f>
        <v>-0.54592965791721326</v>
      </c>
      <c r="BU119" s="1">
        <f ca="1">OFFSET(A119,0, 17) -0</f>
        <v>4.8391088719007485</v>
      </c>
      <c r="BV119" s="1">
        <f ca="1">OFFSET(A119,0, 22) -0</f>
        <v>-0.80262201112918774</v>
      </c>
      <c r="BW119" s="1">
        <f ca="1">OFFSET(A119,0, 19) -0</f>
        <v>-25.41758348131134</v>
      </c>
      <c r="BX119" s="1">
        <f ca="1">OFFSET(A119,0, 24) -0</f>
        <v>18.94068563565861</v>
      </c>
      <c r="BY119" s="1">
        <f ca="1">OFFSET(A119,0, 21) -0</f>
        <v>-35.674275834523314</v>
      </c>
      <c r="BZ119" s="1">
        <f ca="1">OFFSET(A119,0, 23) -0</f>
        <v>-25.930968187735289</v>
      </c>
      <c r="CB119" s="1">
        <f>COUNTIF(B119,"&lt;-69")</f>
        <v>0</v>
      </c>
      <c r="CC119" s="1">
        <f ca="1">COUNTIF(BC119:BN119,"&lt;-49")</f>
        <v>0</v>
      </c>
      <c r="CD119" s="1">
        <f ca="1">COUNTIF(BC119:BN119,"&gt;+49")</f>
        <v>0</v>
      </c>
      <c r="CE119" s="1">
        <f ca="1">COUNTIF(BO119:BZ119,"&lt;-49")</f>
        <v>0</v>
      </c>
      <c r="CF119" s="1">
        <f ca="1">COUNTIF(BO119:BZ119,"&gt;+49")</f>
        <v>0</v>
      </c>
    </row>
    <row r="120" spans="1:84">
      <c r="A120" s="1">
        <v>117</v>
      </c>
      <c r="B120" s="1">
        <f>'Team B 1'!B120-'Team B 1'!$AA120-('Team B 1'!B$2- 12.5)*'Team B 1'!$AC120</f>
        <v>4.6185901544599801</v>
      </c>
      <c r="C120" s="1">
        <f>'Team B 1'!C120-'Team B 1'!$AA120-('Team B 1'!C$2- 12.5)*'Team B 1'!$AC120</f>
        <v>49.615524343930474</v>
      </c>
      <c r="D120" s="1">
        <f>'Team B 1'!D120-'Team B 1'!$AA120-('Team B 1'!D$2- 12.5)*'Team B 1'!$AC120</f>
        <v>24.612458533401195</v>
      </c>
      <c r="E120" s="1">
        <f>'Team B 1'!E120-'Team B 1'!$AA120-('Team B 1'!E$2- 12.5)*'Team B 1'!$AC120</f>
        <v>-10.390607277128311</v>
      </c>
      <c r="F120" s="1">
        <f>'Team B 1'!F120-'Team B 1'!$AA120-('Team B 1'!F$2- 12.5)*'Team B 1'!$AC120</f>
        <v>14.606326912342411</v>
      </c>
      <c r="G120" s="1">
        <f>'Team B 1'!G120-'Team B 1'!$AA120-('Team B 1'!G$2- 12.5)*'Team B 1'!$AC120</f>
        <v>-0.3967388981870954</v>
      </c>
      <c r="H120" s="1">
        <f>'Team B 1'!H120-'Team B 1'!$AA120-('Team B 1'!H$2- 12.5)*'Team B 1'!$AC120</f>
        <v>14.600195291283626</v>
      </c>
      <c r="I120" s="1">
        <f>'Team B 1'!I120-'Team B 1'!$AA120-('Team B 1'!I$2- 12.5)*'Team B 1'!$AC120</f>
        <v>-0.40287051924576645</v>
      </c>
      <c r="J120" s="1">
        <f>'Team B 1'!J120-'Team B 1'!$AA120-('Team B 1'!J$2- 12.5)*'Team B 1'!$AC120</f>
        <v>4.5940636702249549</v>
      </c>
      <c r="K120" s="1">
        <f>'Team B 1'!K120-'Team B 1'!$AA120-('Team B 1'!K$2- 12.5)*'Team B 1'!$AC120</f>
        <v>-20.409002140304437</v>
      </c>
      <c r="L120" s="1">
        <f>'Team B 1'!L120-'Team B 1'!$AA120-('Team B 1'!L$2- 12.5)*'Team B 1'!$AC120</f>
        <v>-5.4120679508338299</v>
      </c>
      <c r="M120" s="1">
        <f>'Team B 1'!M120-'Team B 1'!$AA120-('Team B 1'!M$2- 12.5)*'Team B 1'!$AC120</f>
        <v>-20.41513376136318</v>
      </c>
      <c r="N120" s="1">
        <f>'Team B 1'!N120-'Team B 1'!$AA120-('Team B 1'!N$2- 12.5)*'Team B 1'!$AC120</f>
        <v>24.581800428107456</v>
      </c>
      <c r="O120" s="1">
        <f>'Team B 1'!O120-'Team B 1'!$AA120-('Team B 1'!O$2- 12.5)*'Team B 1'!$AC120</f>
        <v>-0.42126538242189326</v>
      </c>
      <c r="P120" s="1">
        <f>'Team B 1'!P120-'Team B 1'!$AA120-('Team B 1'!P$2- 12.5)*'Team B 1'!$AC120</f>
        <v>14.575668807048714</v>
      </c>
      <c r="Q120" s="1">
        <f>'Team B 1'!Q120-'Team B 1'!$AA120-('Team B 1'!Q$2- 12.5)*'Team B 1'!$AC120</f>
        <v>29.572602996519322</v>
      </c>
      <c r="R120" s="1">
        <f>'Team B 1'!R120-'Team B 1'!$AA120-('Team B 1'!R$2- 12.5)*'Team B 1'!$AC120</f>
        <v>-15.430462814009957</v>
      </c>
      <c r="S120" s="1">
        <f>'Team B 1'!S120-'Team B 1'!$AA120-('Team B 1'!S$2- 12.5)*'Team B 1'!$AC120</f>
        <v>-10.433528624539349</v>
      </c>
      <c r="T120" s="1">
        <f>'Team B 1'!T120-'Team B 1'!$AA120-('Team B 1'!T$2- 12.5)*'Team B 1'!$AC120</f>
        <v>-15.436594435068628</v>
      </c>
      <c r="U120" s="1">
        <f>'Team B 1'!U120-'Team B 1'!$AA120-('Team B 1'!U$2- 12.5)*'Team B 1'!$AC120</f>
        <v>-30.439660245598134</v>
      </c>
      <c r="V120" s="1">
        <f>'Team B 1'!V120-'Team B 1'!$AA120-('Team B 1'!V$2- 12.5)*'Team B 1'!$AC120</f>
        <v>-45.442726056127412</v>
      </c>
      <c r="W120" s="1">
        <f>'Team B 1'!W120-'Team B 1'!$AA120-('Team B 1'!W$2- 12.5)*'Team B 1'!$AC120</f>
        <v>-20.445791866656919</v>
      </c>
      <c r="X120" s="1">
        <f>'Team B 1'!X120-'Team B 1'!$AA120-('Team B 1'!X$2- 12.5)*'Team B 1'!$AC120</f>
        <v>-5.4488576771861972</v>
      </c>
      <c r="Y120" s="1">
        <f>'Team B 1'!Y120-'Team B 1'!$AA120-('Team B 1'!Y$2- 12.5)*'Team B 1'!$AC120</f>
        <v>19.548076512284297</v>
      </c>
      <c r="AB120" s="1">
        <f>STDEV(B120:Y120)</f>
        <v>21.473381023514321</v>
      </c>
      <c r="AD120" s="5">
        <v>3</v>
      </c>
      <c r="AE120" s="5">
        <v>4</v>
      </c>
      <c r="AF120" s="5">
        <v>1</v>
      </c>
      <c r="AG120" s="5">
        <v>2</v>
      </c>
      <c r="AH120" s="5">
        <v>5</v>
      </c>
      <c r="AI120" s="5">
        <v>7</v>
      </c>
      <c r="AJ120" s="5">
        <v>6</v>
      </c>
      <c r="AK120" s="5">
        <v>9</v>
      </c>
      <c r="AL120" s="5">
        <v>8</v>
      </c>
      <c r="AM120" s="5" t="s">
        <v>46</v>
      </c>
      <c r="AN120" s="5" t="s">
        <v>45</v>
      </c>
      <c r="AO120" s="5" t="s">
        <v>47</v>
      </c>
      <c r="AP120" s="5">
        <v>3</v>
      </c>
      <c r="AQ120" s="5">
        <v>4</v>
      </c>
      <c r="AR120" s="5">
        <v>2</v>
      </c>
      <c r="AS120" s="5">
        <v>1</v>
      </c>
      <c r="AT120" s="5">
        <v>5</v>
      </c>
      <c r="AU120" s="5">
        <v>6</v>
      </c>
      <c r="AV120" s="5">
        <v>7</v>
      </c>
      <c r="AW120" s="5">
        <v>8</v>
      </c>
      <c r="AX120" s="5">
        <v>9</v>
      </c>
      <c r="AY120" s="5" t="s">
        <v>45</v>
      </c>
      <c r="AZ120" s="5" t="s">
        <v>46</v>
      </c>
      <c r="BA120" s="5" t="s">
        <v>47</v>
      </c>
      <c r="BB120" s="5"/>
      <c r="BC120" s="1">
        <f ca="1">OFFSET(A120,0, 3) -0</f>
        <v>24.612458533401195</v>
      </c>
      <c r="BD120" s="1">
        <f ca="1">OFFSET(A120,0, 4) -0</f>
        <v>-10.390607277128311</v>
      </c>
      <c r="BE120" s="1">
        <f ca="1">OFFSET(A120,0, 1) -0</f>
        <v>4.6185901544599801</v>
      </c>
      <c r="BF120" s="1">
        <f ca="1">OFFSET(A120,0, 2) -0</f>
        <v>49.615524343930474</v>
      </c>
      <c r="BG120" s="1">
        <f ca="1">OFFSET(A120,0, 5) -0</f>
        <v>14.606326912342411</v>
      </c>
      <c r="BH120" s="1">
        <f ca="1">OFFSET(A120,0, 7) -0</f>
        <v>14.600195291283626</v>
      </c>
      <c r="BI120" s="1">
        <f ca="1">OFFSET(A120,0, 6) -0</f>
        <v>-0.3967388981870954</v>
      </c>
      <c r="BJ120" s="1">
        <f ca="1">OFFSET(A120,0, 9) -0</f>
        <v>4.5940636702249549</v>
      </c>
      <c r="BK120" s="1">
        <f ca="1">OFFSET(A120,0, 8) -0</f>
        <v>-0.40287051924576645</v>
      </c>
      <c r="BL120" s="1">
        <f ca="1">OFFSET(A120,0, 11) -0</f>
        <v>-5.4120679508338299</v>
      </c>
      <c r="BM120" s="1">
        <f ca="1">OFFSET(A120,0, 10) -0</f>
        <v>-20.409002140304437</v>
      </c>
      <c r="BN120" s="1">
        <f ca="1">OFFSET(A120,0, 12) -0</f>
        <v>-20.41513376136318</v>
      </c>
      <c r="BO120" s="1">
        <f ca="1">OFFSET(A120,0, 16) -0</f>
        <v>29.572602996519322</v>
      </c>
      <c r="BP120" s="1">
        <f ca="1">OFFSET(A120,0, 15) -0</f>
        <v>14.575668807048714</v>
      </c>
      <c r="BQ120" s="1">
        <f ca="1">OFFSET(A120,0, 13) -0</f>
        <v>24.581800428107456</v>
      </c>
      <c r="BR120" s="1">
        <f ca="1">OFFSET(A120,0, 14) -0</f>
        <v>-0.42126538242189326</v>
      </c>
      <c r="BS120" s="1">
        <f ca="1">OFFSET(A120,0, 17) -0</f>
        <v>-15.430462814009957</v>
      </c>
      <c r="BT120" s="1">
        <f ca="1">OFFSET(A120,0, 18) -0</f>
        <v>-10.433528624539349</v>
      </c>
      <c r="BU120" s="1">
        <f ca="1">OFFSET(A120,0, 19) -0</f>
        <v>-15.436594435068628</v>
      </c>
      <c r="BV120" s="1">
        <f ca="1">OFFSET(A120,0, 20) -0</f>
        <v>-30.439660245598134</v>
      </c>
      <c r="BW120" s="1">
        <f ca="1">OFFSET(A120,0, 21) -0</f>
        <v>-45.442726056127412</v>
      </c>
      <c r="BX120" s="1">
        <f ca="1">OFFSET(A120,0, 22) -0</f>
        <v>-20.445791866656919</v>
      </c>
      <c r="BY120" s="1">
        <f ca="1">OFFSET(A120,0, 23) -0</f>
        <v>-5.4488576771861972</v>
      </c>
      <c r="BZ120" s="1">
        <f ca="1">OFFSET(A120,0, 24) -0</f>
        <v>19.548076512284297</v>
      </c>
      <c r="CB120" s="1">
        <f>COUNTIF(B120,"&lt;-69")</f>
        <v>0</v>
      </c>
      <c r="CC120" s="1">
        <f ca="1">COUNTIF(BC120:BN120,"&lt;-49")</f>
        <v>0</v>
      </c>
      <c r="CD120" s="1">
        <f ca="1">COUNTIF(BC120:BN120,"&gt;+49")</f>
        <v>1</v>
      </c>
      <c r="CE120" s="1">
        <f ca="1">COUNTIF(BO120:BZ120,"&lt;-49")</f>
        <v>0</v>
      </c>
      <c r="CF120" s="1">
        <f ca="1">COUNTIF(BO120:BZ120,"&gt;+49")</f>
        <v>0</v>
      </c>
    </row>
    <row r="121" spans="1:84">
      <c r="A121" s="1">
        <v>118</v>
      </c>
      <c r="B121" s="1">
        <f>'Team B 1'!B121-'Team B 1'!$AA121-('Team B 1'!B$2- 12.5)*'Team B 1'!$AC121</f>
        <v>15.966010786581137</v>
      </c>
      <c r="C121" s="1">
        <f>'Team B 1'!C121-'Team B 1'!$AA121-('Team B 1'!C$2- 12.5)*'Team B 1'!$AC121</f>
        <v>41.063169268910997</v>
      </c>
      <c r="D121" s="1">
        <f>'Team B 1'!D121-'Team B 1'!$AA121-('Team B 1'!D$2- 12.5)*'Team B 1'!$AC121</f>
        <v>36.160327751240629</v>
      </c>
      <c r="E121" s="1">
        <f>'Team B 1'!E121-'Team B 1'!$AA121-('Team B 1'!E$2- 12.5)*'Team B 1'!$AC121</f>
        <v>1.2574862335702619</v>
      </c>
      <c r="F121" s="1">
        <f>'Team B 1'!F121-'Team B 1'!$AA121-('Team B 1'!F$2- 12.5)*'Team B 1'!$AC121</f>
        <v>6.3546447158998944</v>
      </c>
      <c r="G121" s="1">
        <f>'Team B 1'!G121-'Team B 1'!$AA121-('Team B 1'!G$2- 12.5)*'Team B 1'!$AC121</f>
        <v>21.451803198229527</v>
      </c>
      <c r="H121" s="1">
        <f>'Team B 1'!H121-'Team B 1'!$AA121-('Team B 1'!H$2- 12.5)*'Team B 1'!$AC121</f>
        <v>-13.45103831944084</v>
      </c>
      <c r="I121" s="1">
        <f>'Team B 1'!I121-'Team B 1'!$AA121-('Team B 1'!I$2- 12.5)*'Team B 1'!$AC121</f>
        <v>41.646120162888792</v>
      </c>
      <c r="J121" s="1">
        <f>'Team B 1'!J121-'Team B 1'!$AA121-('Team B 1'!J$2- 12.5)*'Team B 1'!$AC121</f>
        <v>6.7432786452184246</v>
      </c>
      <c r="K121" s="1">
        <f>'Team B 1'!K121-'Team B 1'!$AA121-('Team B 1'!K$2- 12.5)*'Team B 1'!$AC121</f>
        <v>-48.159562872451943</v>
      </c>
      <c r="L121" s="1">
        <f>'Team B 1'!L121-'Team B 1'!$AA121-('Team B 1'!L$2- 12.5)*'Team B 1'!$AC121</f>
        <v>-33.06240439012231</v>
      </c>
      <c r="M121" s="1">
        <f>'Team B 1'!M121-'Team B 1'!$AA121-('Team B 1'!M$2- 12.5)*'Team B 1'!$AC121</f>
        <v>-17.965245907792678</v>
      </c>
      <c r="N121" s="1">
        <f>'Team B 1'!N121-'Team B 1'!$AA121-('Team B 1'!N$2- 12.5)*'Team B 1'!$AC121</f>
        <v>-2.8680874254630453</v>
      </c>
      <c r="O121" s="1">
        <f>'Team B 1'!O121-'Team B 1'!$AA121-('Team B 1'!O$2- 12.5)*'Team B 1'!$AC121</f>
        <v>22.229071056866587</v>
      </c>
      <c r="P121" s="1">
        <f>'Team B 1'!P121-'Team B 1'!$AA121-('Team B 1'!P$2- 12.5)*'Team B 1'!$AC121</f>
        <v>17.32622953919622</v>
      </c>
      <c r="Q121" s="1">
        <f>'Team B 1'!Q121-'Team B 1'!$AA121-('Team B 1'!Q$2- 12.5)*'Team B 1'!$AC121</f>
        <v>-7.5766119784741477</v>
      </c>
      <c r="R121" s="1">
        <f>'Team B 1'!R121-'Team B 1'!$AA121-('Team B 1'!R$2- 12.5)*'Team B 1'!$AC121</f>
        <v>-2.4794534961445152</v>
      </c>
      <c r="S121" s="1">
        <f>'Team B 1'!S121-'Team B 1'!$AA121-('Team B 1'!S$2- 12.5)*'Team B 1'!$AC121</f>
        <v>-7.3822950138148826</v>
      </c>
      <c r="T121" s="1">
        <f>'Team B 1'!T121-'Team B 1'!$AA121-('Team B 1'!T$2- 12.5)*'Team B 1'!$AC121</f>
        <v>-2.2851365314852501</v>
      </c>
      <c r="U121" s="1">
        <f>'Team B 1'!U121-'Team B 1'!$AA121-('Team B 1'!U$2- 12.5)*'Team B 1'!$AC121</f>
        <v>-7.1879780491556176</v>
      </c>
      <c r="V121" s="1">
        <f>'Team B 1'!V121-'Team B 1'!$AA121-('Team B 1'!V$2- 12.5)*'Team B 1'!$AC121</f>
        <v>-52.090819566825985</v>
      </c>
      <c r="W121" s="1">
        <f>'Team B 1'!W121-'Team B 1'!$AA121-('Team B 1'!W$2- 12.5)*'Team B 1'!$AC121</f>
        <v>-16.993661084496352</v>
      </c>
      <c r="X121" s="1">
        <f>'Team B 1'!X121-'Team B 1'!$AA121-('Team B 1'!X$2- 12.5)*'Team B 1'!$AC121</f>
        <v>-21.89650260216672</v>
      </c>
      <c r="Y121" s="1">
        <f>'Team B 1'!Y121-'Team B 1'!$AA121-('Team B 1'!Y$2- 12.5)*'Team B 1'!$AC121</f>
        <v>23.20065588016314</v>
      </c>
      <c r="AB121" s="1">
        <f>STDEV(B121:Y121)</f>
        <v>25.060177946673548</v>
      </c>
      <c r="AD121" s="5">
        <v>4</v>
      </c>
      <c r="AE121" s="5">
        <v>3</v>
      </c>
      <c r="AF121" s="5">
        <v>1</v>
      </c>
      <c r="AG121" s="5">
        <v>2</v>
      </c>
      <c r="AH121" s="5">
        <v>6</v>
      </c>
      <c r="AI121" s="5">
        <v>5</v>
      </c>
      <c r="AJ121" s="5">
        <v>8</v>
      </c>
      <c r="AK121" s="5">
        <v>7</v>
      </c>
      <c r="AL121" s="5" t="s">
        <v>45</v>
      </c>
      <c r="AM121" s="5">
        <v>9</v>
      </c>
      <c r="AN121" s="5" t="s">
        <v>47</v>
      </c>
      <c r="AO121" s="5" t="s">
        <v>46</v>
      </c>
      <c r="AP121" s="5">
        <v>4</v>
      </c>
      <c r="AQ121" s="5">
        <v>1</v>
      </c>
      <c r="AR121" s="5">
        <v>3</v>
      </c>
      <c r="AS121" s="5">
        <v>2</v>
      </c>
      <c r="AT121" s="5">
        <v>5</v>
      </c>
      <c r="AU121" s="5">
        <v>6</v>
      </c>
      <c r="AV121" s="5">
        <v>7</v>
      </c>
      <c r="AW121" s="5">
        <v>8</v>
      </c>
      <c r="AX121" s="5">
        <v>9</v>
      </c>
      <c r="AY121" s="5" t="s">
        <v>45</v>
      </c>
      <c r="AZ121" s="5" t="s">
        <v>46</v>
      </c>
      <c r="BA121" s="5" t="s">
        <v>47</v>
      </c>
      <c r="BB121" s="5"/>
      <c r="BC121" s="1">
        <f ca="1">OFFSET(A121,0, 3) -0</f>
        <v>36.160327751240629</v>
      </c>
      <c r="BD121" s="1">
        <f ca="1">OFFSET(A121,0, 4) -0</f>
        <v>1.2574862335702619</v>
      </c>
      <c r="BE121" s="1">
        <f ca="1">OFFSET(A121,0, 2) -0</f>
        <v>41.063169268910997</v>
      </c>
      <c r="BF121" s="1">
        <f ca="1">OFFSET(A121,0, 1) -0</f>
        <v>15.966010786581137</v>
      </c>
      <c r="BG121" s="1">
        <f ca="1">OFFSET(A121,0, 6) -0</f>
        <v>21.451803198229527</v>
      </c>
      <c r="BH121" s="1">
        <f ca="1">OFFSET(A121,0, 5) -0</f>
        <v>6.3546447158998944</v>
      </c>
      <c r="BI121" s="1">
        <f ca="1">OFFSET(A121,0, 8) -0</f>
        <v>41.646120162888792</v>
      </c>
      <c r="BJ121" s="1">
        <f ca="1">OFFSET(A121,0, 7) -0</f>
        <v>-13.45103831944084</v>
      </c>
      <c r="BK121" s="1">
        <f ca="1">OFFSET(A121,0, 10) -0</f>
        <v>-48.159562872451943</v>
      </c>
      <c r="BL121" s="1">
        <f ca="1">OFFSET(A121,0, 9) -0</f>
        <v>6.7432786452184246</v>
      </c>
      <c r="BM121" s="1">
        <f ca="1">OFFSET(A121,0, 12) -0</f>
        <v>-17.965245907792678</v>
      </c>
      <c r="BN121" s="1">
        <f ca="1">OFFSET(A121,0, 11) -0</f>
        <v>-33.06240439012231</v>
      </c>
      <c r="BO121" s="1">
        <f ca="1">OFFSET(A121,0, 14) -0</f>
        <v>22.229071056866587</v>
      </c>
      <c r="BP121" s="1">
        <f ca="1">OFFSET(A121,0, 16) -0</f>
        <v>-7.5766119784741477</v>
      </c>
      <c r="BQ121" s="1">
        <f ca="1">OFFSET(A121,0, 15) -0</f>
        <v>17.32622953919622</v>
      </c>
      <c r="BR121" s="1">
        <f ca="1">OFFSET(A121,0, 13) -0</f>
        <v>-2.8680874254630453</v>
      </c>
      <c r="BS121" s="1">
        <f ca="1">OFFSET(A121,0, 17) -0</f>
        <v>-2.4794534961445152</v>
      </c>
      <c r="BT121" s="1">
        <f ca="1">OFFSET(A121,0, 18) -0</f>
        <v>-7.3822950138148826</v>
      </c>
      <c r="BU121" s="1">
        <f ca="1">OFFSET(A121,0, 19) -0</f>
        <v>-2.2851365314852501</v>
      </c>
      <c r="BV121" s="1">
        <f ca="1">OFFSET(A121,0, 20) -0</f>
        <v>-7.1879780491556176</v>
      </c>
      <c r="BW121" s="1">
        <f ca="1">OFFSET(A121,0, 21) -0</f>
        <v>-52.090819566825985</v>
      </c>
      <c r="BX121" s="1">
        <f ca="1">OFFSET(A121,0, 22) -0</f>
        <v>-16.993661084496352</v>
      </c>
      <c r="BY121" s="1">
        <f ca="1">OFFSET(A121,0, 23) -0</f>
        <v>-21.89650260216672</v>
      </c>
      <c r="BZ121" s="1">
        <f ca="1">OFFSET(A121,0, 24) -0</f>
        <v>23.20065588016314</v>
      </c>
      <c r="CB121" s="1">
        <f>COUNTIF(B121,"&lt;-69")</f>
        <v>0</v>
      </c>
      <c r="CC121" s="1">
        <f ca="1">COUNTIF(BC121:BN121,"&lt;-49")</f>
        <v>0</v>
      </c>
      <c r="CD121" s="1">
        <f ca="1">COUNTIF(BC121:BN121,"&gt;+49")</f>
        <v>0</v>
      </c>
      <c r="CE121" s="1">
        <f ca="1">COUNTIF(BO121:BZ121,"&lt;-49")</f>
        <v>1</v>
      </c>
      <c r="CF121" s="1">
        <f ca="1">COUNTIF(BO121:BZ121,"&gt;+49")</f>
        <v>0</v>
      </c>
    </row>
    <row r="122" spans="1:84">
      <c r="A122" s="1">
        <v>119</v>
      </c>
      <c r="B122" s="1">
        <f>'Team B 1'!B122-'Team B 1'!$AA122-('Team B 1'!B$2- 12.5)*'Team B 1'!$AC122</f>
        <v>-6.7937775657010206</v>
      </c>
      <c r="C122" s="1">
        <f>'Team B 1'!C122-'Team B 1'!$AA122-('Team B 1'!C$2- 12.5)*'Team B 1'!$AC122</f>
        <v>8.0361161356640878</v>
      </c>
      <c r="D122" s="1">
        <f>'Team B 1'!D122-'Team B 1'!$AA122-('Team B 1'!D$2- 12.5)*'Team B 1'!$AC122</f>
        <v>2.866009837029651</v>
      </c>
      <c r="E122" s="1">
        <f>'Team B 1'!E122-'Team B 1'!$AA122-('Team B 1'!E$2- 12.5)*'Team B 1'!$AC122</f>
        <v>-22.304096461605013</v>
      </c>
      <c r="F122" s="1">
        <f>'Team B 1'!F122-'Team B 1'!$AA122-('Team B 1'!F$2- 12.5)*'Team B 1'!$AC122</f>
        <v>2.5257972397600952</v>
      </c>
      <c r="G122" s="1">
        <f>'Team B 1'!G122-'Team B 1'!$AA122-('Team B 1'!G$2- 12.5)*'Team B 1'!$AC122</f>
        <v>47.355690941125431</v>
      </c>
      <c r="H122" s="1">
        <f>'Team B 1'!H122-'Team B 1'!$AA122-('Team B 1'!H$2- 12.5)*'Team B 1'!$AC122</f>
        <v>2.1855846424907668</v>
      </c>
      <c r="I122" s="1">
        <f>'Team B 1'!I122-'Team B 1'!$AA122-('Team B 1'!I$2- 12.5)*'Team B 1'!$AC122</f>
        <v>27.015478343856103</v>
      </c>
      <c r="J122" s="1">
        <f>'Team B 1'!J122-'Team B 1'!$AA122-('Team B 1'!J$2- 12.5)*'Team B 1'!$AC122</f>
        <v>1.8453720452214384</v>
      </c>
      <c r="K122" s="1">
        <f>'Team B 1'!K122-'Team B 1'!$AA122-('Team B 1'!K$2- 12.5)*'Team B 1'!$AC122</f>
        <v>-33.324734253413283</v>
      </c>
      <c r="L122" s="1">
        <f>'Team B 1'!L122-'Team B 1'!$AA122-('Team B 1'!L$2- 12.5)*'Team B 1'!$AC122</f>
        <v>-68.494840552047947</v>
      </c>
      <c r="M122" s="1">
        <f>'Team B 1'!M122-'Team B 1'!$AA122-('Team B 1'!M$2- 12.5)*'Team B 1'!$AC122</f>
        <v>-43.664946850682654</v>
      </c>
      <c r="N122" s="1">
        <f>'Team B 1'!N122-'Team B 1'!$AA122-('Team B 1'!N$2- 12.5)*'Team B 1'!$AC122</f>
        <v>1.1649468506826537</v>
      </c>
      <c r="O122" s="1">
        <f>'Team B 1'!O122-'Team B 1'!$AA122-('Team B 1'!O$2- 12.5)*'Team B 1'!$AC122</f>
        <v>25.994840552047947</v>
      </c>
      <c r="P122" s="1">
        <f>'Team B 1'!P122-'Team B 1'!$AA122-('Team B 1'!P$2- 12.5)*'Team B 1'!$AC122</f>
        <v>10.824734253413283</v>
      </c>
      <c r="Q122" s="1">
        <f>'Team B 1'!Q122-'Team B 1'!$AA122-('Team B 1'!Q$2- 12.5)*'Team B 1'!$AC122</f>
        <v>15.654627954778562</v>
      </c>
      <c r="R122" s="1">
        <f>'Team B 1'!R122-'Team B 1'!$AA122-('Team B 1'!R$2- 12.5)*'Team B 1'!$AC122</f>
        <v>30.484521656143897</v>
      </c>
      <c r="S122" s="1">
        <f>'Team B 1'!S122-'Team B 1'!$AA122-('Team B 1'!S$2- 12.5)*'Team B 1'!$AC122</f>
        <v>5.3144153575092332</v>
      </c>
      <c r="T122" s="1">
        <f>'Team B 1'!T122-'Team B 1'!$AA122-('Team B 1'!T$2- 12.5)*'Team B 1'!$AC122</f>
        <v>-29.855690941125431</v>
      </c>
      <c r="U122" s="1">
        <f>'Team B 1'!U122-'Team B 1'!$AA122-('Team B 1'!U$2- 12.5)*'Team B 1'!$AC122</f>
        <v>-55.025797239760095</v>
      </c>
      <c r="V122" s="1">
        <f>'Team B 1'!V122-'Team B 1'!$AA122-('Team B 1'!V$2- 12.5)*'Team B 1'!$AC122</f>
        <v>29.804096461605013</v>
      </c>
      <c r="W122" s="1">
        <f>'Team B 1'!W122-'Team B 1'!$AA122-('Team B 1'!W$2- 12.5)*'Team B 1'!$AC122</f>
        <v>24.633990162970349</v>
      </c>
      <c r="X122" s="1">
        <f>'Team B 1'!X122-'Team B 1'!$AA122-('Team B 1'!X$2- 12.5)*'Team B 1'!$AC122</f>
        <v>9.4638838643359122</v>
      </c>
      <c r="Y122" s="1">
        <f>'Team B 1'!Y122-'Team B 1'!$AA122-('Team B 1'!Y$2- 12.5)*'Team B 1'!$AC122</f>
        <v>14.293777565701021</v>
      </c>
      <c r="AB122" s="1">
        <f>STDEV(B122:Y122)</f>
        <v>28.754708470541416</v>
      </c>
      <c r="AD122" s="5">
        <v>1</v>
      </c>
      <c r="AE122" s="5">
        <v>4</v>
      </c>
      <c r="AF122" s="5">
        <v>2</v>
      </c>
      <c r="AG122" s="5">
        <v>3</v>
      </c>
      <c r="AH122" s="5">
        <v>6</v>
      </c>
      <c r="AI122" s="5">
        <v>5</v>
      </c>
      <c r="AJ122" s="5">
        <v>8</v>
      </c>
      <c r="AK122" s="5">
        <v>7</v>
      </c>
      <c r="AL122" s="5" t="s">
        <v>45</v>
      </c>
      <c r="AM122" s="5">
        <v>9</v>
      </c>
      <c r="AN122" s="5" t="s">
        <v>47</v>
      </c>
      <c r="AO122" s="5" t="s">
        <v>46</v>
      </c>
      <c r="AP122" s="5">
        <v>4</v>
      </c>
      <c r="AQ122" s="5">
        <v>1</v>
      </c>
      <c r="AR122" s="5">
        <v>2</v>
      </c>
      <c r="AS122" s="5">
        <v>6</v>
      </c>
      <c r="AT122" s="5">
        <v>3</v>
      </c>
      <c r="AU122" s="5">
        <v>8</v>
      </c>
      <c r="AV122" s="5">
        <v>5</v>
      </c>
      <c r="AW122" s="5" t="s">
        <v>45</v>
      </c>
      <c r="AX122" s="5">
        <v>7</v>
      </c>
      <c r="AY122" s="5" t="s">
        <v>47</v>
      </c>
      <c r="AZ122" s="5">
        <v>9</v>
      </c>
      <c r="BA122" s="5" t="s">
        <v>46</v>
      </c>
      <c r="BB122" s="5"/>
      <c r="BC122" s="1">
        <f ca="1">OFFSET(A122,0, 1) -0</f>
        <v>-6.7937775657010206</v>
      </c>
      <c r="BD122" s="1">
        <f ca="1">OFFSET(A122,0, 3) -0</f>
        <v>2.866009837029651</v>
      </c>
      <c r="BE122" s="1">
        <f ca="1">OFFSET(A122,0, 4) -0</f>
        <v>-22.304096461605013</v>
      </c>
      <c r="BF122" s="1">
        <f ca="1">OFFSET(A122,0, 2) -0</f>
        <v>8.0361161356640878</v>
      </c>
      <c r="BG122" s="1">
        <f ca="1">OFFSET(A122,0, 6) -0</f>
        <v>47.355690941125431</v>
      </c>
      <c r="BH122" s="1">
        <f ca="1">OFFSET(A122,0, 5) -0</f>
        <v>2.5257972397600952</v>
      </c>
      <c r="BI122" s="1">
        <f ca="1">OFFSET(A122,0, 8) -0</f>
        <v>27.015478343856103</v>
      </c>
      <c r="BJ122" s="1">
        <f ca="1">OFFSET(A122,0, 7) -0</f>
        <v>2.1855846424907668</v>
      </c>
      <c r="BK122" s="1">
        <f ca="1">OFFSET(A122,0, 10) -0</f>
        <v>-33.324734253413283</v>
      </c>
      <c r="BL122" s="1">
        <f ca="1">OFFSET(A122,0, 9) -0</f>
        <v>1.8453720452214384</v>
      </c>
      <c r="BM122" s="1">
        <f ca="1">OFFSET(A122,0, 12) -0</f>
        <v>-43.664946850682654</v>
      </c>
      <c r="BN122" s="1">
        <f ca="1">OFFSET(A122,0, 11) -0</f>
        <v>-68.494840552047947</v>
      </c>
      <c r="BO122" s="1">
        <f ca="1">OFFSET(A122,0, 14) -0</f>
        <v>25.994840552047947</v>
      </c>
      <c r="BP122" s="1">
        <f ca="1">OFFSET(A122,0, 15) -0</f>
        <v>10.824734253413283</v>
      </c>
      <c r="BQ122" s="1">
        <f ca="1">OFFSET(A122,0, 17) -0</f>
        <v>30.484521656143897</v>
      </c>
      <c r="BR122" s="1">
        <f ca="1">OFFSET(A122,0, 13) -0</f>
        <v>1.1649468506826537</v>
      </c>
      <c r="BS122" s="1">
        <f ca="1">OFFSET(A122,0, 19) -0</f>
        <v>-29.855690941125431</v>
      </c>
      <c r="BT122" s="1">
        <f ca="1">OFFSET(A122,0, 16) -0</f>
        <v>15.654627954778562</v>
      </c>
      <c r="BU122" s="1">
        <f ca="1">OFFSET(A122,0, 21) -0</f>
        <v>29.804096461605013</v>
      </c>
      <c r="BV122" s="1">
        <f ca="1">OFFSET(A122,0, 18) -0</f>
        <v>5.3144153575092332</v>
      </c>
      <c r="BW122" s="1">
        <f ca="1">OFFSET(A122,0, 23) -0</f>
        <v>9.4638838643359122</v>
      </c>
      <c r="BX122" s="1">
        <f ca="1">OFFSET(A122,0, 20) -0</f>
        <v>-55.025797239760095</v>
      </c>
      <c r="BY122" s="1">
        <f ca="1">OFFSET(A122,0, 24) -0</f>
        <v>14.293777565701021</v>
      </c>
      <c r="BZ122" s="1">
        <f ca="1">OFFSET(A122,0, 22) -0</f>
        <v>24.633990162970349</v>
      </c>
      <c r="CB122" s="1">
        <f>COUNTIF(B122,"&lt;-69")</f>
        <v>0</v>
      </c>
      <c r="CC122" s="1">
        <f ca="1">COUNTIF(BC122:BN122,"&lt;-49")</f>
        <v>1</v>
      </c>
      <c r="CD122" s="1">
        <f ca="1">COUNTIF(BC122:BN122,"&gt;+49")</f>
        <v>0</v>
      </c>
      <c r="CE122" s="1">
        <f ca="1">COUNTIF(BO122:BZ122,"&lt;-49")</f>
        <v>1</v>
      </c>
      <c r="CF122" s="1">
        <f ca="1">COUNTIF(BO122:BZ122,"&gt;+49")</f>
        <v>0</v>
      </c>
    </row>
    <row r="123" spans="1:84">
      <c r="A123" s="1">
        <v>120</v>
      </c>
      <c r="B123" s="1">
        <f>'Team B 1'!B123-'Team B 1'!$AA123-('Team B 1'!B$2- 12.5)*'Team B 1'!$AC123</f>
        <v>27.751592817800429</v>
      </c>
      <c r="C123" s="1">
        <f>'Team B 1'!C123-'Team B 1'!$AA123-('Team B 1'!C$2- 12.5)*'Team B 1'!$AC123</f>
        <v>12.113773152480917</v>
      </c>
      <c r="D123" s="1">
        <f>'Team B 1'!D123-'Team B 1'!$AA123-('Team B 1'!D$2- 12.5)*'Team B 1'!$AC123</f>
        <v>36.475953487161632</v>
      </c>
      <c r="E123" s="1">
        <f>'Team B 1'!E123-'Team B 1'!$AA123-('Team B 1'!E$2- 12.5)*'Team B 1'!$AC123</f>
        <v>-9.161866178157652</v>
      </c>
      <c r="F123" s="1">
        <f>'Team B 1'!F123-'Team B 1'!$AA123-('Team B 1'!F$2- 12.5)*'Team B 1'!$AC123</f>
        <v>75.200314156522836</v>
      </c>
      <c r="G123" s="1">
        <f>'Team B 1'!G123-'Team B 1'!$AA123-('Team B 1'!G$2- 12.5)*'Team B 1'!$AC123</f>
        <v>9.5624944912035517</v>
      </c>
      <c r="H123" s="1">
        <f>'Team B 1'!H123-'Team B 1'!$AA123-('Team B 1'!H$2- 12.5)*'Team B 1'!$AC123</f>
        <v>-16.075325174115733</v>
      </c>
      <c r="I123" s="1">
        <f>'Team B 1'!I123-'Team B 1'!$AA123-('Team B 1'!I$2- 12.5)*'Team B 1'!$AC123</f>
        <v>28.286855160564869</v>
      </c>
      <c r="J123" s="1">
        <f>'Team B 1'!J123-'Team B 1'!$AA123-('Team B 1'!J$2- 12.5)*'Team B 1'!$AC123</f>
        <v>2.6490354952455846</v>
      </c>
      <c r="K123" s="1">
        <f>'Team B 1'!K123-'Team B 1'!$AA123-('Team B 1'!K$2- 12.5)*'Team B 1'!$AC123</f>
        <v>-2.9887841700738136</v>
      </c>
      <c r="L123" s="1">
        <f>'Team B 1'!L123-'Team B 1'!$AA123-('Team B 1'!L$2- 12.5)*'Team B 1'!$AC123</f>
        <v>-8.6266038353930981</v>
      </c>
      <c r="M123" s="1">
        <f>'Team B 1'!M123-'Team B 1'!$AA123-('Team B 1'!M$2- 12.5)*'Team B 1'!$AC123</f>
        <v>-14.264423500712468</v>
      </c>
      <c r="N123" s="1">
        <f>'Team B 1'!N123-'Team B 1'!$AA123-('Team B 1'!N$2- 12.5)*'Team B 1'!$AC123</f>
        <v>10.097756833968191</v>
      </c>
      <c r="O123" s="1">
        <f>'Team B 1'!O123-'Team B 1'!$AA123-('Team B 1'!O$2- 12.5)*'Team B 1'!$AC123</f>
        <v>-65.540062831351179</v>
      </c>
      <c r="P123" s="1">
        <f>'Team B 1'!P123-'Team B 1'!$AA123-('Team B 1'!P$2- 12.5)*'Team B 1'!$AC123</f>
        <v>-1.1778824966704633</v>
      </c>
      <c r="Q123" s="1">
        <f>'Team B 1'!Q123-'Team B 1'!$AA123-('Team B 1'!Q$2- 12.5)*'Team B 1'!$AC123</f>
        <v>-6.8157021619898615</v>
      </c>
      <c r="R123" s="1">
        <f>'Team B 1'!R123-'Team B 1'!$AA123-('Team B 1'!R$2- 12.5)*'Team B 1'!$AC123</f>
        <v>7.5464781726908541</v>
      </c>
      <c r="S123" s="1">
        <f>'Team B 1'!S123-'Team B 1'!$AA123-('Team B 1'!S$2- 12.5)*'Team B 1'!$AC123</f>
        <v>11.908658507371456</v>
      </c>
      <c r="T123" s="1">
        <f>'Team B 1'!T123-'Team B 1'!$AA123-('Team B 1'!T$2- 12.5)*'Team B 1'!$AC123</f>
        <v>-13.729161157947829</v>
      </c>
      <c r="U123" s="1">
        <f>'Team B 1'!U123-'Team B 1'!$AA123-('Team B 1'!U$2- 12.5)*'Team B 1'!$AC123</f>
        <v>-59.366980823267113</v>
      </c>
      <c r="V123" s="1">
        <f>'Team B 1'!V123-'Team B 1'!$AA123-('Team B 1'!V$2- 12.5)*'Team B 1'!$AC123</f>
        <v>-5.0048004885866249</v>
      </c>
      <c r="W123" s="1">
        <f>'Team B 1'!W123-'Team B 1'!$AA123-('Team B 1'!W$2- 12.5)*'Team B 1'!$AC123</f>
        <v>-20.642620153905909</v>
      </c>
      <c r="X123" s="1">
        <f>'Team B 1'!X123-'Team B 1'!$AA123-('Team B 1'!X$2- 12.5)*'Team B 1'!$AC123</f>
        <v>-6.2804398192251938</v>
      </c>
      <c r="Y123" s="1">
        <f>'Team B 1'!Y123-'Team B 1'!$AA123-('Team B 1'!Y$2- 12.5)*'Team B 1'!$AC123</f>
        <v>8.0817405154552944</v>
      </c>
      <c r="AB123" s="1">
        <f>STDEV(B123:Y123)</f>
        <v>28.240570734057922</v>
      </c>
      <c r="AD123" s="5">
        <v>1</v>
      </c>
      <c r="AE123" s="5">
        <v>4</v>
      </c>
      <c r="AF123" s="5">
        <v>6</v>
      </c>
      <c r="AG123" s="5">
        <v>2</v>
      </c>
      <c r="AH123" s="5">
        <v>8</v>
      </c>
      <c r="AI123" s="5">
        <v>3</v>
      </c>
      <c r="AJ123" s="5" t="s">
        <v>45</v>
      </c>
      <c r="AK123" s="5">
        <v>5</v>
      </c>
      <c r="AL123" s="5" t="s">
        <v>47</v>
      </c>
      <c r="AM123" s="5">
        <v>7</v>
      </c>
      <c r="AN123" s="5" t="s">
        <v>46</v>
      </c>
      <c r="AO123" s="5">
        <v>9</v>
      </c>
      <c r="AP123" s="5">
        <v>1</v>
      </c>
      <c r="AQ123" s="5">
        <v>4</v>
      </c>
      <c r="AR123" s="5">
        <v>2</v>
      </c>
      <c r="AS123" s="5">
        <v>6</v>
      </c>
      <c r="AT123" s="5">
        <v>3</v>
      </c>
      <c r="AU123" s="5">
        <v>8</v>
      </c>
      <c r="AV123" s="5">
        <v>5</v>
      </c>
      <c r="AW123" s="5" t="s">
        <v>45</v>
      </c>
      <c r="AX123" s="5">
        <v>7</v>
      </c>
      <c r="AY123" s="5" t="s">
        <v>47</v>
      </c>
      <c r="AZ123" s="5">
        <v>9</v>
      </c>
      <c r="BA123" s="5" t="s">
        <v>46</v>
      </c>
      <c r="BB123" s="5"/>
      <c r="BC123" s="1">
        <f ca="1">OFFSET(A123,0, 1) -0</f>
        <v>27.751592817800429</v>
      </c>
      <c r="BD123" s="1">
        <f ca="1">OFFSET(A123,0, 4) -0</f>
        <v>-9.161866178157652</v>
      </c>
      <c r="BE123" s="1">
        <f ca="1">OFFSET(A123,0, 6) -0</f>
        <v>9.5624944912035517</v>
      </c>
      <c r="BF123" s="1">
        <f ca="1">OFFSET(A123,0, 2) -0</f>
        <v>12.113773152480917</v>
      </c>
      <c r="BG123" s="1">
        <f ca="1">OFFSET(A123,0, 8) -0</f>
        <v>28.286855160564869</v>
      </c>
      <c r="BH123" s="1">
        <f ca="1">OFFSET(A123,0, 3) -0</f>
        <v>36.475953487161632</v>
      </c>
      <c r="BI123" s="1">
        <f ca="1">OFFSET(A123,0, 10) -0</f>
        <v>-2.9887841700738136</v>
      </c>
      <c r="BJ123" s="1">
        <f ca="1">OFFSET(A123,0, 5) -0</f>
        <v>75.200314156522836</v>
      </c>
      <c r="BK123" s="1">
        <f ca="1">OFFSET(A123,0, 12) -0</f>
        <v>-14.264423500712468</v>
      </c>
      <c r="BL123" s="1">
        <f ca="1">OFFSET(A123,0, 7) -0</f>
        <v>-16.075325174115733</v>
      </c>
      <c r="BM123" s="1">
        <f ca="1">OFFSET(A123,0, 11) -0</f>
        <v>-8.6266038353930981</v>
      </c>
      <c r="BN123" s="1">
        <f ca="1">OFFSET(A123,0, 9) -0</f>
        <v>2.6490354952455846</v>
      </c>
      <c r="BO123" s="1">
        <f ca="1">OFFSET(A123,0, 13) -0</f>
        <v>10.097756833968191</v>
      </c>
      <c r="BP123" s="1">
        <f ca="1">OFFSET(A123,0, 15) -0</f>
        <v>-1.1778824966704633</v>
      </c>
      <c r="BQ123" s="1">
        <f ca="1">OFFSET(A123,0, 17) -0</f>
        <v>7.5464781726908541</v>
      </c>
      <c r="BR123" s="1">
        <f ca="1">OFFSET(A123,0, 14) -0</f>
        <v>-65.540062831351179</v>
      </c>
      <c r="BS123" s="1">
        <f ca="1">OFFSET(A123,0, 19) -0</f>
        <v>-13.729161157947829</v>
      </c>
      <c r="BT123" s="1">
        <f ca="1">OFFSET(A123,0, 16) -0</f>
        <v>-6.8157021619898615</v>
      </c>
      <c r="BU123" s="1">
        <f ca="1">OFFSET(A123,0, 21) -0</f>
        <v>-5.0048004885866249</v>
      </c>
      <c r="BV123" s="1">
        <f ca="1">OFFSET(A123,0, 18) -0</f>
        <v>11.908658507371456</v>
      </c>
      <c r="BW123" s="1">
        <f ca="1">OFFSET(A123,0, 23) -0</f>
        <v>-6.2804398192251938</v>
      </c>
      <c r="BX123" s="1">
        <f ca="1">OFFSET(A123,0, 20) -0</f>
        <v>-59.366980823267113</v>
      </c>
      <c r="BY123" s="1">
        <f ca="1">OFFSET(A123,0, 24) -0</f>
        <v>8.0817405154552944</v>
      </c>
      <c r="BZ123" s="1">
        <f ca="1">OFFSET(A123,0, 22) -0</f>
        <v>-20.642620153905909</v>
      </c>
      <c r="CB123" s="1">
        <f>COUNTIF(B123,"&lt;-69")</f>
        <v>0</v>
      </c>
      <c r="CC123" s="1">
        <f ca="1">COUNTIF(BC123:BN123,"&lt;-49")</f>
        <v>0</v>
      </c>
      <c r="CD123" s="1">
        <f ca="1">COUNTIF(BC123:BN123,"&gt;+49")</f>
        <v>1</v>
      </c>
      <c r="CE123" s="1">
        <f ca="1">COUNTIF(BO123:BZ123,"&lt;-49")</f>
        <v>2</v>
      </c>
      <c r="CF123" s="1">
        <f ca="1">COUNTIF(BO123:BZ123,"&gt;+49")</f>
        <v>0</v>
      </c>
    </row>
    <row r="124" spans="1:84">
      <c r="A124" s="1">
        <v>121</v>
      </c>
      <c r="B124" s="1">
        <f>'Team B 1'!B124-'Team B 1'!$AA124-('Team B 1'!B$2- 12.5)*'Team B 1'!$AC124</f>
        <v>12.245739627693183</v>
      </c>
      <c r="C124" s="1">
        <f>'Team B 1'!C124-'Team B 1'!$AA124-('Team B 1'!C$2- 12.5)*'Team B 1'!$AC124</f>
        <v>37.159153573111325</v>
      </c>
      <c r="D124" s="1">
        <f>'Team B 1'!D124-'Team B 1'!$AA124-('Team B 1'!D$2- 12.5)*'Team B 1'!$AC124</f>
        <v>32.07256751852924</v>
      </c>
      <c r="E124" s="1">
        <f>'Team B 1'!E124-'Team B 1'!$AA124-('Team B 1'!E$2- 12.5)*'Team B 1'!$AC124</f>
        <v>6.9859814639471551</v>
      </c>
      <c r="F124" s="1">
        <f>'Team B 1'!F124-'Team B 1'!$AA124-('Team B 1'!F$2- 12.5)*'Team B 1'!$AC124</f>
        <v>21.899395409365297</v>
      </c>
      <c r="G124" s="1">
        <f>'Team B 1'!G124-'Team B 1'!$AA124-('Team B 1'!G$2- 12.5)*'Team B 1'!$AC124</f>
        <v>6.8128093547832123</v>
      </c>
      <c r="H124" s="1">
        <f>'Team B 1'!H124-'Team B 1'!$AA124-('Team B 1'!H$2- 12.5)*'Team B 1'!$AC124</f>
        <v>-18.273776699798873</v>
      </c>
      <c r="I124" s="1">
        <f>'Team B 1'!I124-'Team B 1'!$AA124-('Team B 1'!I$2- 12.5)*'Team B 1'!$AC124</f>
        <v>16.639637245619156</v>
      </c>
      <c r="J124" s="1">
        <f>'Team B 1'!J124-'Team B 1'!$AA124-('Team B 1'!J$2- 12.5)*'Team B 1'!$AC124</f>
        <v>-8.4469488089629294</v>
      </c>
      <c r="K124" s="1">
        <f>'Team B 1'!K124-'Team B 1'!$AA124-('Team B 1'!K$2- 12.5)*'Team B 1'!$AC124</f>
        <v>-3.5335348635449009</v>
      </c>
      <c r="L124" s="1">
        <f>'Team B 1'!L124-'Team B 1'!$AA124-('Team B 1'!L$2- 12.5)*'Team B 1'!$AC124</f>
        <v>-18.620120918126986</v>
      </c>
      <c r="M124" s="1">
        <f>'Team B 1'!M124-'Team B 1'!$AA124-('Team B 1'!M$2- 12.5)*'Team B 1'!$AC124</f>
        <v>-23.706706972708986</v>
      </c>
      <c r="N124" s="1">
        <f>'Team B 1'!N124-'Team B 1'!$AA124-('Team B 1'!N$2- 12.5)*'Team B 1'!$AC124</f>
        <v>41.206706972708986</v>
      </c>
      <c r="O124" s="1">
        <f>'Team B 1'!O124-'Team B 1'!$AA124-('Team B 1'!O$2- 12.5)*'Team B 1'!$AC124</f>
        <v>-33.879879081873014</v>
      </c>
      <c r="P124" s="1">
        <f>'Team B 1'!P124-'Team B 1'!$AA124-('Team B 1'!P$2- 12.5)*'Team B 1'!$AC124</f>
        <v>-18.966465136455099</v>
      </c>
      <c r="Q124" s="1">
        <f>'Team B 1'!Q124-'Team B 1'!$AA124-('Team B 1'!Q$2- 12.5)*'Team B 1'!$AC124</f>
        <v>-14.053051191037071</v>
      </c>
      <c r="R124" s="1">
        <f>'Team B 1'!R124-'Team B 1'!$AA124-('Team B 1'!R$2- 12.5)*'Team B 1'!$AC124</f>
        <v>10.860362754380844</v>
      </c>
      <c r="S124" s="1">
        <f>'Team B 1'!S124-'Team B 1'!$AA124-('Team B 1'!S$2- 12.5)*'Team B 1'!$AC124</f>
        <v>-24.226223300201127</v>
      </c>
      <c r="T124" s="1">
        <f>'Team B 1'!T124-'Team B 1'!$AA124-('Team B 1'!T$2- 12.5)*'Team B 1'!$AC124</f>
        <v>-9.3128093547832123</v>
      </c>
      <c r="U124" s="1">
        <f>'Team B 1'!U124-'Team B 1'!$AA124-('Team B 1'!U$2- 12.5)*'Team B 1'!$AC124</f>
        <v>25.600604590634703</v>
      </c>
      <c r="V124" s="1">
        <f>'Team B 1'!V124-'Team B 1'!$AA124-('Team B 1'!V$2- 12.5)*'Team B 1'!$AC124</f>
        <v>20.514018536052845</v>
      </c>
      <c r="W124" s="1">
        <f>'Team B 1'!W124-'Team B 1'!$AA124-('Team B 1'!W$2- 12.5)*'Team B 1'!$AC124</f>
        <v>-4.5725675185292403</v>
      </c>
      <c r="X124" s="1">
        <f>'Team B 1'!X124-'Team B 1'!$AA124-('Team B 1'!X$2- 12.5)*'Team B 1'!$AC124</f>
        <v>-39.659153573111325</v>
      </c>
      <c r="Y124" s="1">
        <f>'Team B 1'!Y124-'Team B 1'!$AA124-('Team B 1'!Y$2- 12.5)*'Team B 1'!$AC124</f>
        <v>-14.745739627693183</v>
      </c>
      <c r="AB124" s="1">
        <f>STDEV(B124:Y124)</f>
        <v>22.669289409113851</v>
      </c>
      <c r="AD124" s="5">
        <v>4</v>
      </c>
      <c r="AE124" s="5">
        <v>1</v>
      </c>
      <c r="AF124" s="5">
        <v>6</v>
      </c>
      <c r="AG124" s="5">
        <v>2</v>
      </c>
      <c r="AH124" s="5">
        <v>8</v>
      </c>
      <c r="AI124" s="5">
        <v>3</v>
      </c>
      <c r="AJ124" s="5" t="s">
        <v>45</v>
      </c>
      <c r="AK124" s="5">
        <v>5</v>
      </c>
      <c r="AL124" s="5" t="s">
        <v>47</v>
      </c>
      <c r="AM124" s="5">
        <v>7</v>
      </c>
      <c r="AN124" s="5" t="s">
        <v>46</v>
      </c>
      <c r="AO124" s="5">
        <v>9</v>
      </c>
      <c r="AP124" s="5">
        <v>1</v>
      </c>
      <c r="AQ124" s="5">
        <v>4</v>
      </c>
      <c r="AR124" s="5">
        <v>6</v>
      </c>
      <c r="AS124" s="5">
        <v>8</v>
      </c>
      <c r="AT124" s="5">
        <v>2</v>
      </c>
      <c r="AU124" s="5" t="s">
        <v>45</v>
      </c>
      <c r="AV124" s="5">
        <v>3</v>
      </c>
      <c r="AW124" s="5" t="s">
        <v>47</v>
      </c>
      <c r="AX124" s="5">
        <v>5</v>
      </c>
      <c r="AY124" s="5" t="s">
        <v>46</v>
      </c>
      <c r="AZ124" s="5">
        <v>7</v>
      </c>
      <c r="BA124" s="5">
        <v>9</v>
      </c>
      <c r="BB124" s="5"/>
      <c r="BC124" s="1">
        <f ca="1">OFFSET(A124,0, 2) -0</f>
        <v>37.159153573111325</v>
      </c>
      <c r="BD124" s="1">
        <f ca="1">OFFSET(A124,0, 4) -0</f>
        <v>6.9859814639471551</v>
      </c>
      <c r="BE124" s="1">
        <f ca="1">OFFSET(A124,0, 6) -0</f>
        <v>6.8128093547832123</v>
      </c>
      <c r="BF124" s="1">
        <f ca="1">OFFSET(A124,0, 1) -0</f>
        <v>12.245739627693183</v>
      </c>
      <c r="BG124" s="1">
        <f ca="1">OFFSET(A124,0, 8) -0</f>
        <v>16.639637245619156</v>
      </c>
      <c r="BH124" s="1">
        <f ca="1">OFFSET(A124,0, 3) -0</f>
        <v>32.07256751852924</v>
      </c>
      <c r="BI124" s="1">
        <f ca="1">OFFSET(A124,0, 10) -0</f>
        <v>-3.5335348635449009</v>
      </c>
      <c r="BJ124" s="1">
        <f ca="1">OFFSET(A124,0, 5) -0</f>
        <v>21.899395409365297</v>
      </c>
      <c r="BK124" s="1">
        <f ca="1">OFFSET(A124,0, 12) -0</f>
        <v>-23.706706972708986</v>
      </c>
      <c r="BL124" s="1">
        <f ca="1">OFFSET(A124,0, 7) -0</f>
        <v>-18.273776699798873</v>
      </c>
      <c r="BM124" s="1">
        <f ca="1">OFFSET(A124,0, 11) -0</f>
        <v>-18.620120918126986</v>
      </c>
      <c r="BN124" s="1">
        <f ca="1">OFFSET(A124,0, 9) -0</f>
        <v>-8.4469488089629294</v>
      </c>
      <c r="BO124" s="1">
        <f ca="1">OFFSET(A124,0, 13) -0</f>
        <v>41.206706972708986</v>
      </c>
      <c r="BP124" s="1">
        <f ca="1">OFFSET(A124,0, 17) -0</f>
        <v>10.860362754380844</v>
      </c>
      <c r="BQ124" s="1">
        <f ca="1">OFFSET(A124,0, 19) -0</f>
        <v>-9.3128093547832123</v>
      </c>
      <c r="BR124" s="1">
        <f ca="1">OFFSET(A124,0, 14) -0</f>
        <v>-33.879879081873014</v>
      </c>
      <c r="BS124" s="1">
        <f ca="1">OFFSET(A124,0, 21) -0</f>
        <v>20.514018536052845</v>
      </c>
      <c r="BT124" s="1">
        <f ca="1">OFFSET(A124,0, 15) -0</f>
        <v>-18.966465136455099</v>
      </c>
      <c r="BU124" s="1">
        <f ca="1">OFFSET(A124,0, 23) -0</f>
        <v>-39.659153573111325</v>
      </c>
      <c r="BV124" s="1">
        <f ca="1">OFFSET(A124,0, 16) -0</f>
        <v>-14.053051191037071</v>
      </c>
      <c r="BW124" s="1">
        <f ca="1">OFFSET(A124,0, 24) -0</f>
        <v>-14.745739627693183</v>
      </c>
      <c r="BX124" s="1">
        <f ca="1">OFFSET(A124,0, 18) -0</f>
        <v>-24.226223300201127</v>
      </c>
      <c r="BY124" s="1">
        <f ca="1">OFFSET(A124,0, 22) -0</f>
        <v>-4.5725675185292403</v>
      </c>
      <c r="BZ124" s="1">
        <f ca="1">OFFSET(A124,0, 20) -0</f>
        <v>25.600604590634703</v>
      </c>
      <c r="CB124" s="1">
        <f>COUNTIF(B124,"&lt;-69")</f>
        <v>0</v>
      </c>
      <c r="CC124" s="1">
        <f ca="1">COUNTIF(BC124:BN124,"&lt;-49")</f>
        <v>0</v>
      </c>
      <c r="CD124" s="1">
        <f ca="1">COUNTIF(BC124:BN124,"&gt;+49")</f>
        <v>0</v>
      </c>
      <c r="CE124" s="1">
        <f ca="1">COUNTIF(BO124:BZ124,"&lt;-49")</f>
        <v>0</v>
      </c>
      <c r="CF124" s="1">
        <f ca="1">COUNTIF(BO124:BZ124,"&gt;+49")</f>
        <v>0</v>
      </c>
    </row>
    <row r="125" spans="1:84">
      <c r="A125" s="1">
        <v>122</v>
      </c>
      <c r="B125" s="1">
        <f>'Team B 1'!B125-'Team B 1'!$AA125-('Team B 1'!B$2- 12.5)*'Team B 1'!$AC125</f>
        <v>51.217565030131482</v>
      </c>
      <c r="C125" s="1">
        <f>'Team B 1'!C125-'Team B 1'!$AA125-('Team B 1'!C$2- 12.5)*'Team B 1'!$AC125</f>
        <v>65.930530389827254</v>
      </c>
      <c r="D125" s="1">
        <f>'Team B 1'!D125-'Team B 1'!$AA125-('Team B 1'!D$2- 12.5)*'Team B 1'!$AC125</f>
        <v>-19.356504250477656</v>
      </c>
      <c r="E125" s="1">
        <f>'Team B 1'!E125-'Team B 1'!$AA125-('Team B 1'!E$2- 12.5)*'Team B 1'!$AC125</f>
        <v>15.356461109217662</v>
      </c>
      <c r="F125" s="1">
        <f>'Team B 1'!F125-'Team B 1'!$AA125-('Team B 1'!F$2- 12.5)*'Team B 1'!$AC125</f>
        <v>-9.9305735310870205</v>
      </c>
      <c r="G125" s="1">
        <f>'Team B 1'!G125-'Team B 1'!$AA125-('Team B 1'!G$2- 12.5)*'Team B 1'!$AC125</f>
        <v>14.782391828608297</v>
      </c>
      <c r="H125" s="1">
        <f>'Team B 1'!H125-'Team B 1'!$AA125-('Team B 1'!H$2- 12.5)*'Team B 1'!$AC125</f>
        <v>19.495357188303615</v>
      </c>
      <c r="I125" s="1">
        <f>'Team B 1'!I125-'Team B 1'!$AA125-('Team B 1'!I$2- 12.5)*'Team B 1'!$AC125</f>
        <v>-5.7916774520010676</v>
      </c>
      <c r="J125" s="1">
        <f>'Team B 1'!J125-'Team B 1'!$AA125-('Team B 1'!J$2- 12.5)*'Team B 1'!$AC125</f>
        <v>-11.07871209230575</v>
      </c>
      <c r="K125" s="1">
        <f>'Team B 1'!K125-'Team B 1'!$AA125-('Team B 1'!K$2- 12.5)*'Team B 1'!$AC125</f>
        <v>-56.365746732610432</v>
      </c>
      <c r="L125" s="1">
        <f>'Team B 1'!L125-'Team B 1'!$AA125-('Team B 1'!L$2- 12.5)*'Team B 1'!$AC125</f>
        <v>-11.652781372915115</v>
      </c>
      <c r="M125" s="1">
        <f>'Team B 1'!M125-'Team B 1'!$AA125-('Team B 1'!M$2- 12.5)*'Team B 1'!$AC125</f>
        <v>23.060183986780203</v>
      </c>
      <c r="N125" s="1">
        <f>'Team B 1'!N125-'Team B 1'!$AA125-('Team B 1'!N$2- 12.5)*'Team B 1'!$AC125</f>
        <v>7.7731493464755204</v>
      </c>
      <c r="O125" s="1">
        <f>'Team B 1'!O125-'Team B 1'!$AA125-('Team B 1'!O$2- 12.5)*'Team B 1'!$AC125</f>
        <v>12.486114706170838</v>
      </c>
      <c r="P125" s="1">
        <f>'Team B 1'!P125-'Team B 1'!$AA125-('Team B 1'!P$2- 12.5)*'Team B 1'!$AC125</f>
        <v>-2.8009199341338444</v>
      </c>
      <c r="Q125" s="1">
        <f>'Team B 1'!Q125-'Team B 1'!$AA125-('Team B 1'!Q$2- 12.5)*'Team B 1'!$AC125</f>
        <v>-18.087954574438527</v>
      </c>
      <c r="R125" s="1">
        <f>'Team B 1'!R125-'Team B 1'!$AA125-('Team B 1'!R$2- 12.5)*'Team B 1'!$AC125</f>
        <v>6.6250107852567908</v>
      </c>
      <c r="S125" s="1">
        <f>'Team B 1'!S125-'Team B 1'!$AA125-('Team B 1'!S$2- 12.5)*'Team B 1'!$AC125</f>
        <v>-38.662023855047892</v>
      </c>
      <c r="T125" s="1">
        <f>'Team B 1'!T125-'Team B 1'!$AA125-('Team B 1'!T$2- 12.5)*'Team B 1'!$AC125</f>
        <v>-53.949058495352574</v>
      </c>
      <c r="U125" s="1">
        <f>'Team B 1'!U125-'Team B 1'!$AA125-('Team B 1'!U$2- 12.5)*'Team B 1'!$AC125</f>
        <v>0.76390686434274357</v>
      </c>
      <c r="V125" s="1">
        <f>'Team B 1'!V125-'Team B 1'!$AA125-('Team B 1'!V$2- 12.5)*'Team B 1'!$AC125</f>
        <v>-24.523127775961939</v>
      </c>
      <c r="W125" s="1">
        <f>'Team B 1'!W125-'Team B 1'!$AA125-('Team B 1'!W$2- 12.5)*'Team B 1'!$AC125</f>
        <v>-9.8101624162666212</v>
      </c>
      <c r="X125" s="1">
        <f>'Team B 1'!X125-'Team B 1'!$AA125-('Team B 1'!X$2- 12.5)*'Team B 1'!$AC125</f>
        <v>14.902802943428469</v>
      </c>
      <c r="Y125" s="1">
        <f>'Team B 1'!Y125-'Team B 1'!$AA125-('Team B 1'!Y$2- 12.5)*'Team B 1'!$AC125</f>
        <v>29.615768303124241</v>
      </c>
      <c r="AB125" s="1">
        <f>STDEV(B125:Y125)</f>
        <v>28.799602458840358</v>
      </c>
      <c r="AD125" s="5">
        <v>4</v>
      </c>
      <c r="AE125" s="5">
        <v>1</v>
      </c>
      <c r="AF125" s="5">
        <v>8</v>
      </c>
      <c r="AG125" s="5">
        <v>6</v>
      </c>
      <c r="AH125" s="5" t="s">
        <v>45</v>
      </c>
      <c r="AI125" s="5">
        <v>2</v>
      </c>
      <c r="AJ125" s="5" t="s">
        <v>47</v>
      </c>
      <c r="AK125" s="5">
        <v>3</v>
      </c>
      <c r="AL125" s="5" t="s">
        <v>46</v>
      </c>
      <c r="AM125" s="5">
        <v>5</v>
      </c>
      <c r="AN125" s="5">
        <v>9</v>
      </c>
      <c r="AO125" s="5">
        <v>7</v>
      </c>
      <c r="AP125" s="5">
        <v>4</v>
      </c>
      <c r="AQ125" s="5">
        <v>8</v>
      </c>
      <c r="AR125" s="5">
        <v>1</v>
      </c>
      <c r="AS125" s="5">
        <v>6</v>
      </c>
      <c r="AT125" s="5">
        <v>2</v>
      </c>
      <c r="AU125" s="5" t="s">
        <v>45</v>
      </c>
      <c r="AV125" s="5">
        <v>3</v>
      </c>
      <c r="AW125" s="5" t="s">
        <v>47</v>
      </c>
      <c r="AX125" s="5">
        <v>5</v>
      </c>
      <c r="AY125" s="5" t="s">
        <v>46</v>
      </c>
      <c r="AZ125" s="5">
        <v>7</v>
      </c>
      <c r="BA125" s="5">
        <v>9</v>
      </c>
      <c r="BB125" s="5"/>
      <c r="BC125" s="1">
        <f ca="1">OFFSET(A125,0, 2) -0</f>
        <v>65.930530389827254</v>
      </c>
      <c r="BD125" s="1">
        <f ca="1">OFFSET(A125,0, 6) -0</f>
        <v>14.782391828608297</v>
      </c>
      <c r="BE125" s="1">
        <f ca="1">OFFSET(A125,0, 8) -0</f>
        <v>-5.7916774520010676</v>
      </c>
      <c r="BF125" s="1">
        <f ca="1">OFFSET(A125,0, 1) -0</f>
        <v>51.217565030131482</v>
      </c>
      <c r="BG125" s="1">
        <f ca="1">OFFSET(A125,0, 10) -0</f>
        <v>-56.365746732610432</v>
      </c>
      <c r="BH125" s="1">
        <f ca="1">OFFSET(A125,0, 4) -0</f>
        <v>15.356461109217662</v>
      </c>
      <c r="BI125" s="1">
        <f ca="1">OFFSET(A125,0, 12) -0</f>
        <v>23.060183986780203</v>
      </c>
      <c r="BJ125" s="1">
        <f ca="1">OFFSET(A125,0, 3) -0</f>
        <v>-19.356504250477656</v>
      </c>
      <c r="BK125" s="1">
        <f ca="1">OFFSET(A125,0, 11) -0</f>
        <v>-11.652781372915115</v>
      </c>
      <c r="BL125" s="1">
        <f ca="1">OFFSET(A125,0, 5) -0</f>
        <v>-9.9305735310870205</v>
      </c>
      <c r="BM125" s="1">
        <f ca="1">OFFSET(A125,0, 9) -0</f>
        <v>-11.07871209230575</v>
      </c>
      <c r="BN125" s="1">
        <f ca="1">OFFSET(A125,0, 7) -0</f>
        <v>19.495357188303615</v>
      </c>
      <c r="BO125" s="1">
        <f ca="1">OFFSET(A125,0, 15) -0</f>
        <v>-2.8009199341338444</v>
      </c>
      <c r="BP125" s="1">
        <f ca="1">OFFSET(A125,0, 17) -0</f>
        <v>6.6250107852567908</v>
      </c>
      <c r="BQ125" s="1">
        <f ca="1">OFFSET(A125,0, 19) -0</f>
        <v>-53.949058495352574</v>
      </c>
      <c r="BR125" s="1">
        <f ca="1">OFFSET(A125,0, 13) -0</f>
        <v>7.7731493464755204</v>
      </c>
      <c r="BS125" s="1">
        <f ca="1">OFFSET(A125,0, 21) -0</f>
        <v>-24.523127775961939</v>
      </c>
      <c r="BT125" s="1">
        <f ca="1">OFFSET(A125,0, 16) -0</f>
        <v>-18.087954574438527</v>
      </c>
      <c r="BU125" s="1">
        <f ca="1">OFFSET(A125,0, 23) -0</f>
        <v>14.902802943428469</v>
      </c>
      <c r="BV125" s="1">
        <f ca="1">OFFSET(A125,0, 14) -0</f>
        <v>12.486114706170838</v>
      </c>
      <c r="BW125" s="1">
        <f ca="1">OFFSET(A125,0, 24) -0</f>
        <v>29.615768303124241</v>
      </c>
      <c r="BX125" s="1">
        <f ca="1">OFFSET(A125,0, 18) -0</f>
        <v>-38.662023855047892</v>
      </c>
      <c r="BY125" s="1">
        <f ca="1">OFFSET(A125,0, 22) -0</f>
        <v>-9.8101624162666212</v>
      </c>
      <c r="BZ125" s="1">
        <f ca="1">OFFSET(A125,0, 20) -0</f>
        <v>0.76390686434274357</v>
      </c>
      <c r="CB125" s="1">
        <f>COUNTIF(B125,"&lt;-69")</f>
        <v>0</v>
      </c>
      <c r="CC125" s="1">
        <f ca="1">COUNTIF(BC125:BN125,"&lt;-49")</f>
        <v>1</v>
      </c>
      <c r="CD125" s="1">
        <f ca="1">COUNTIF(BC125:BN125,"&gt;+49")</f>
        <v>2</v>
      </c>
      <c r="CE125" s="1">
        <f ca="1">COUNTIF(BO125:BZ125,"&lt;-49")</f>
        <v>1</v>
      </c>
      <c r="CF125" s="1">
        <f ca="1">COUNTIF(BO125:BZ125,"&gt;+49")</f>
        <v>0</v>
      </c>
    </row>
    <row r="126" spans="1:84">
      <c r="A126" s="1">
        <v>123</v>
      </c>
      <c r="B126" s="1">
        <f>'Team B 1'!B126-'Team B 1'!$AA126-('Team B 1'!B$2- 12.5)*'Team B 1'!$AC126</f>
        <v>86.565167554448635</v>
      </c>
      <c r="C126" s="1">
        <f>'Team B 1'!C126-'Team B 1'!$AA126-('Team B 1'!C$2- 12.5)*'Team B 1'!$AC126</f>
        <v>80.885587767105335</v>
      </c>
      <c r="D126" s="1">
        <f>'Team B 1'!D126-'Team B 1'!$AA126-('Team B 1'!D$2- 12.5)*'Team B 1'!$AC126</f>
        <v>35.206007979761807</v>
      </c>
      <c r="E126" s="1">
        <f>'Team B 1'!E126-'Team B 1'!$AA126-('Team B 1'!E$2- 12.5)*'Team B 1'!$AC126</f>
        <v>-0.47357180758149298</v>
      </c>
      <c r="F126" s="1">
        <f>'Team B 1'!F126-'Team B 1'!$AA126-('Team B 1'!F$2- 12.5)*'Team B 1'!$AC126</f>
        <v>3.8468484050752068</v>
      </c>
      <c r="G126" s="1">
        <f>'Team B 1'!G126-'Team B 1'!$AA126-('Team B 1'!G$2- 12.5)*'Team B 1'!$AC126</f>
        <v>-11.832731382268094</v>
      </c>
      <c r="H126" s="1">
        <f>'Team B 1'!H126-'Team B 1'!$AA126-('Team B 1'!H$2- 12.5)*'Team B 1'!$AC126</f>
        <v>2.4876888303883788</v>
      </c>
      <c r="I126" s="1">
        <f>'Team B 1'!I126-'Team B 1'!$AA126-('Team B 1'!I$2- 12.5)*'Team B 1'!$AC126</f>
        <v>-23.191890956954921</v>
      </c>
      <c r="J126" s="1">
        <f>'Team B 1'!J126-'Team B 1'!$AA126-('Team B 1'!J$2- 12.5)*'Team B 1'!$AC126</f>
        <v>-48.871470744298222</v>
      </c>
      <c r="K126" s="1">
        <f>'Team B 1'!K126-'Team B 1'!$AA126-('Team B 1'!K$2- 12.5)*'Team B 1'!$AC126</f>
        <v>-54.551050531641636</v>
      </c>
      <c r="L126" s="1">
        <f>'Team B 1'!L126-'Team B 1'!$AA126-('Team B 1'!L$2- 12.5)*'Team B 1'!$AC126</f>
        <v>-50.230630318984936</v>
      </c>
      <c r="M126" s="1">
        <f>'Team B 1'!M126-'Team B 1'!$AA126-('Team B 1'!M$2- 12.5)*'Team B 1'!$AC126</f>
        <v>24.089789893671679</v>
      </c>
      <c r="N126" s="1">
        <f>'Team B 1'!N126-'Team B 1'!$AA126-('Team B 1'!N$2- 12.5)*'Team B 1'!$AC126</f>
        <v>58.410210106328321</v>
      </c>
      <c r="O126" s="1">
        <f>'Team B 1'!O126-'Team B 1'!$AA126-('Team B 1'!O$2- 12.5)*'Team B 1'!$AC126</f>
        <v>12.730630318984936</v>
      </c>
      <c r="P126" s="1">
        <f>'Team B 1'!P126-'Team B 1'!$AA126-('Team B 1'!P$2- 12.5)*'Team B 1'!$AC126</f>
        <v>7.0510505316416356</v>
      </c>
      <c r="Q126" s="1">
        <f>'Team B 1'!Q126-'Team B 1'!$AA126-('Team B 1'!Q$2- 12.5)*'Team B 1'!$AC126</f>
        <v>1.3714707442982217</v>
      </c>
      <c r="R126" s="1">
        <f>'Team B 1'!R126-'Team B 1'!$AA126-('Team B 1'!R$2- 12.5)*'Team B 1'!$AC126</f>
        <v>-4.3081090430450786</v>
      </c>
      <c r="S126" s="1">
        <f>'Team B 1'!S126-'Team B 1'!$AA126-('Team B 1'!S$2- 12.5)*'Team B 1'!$AC126</f>
        <v>10.012311169611621</v>
      </c>
      <c r="T126" s="1">
        <f>'Team B 1'!T126-'Team B 1'!$AA126-('Team B 1'!T$2- 12.5)*'Team B 1'!$AC126</f>
        <v>14.332731382268094</v>
      </c>
      <c r="U126" s="1">
        <f>'Team B 1'!U126-'Team B 1'!$AA126-('Team B 1'!U$2- 12.5)*'Team B 1'!$AC126</f>
        <v>-51.346848405075207</v>
      </c>
      <c r="V126" s="1">
        <f>'Team B 1'!V126-'Team B 1'!$AA126-('Team B 1'!V$2- 12.5)*'Team B 1'!$AC126</f>
        <v>-7.026428192418507</v>
      </c>
      <c r="W126" s="1">
        <f>'Team B 1'!W126-'Team B 1'!$AA126-('Team B 1'!W$2- 12.5)*'Team B 1'!$AC126</f>
        <v>-32.706007979761807</v>
      </c>
      <c r="X126" s="1">
        <f>'Team B 1'!X126-'Team B 1'!$AA126-('Team B 1'!X$2- 12.5)*'Team B 1'!$AC126</f>
        <v>-48.385587767105335</v>
      </c>
      <c r="Y126" s="1">
        <f>'Team B 1'!Y126-'Team B 1'!$AA126-('Team B 1'!Y$2- 12.5)*'Team B 1'!$AC126</f>
        <v>-4.0651675544486352</v>
      </c>
      <c r="AB126" s="1">
        <f>STDEV(B126:Y126)</f>
        <v>38.732710780856792</v>
      </c>
      <c r="AD126" s="5">
        <v>8</v>
      </c>
      <c r="AE126" s="5">
        <v>4</v>
      </c>
      <c r="AF126" s="5">
        <v>6</v>
      </c>
      <c r="AG126" s="5">
        <v>1</v>
      </c>
      <c r="AH126" s="5" t="s">
        <v>45</v>
      </c>
      <c r="AI126" s="5">
        <v>2</v>
      </c>
      <c r="AJ126" s="5" t="s">
        <v>47</v>
      </c>
      <c r="AK126" s="5">
        <v>3</v>
      </c>
      <c r="AL126" s="5" t="s">
        <v>46</v>
      </c>
      <c r="AM126" s="5">
        <v>5</v>
      </c>
      <c r="AN126" s="5">
        <v>9</v>
      </c>
      <c r="AO126" s="5">
        <v>7</v>
      </c>
      <c r="AP126" s="5">
        <v>8</v>
      </c>
      <c r="AQ126" s="5">
        <v>4</v>
      </c>
      <c r="AR126" s="5">
        <v>1</v>
      </c>
      <c r="AS126" s="5">
        <v>6</v>
      </c>
      <c r="AT126" s="5" t="s">
        <v>45</v>
      </c>
      <c r="AU126" s="5" t="s">
        <v>47</v>
      </c>
      <c r="AV126" s="5">
        <v>2</v>
      </c>
      <c r="AW126" s="5" t="s">
        <v>46</v>
      </c>
      <c r="AX126" s="5">
        <v>3</v>
      </c>
      <c r="AY126" s="5">
        <v>9</v>
      </c>
      <c r="AZ126" s="5">
        <v>5</v>
      </c>
      <c r="BA126" s="5">
        <v>7</v>
      </c>
      <c r="BB126" s="5"/>
      <c r="BC126" s="1">
        <f ca="1">OFFSET(A126,0, 4) -0</f>
        <v>-0.47357180758149298</v>
      </c>
      <c r="BD126" s="1">
        <f ca="1">OFFSET(A126,0, 6) -0</f>
        <v>-11.832731382268094</v>
      </c>
      <c r="BE126" s="1">
        <f ca="1">OFFSET(A126,0, 8) -0</f>
        <v>-23.191890956954921</v>
      </c>
      <c r="BF126" s="1">
        <f ca="1">OFFSET(A126,0, 2) -0</f>
        <v>80.885587767105335</v>
      </c>
      <c r="BG126" s="1">
        <f ca="1">OFFSET(A126,0, 10) -0</f>
        <v>-54.551050531641636</v>
      </c>
      <c r="BH126" s="1">
        <f ca="1">OFFSET(A126,0, 3) -0</f>
        <v>35.206007979761807</v>
      </c>
      <c r="BI126" s="1">
        <f ca="1">OFFSET(A126,0, 12) -0</f>
        <v>24.089789893671679</v>
      </c>
      <c r="BJ126" s="1">
        <f ca="1">OFFSET(A126,0, 1) -0</f>
        <v>86.565167554448635</v>
      </c>
      <c r="BK126" s="1">
        <f ca="1">OFFSET(A126,0, 11) -0</f>
        <v>-50.230630318984936</v>
      </c>
      <c r="BL126" s="1">
        <f ca="1">OFFSET(A126,0, 5) -0</f>
        <v>3.8468484050752068</v>
      </c>
      <c r="BM126" s="1">
        <f ca="1">OFFSET(A126,0, 9) -0</f>
        <v>-48.871470744298222</v>
      </c>
      <c r="BN126" s="1">
        <f ca="1">OFFSET(A126,0, 7) -0</f>
        <v>2.4876888303883788</v>
      </c>
      <c r="BO126" s="1">
        <f ca="1">OFFSET(A126,0, 15) -0</f>
        <v>7.0510505316416356</v>
      </c>
      <c r="BP126" s="1">
        <f ca="1">OFFSET(A126,0, 19) -0</f>
        <v>14.332731382268094</v>
      </c>
      <c r="BQ126" s="1">
        <f ca="1">OFFSET(A126,0, 21) -0</f>
        <v>-7.026428192418507</v>
      </c>
      <c r="BR126" s="1">
        <f ca="1">OFFSET(A126,0, 14) -0</f>
        <v>12.730630318984936</v>
      </c>
      <c r="BS126" s="1">
        <f ca="1">OFFSET(A126,0, 23) -0</f>
        <v>-48.385587767105335</v>
      </c>
      <c r="BT126" s="1">
        <f ca="1">OFFSET(A126,0, 16) -0</f>
        <v>1.3714707442982217</v>
      </c>
      <c r="BU126" s="1">
        <f ca="1">OFFSET(A126,0, 24) -0</f>
        <v>-4.0651675544486352</v>
      </c>
      <c r="BV126" s="1">
        <f ca="1">OFFSET(A126,0, 13) -0</f>
        <v>58.410210106328321</v>
      </c>
      <c r="BW126" s="1">
        <f ca="1">OFFSET(A126,0, 22) -0</f>
        <v>-32.706007979761807</v>
      </c>
      <c r="BX126" s="1">
        <f ca="1">OFFSET(A126,0, 17) -0</f>
        <v>-4.3081090430450786</v>
      </c>
      <c r="BY126" s="1">
        <f ca="1">OFFSET(A126,0, 20) -0</f>
        <v>-51.346848405075207</v>
      </c>
      <c r="BZ126" s="1">
        <f ca="1">OFFSET(A126,0, 18) -0</f>
        <v>10.012311169611621</v>
      </c>
      <c r="CB126" s="1">
        <f>COUNTIF(B126,"&lt;-69")</f>
        <v>0</v>
      </c>
      <c r="CC126" s="1">
        <f ca="1">COUNTIF(BC126:BN126,"&lt;-49")</f>
        <v>2</v>
      </c>
      <c r="CD126" s="1">
        <f ca="1">COUNTIF(BC126:BN126,"&gt;+49")</f>
        <v>2</v>
      </c>
      <c r="CE126" s="1">
        <f ca="1">COUNTIF(BO126:BZ126,"&lt;-49")</f>
        <v>1</v>
      </c>
      <c r="CF126" s="1">
        <f ca="1">COUNTIF(BO126:BZ126,"&gt;+49")</f>
        <v>1</v>
      </c>
    </row>
    <row r="127" spans="1:84">
      <c r="A127" s="1">
        <v>124</v>
      </c>
      <c r="B127" s="1">
        <f>'Team B 1'!B127-'Team B 1'!$AA127-('Team B 1'!B$2- 12.5)*'Team B 1'!$AC127</f>
        <v>23.264307765194189</v>
      </c>
      <c r="C127" s="1">
        <f>'Team B 1'!C127-'Team B 1'!$AA127-('Team B 1'!C$2- 12.5)*'Team B 1'!$AC127</f>
        <v>27.618136075470829</v>
      </c>
      <c r="D127" s="1">
        <f>'Team B 1'!D127-'Team B 1'!$AA127-('Team B 1'!D$2- 12.5)*'Team B 1'!$AC127</f>
        <v>31.971964385747015</v>
      </c>
      <c r="E127" s="1">
        <f>'Team B 1'!E127-'Team B 1'!$AA127-('Team B 1'!E$2- 12.5)*'Team B 1'!$AC127</f>
        <v>36.325792696023427</v>
      </c>
      <c r="F127" s="1">
        <f>'Team B 1'!F127-'Team B 1'!$AA127-('Team B 1'!F$2- 12.5)*'Team B 1'!$AC127</f>
        <v>-9.3203789937003876</v>
      </c>
      <c r="G127" s="1">
        <f>'Team B 1'!G127-'Team B 1'!$AA127-('Team B 1'!G$2- 12.5)*'Team B 1'!$AC127</f>
        <v>5.033449316576025</v>
      </c>
      <c r="H127" s="1">
        <f>'Team B 1'!H127-'Team B 1'!$AA127-('Team B 1'!H$2- 12.5)*'Team B 1'!$AC127</f>
        <v>29.387277626852438</v>
      </c>
      <c r="I127" s="1">
        <f>'Team B 1'!I127-'Team B 1'!$AA127-('Team B 1'!I$2- 12.5)*'Team B 1'!$AC127</f>
        <v>23.741105937128623</v>
      </c>
      <c r="J127" s="1">
        <f>'Team B 1'!J127-'Team B 1'!$AA127-('Team B 1'!J$2- 12.5)*'Team B 1'!$AC127</f>
        <v>-31.905065752594965</v>
      </c>
      <c r="K127" s="1">
        <f>'Team B 1'!K127-'Team B 1'!$AA127-('Team B 1'!K$2- 12.5)*'Team B 1'!$AC127</f>
        <v>-27.551237442318666</v>
      </c>
      <c r="L127" s="1">
        <f>'Team B 1'!L127-'Team B 1'!$AA127-('Team B 1'!L$2- 12.5)*'Team B 1'!$AC127</f>
        <v>16.802590867957633</v>
      </c>
      <c r="M127" s="1">
        <f>'Team B 1'!M127-'Team B 1'!$AA127-('Team B 1'!M$2- 12.5)*'Team B 1'!$AC127</f>
        <v>-28.843580821766025</v>
      </c>
      <c r="N127" s="1">
        <f>'Team B 1'!N127-'Team B 1'!$AA127-('Team B 1'!N$2- 12.5)*'Team B 1'!$AC127</f>
        <v>-24.489752511489698</v>
      </c>
      <c r="O127" s="1">
        <f>'Team B 1'!O127-'Team B 1'!$AA127-('Team B 1'!O$2- 12.5)*'Team B 1'!$AC127</f>
        <v>-60.135924201213356</v>
      </c>
      <c r="P127" s="1">
        <f>'Team B 1'!P127-'Team B 1'!$AA127-('Team B 1'!P$2- 12.5)*'Team B 1'!$AC127</f>
        <v>4.2179041090629426</v>
      </c>
      <c r="Q127" s="1">
        <f>'Team B 1'!Q127-'Team B 1'!$AA127-('Team B 1'!Q$2- 12.5)*'Team B 1'!$AC127</f>
        <v>8.5717324193392415</v>
      </c>
      <c r="R127" s="1">
        <f>'Team B 1'!R127-'Team B 1'!$AA127-('Team B 1'!R$2- 12.5)*'Team B 1'!$AC127</f>
        <v>2.9255607296156541</v>
      </c>
      <c r="S127" s="1">
        <f>'Team B 1'!S127-'Team B 1'!$AA127-('Team B 1'!S$2- 12.5)*'Team B 1'!$AC127</f>
        <v>7.2793890398918393</v>
      </c>
      <c r="T127" s="1">
        <f>'Team B 1'!T127-'Team B 1'!$AA127-('Team B 1'!T$2- 12.5)*'Team B 1'!$AC127</f>
        <v>21.633217350168252</v>
      </c>
      <c r="U127" s="1">
        <f>'Team B 1'!U127-'Team B 1'!$AA127-('Team B 1'!U$2- 12.5)*'Team B 1'!$AC127</f>
        <v>-4.0129543395553355</v>
      </c>
      <c r="V127" s="1">
        <f>'Team B 1'!V127-'Team B 1'!$AA127-('Team B 1'!V$2- 12.5)*'Team B 1'!$AC127</f>
        <v>-49.65912602927915</v>
      </c>
      <c r="W127" s="1">
        <f>'Team B 1'!W127-'Team B 1'!$AA127-('Team B 1'!W$2- 12.5)*'Team B 1'!$AC127</f>
        <v>-25.305297719002738</v>
      </c>
      <c r="X127" s="1">
        <f>'Team B 1'!X127-'Team B 1'!$AA127-('Team B 1'!X$2- 12.5)*'Team B 1'!$AC127</f>
        <v>-10.951469408726553</v>
      </c>
      <c r="Y127" s="1">
        <f>'Team B 1'!Y127-'Team B 1'!$AA127-('Team B 1'!Y$2- 12.5)*'Team B 1'!$AC127</f>
        <v>33.402358901550087</v>
      </c>
      <c r="AB127" s="1">
        <f>STDEV(B127:Y127)</f>
        <v>27.40321283908202</v>
      </c>
      <c r="AD127" s="5">
        <v>4</v>
      </c>
      <c r="AE127" s="5">
        <v>8</v>
      </c>
      <c r="AF127" s="5">
        <v>6</v>
      </c>
      <c r="AG127" s="5">
        <v>1</v>
      </c>
      <c r="AH127" s="5" t="s">
        <v>47</v>
      </c>
      <c r="AI127" s="5" t="s">
        <v>45</v>
      </c>
      <c r="AJ127" s="5" t="s">
        <v>46</v>
      </c>
      <c r="AK127" s="5">
        <v>2</v>
      </c>
      <c r="AL127" s="5">
        <v>9</v>
      </c>
      <c r="AM127" s="5">
        <v>3</v>
      </c>
      <c r="AN127" s="5">
        <v>7</v>
      </c>
      <c r="AO127" s="5">
        <v>5</v>
      </c>
      <c r="AP127" s="5">
        <v>8</v>
      </c>
      <c r="AQ127" s="5">
        <v>4</v>
      </c>
      <c r="AR127" s="5">
        <v>6</v>
      </c>
      <c r="AS127" s="5" t="s">
        <v>47</v>
      </c>
      <c r="AT127" s="5">
        <v>1</v>
      </c>
      <c r="AU127" s="5" t="s">
        <v>45</v>
      </c>
      <c r="AV127" s="5">
        <v>2</v>
      </c>
      <c r="AW127" s="5" t="s">
        <v>46</v>
      </c>
      <c r="AX127" s="5">
        <v>3</v>
      </c>
      <c r="AY127" s="5">
        <v>9</v>
      </c>
      <c r="AZ127" s="5">
        <v>5</v>
      </c>
      <c r="BA127" s="5">
        <v>7</v>
      </c>
      <c r="BB127" s="5"/>
      <c r="BC127" s="1">
        <f ca="1">OFFSET(A127,0, 4) -0</f>
        <v>36.325792696023427</v>
      </c>
      <c r="BD127" s="1">
        <f ca="1">OFFSET(A127,0, 8) -0</f>
        <v>23.741105937128623</v>
      </c>
      <c r="BE127" s="1">
        <f ca="1">OFFSET(A127,0, 10) -0</f>
        <v>-27.551237442318666</v>
      </c>
      <c r="BF127" s="1">
        <f ca="1">OFFSET(A127,0, 1) -0</f>
        <v>23.264307765194189</v>
      </c>
      <c r="BG127" s="1">
        <f ca="1">OFFSET(A127,0, 12) -0</f>
        <v>-28.843580821766025</v>
      </c>
      <c r="BH127" s="1">
        <f ca="1">OFFSET(A127,0, 3) -0</f>
        <v>31.971964385747015</v>
      </c>
      <c r="BI127" s="1">
        <f ca="1">OFFSET(A127,0, 11) -0</f>
        <v>16.802590867957633</v>
      </c>
      <c r="BJ127" s="1">
        <f ca="1">OFFSET(A127,0, 2) -0</f>
        <v>27.618136075470829</v>
      </c>
      <c r="BK127" s="1">
        <f ca="1">OFFSET(A127,0, 9) -0</f>
        <v>-31.905065752594965</v>
      </c>
      <c r="BL127" s="1">
        <f ca="1">OFFSET(A127,0, 6) -0</f>
        <v>5.033449316576025</v>
      </c>
      <c r="BM127" s="1">
        <f ca="1">OFFSET(A127,0, 7) -0</f>
        <v>29.387277626852438</v>
      </c>
      <c r="BN127" s="1">
        <f ca="1">OFFSET(A127,0, 5) -0</f>
        <v>-9.3203789937003876</v>
      </c>
      <c r="BO127" s="1">
        <f ca="1">OFFSET(A127,0, 17) -0</f>
        <v>2.9255607296156541</v>
      </c>
      <c r="BP127" s="1">
        <f ca="1">OFFSET(A127,0, 19) -0</f>
        <v>21.633217350168252</v>
      </c>
      <c r="BQ127" s="1">
        <f ca="1">OFFSET(A127,0, 21) -0</f>
        <v>-49.65912602927915</v>
      </c>
      <c r="BR127" s="1">
        <f ca="1">OFFSET(A127,0, 14) -0</f>
        <v>-60.135924201213356</v>
      </c>
      <c r="BS127" s="1">
        <f ca="1">OFFSET(A127,0, 23) -0</f>
        <v>-10.951469408726553</v>
      </c>
      <c r="BT127" s="1">
        <f ca="1">OFFSET(A127,0, 15) -0</f>
        <v>4.2179041090629426</v>
      </c>
      <c r="BU127" s="1">
        <f ca="1">OFFSET(A127,0, 24) -0</f>
        <v>33.402358901550087</v>
      </c>
      <c r="BV127" s="1">
        <f ca="1">OFFSET(A127,0, 13) -0</f>
        <v>-24.489752511489698</v>
      </c>
      <c r="BW127" s="1">
        <f ca="1">OFFSET(A127,0, 22) -0</f>
        <v>-25.305297719002738</v>
      </c>
      <c r="BX127" s="1">
        <f ca="1">OFFSET(A127,0, 18) -0</f>
        <v>7.2793890398918393</v>
      </c>
      <c r="BY127" s="1">
        <f ca="1">OFFSET(A127,0, 20) -0</f>
        <v>-4.0129543395553355</v>
      </c>
      <c r="BZ127" s="1">
        <f ca="1">OFFSET(A127,0, 16) -0</f>
        <v>8.5717324193392415</v>
      </c>
      <c r="CB127" s="1">
        <f>COUNTIF(B127,"&lt;-69")</f>
        <v>0</v>
      </c>
      <c r="CC127" s="1">
        <f ca="1">COUNTIF(BC127:BN127,"&lt;-49")</f>
        <v>0</v>
      </c>
      <c r="CD127" s="1">
        <f ca="1">COUNTIF(BC127:BN127,"&gt;+49")</f>
        <v>0</v>
      </c>
      <c r="CE127" s="1">
        <f ca="1">COUNTIF(BO127:BZ127,"&lt;-49")</f>
        <v>2</v>
      </c>
      <c r="CF127" s="1">
        <f ca="1">COUNTIF(BO127:BZ127,"&gt;+49")</f>
        <v>0</v>
      </c>
    </row>
    <row r="128" spans="1:84">
      <c r="A128" s="1">
        <v>125</v>
      </c>
      <c r="B128" s="1">
        <f>'Team B 1'!B128-'Team B 1'!$AA128-('Team B 1'!B$2- 12.5)*'Team B 1'!$AC128</f>
        <v>36.244549168497542</v>
      </c>
      <c r="C128" s="1">
        <f>'Team B 1'!C128-'Team B 1'!$AA128-('Team B 1'!C$2- 12.5)*'Team B 1'!$AC128</f>
        <v>-9.4433826432527894</v>
      </c>
      <c r="D128" s="1">
        <f>'Team B 1'!D128-'Team B 1'!$AA128-('Team B 1'!D$2- 12.5)*'Team B 1'!$AC128</f>
        <v>-15.131314455002666</v>
      </c>
      <c r="E128" s="1">
        <f>'Team B 1'!E128-'Team B 1'!$AA128-('Team B 1'!E$2- 12.5)*'Team B 1'!$AC128</f>
        <v>-10.819246266752771</v>
      </c>
      <c r="F128" s="1">
        <f>'Team B 1'!F128-'Team B 1'!$AA128-('Team B 1'!F$2- 12.5)*'Team B 1'!$AC128</f>
        <v>13.492821921497352</v>
      </c>
      <c r="G128" s="1">
        <f>'Team B 1'!G128-'Team B 1'!$AA128-('Team B 1'!G$2- 12.5)*'Team B 1'!$AC128</f>
        <v>-2.1951098902527519</v>
      </c>
      <c r="H128" s="1">
        <f>'Team B 1'!H128-'Team B 1'!$AA128-('Team B 1'!H$2- 12.5)*'Team B 1'!$AC128</f>
        <v>2.1169582979971437</v>
      </c>
      <c r="I128" s="1">
        <f>'Team B 1'!I128-'Team B 1'!$AA128-('Team B 1'!I$2- 12.5)*'Team B 1'!$AC128</f>
        <v>16.429026486247267</v>
      </c>
      <c r="J128" s="1">
        <f>'Team B 1'!J128-'Team B 1'!$AA128-('Team B 1'!J$2- 12.5)*'Team B 1'!$AC128</f>
        <v>-29.258905325502838</v>
      </c>
      <c r="K128" s="1">
        <f>'Team B 1'!K128-'Team B 1'!$AA128-('Team B 1'!K$2- 12.5)*'Team B 1'!$AC128</f>
        <v>-14.946837137252828</v>
      </c>
      <c r="L128" s="1">
        <f>'Team B 1'!L128-'Team B 1'!$AA128-('Team B 1'!L$2- 12.5)*'Team B 1'!$AC128</f>
        <v>-0.63476894900281877</v>
      </c>
      <c r="M128" s="1">
        <f>'Team B 1'!M128-'Team B 1'!$AA128-('Team B 1'!M$2- 12.5)*'Team B 1'!$AC128</f>
        <v>-6.322700760752852</v>
      </c>
      <c r="N128" s="1">
        <f>'Team B 1'!N128-'Team B 1'!$AA128-('Team B 1'!N$2- 12.5)*'Team B 1'!$AC128</f>
        <v>17.989367427497129</v>
      </c>
      <c r="O128" s="1">
        <f>'Team B 1'!O128-'Team B 1'!$AA128-('Team B 1'!O$2- 12.5)*'Team B 1'!$AC128</f>
        <v>-17.698564384252904</v>
      </c>
      <c r="P128" s="1">
        <f>'Team B 1'!P128-'Team B 1'!$AA128-('Team B 1'!P$2- 12.5)*'Team B 1'!$AC128</f>
        <v>6.613503803997105</v>
      </c>
      <c r="Q128" s="1">
        <f>'Team B 1'!Q128-'Team B 1'!$AA128-('Team B 1'!Q$2- 12.5)*'Team B 1'!$AC128</f>
        <v>-49.074428007752886</v>
      </c>
      <c r="R128" s="1">
        <f>'Team B 1'!R128-'Team B 1'!$AA128-('Team B 1'!R$2- 12.5)*'Team B 1'!$AC128</f>
        <v>5.2376401804970101</v>
      </c>
      <c r="S128" s="1">
        <f>'Team B 1'!S128-'Team B 1'!$AA128-('Team B 1'!S$2- 12.5)*'Team B 1'!$AC128</f>
        <v>-10.450291631252867</v>
      </c>
      <c r="T128" s="1">
        <f>'Team B 1'!T128-'Team B 1'!$AA128-('Team B 1'!T$2- 12.5)*'Team B 1'!$AC128</f>
        <v>33.861776556997029</v>
      </c>
      <c r="U128" s="1">
        <f>'Team B 1'!U128-'Team B 1'!$AA128-('Team B 1'!U$2- 12.5)*'Team B 1'!$AC128</f>
        <v>8.1738447452469245</v>
      </c>
      <c r="V128" s="1">
        <f>'Team B 1'!V128-'Team B 1'!$AA128-('Team B 1'!V$2- 12.5)*'Team B 1'!$AC128</f>
        <v>12.485912933497048</v>
      </c>
      <c r="W128" s="1">
        <f>'Team B 1'!W128-'Team B 1'!$AA128-('Team B 1'!W$2- 12.5)*'Team B 1'!$AC128</f>
        <v>46.797981121746943</v>
      </c>
      <c r="X128" s="1">
        <f>'Team B 1'!X128-'Team B 1'!$AA128-('Team B 1'!X$2- 12.5)*'Team B 1'!$AC128</f>
        <v>-28.889950690002934</v>
      </c>
      <c r="Y128" s="1">
        <f>'Team B 1'!Y128-'Team B 1'!$AA128-('Team B 1'!Y$2- 12.5)*'Team B 1'!$AC128</f>
        <v>-4.5778825017532654</v>
      </c>
      <c r="AB128" s="1">
        <f>STDEV(B128:Y128)</f>
        <v>21.839832571492156</v>
      </c>
      <c r="AD128" s="5">
        <v>4</v>
      </c>
      <c r="AE128" s="5">
        <v>8</v>
      </c>
      <c r="AF128" s="5" t="s">
        <v>47</v>
      </c>
      <c r="AG128" s="5">
        <v>6</v>
      </c>
      <c r="AH128" s="5" t="s">
        <v>45</v>
      </c>
      <c r="AI128" s="5">
        <v>1</v>
      </c>
      <c r="AJ128" s="5" t="s">
        <v>46</v>
      </c>
      <c r="AK128" s="5">
        <v>2</v>
      </c>
      <c r="AL128" s="5">
        <v>9</v>
      </c>
      <c r="AM128" s="5">
        <v>3</v>
      </c>
      <c r="AN128" s="5">
        <v>7</v>
      </c>
      <c r="AO128" s="5">
        <v>5</v>
      </c>
      <c r="AP128" s="5">
        <v>4</v>
      </c>
      <c r="AQ128" s="5" t="s">
        <v>47</v>
      </c>
      <c r="AR128" s="5">
        <v>8</v>
      </c>
      <c r="AS128" s="5">
        <v>6</v>
      </c>
      <c r="AT128" s="5">
        <v>1</v>
      </c>
      <c r="AU128" s="5" t="s">
        <v>45</v>
      </c>
      <c r="AV128" s="5" t="s">
        <v>46</v>
      </c>
      <c r="AW128" s="5">
        <v>9</v>
      </c>
      <c r="AX128" s="5">
        <v>2</v>
      </c>
      <c r="AY128" s="5">
        <v>7</v>
      </c>
      <c r="AZ128" s="5">
        <v>3</v>
      </c>
      <c r="BA128" s="5">
        <v>5</v>
      </c>
      <c r="BB128" s="5"/>
      <c r="BC128" s="1">
        <f ca="1">OFFSET(A128,0, 6) -0</f>
        <v>-2.1951098902527519</v>
      </c>
      <c r="BD128" s="1">
        <f ca="1">OFFSET(A128,0, 8) -0</f>
        <v>16.429026486247267</v>
      </c>
      <c r="BE128" s="1">
        <f ca="1">OFFSET(A128,0, 10) -0</f>
        <v>-14.946837137252828</v>
      </c>
      <c r="BF128" s="1">
        <f ca="1">OFFSET(A128,0, 1) -0</f>
        <v>36.244549168497542</v>
      </c>
      <c r="BG128" s="1">
        <f ca="1">OFFSET(A128,0, 12) -0</f>
        <v>-6.322700760752852</v>
      </c>
      <c r="BH128" s="1">
        <f ca="1">OFFSET(A128,0, 4) -0</f>
        <v>-10.819246266752771</v>
      </c>
      <c r="BI128" s="1">
        <f ca="1">OFFSET(A128,0, 11) -0</f>
        <v>-0.63476894900281877</v>
      </c>
      <c r="BJ128" s="1">
        <f ca="1">OFFSET(A128,0, 2) -0</f>
        <v>-9.4433826432527894</v>
      </c>
      <c r="BK128" s="1">
        <f ca="1">OFFSET(A128,0, 9) -0</f>
        <v>-29.258905325502838</v>
      </c>
      <c r="BL128" s="1">
        <f ca="1">OFFSET(A128,0, 5) -0</f>
        <v>13.492821921497352</v>
      </c>
      <c r="BM128" s="1">
        <f ca="1">OFFSET(A128,0, 7) -0</f>
        <v>2.1169582979971437</v>
      </c>
      <c r="BN128" s="1">
        <f ca="1">OFFSET(A128,0, 3) -0</f>
        <v>-15.131314455002666</v>
      </c>
      <c r="BO128" s="1">
        <f ca="1">OFFSET(A128,0, 17) -0</f>
        <v>5.2376401804970101</v>
      </c>
      <c r="BP128" s="1">
        <f ca="1">OFFSET(A128,0, 21) -0</f>
        <v>12.485912933497048</v>
      </c>
      <c r="BQ128" s="1">
        <f ca="1">OFFSET(A128,0, 23) -0</f>
        <v>-28.889950690002934</v>
      </c>
      <c r="BR128" s="1">
        <f ca="1">OFFSET(A128,0, 13) -0</f>
        <v>17.989367427497129</v>
      </c>
      <c r="BS128" s="1">
        <f ca="1">OFFSET(A128,0, 24) -0</f>
        <v>-4.5778825017532654</v>
      </c>
      <c r="BT128" s="1">
        <f ca="1">OFFSET(A128,0, 16) -0</f>
        <v>-49.074428007752886</v>
      </c>
      <c r="BU128" s="1">
        <f ca="1">OFFSET(A128,0, 22) -0</f>
        <v>46.797981121746943</v>
      </c>
      <c r="BV128" s="1">
        <f ca="1">OFFSET(A128,0, 15) -0</f>
        <v>6.613503803997105</v>
      </c>
      <c r="BW128" s="1">
        <f ca="1">OFFSET(A128,0, 20) -0</f>
        <v>8.1738447452469245</v>
      </c>
      <c r="BX128" s="1">
        <f ca="1">OFFSET(A128,0, 18) -0</f>
        <v>-10.450291631252867</v>
      </c>
      <c r="BY128" s="1">
        <f ca="1">OFFSET(A128,0, 19) -0</f>
        <v>33.861776556997029</v>
      </c>
      <c r="BZ128" s="1">
        <f ca="1">OFFSET(A128,0, 14) -0</f>
        <v>-17.698564384252904</v>
      </c>
      <c r="CB128" s="1">
        <f>COUNTIF(B128,"&lt;-69")</f>
        <v>0</v>
      </c>
      <c r="CC128" s="1">
        <f ca="1">COUNTIF(BC128:BN128,"&lt;-49")</f>
        <v>0</v>
      </c>
      <c r="CD128" s="1">
        <f ca="1">COUNTIF(BC128:BN128,"&gt;+49")</f>
        <v>0</v>
      </c>
      <c r="CE128" s="1">
        <f ca="1">COUNTIF(BO128:BZ128,"&lt;-49")</f>
        <v>1</v>
      </c>
      <c r="CF128" s="1">
        <f ca="1">COUNTIF(BO128:BZ128,"&gt;+49")</f>
        <v>0</v>
      </c>
    </row>
    <row r="129" spans="1:84">
      <c r="A129" s="1">
        <v>126</v>
      </c>
      <c r="B129" s="1">
        <f>'Team B 1'!B129-'Team B 1'!$AA129-('Team B 1'!B$2- 12.5)*'Team B 1'!$AC129</f>
        <v>4.3290729610653216</v>
      </c>
      <c r="C129" s="1">
        <f>'Team B 1'!C129-'Team B 1'!$AA129-('Team B 1'!C$2- 12.5)*'Team B 1'!$AC129</f>
        <v>19.242486906483464</v>
      </c>
      <c r="D129" s="1">
        <f>'Team B 1'!D129-'Team B 1'!$AA129-('Team B 1'!D$2- 12.5)*'Team B 1'!$AC129</f>
        <v>-5.8440991480986213</v>
      </c>
      <c r="E129" s="1">
        <f>'Team B 1'!E129-'Team B 1'!$AA129-('Team B 1'!E$2- 12.5)*'Team B 1'!$AC129</f>
        <v>-30.930685202680706</v>
      </c>
      <c r="F129" s="1">
        <f>'Team B 1'!F129-'Team B 1'!$AA129-('Team B 1'!F$2- 12.5)*'Team B 1'!$AC129</f>
        <v>13.982728742737436</v>
      </c>
      <c r="G129" s="1">
        <f>'Team B 1'!G129-'Team B 1'!$AA129-('Team B 1'!G$2- 12.5)*'Team B 1'!$AC129</f>
        <v>28.896142688155351</v>
      </c>
      <c r="H129" s="1">
        <f>'Team B 1'!H129-'Team B 1'!$AA129-('Team B 1'!H$2- 12.5)*'Team B 1'!$AC129</f>
        <v>-36.190443366426734</v>
      </c>
      <c r="I129" s="1">
        <f>'Team B 1'!I129-'Team B 1'!$AA129-('Team B 1'!I$2- 12.5)*'Team B 1'!$AC129</f>
        <v>8.7229705789912941</v>
      </c>
      <c r="J129" s="1">
        <f>'Team B 1'!J129-'Team B 1'!$AA129-('Team B 1'!J$2- 12.5)*'Team B 1'!$AC129</f>
        <v>-6.363615475590791</v>
      </c>
      <c r="K129" s="1">
        <f>'Team B 1'!K129-'Team B 1'!$AA129-('Team B 1'!K$2- 12.5)*'Team B 1'!$AC129</f>
        <v>8.5497984698272376</v>
      </c>
      <c r="L129" s="1">
        <f>'Team B 1'!L129-'Team B 1'!$AA129-('Team B 1'!L$2- 12.5)*'Team B 1'!$AC129</f>
        <v>-6.5367875847548476</v>
      </c>
      <c r="M129" s="1">
        <f>'Team B 1'!M129-'Team B 1'!$AA129-('Team B 1'!M$2- 12.5)*'Team B 1'!$AC129</f>
        <v>18.376626360663153</v>
      </c>
      <c r="N129" s="1">
        <f>'Team B 1'!N129-'Team B 1'!$AA129-('Team B 1'!N$2- 12.5)*'Team B 1'!$AC129</f>
        <v>13.290040306081124</v>
      </c>
      <c r="O129" s="1">
        <f>'Team B 1'!O129-'Team B 1'!$AA129-('Team B 1'!O$2- 12.5)*'Team B 1'!$AC129</f>
        <v>-11.796545748500876</v>
      </c>
      <c r="P129" s="1">
        <f>'Team B 1'!P129-'Team B 1'!$AA129-('Team B 1'!P$2- 12.5)*'Team B 1'!$AC129</f>
        <v>-26.883131803082961</v>
      </c>
      <c r="Q129" s="1">
        <f>'Team B 1'!Q129-'Team B 1'!$AA129-('Team B 1'!Q$2- 12.5)*'Team B 1'!$AC129</f>
        <v>-31.969717857664932</v>
      </c>
      <c r="R129" s="1">
        <f>'Team B 1'!R129-'Team B 1'!$AA129-('Team B 1'!R$2- 12.5)*'Team B 1'!$AC129</f>
        <v>-7.0563039122470173</v>
      </c>
      <c r="S129" s="1">
        <f>'Team B 1'!S129-'Team B 1'!$AA129-('Team B 1'!S$2- 12.5)*'Team B 1'!$AC129</f>
        <v>-12.142889966828989</v>
      </c>
      <c r="T129" s="1">
        <f>'Team B 1'!T129-'Team B 1'!$AA129-('Team B 1'!T$2- 12.5)*'Team B 1'!$AC129</f>
        <v>2.7705239785889262</v>
      </c>
      <c r="U129" s="1">
        <f>'Team B 1'!U129-'Team B 1'!$AA129-('Team B 1'!U$2- 12.5)*'Team B 1'!$AC129</f>
        <v>-12.316062075993159</v>
      </c>
      <c r="V129" s="1">
        <f>'Team B 1'!V129-'Team B 1'!$AA129-('Team B 1'!V$2- 12.5)*'Team B 1'!$AC129</f>
        <v>2.5973518694249833</v>
      </c>
      <c r="W129" s="1">
        <f>'Team B 1'!W129-'Team B 1'!$AA129-('Team B 1'!W$2- 12.5)*'Team B 1'!$AC129</f>
        <v>17.510765814842898</v>
      </c>
      <c r="X129" s="1">
        <f>'Team B 1'!X129-'Team B 1'!$AA129-('Team B 1'!X$2- 12.5)*'Team B 1'!$AC129</f>
        <v>22.424179760260813</v>
      </c>
      <c r="Y129" s="1">
        <f>'Team B 1'!Y129-'Team B 1'!$AA129-('Team B 1'!Y$2- 12.5)*'Team B 1'!$AC129</f>
        <v>27.337593705678955</v>
      </c>
      <c r="AB129" s="1">
        <f>STDEV(B129:Y129)</f>
        <v>18.963299205194026</v>
      </c>
      <c r="AD129" s="5" t="s">
        <v>47</v>
      </c>
      <c r="AE129" s="5">
        <v>4</v>
      </c>
      <c r="AF129" s="5">
        <v>6</v>
      </c>
      <c r="AG129" s="5">
        <v>8</v>
      </c>
      <c r="AH129" s="5" t="s">
        <v>45</v>
      </c>
      <c r="AI129" s="5">
        <v>1</v>
      </c>
      <c r="AJ129" s="5">
        <v>9</v>
      </c>
      <c r="AK129" s="5" t="s">
        <v>46</v>
      </c>
      <c r="AL129" s="5">
        <v>7</v>
      </c>
      <c r="AM129" s="5">
        <v>2</v>
      </c>
      <c r="AN129" s="5">
        <v>5</v>
      </c>
      <c r="AO129" s="5">
        <v>3</v>
      </c>
      <c r="AP129" s="5">
        <v>4</v>
      </c>
      <c r="AQ129" s="5" t="s">
        <v>47</v>
      </c>
      <c r="AR129" s="5">
        <v>8</v>
      </c>
      <c r="AS129" s="5">
        <v>6</v>
      </c>
      <c r="AT129" s="5" t="s">
        <v>45</v>
      </c>
      <c r="AU129" s="5">
        <v>9</v>
      </c>
      <c r="AV129" s="5">
        <v>1</v>
      </c>
      <c r="AW129" s="5" t="s">
        <v>46</v>
      </c>
      <c r="AX129" s="5">
        <v>2</v>
      </c>
      <c r="AY129" s="5">
        <v>7</v>
      </c>
      <c r="AZ129" s="5">
        <v>3</v>
      </c>
      <c r="BA129" s="5">
        <v>5</v>
      </c>
      <c r="BB129" s="5"/>
      <c r="BC129" s="1">
        <f ca="1">OFFSET(A129,0, 6) -0</f>
        <v>28.896142688155351</v>
      </c>
      <c r="BD129" s="1">
        <f ca="1">OFFSET(A129,0, 10) -0</f>
        <v>8.5497984698272376</v>
      </c>
      <c r="BE129" s="1">
        <f ca="1">OFFSET(A129,0, 12) -0</f>
        <v>18.376626360663153</v>
      </c>
      <c r="BF129" s="1">
        <f ca="1">OFFSET(A129,0, 2) -0</f>
        <v>19.242486906483464</v>
      </c>
      <c r="BG129" s="1">
        <f ca="1">OFFSET(A129,0, 11) -0</f>
        <v>-6.5367875847548476</v>
      </c>
      <c r="BH129" s="1">
        <f ca="1">OFFSET(A129,0, 3) -0</f>
        <v>-5.8440991480986213</v>
      </c>
      <c r="BI129" s="1">
        <f ca="1">OFFSET(A129,0, 9) -0</f>
        <v>-6.363615475590791</v>
      </c>
      <c r="BJ129" s="1">
        <f ca="1">OFFSET(A129,0, 4) -0</f>
        <v>-30.930685202680706</v>
      </c>
      <c r="BK129" s="1">
        <f ca="1">OFFSET(A129,0, 7) -0</f>
        <v>-36.190443366426734</v>
      </c>
      <c r="BL129" s="1">
        <f ca="1">OFFSET(A129,0, 5) -0</f>
        <v>13.982728742737436</v>
      </c>
      <c r="BM129" s="1">
        <f ca="1">OFFSET(A129,0, 8) -0</f>
        <v>8.7229705789912941</v>
      </c>
      <c r="BN129" s="1">
        <f ca="1">OFFSET(A129,0, 1) -0</f>
        <v>4.3290729610653216</v>
      </c>
      <c r="BO129" s="1">
        <f ca="1">OFFSET(A129,0, 19) -0</f>
        <v>2.7705239785889262</v>
      </c>
      <c r="BP129" s="1">
        <f ca="1">OFFSET(A129,0, 21) -0</f>
        <v>2.5973518694249833</v>
      </c>
      <c r="BQ129" s="1">
        <f ca="1">OFFSET(A129,0, 23) -0</f>
        <v>22.424179760260813</v>
      </c>
      <c r="BR129" s="1">
        <f ca="1">OFFSET(A129,0, 13) -0</f>
        <v>13.290040306081124</v>
      </c>
      <c r="BS129" s="1">
        <f ca="1">OFFSET(A129,0, 24) -0</f>
        <v>27.337593705678955</v>
      </c>
      <c r="BT129" s="1">
        <f ca="1">OFFSET(A129,0, 16) -0</f>
        <v>-31.969717857664932</v>
      </c>
      <c r="BU129" s="1">
        <f ca="1">OFFSET(A129,0, 22) -0</f>
        <v>17.510765814842898</v>
      </c>
      <c r="BV129" s="1">
        <f ca="1">OFFSET(A129,0, 15) -0</f>
        <v>-26.883131803082961</v>
      </c>
      <c r="BW129" s="1">
        <f ca="1">OFFSET(A129,0, 18) -0</f>
        <v>-12.142889966828989</v>
      </c>
      <c r="BX129" s="1">
        <f ca="1">OFFSET(A129,0, 17) -0</f>
        <v>-7.0563039122470173</v>
      </c>
      <c r="BY129" s="1">
        <f ca="1">OFFSET(A129,0, 20) -0</f>
        <v>-12.316062075993159</v>
      </c>
      <c r="BZ129" s="1">
        <f ca="1">OFFSET(A129,0, 14) -0</f>
        <v>-11.796545748500876</v>
      </c>
      <c r="CB129" s="1">
        <f>COUNTIF(B129,"&lt;-69")</f>
        <v>0</v>
      </c>
      <c r="CC129" s="1">
        <f ca="1">COUNTIF(BC129:BN129,"&lt;-49")</f>
        <v>0</v>
      </c>
      <c r="CD129" s="1">
        <f ca="1">COUNTIF(BC129:BN129,"&gt;+49")</f>
        <v>0</v>
      </c>
      <c r="CE129" s="1">
        <f ca="1">COUNTIF(BO129:BZ129,"&lt;-49")</f>
        <v>0</v>
      </c>
      <c r="CF129" s="1">
        <f ca="1">COUNTIF(BO129:BZ129,"&gt;+49")</f>
        <v>0</v>
      </c>
    </row>
    <row r="130" spans="1:84">
      <c r="A130" s="1">
        <v>127</v>
      </c>
      <c r="B130" s="1">
        <f>'Team B 1'!B130-'Team B 1'!$AA130-('Team B 1'!B$2- 12.5)*'Team B 1'!$AC130</f>
        <v>-13.555120161560808</v>
      </c>
      <c r="C130" s="1">
        <f>'Team B 1'!C130-'Team B 1'!$AA130-('Team B 1'!C$2- 12.5)*'Team B 1'!$AC130</f>
        <v>11.391701881477275</v>
      </c>
      <c r="D130" s="1">
        <f>'Team B 1'!D130-'Team B 1'!$AA130-('Team B 1'!D$2- 12.5)*'Team B 1'!$AC130</f>
        <v>26.338523924514675</v>
      </c>
      <c r="E130" s="1">
        <f>'Team B 1'!E130-'Team B 1'!$AA130-('Team B 1'!E$2- 12.5)*'Team B 1'!$AC130</f>
        <v>21.285345967552303</v>
      </c>
      <c r="F130" s="1">
        <f>'Team B 1'!F130-'Team B 1'!$AA130-('Team B 1'!F$2- 12.5)*'Team B 1'!$AC130</f>
        <v>6.2321680105899304</v>
      </c>
      <c r="G130" s="1">
        <f>'Team B 1'!G130-'Team B 1'!$AA130-('Team B 1'!G$2- 12.5)*'Team B 1'!$AC130</f>
        <v>31.178990053627558</v>
      </c>
      <c r="H130" s="1">
        <f>'Team B 1'!H130-'Team B 1'!$AA130-('Team B 1'!H$2- 12.5)*'Team B 1'!$AC130</f>
        <v>16.125812096665186</v>
      </c>
      <c r="I130" s="1">
        <f>'Team B 1'!I130-'Team B 1'!$AA130-('Team B 1'!I$2- 12.5)*'Team B 1'!$AC130</f>
        <v>41.072634139702814</v>
      </c>
      <c r="J130" s="1">
        <f>'Team B 1'!J130-'Team B 1'!$AA130-('Team B 1'!J$2- 12.5)*'Team B 1'!$AC130</f>
        <v>6.0194561827404414</v>
      </c>
      <c r="K130" s="1">
        <f>'Team B 1'!K130-'Team B 1'!$AA130-('Team B 1'!K$2- 12.5)*'Team B 1'!$AC130</f>
        <v>0.9662782257780691</v>
      </c>
      <c r="L130" s="1">
        <f>'Team B 1'!L130-'Team B 1'!$AA130-('Team B 1'!L$2- 12.5)*'Team B 1'!$AC130</f>
        <v>5.9131002688156968</v>
      </c>
      <c r="M130" s="1">
        <f>'Team B 1'!M130-'Team B 1'!$AA130-('Team B 1'!M$2- 12.5)*'Team B 1'!$AC130</f>
        <v>10.859922311853325</v>
      </c>
      <c r="N130" s="1">
        <f>'Team B 1'!N130-'Team B 1'!$AA130-('Team B 1'!N$2- 12.5)*'Team B 1'!$AC130</f>
        <v>-64.193255645109048</v>
      </c>
      <c r="O130" s="1">
        <f>'Team B 1'!O130-'Team B 1'!$AA130-('Team B 1'!O$2- 12.5)*'Team B 1'!$AC130</f>
        <v>-9.24643360207142</v>
      </c>
      <c r="P130" s="1">
        <f>'Team B 1'!P130-'Team B 1'!$AA130-('Team B 1'!P$2- 12.5)*'Team B 1'!$AC130</f>
        <v>-44.299611559033792</v>
      </c>
      <c r="Q130" s="1">
        <f>'Team B 1'!Q130-'Team B 1'!$AA130-('Team B 1'!Q$2- 12.5)*'Team B 1'!$AC130</f>
        <v>-29.352789515996164</v>
      </c>
      <c r="R130" s="1">
        <f>'Team B 1'!R130-'Team B 1'!$AA130-('Team B 1'!R$2- 12.5)*'Team B 1'!$AC130</f>
        <v>5.5940325270414633</v>
      </c>
      <c r="S130" s="1">
        <f>'Team B 1'!S130-'Team B 1'!$AA130-('Team B 1'!S$2- 12.5)*'Team B 1'!$AC130</f>
        <v>0.54085457007909099</v>
      </c>
      <c r="T130" s="1">
        <f>'Team B 1'!T130-'Team B 1'!$AA130-('Team B 1'!T$2- 12.5)*'Team B 1'!$AC130</f>
        <v>5.4876766131167187</v>
      </c>
      <c r="U130" s="1">
        <f>'Team B 1'!U130-'Team B 1'!$AA130-('Team B 1'!U$2- 12.5)*'Team B 1'!$AC130</f>
        <v>-29.565501343845654</v>
      </c>
      <c r="V130" s="1">
        <f>'Team B 1'!V130-'Team B 1'!$AA130-('Team B 1'!V$2- 12.5)*'Team B 1'!$AC130</f>
        <v>-34.618679300808026</v>
      </c>
      <c r="W130" s="1">
        <f>'Team B 1'!W130-'Team B 1'!$AA130-('Team B 1'!W$2- 12.5)*'Team B 1'!$AC130</f>
        <v>0.32814274222960194</v>
      </c>
      <c r="X130" s="1">
        <f>'Team B 1'!X130-'Team B 1'!$AA130-('Team B 1'!X$2- 12.5)*'Team B 1'!$AC130</f>
        <v>5.2749647852670023</v>
      </c>
      <c r="Y130" s="1">
        <f>'Team B 1'!Y130-'Team B 1'!$AA130-('Team B 1'!Y$2- 12.5)*'Team B 1'!$AC130</f>
        <v>30.221786828305085</v>
      </c>
      <c r="AB130" s="1">
        <f>STDEV(B130:Y130)</f>
        <v>25.293247517363159</v>
      </c>
      <c r="AD130" s="5" t="s">
        <v>47</v>
      </c>
      <c r="AE130" s="5">
        <v>4</v>
      </c>
      <c r="AF130" s="5">
        <v>6</v>
      </c>
      <c r="AG130" s="5">
        <v>8</v>
      </c>
      <c r="AH130" s="5">
        <v>9</v>
      </c>
      <c r="AI130" s="5" t="s">
        <v>45</v>
      </c>
      <c r="AJ130" s="5" t="s">
        <v>46</v>
      </c>
      <c r="AK130" s="5">
        <v>1</v>
      </c>
      <c r="AL130" s="5">
        <v>7</v>
      </c>
      <c r="AM130" s="5">
        <v>2</v>
      </c>
      <c r="AN130" s="5">
        <v>5</v>
      </c>
      <c r="AO130" s="5">
        <v>3</v>
      </c>
      <c r="AP130" s="5" t="s">
        <v>47</v>
      </c>
      <c r="AQ130" s="5">
        <v>6</v>
      </c>
      <c r="AR130" s="5">
        <v>4</v>
      </c>
      <c r="AS130" s="5">
        <v>9</v>
      </c>
      <c r="AT130" s="5">
        <v>8</v>
      </c>
      <c r="AU130" s="5" t="s">
        <v>45</v>
      </c>
      <c r="AV130" s="5">
        <v>1</v>
      </c>
      <c r="AW130" s="5" t="s">
        <v>46</v>
      </c>
      <c r="AX130" s="5">
        <v>7</v>
      </c>
      <c r="AY130" s="5">
        <v>5</v>
      </c>
      <c r="AZ130" s="5">
        <v>2</v>
      </c>
      <c r="BA130" s="5">
        <v>3</v>
      </c>
      <c r="BB130" s="5"/>
      <c r="BC130" s="1">
        <f ca="1">OFFSET(A130,0, 8) -0</f>
        <v>41.072634139702814</v>
      </c>
      <c r="BD130" s="1">
        <f ca="1">OFFSET(A130,0, 10) -0</f>
        <v>0.9662782257780691</v>
      </c>
      <c r="BE130" s="1">
        <f ca="1">OFFSET(A130,0, 12) -0</f>
        <v>10.859922311853325</v>
      </c>
      <c r="BF130" s="1">
        <f ca="1">OFFSET(A130,0, 2) -0</f>
        <v>11.391701881477275</v>
      </c>
      <c r="BG130" s="1">
        <f ca="1">OFFSET(A130,0, 11) -0</f>
        <v>5.9131002688156968</v>
      </c>
      <c r="BH130" s="1">
        <f ca="1">OFFSET(A130,0, 3) -0</f>
        <v>26.338523924514675</v>
      </c>
      <c r="BI130" s="1">
        <f ca="1">OFFSET(A130,0, 9) -0</f>
        <v>6.0194561827404414</v>
      </c>
      <c r="BJ130" s="1">
        <f ca="1">OFFSET(A130,0, 4) -0</f>
        <v>21.285345967552303</v>
      </c>
      <c r="BK130" s="1">
        <f ca="1">OFFSET(A130,0, 5) -0</f>
        <v>6.2321680105899304</v>
      </c>
      <c r="BL130" s="1">
        <f ca="1">OFFSET(A130,0, 6) -0</f>
        <v>31.178990053627558</v>
      </c>
      <c r="BM130" s="1">
        <f ca="1">OFFSET(A130,0, 7) -0</f>
        <v>16.125812096665186</v>
      </c>
      <c r="BN130" s="1">
        <f ca="1">OFFSET(A130,0, 1) -0</f>
        <v>-13.555120161560808</v>
      </c>
      <c r="BO130" s="1">
        <f ca="1">OFFSET(A130,0, 19) -0</f>
        <v>5.4876766131167187</v>
      </c>
      <c r="BP130" s="1">
        <f ca="1">OFFSET(A130,0, 23) -0</f>
        <v>5.2749647852670023</v>
      </c>
      <c r="BQ130" s="1">
        <f ca="1">OFFSET(A130,0, 24) -0</f>
        <v>30.221786828305085</v>
      </c>
      <c r="BR130" s="1">
        <f ca="1">OFFSET(A130,0, 15) -0</f>
        <v>-44.299611559033792</v>
      </c>
      <c r="BS130" s="1">
        <f ca="1">OFFSET(A130,0, 22) -0</f>
        <v>0.32814274222960194</v>
      </c>
      <c r="BT130" s="1">
        <f ca="1">OFFSET(A130,0, 14) -0</f>
        <v>-9.24643360207142</v>
      </c>
      <c r="BU130" s="1">
        <f ca="1">OFFSET(A130,0, 21) -0</f>
        <v>-34.618679300808026</v>
      </c>
      <c r="BV130" s="1">
        <f ca="1">OFFSET(A130,0, 17) -0</f>
        <v>5.5940325270414633</v>
      </c>
      <c r="BW130" s="1">
        <f ca="1">OFFSET(A130,0, 16) -0</f>
        <v>-29.352789515996164</v>
      </c>
      <c r="BX130" s="1">
        <f ca="1">OFFSET(A130,0, 18) -0</f>
        <v>0.54085457007909099</v>
      </c>
      <c r="BY130" s="1">
        <f ca="1">OFFSET(A130,0, 20) -0</f>
        <v>-29.565501343845654</v>
      </c>
      <c r="BZ130" s="1">
        <f ca="1">OFFSET(A130,0, 13) -0</f>
        <v>-64.193255645109048</v>
      </c>
      <c r="CB130" s="1">
        <f>COUNTIF(B130,"&lt;-69")</f>
        <v>0</v>
      </c>
      <c r="CC130" s="1">
        <f ca="1">COUNTIF(BC130:BN130,"&lt;-49")</f>
        <v>0</v>
      </c>
      <c r="CD130" s="1">
        <f ca="1">COUNTIF(BC130:BN130,"&gt;+49")</f>
        <v>0</v>
      </c>
      <c r="CE130" s="1">
        <f ca="1">COUNTIF(BO130:BZ130,"&lt;-49")</f>
        <v>1</v>
      </c>
      <c r="CF130" s="1">
        <f ca="1">COUNTIF(BO130:BZ130,"&gt;+49")</f>
        <v>0</v>
      </c>
    </row>
    <row r="131" spans="1:84">
      <c r="A131" s="1">
        <v>128</v>
      </c>
      <c r="B131" s="1">
        <f>'Team B 1'!B131-'Team B 1'!$AA131-('Team B 1'!B$2- 12.5)*'Team B 1'!$AC131</f>
        <v>29.64282958987269</v>
      </c>
      <c r="C131" s="1">
        <f>'Team B 1'!C131-'Team B 1'!$AA131-('Team B 1'!C$2- 12.5)*'Team B 1'!$AC131</f>
        <v>-35.978286026637761</v>
      </c>
      <c r="D131" s="1">
        <f>'Team B 1'!D131-'Team B 1'!$AA131-('Team B 1'!D$2- 12.5)*'Team B 1'!$AC131</f>
        <v>-31.599401643148667</v>
      </c>
      <c r="E131" s="1">
        <f>'Team B 1'!E131-'Team B 1'!$AA131-('Team B 1'!E$2- 12.5)*'Team B 1'!$AC131</f>
        <v>2.7794827403408817</v>
      </c>
      <c r="F131" s="1">
        <f>'Team B 1'!F131-'Team B 1'!$AA131-('Team B 1'!F$2- 12.5)*'Team B 1'!$AC131</f>
        <v>7.1583671238299758</v>
      </c>
      <c r="G131" s="1">
        <f>'Team B 1'!G131-'Team B 1'!$AA131-('Team B 1'!G$2- 12.5)*'Team B 1'!$AC131</f>
        <v>31.537251507319525</v>
      </c>
      <c r="H131" s="1">
        <f>'Team B 1'!H131-'Team B 1'!$AA131-('Team B 1'!H$2- 12.5)*'Team B 1'!$AC131</f>
        <v>-14.083864109191381</v>
      </c>
      <c r="I131" s="1">
        <f>'Team B 1'!I131-'Team B 1'!$AA131-('Team B 1'!I$2- 12.5)*'Team B 1'!$AC131</f>
        <v>40.295020274298054</v>
      </c>
      <c r="J131" s="1">
        <f>'Team B 1'!J131-'Team B 1'!$AA131-('Team B 1'!J$2- 12.5)*'Team B 1'!$AC131</f>
        <v>-25.326095342212625</v>
      </c>
      <c r="K131" s="1">
        <f>'Team B 1'!K131-'Team B 1'!$AA131-('Team B 1'!K$2- 12.5)*'Team B 1'!$AC131</f>
        <v>-0.94721095872330352</v>
      </c>
      <c r="L131" s="1">
        <f>'Team B 1'!L131-'Team B 1'!$AA131-('Team B 1'!L$2- 12.5)*'Team B 1'!$AC131</f>
        <v>-6.5683265752339821</v>
      </c>
      <c r="M131" s="1">
        <f>'Team B 1'!M131-'Team B 1'!$AA131-('Team B 1'!M$2- 12.5)*'Team B 1'!$AC131</f>
        <v>-12.189442191744661</v>
      </c>
      <c r="N131" s="1">
        <f>'Team B 1'!N131-'Team B 1'!$AA131-('Team B 1'!N$2- 12.5)*'Team B 1'!$AC131</f>
        <v>2.1894421917446607</v>
      </c>
      <c r="O131" s="1">
        <f>'Team B 1'!O131-'Team B 1'!$AA131-('Team B 1'!O$2- 12.5)*'Team B 1'!$AC131</f>
        <v>6.5683265752339821</v>
      </c>
      <c r="P131" s="1">
        <f>'Team B 1'!P131-'Team B 1'!$AA131-('Team B 1'!P$2- 12.5)*'Team B 1'!$AC131</f>
        <v>-29.052789041276696</v>
      </c>
      <c r="Q131" s="1">
        <f>'Team B 1'!Q131-'Team B 1'!$AA131-('Team B 1'!Q$2- 12.5)*'Team B 1'!$AC131</f>
        <v>-24.673904657787375</v>
      </c>
      <c r="R131" s="1">
        <f>'Team B 1'!R131-'Team B 1'!$AA131-('Team B 1'!R$2- 12.5)*'Team B 1'!$AC131</f>
        <v>-20.295020274298054</v>
      </c>
      <c r="S131" s="1">
        <f>'Team B 1'!S131-'Team B 1'!$AA131-('Team B 1'!S$2- 12.5)*'Team B 1'!$AC131</f>
        <v>-5.9161358908086186</v>
      </c>
      <c r="T131" s="1">
        <f>'Team B 1'!T131-'Team B 1'!$AA131-('Team B 1'!T$2- 12.5)*'Team B 1'!$AC131</f>
        <v>8.4627484926804755</v>
      </c>
      <c r="U131" s="1">
        <f>'Team B 1'!U131-'Team B 1'!$AA131-('Team B 1'!U$2- 12.5)*'Team B 1'!$AC131</f>
        <v>-7.1583671238299758</v>
      </c>
      <c r="V131" s="1">
        <f>'Team B 1'!V131-'Team B 1'!$AA131-('Team B 1'!V$2- 12.5)*'Team B 1'!$AC131</f>
        <v>17.220517259659118</v>
      </c>
      <c r="W131" s="1">
        <f>'Team B 1'!W131-'Team B 1'!$AA131-('Team B 1'!W$2- 12.5)*'Team B 1'!$AC131</f>
        <v>21.599401643148667</v>
      </c>
      <c r="X131" s="1">
        <f>'Team B 1'!X131-'Team B 1'!$AA131-('Team B 1'!X$2- 12.5)*'Team B 1'!$AC131</f>
        <v>15.978286026637761</v>
      </c>
      <c r="Y131" s="1">
        <f>'Team B 1'!Y131-'Team B 1'!$AA131-('Team B 1'!Y$2- 12.5)*'Team B 1'!$AC131</f>
        <v>30.35717041012731</v>
      </c>
      <c r="AB131" s="1">
        <f>STDEV(B131:Y131)</f>
        <v>21.761349373917611</v>
      </c>
      <c r="AD131" s="5">
        <v>6</v>
      </c>
      <c r="AE131" s="5" t="s">
        <v>47</v>
      </c>
      <c r="AF131" s="5">
        <v>9</v>
      </c>
      <c r="AG131" s="5">
        <v>4</v>
      </c>
      <c r="AH131" s="5" t="s">
        <v>45</v>
      </c>
      <c r="AI131" s="5">
        <v>8</v>
      </c>
      <c r="AJ131" s="5" t="s">
        <v>46</v>
      </c>
      <c r="AK131" s="5">
        <v>1</v>
      </c>
      <c r="AL131" s="5">
        <v>5</v>
      </c>
      <c r="AM131" s="5">
        <v>7</v>
      </c>
      <c r="AN131" s="5">
        <v>3</v>
      </c>
      <c r="AO131" s="5">
        <v>2</v>
      </c>
      <c r="AP131" s="5" t="s">
        <v>47</v>
      </c>
      <c r="AQ131" s="5">
        <v>6</v>
      </c>
      <c r="AR131" s="5">
        <v>4</v>
      </c>
      <c r="AS131" s="5">
        <v>9</v>
      </c>
      <c r="AT131" s="5">
        <v>8</v>
      </c>
      <c r="AU131" s="5" t="s">
        <v>45</v>
      </c>
      <c r="AV131" s="5" t="s">
        <v>46</v>
      </c>
      <c r="AW131" s="5">
        <v>5</v>
      </c>
      <c r="AX131" s="5">
        <v>1</v>
      </c>
      <c r="AY131" s="5">
        <v>7</v>
      </c>
      <c r="AZ131" s="5">
        <v>2</v>
      </c>
      <c r="BA131" s="5">
        <v>3</v>
      </c>
      <c r="BB131" s="5"/>
      <c r="BC131" s="1">
        <f ca="1">OFFSET(A131,0, 8) -0</f>
        <v>40.295020274298054</v>
      </c>
      <c r="BD131" s="1">
        <f ca="1">OFFSET(A131,0, 12) -0</f>
        <v>-12.189442191744661</v>
      </c>
      <c r="BE131" s="1">
        <f ca="1">OFFSET(A131,0, 11) -0</f>
        <v>-6.5683265752339821</v>
      </c>
      <c r="BF131" s="1">
        <f ca="1">OFFSET(A131,0, 4) -0</f>
        <v>2.7794827403408817</v>
      </c>
      <c r="BG131" s="1">
        <f ca="1">OFFSET(A131,0, 9) -0</f>
        <v>-25.326095342212625</v>
      </c>
      <c r="BH131" s="1">
        <f ca="1">OFFSET(A131,0, 1) -0</f>
        <v>29.64282958987269</v>
      </c>
      <c r="BI131" s="1">
        <f ca="1">OFFSET(A131,0, 10) -0</f>
        <v>-0.94721095872330352</v>
      </c>
      <c r="BJ131" s="1">
        <f ca="1">OFFSET(A131,0, 6) -0</f>
        <v>31.537251507319525</v>
      </c>
      <c r="BK131" s="1">
        <f ca="1">OFFSET(A131,0, 3) -0</f>
        <v>-31.599401643148667</v>
      </c>
      <c r="BL131" s="1">
        <f ca="1">OFFSET(A131,0, 5) -0</f>
        <v>7.1583671238299758</v>
      </c>
      <c r="BM131" s="1">
        <f ca="1">OFFSET(A131,0, 7) -0</f>
        <v>-14.083864109191381</v>
      </c>
      <c r="BN131" s="1">
        <f ca="1">OFFSET(A131,0, 2) -0</f>
        <v>-35.978286026637761</v>
      </c>
      <c r="BO131" s="1">
        <f ca="1">OFFSET(A131,0, 21) -0</f>
        <v>17.220517259659118</v>
      </c>
      <c r="BP131" s="1">
        <f ca="1">OFFSET(A131,0, 23) -0</f>
        <v>15.978286026637761</v>
      </c>
      <c r="BQ131" s="1">
        <f ca="1">OFFSET(A131,0, 24) -0</f>
        <v>30.35717041012731</v>
      </c>
      <c r="BR131" s="1">
        <f ca="1">OFFSET(A131,0, 15) -0</f>
        <v>-29.052789041276696</v>
      </c>
      <c r="BS131" s="1">
        <f ca="1">OFFSET(A131,0, 20) -0</f>
        <v>-7.1583671238299758</v>
      </c>
      <c r="BT131" s="1">
        <f ca="1">OFFSET(A131,0, 14) -0</f>
        <v>6.5683265752339821</v>
      </c>
      <c r="BU131" s="1">
        <f ca="1">OFFSET(A131,0, 22) -0</f>
        <v>21.599401643148667</v>
      </c>
      <c r="BV131" s="1">
        <f ca="1">OFFSET(A131,0, 17) -0</f>
        <v>-20.295020274298054</v>
      </c>
      <c r="BW131" s="1">
        <f ca="1">OFFSET(A131,0, 16) -0</f>
        <v>-24.673904657787375</v>
      </c>
      <c r="BX131" s="1">
        <f ca="1">OFFSET(A131,0, 18) -0</f>
        <v>-5.9161358908086186</v>
      </c>
      <c r="BY131" s="1">
        <f ca="1">OFFSET(A131,0, 19) -0</f>
        <v>8.4627484926804755</v>
      </c>
      <c r="BZ131" s="1">
        <f ca="1">OFFSET(A131,0, 13) -0</f>
        <v>2.1894421917446607</v>
      </c>
      <c r="CB131" s="1">
        <f>COUNTIF(B131,"&lt;-69")</f>
        <v>0</v>
      </c>
      <c r="CC131" s="1">
        <f ca="1">COUNTIF(BC131:BN131,"&lt;-49")</f>
        <v>0</v>
      </c>
      <c r="CD131" s="1">
        <f ca="1">COUNTIF(BC131:BN131,"&gt;+49")</f>
        <v>0</v>
      </c>
      <c r="CE131" s="1">
        <f ca="1">COUNTIF(BO131:BZ131,"&lt;-49")</f>
        <v>0</v>
      </c>
      <c r="CF131" s="1">
        <f ca="1">COUNTIF(BO131:BZ131,"&gt;+49")</f>
        <v>0</v>
      </c>
    </row>
    <row r="132" spans="1:84">
      <c r="A132" s="1">
        <v>129</v>
      </c>
      <c r="B132" s="1">
        <f>'Team B 1'!B132-'Team B 1'!$AA132-('Team B 1'!B$2- 12.5)*'Team B 1'!$AC132</f>
        <v>-20.043413781346771</v>
      </c>
      <c r="C132" s="1">
        <f>'Team B 1'!C132-'Team B 1'!$AA132-('Team B 1'!C$2- 12.5)*'Team B 1'!$AC132</f>
        <v>3.8009410402164576</v>
      </c>
      <c r="D132" s="1">
        <f>'Team B 1'!D132-'Team B 1'!$AA132-('Team B 1'!D$2- 12.5)*'Team B 1'!$AC132</f>
        <v>7.6452958617792319</v>
      </c>
      <c r="E132" s="1">
        <f>'Team B 1'!E132-'Team B 1'!$AA132-('Team B 1'!E$2- 12.5)*'Team B 1'!$AC132</f>
        <v>21.489650683342461</v>
      </c>
      <c r="F132" s="1">
        <f>'Team B 1'!F132-'Team B 1'!$AA132-('Team B 1'!F$2- 12.5)*'Team B 1'!$AC132</f>
        <v>15.334005504905235</v>
      </c>
      <c r="G132" s="1">
        <f>'Team B 1'!G132-'Team B 1'!$AA132-('Team B 1'!G$2- 12.5)*'Team B 1'!$AC132</f>
        <v>9.1783603264684643</v>
      </c>
      <c r="H132" s="1">
        <f>'Team B 1'!H132-'Team B 1'!$AA132-('Team B 1'!H$2- 12.5)*'Team B 1'!$AC132</f>
        <v>3.0227151480312386</v>
      </c>
      <c r="I132" s="1">
        <f>'Team B 1'!I132-'Team B 1'!$AA132-('Team B 1'!I$2- 12.5)*'Team B 1'!$AC132</f>
        <v>-13.132930030405646</v>
      </c>
      <c r="J132" s="1">
        <f>'Team B 1'!J132-'Team B 1'!$AA132-('Team B 1'!J$2- 12.5)*'Team B 1'!$AC132</f>
        <v>30.711424791157356</v>
      </c>
      <c r="K132" s="1">
        <f>'Team B 1'!K132-'Team B 1'!$AA132-('Team B 1'!K$2- 12.5)*'Team B 1'!$AC132</f>
        <v>-5.4442203872796426</v>
      </c>
      <c r="L132" s="1">
        <f>'Team B 1'!L132-'Team B 1'!$AA132-('Team B 1'!L$2- 12.5)*'Team B 1'!$AC132</f>
        <v>38.400134434283359</v>
      </c>
      <c r="M132" s="1">
        <f>'Team B 1'!M132-'Team B 1'!$AA132-('Team B 1'!M$2- 12.5)*'Team B 1'!$AC132</f>
        <v>2.2444892558463607</v>
      </c>
      <c r="N132" s="1">
        <f>'Team B 1'!N132-'Team B 1'!$AA132-('Team B 1'!N$2- 12.5)*'Team B 1'!$AC132</f>
        <v>36.088844077409362</v>
      </c>
      <c r="O132" s="1">
        <f>'Team B 1'!O132-'Team B 1'!$AA132-('Team B 1'!O$2- 12.5)*'Team B 1'!$AC132</f>
        <v>-10.066801101027636</v>
      </c>
      <c r="P132" s="1">
        <f>'Team B 1'!P132-'Team B 1'!$AA132-('Team B 1'!P$2- 12.5)*'Team B 1'!$AC132</f>
        <v>3.7775537205353658</v>
      </c>
      <c r="Q132" s="1">
        <f>'Team B 1'!Q132-'Team B 1'!$AA132-('Team B 1'!Q$2- 12.5)*'Team B 1'!$AC132</f>
        <v>17.621908542098367</v>
      </c>
      <c r="R132" s="1">
        <f>'Team B 1'!R132-'Team B 1'!$AA132-('Team B 1'!R$2- 12.5)*'Team B 1'!$AC132</f>
        <v>-18.533736636338631</v>
      </c>
      <c r="S132" s="1">
        <f>'Team B 1'!S132-'Team B 1'!$AA132-('Team B 1'!S$2- 12.5)*'Team B 1'!$AC132</f>
        <v>-24.689381814775516</v>
      </c>
      <c r="T132" s="1">
        <f>'Team B 1'!T132-'Team B 1'!$AA132-('Team B 1'!T$2- 12.5)*'Team B 1'!$AC132</f>
        <v>-60.845026993212741</v>
      </c>
      <c r="U132" s="1">
        <f>'Team B 1'!U132-'Team B 1'!$AA132-('Team B 1'!U$2- 12.5)*'Team B 1'!$AC132</f>
        <v>-7.0006721716495122</v>
      </c>
      <c r="V132" s="1">
        <f>'Team B 1'!V132-'Team B 1'!$AA132-('Team B 1'!V$2- 12.5)*'Team B 1'!$AC132</f>
        <v>-3.1563173500867379</v>
      </c>
      <c r="W132" s="1">
        <f>'Team B 1'!W132-'Team B 1'!$AA132-('Team B 1'!W$2- 12.5)*'Team B 1'!$AC132</f>
        <v>-9.3119625285235088</v>
      </c>
      <c r="X132" s="1">
        <f>'Team B 1'!X132-'Team B 1'!$AA132-('Team B 1'!X$2- 12.5)*'Team B 1'!$AC132</f>
        <v>-5.4676077069607345</v>
      </c>
      <c r="Y132" s="1">
        <f>'Team B 1'!Y132-'Team B 1'!$AA132-('Team B 1'!Y$2- 12.5)*'Team B 1'!$AC132</f>
        <v>-11.623252885397505</v>
      </c>
      <c r="AB132" s="1">
        <f>STDEV(B132:Y132)</f>
        <v>21.451941485050604</v>
      </c>
      <c r="AD132" s="5">
        <v>6</v>
      </c>
      <c r="AE132" s="5" t="s">
        <v>47</v>
      </c>
      <c r="AF132" s="5">
        <v>9</v>
      </c>
      <c r="AG132" s="5">
        <v>4</v>
      </c>
      <c r="AH132" s="5" t="s">
        <v>45</v>
      </c>
      <c r="AI132" s="5">
        <v>8</v>
      </c>
      <c r="AJ132" s="5">
        <v>5</v>
      </c>
      <c r="AK132" s="5" t="s">
        <v>46</v>
      </c>
      <c r="AL132" s="5">
        <v>7</v>
      </c>
      <c r="AM132" s="5">
        <v>1</v>
      </c>
      <c r="AN132" s="5">
        <v>3</v>
      </c>
      <c r="AO132" s="5">
        <v>2</v>
      </c>
      <c r="AP132" s="5">
        <v>6</v>
      </c>
      <c r="AQ132" s="5">
        <v>9</v>
      </c>
      <c r="AR132" s="5" t="s">
        <v>47</v>
      </c>
      <c r="AS132" s="5" t="s">
        <v>45</v>
      </c>
      <c r="AT132" s="5">
        <v>4</v>
      </c>
      <c r="AU132" s="5">
        <v>5</v>
      </c>
      <c r="AV132" s="5">
        <v>8</v>
      </c>
      <c r="AW132" s="5" t="s">
        <v>46</v>
      </c>
      <c r="AX132" s="5">
        <v>1</v>
      </c>
      <c r="AY132" s="5">
        <v>7</v>
      </c>
      <c r="AZ132" s="5">
        <v>2</v>
      </c>
      <c r="BA132" s="5">
        <v>3</v>
      </c>
      <c r="BB132" s="5"/>
      <c r="BC132" s="1">
        <f ca="1">OFFSET(A132,0, 10) -0</f>
        <v>-5.4442203872796426</v>
      </c>
      <c r="BD132" s="1">
        <f ca="1">OFFSET(A132,0, 12) -0</f>
        <v>2.2444892558463607</v>
      </c>
      <c r="BE132" s="1">
        <f ca="1">OFFSET(A132,0, 11) -0</f>
        <v>38.400134434283359</v>
      </c>
      <c r="BF132" s="1">
        <f ca="1">OFFSET(A132,0, 4) -0</f>
        <v>21.489650683342461</v>
      </c>
      <c r="BG132" s="1">
        <f ca="1">OFFSET(A132,0, 7) -0</f>
        <v>3.0227151480312386</v>
      </c>
      <c r="BH132" s="1">
        <f ca="1">OFFSET(A132,0, 1) -0</f>
        <v>-20.043413781346771</v>
      </c>
      <c r="BI132" s="1">
        <f ca="1">OFFSET(A132,0, 9) -0</f>
        <v>30.711424791157356</v>
      </c>
      <c r="BJ132" s="1">
        <f ca="1">OFFSET(A132,0, 6) -0</f>
        <v>9.1783603264684643</v>
      </c>
      <c r="BK132" s="1">
        <f ca="1">OFFSET(A132,0, 3) -0</f>
        <v>7.6452958617792319</v>
      </c>
      <c r="BL132" s="1">
        <f ca="1">OFFSET(A132,0, 5) -0</f>
        <v>15.334005504905235</v>
      </c>
      <c r="BM132" s="1">
        <f ca="1">OFFSET(A132,0, 8) -0</f>
        <v>-13.132930030405646</v>
      </c>
      <c r="BN132" s="1">
        <f ca="1">OFFSET(A132,0, 2) -0</f>
        <v>3.8009410402164576</v>
      </c>
      <c r="BO132" s="1">
        <f ca="1">OFFSET(A132,0, 21) -0</f>
        <v>-3.1563173500867379</v>
      </c>
      <c r="BP132" s="1">
        <f ca="1">OFFSET(A132,0, 23) -0</f>
        <v>-5.4676077069607345</v>
      </c>
      <c r="BQ132" s="1">
        <f ca="1">OFFSET(A132,0, 24) -0</f>
        <v>-11.623252885397505</v>
      </c>
      <c r="BR132" s="1">
        <f ca="1">OFFSET(A132,0, 17) -0</f>
        <v>-18.533736636338631</v>
      </c>
      <c r="BS132" s="1">
        <f ca="1">OFFSET(A132,0, 18) -0</f>
        <v>-24.689381814775516</v>
      </c>
      <c r="BT132" s="1">
        <f ca="1">OFFSET(A132,0, 13) -0</f>
        <v>36.088844077409362</v>
      </c>
      <c r="BU132" s="1">
        <f ca="1">OFFSET(A132,0, 22) -0</f>
        <v>-9.3119625285235088</v>
      </c>
      <c r="BV132" s="1">
        <f ca="1">OFFSET(A132,0, 19) -0</f>
        <v>-60.845026993212741</v>
      </c>
      <c r="BW132" s="1">
        <f ca="1">OFFSET(A132,0, 14) -0</f>
        <v>-10.066801101027636</v>
      </c>
      <c r="BX132" s="1">
        <f ca="1">OFFSET(A132,0, 16) -0</f>
        <v>17.621908542098367</v>
      </c>
      <c r="BY132" s="1">
        <f ca="1">OFFSET(A132,0, 20) -0</f>
        <v>-7.0006721716495122</v>
      </c>
      <c r="BZ132" s="1">
        <f ca="1">OFFSET(A132,0, 15) -0</f>
        <v>3.7775537205353658</v>
      </c>
      <c r="CB132" s="1">
        <f>COUNTIF(B132,"&lt;-69")</f>
        <v>0</v>
      </c>
      <c r="CC132" s="1">
        <f ca="1">COUNTIF(BC132:BN132,"&lt;-49")</f>
        <v>0</v>
      </c>
      <c r="CD132" s="1">
        <f ca="1">COUNTIF(BC132:BN132,"&gt;+49")</f>
        <v>0</v>
      </c>
      <c r="CE132" s="1">
        <f ca="1">COUNTIF(BO132:BZ132,"&lt;-49")</f>
        <v>1</v>
      </c>
      <c r="CF132" s="1">
        <f ca="1">COUNTIF(BO132:BZ132,"&gt;+49")</f>
        <v>0</v>
      </c>
    </row>
    <row r="133" spans="1:84">
      <c r="A133" s="1">
        <v>130</v>
      </c>
      <c r="B133" s="1">
        <f>'Team B 1'!B133-'Team B 1'!$AA133-('Team B 1'!B$2- 12.5)*'Team B 1'!$AC133</f>
        <v>-31.733863520949853</v>
      </c>
      <c r="C133" s="1">
        <f>'Team B 1'!C133-'Team B 1'!$AA133-('Team B 1'!C$2- 12.5)*'Team B 1'!$AC133</f>
        <v>2.2574869301438412</v>
      </c>
      <c r="D133" s="1">
        <f>'Team B 1'!D133-'Team B 1'!$AA133-('Team B 1'!D$2- 12.5)*'Team B 1'!$AC133</f>
        <v>16.248837381237536</v>
      </c>
      <c r="E133" s="1">
        <f>'Team B 1'!E133-'Team B 1'!$AA133-('Team B 1'!E$2- 12.5)*'Team B 1'!$AC133</f>
        <v>30.24018783233123</v>
      </c>
      <c r="F133" s="1">
        <f>'Team B 1'!F133-'Team B 1'!$AA133-('Team B 1'!F$2- 12.5)*'Team B 1'!$AC133</f>
        <v>34.231538283424925</v>
      </c>
      <c r="G133" s="1">
        <f>'Team B 1'!G133-'Team B 1'!$AA133-('Team B 1'!G$2- 12.5)*'Team B 1'!$AC133</f>
        <v>18.222888734518619</v>
      </c>
      <c r="H133" s="1">
        <f>'Team B 1'!H133-'Team B 1'!$AA133-('Team B 1'!H$2- 12.5)*'Team B 1'!$AC133</f>
        <v>-47.785760814387686</v>
      </c>
      <c r="I133" s="1">
        <f>'Team B 1'!I133-'Team B 1'!$AA133-('Team B 1'!I$2- 12.5)*'Team B 1'!$AC133</f>
        <v>6.2055896367061223</v>
      </c>
      <c r="J133" s="1">
        <f>'Team B 1'!J133-'Team B 1'!$AA133-('Team B 1'!J$2- 12.5)*'Team B 1'!$AC133</f>
        <v>10.196940087799817</v>
      </c>
      <c r="K133" s="1">
        <f>'Team B 1'!K133-'Team B 1'!$AA133-('Team B 1'!K$2- 12.5)*'Team B 1'!$AC133</f>
        <v>4.1882905388935683</v>
      </c>
      <c r="L133" s="1">
        <f>'Team B 1'!L133-'Team B 1'!$AA133-('Team B 1'!L$2- 12.5)*'Team B 1'!$AC133</f>
        <v>8.1796409899872629</v>
      </c>
      <c r="M133" s="1">
        <f>'Team B 1'!M133-'Team B 1'!$AA133-('Team B 1'!M$2- 12.5)*'Team B 1'!$AC133</f>
        <v>-7.8290085589189999</v>
      </c>
      <c r="N133" s="1">
        <f>'Team B 1'!N133-'Team B 1'!$AA133-('Team B 1'!N$2- 12.5)*'Team B 1'!$AC133</f>
        <v>16.162341892174723</v>
      </c>
      <c r="O133" s="1">
        <f>'Team B 1'!O133-'Team B 1'!$AA133-('Team B 1'!O$2- 12.5)*'Team B 1'!$AC133</f>
        <v>0.15369234326846026</v>
      </c>
      <c r="P133" s="1">
        <f>'Team B 1'!P133-'Team B 1'!$AA133-('Team B 1'!P$2- 12.5)*'Team B 1'!$AC133</f>
        <v>-5.8549572056378452</v>
      </c>
      <c r="Q133" s="1">
        <f>'Team B 1'!Q133-'Team B 1'!$AA133-('Team B 1'!Q$2- 12.5)*'Team B 1'!$AC133</f>
        <v>8.1363932454559063</v>
      </c>
      <c r="R133" s="1">
        <f>'Team B 1'!R133-'Team B 1'!$AA133-('Team B 1'!R$2- 12.5)*'Team B 1'!$AC133</f>
        <v>2.1277436965496008</v>
      </c>
      <c r="S133" s="1">
        <f>'Team B 1'!S133-'Team B 1'!$AA133-('Team B 1'!S$2- 12.5)*'Team B 1'!$AC133</f>
        <v>-3.8809058523565909</v>
      </c>
      <c r="T133" s="1">
        <f>'Team B 1'!T133-'Team B 1'!$AA133-('Team B 1'!T$2- 12.5)*'Team B 1'!$AC133</f>
        <v>-29.889555401262896</v>
      </c>
      <c r="U133" s="1">
        <f>'Team B 1'!U133-'Team B 1'!$AA133-('Team B 1'!U$2- 12.5)*'Team B 1'!$AC133</f>
        <v>-15.898204950169202</v>
      </c>
      <c r="V133" s="1">
        <f>'Team B 1'!V133-'Team B 1'!$AA133-('Team B 1'!V$2- 12.5)*'Team B 1'!$AC133</f>
        <v>-31.906854499075507</v>
      </c>
      <c r="W133" s="1">
        <f>'Team B 1'!W133-'Team B 1'!$AA133-('Team B 1'!W$2- 12.5)*'Team B 1'!$AC133</f>
        <v>2.0844959520181874</v>
      </c>
      <c r="X133" s="1">
        <f>'Team B 1'!X133-'Team B 1'!$AA133-('Team B 1'!X$2- 12.5)*'Team B 1'!$AC133</f>
        <v>16.075846403111882</v>
      </c>
      <c r="Y133" s="1">
        <f>'Team B 1'!Y133-'Team B 1'!$AA133-('Team B 1'!Y$2- 12.5)*'Team B 1'!$AC133</f>
        <v>6.7196854205576528E-2</v>
      </c>
      <c r="AB133" s="1">
        <f>STDEV(B133:Y133)</f>
        <v>19.863108466433651</v>
      </c>
      <c r="AD133" s="5">
        <v>9</v>
      </c>
      <c r="AE133" s="5">
        <v>6</v>
      </c>
      <c r="AF133" s="5" t="s">
        <v>45</v>
      </c>
      <c r="AG133" s="5" t="s">
        <v>47</v>
      </c>
      <c r="AH133" s="5">
        <v>5</v>
      </c>
      <c r="AI133" s="5">
        <v>4</v>
      </c>
      <c r="AJ133" s="5" t="s">
        <v>46</v>
      </c>
      <c r="AK133" s="5">
        <v>8</v>
      </c>
      <c r="AL133" s="5">
        <v>7</v>
      </c>
      <c r="AM133" s="5">
        <v>1</v>
      </c>
      <c r="AN133" s="5">
        <v>3</v>
      </c>
      <c r="AO133" s="5">
        <v>2</v>
      </c>
      <c r="AP133" s="5">
        <v>6</v>
      </c>
      <c r="AQ133" s="5">
        <v>9</v>
      </c>
      <c r="AR133" s="5" t="s">
        <v>47</v>
      </c>
      <c r="AS133" s="5" t="s">
        <v>45</v>
      </c>
      <c r="AT133" s="5">
        <v>4</v>
      </c>
      <c r="AU133" s="5">
        <v>5</v>
      </c>
      <c r="AV133" s="5">
        <v>8</v>
      </c>
      <c r="AW133" s="5" t="s">
        <v>46</v>
      </c>
      <c r="AX133" s="5">
        <v>7</v>
      </c>
      <c r="AY133" s="5">
        <v>3</v>
      </c>
      <c r="AZ133" s="5">
        <v>1</v>
      </c>
      <c r="BA133" s="5">
        <v>2</v>
      </c>
      <c r="BB133" s="5"/>
      <c r="BC133" s="1">
        <f ca="1">OFFSET(A133,0, 10) -0</f>
        <v>4.1882905388935683</v>
      </c>
      <c r="BD133" s="1">
        <f ca="1">OFFSET(A133,0, 12) -0</f>
        <v>-7.8290085589189999</v>
      </c>
      <c r="BE133" s="1">
        <f ca="1">OFFSET(A133,0, 11) -0</f>
        <v>8.1796409899872629</v>
      </c>
      <c r="BF133" s="1">
        <f ca="1">OFFSET(A133,0, 6) -0</f>
        <v>18.222888734518619</v>
      </c>
      <c r="BG133" s="1">
        <f ca="1">OFFSET(A133,0, 5) -0</f>
        <v>34.231538283424925</v>
      </c>
      <c r="BH133" s="1">
        <f ca="1">OFFSET(A133,0, 2) -0</f>
        <v>2.2574869301438412</v>
      </c>
      <c r="BI133" s="1">
        <f ca="1">OFFSET(A133,0, 9) -0</f>
        <v>10.196940087799817</v>
      </c>
      <c r="BJ133" s="1">
        <f ca="1">OFFSET(A133,0, 8) -0</f>
        <v>6.2055896367061223</v>
      </c>
      <c r="BK133" s="1">
        <f ca="1">OFFSET(A133,0, 1) -0</f>
        <v>-31.733863520949853</v>
      </c>
      <c r="BL133" s="1">
        <f ca="1">OFFSET(A133,0, 3) -0</f>
        <v>16.248837381237536</v>
      </c>
      <c r="BM133" s="1">
        <f ca="1">OFFSET(A133,0, 7) -0</f>
        <v>-47.785760814387686</v>
      </c>
      <c r="BN133" s="1">
        <f ca="1">OFFSET(A133,0, 4) -0</f>
        <v>30.24018783233123</v>
      </c>
      <c r="BO133" s="1">
        <f ca="1">OFFSET(A133,0, 23) -0</f>
        <v>16.075846403111882</v>
      </c>
      <c r="BP133" s="1">
        <f ca="1">OFFSET(A133,0, 24) -0</f>
        <v>6.7196854205576528E-2</v>
      </c>
      <c r="BQ133" s="1">
        <f ca="1">OFFSET(A133,0, 22) -0</f>
        <v>2.0844959520181874</v>
      </c>
      <c r="BR133" s="1">
        <f ca="1">OFFSET(A133,0, 17) -0</f>
        <v>2.1277436965496008</v>
      </c>
      <c r="BS133" s="1">
        <f ca="1">OFFSET(A133,0, 18) -0</f>
        <v>-3.8809058523565909</v>
      </c>
      <c r="BT133" s="1">
        <f ca="1">OFFSET(A133,0, 13) -0</f>
        <v>16.162341892174723</v>
      </c>
      <c r="BU133" s="1">
        <f ca="1">OFFSET(A133,0, 21) -0</f>
        <v>-31.906854499075507</v>
      </c>
      <c r="BV133" s="1">
        <f ca="1">OFFSET(A133,0, 19) -0</f>
        <v>-29.889555401262896</v>
      </c>
      <c r="BW133" s="1">
        <f ca="1">OFFSET(A133,0, 14) -0</f>
        <v>0.15369234326846026</v>
      </c>
      <c r="BX133" s="1">
        <f ca="1">OFFSET(A133,0, 16) -0</f>
        <v>8.1363932454559063</v>
      </c>
      <c r="BY133" s="1">
        <f ca="1">OFFSET(A133,0, 20) -0</f>
        <v>-15.898204950169202</v>
      </c>
      <c r="BZ133" s="1">
        <f ca="1">OFFSET(A133,0, 15) -0</f>
        <v>-5.8549572056378452</v>
      </c>
      <c r="CB133" s="1">
        <f>COUNTIF(B133,"&lt;-69")</f>
        <v>0</v>
      </c>
      <c r="CC133" s="1">
        <f ca="1">COUNTIF(BC133:BN133,"&lt;-49")</f>
        <v>0</v>
      </c>
      <c r="CD133" s="1">
        <f ca="1">COUNTIF(BC133:BN133,"&gt;+49")</f>
        <v>0</v>
      </c>
      <c r="CE133" s="1">
        <f ca="1">COUNTIF(BO133:BZ133,"&lt;-49")</f>
        <v>0</v>
      </c>
      <c r="CF133" s="1">
        <f ca="1">COUNTIF(BO133:BZ133,"&gt;+49")</f>
        <v>0</v>
      </c>
    </row>
    <row r="134" spans="1:84">
      <c r="A134" s="1">
        <v>131</v>
      </c>
      <c r="B134" s="1">
        <f>'Team B 1'!B134-'Team B 1'!$AA134-('Team B 1'!B$2- 12.5)*'Team B 1'!$AC134</f>
        <v>-14.402358901550087</v>
      </c>
      <c r="C134" s="1">
        <f>'Team B 1'!C134-'Team B 1'!$AA134-('Team B 1'!C$2- 12.5)*'Team B 1'!$AC134</f>
        <v>9.9514694087265525</v>
      </c>
      <c r="D134" s="1">
        <f>'Team B 1'!D134-'Team B 1'!$AA134-('Team B 1'!D$2- 12.5)*'Team B 1'!$AC134</f>
        <v>-5.6947022809972623</v>
      </c>
      <c r="E134" s="1">
        <f>'Team B 1'!E134-'Team B 1'!$AA134-('Team B 1'!E$2- 12.5)*'Team B 1'!$AC134</f>
        <v>-11.34087397072085</v>
      </c>
      <c r="F134" s="1">
        <f>'Team B 1'!F134-'Team B 1'!$AA134-('Team B 1'!F$2- 12.5)*'Team B 1'!$AC134</f>
        <v>33.012954339555336</v>
      </c>
      <c r="G134" s="1">
        <f>'Team B 1'!G134-'Team B 1'!$AA134-('Team B 1'!G$2- 12.5)*'Team B 1'!$AC134</f>
        <v>37.366782649831748</v>
      </c>
      <c r="H134" s="1">
        <f>'Team B 1'!H134-'Team B 1'!$AA134-('Team B 1'!H$2- 12.5)*'Team B 1'!$AC134</f>
        <v>21.720610960108161</v>
      </c>
      <c r="I134" s="1">
        <f>'Team B 1'!I134-'Team B 1'!$AA134-('Team B 1'!I$2- 12.5)*'Team B 1'!$AC134</f>
        <v>36.074439270384346</v>
      </c>
      <c r="J134" s="1">
        <f>'Team B 1'!J134-'Team B 1'!$AA134-('Team B 1'!J$2- 12.5)*'Team B 1'!$AC134</f>
        <v>10.428267580660759</v>
      </c>
      <c r="K134" s="1">
        <f>'Team B 1'!K134-'Team B 1'!$AA134-('Team B 1'!K$2- 12.5)*'Team B 1'!$AC134</f>
        <v>-15.217904109062943</v>
      </c>
      <c r="L134" s="1">
        <f>'Team B 1'!L134-'Team B 1'!$AA134-('Team B 1'!L$2- 12.5)*'Team B 1'!$AC134</f>
        <v>9.1359242012133564</v>
      </c>
      <c r="M134" s="1">
        <f>'Team B 1'!M134-'Team B 1'!$AA134-('Team B 1'!M$2- 12.5)*'Team B 1'!$AC134</f>
        <v>-22.510247488510302</v>
      </c>
      <c r="N134" s="1">
        <f>'Team B 1'!N134-'Team B 1'!$AA134-('Team B 1'!N$2- 12.5)*'Team B 1'!$AC134</f>
        <v>-42.156419178233975</v>
      </c>
      <c r="O134" s="1">
        <f>'Team B 1'!O134-'Team B 1'!$AA134-('Team B 1'!O$2- 12.5)*'Team B 1'!$AC134</f>
        <v>-27.802590867957633</v>
      </c>
      <c r="P134" s="1">
        <f>'Team B 1'!P134-'Team B 1'!$AA134-('Team B 1'!P$2- 12.5)*'Team B 1'!$AC134</f>
        <v>-3.4487625576813343</v>
      </c>
      <c r="Q134" s="1">
        <f>'Team B 1'!Q134-'Team B 1'!$AA134-('Team B 1'!Q$2- 12.5)*'Team B 1'!$AC134</f>
        <v>30.905065752594965</v>
      </c>
      <c r="R134" s="1">
        <f>'Team B 1'!R134-'Team B 1'!$AA134-('Team B 1'!R$2- 12.5)*'Team B 1'!$AC134</f>
        <v>5.2588940628713772</v>
      </c>
      <c r="S134" s="1">
        <f>'Team B 1'!S134-'Team B 1'!$AA134-('Team B 1'!S$2- 12.5)*'Team B 1'!$AC134</f>
        <v>9.6127223731475624</v>
      </c>
      <c r="T134" s="1">
        <f>'Team B 1'!T134-'Team B 1'!$AA134-('Team B 1'!T$2- 12.5)*'Team B 1'!$AC134</f>
        <v>13.966550683423975</v>
      </c>
      <c r="U134" s="1">
        <f>'Team B 1'!U134-'Team B 1'!$AA134-('Team B 1'!U$2- 12.5)*'Team B 1'!$AC134</f>
        <v>-31.679621006299612</v>
      </c>
      <c r="V134" s="1">
        <f>'Team B 1'!V134-'Team B 1'!$AA134-('Team B 1'!V$2- 12.5)*'Team B 1'!$AC134</f>
        <v>-47.325792696023427</v>
      </c>
      <c r="W134" s="1">
        <f>'Team B 1'!W134-'Team B 1'!$AA134-('Team B 1'!W$2- 12.5)*'Team B 1'!$AC134</f>
        <v>-2.9719643857470146</v>
      </c>
      <c r="X134" s="1">
        <f>'Team B 1'!X134-'Team B 1'!$AA134-('Team B 1'!X$2- 12.5)*'Team B 1'!$AC134</f>
        <v>-8.6181360754708294</v>
      </c>
      <c r="Y134" s="1">
        <f>'Team B 1'!Y134-'Team B 1'!$AA134-('Team B 1'!Y$2- 12.5)*'Team B 1'!$AC134</f>
        <v>15.735692234805811</v>
      </c>
      <c r="AB134" s="1">
        <f>STDEV(B134:Y134)</f>
        <v>23.832414711606205</v>
      </c>
      <c r="AD134" s="5">
        <v>9</v>
      </c>
      <c r="AE134" s="5">
        <v>6</v>
      </c>
      <c r="AF134" s="5" t="s">
        <v>45</v>
      </c>
      <c r="AG134" s="5" t="s">
        <v>47</v>
      </c>
      <c r="AH134" s="5">
        <v>5</v>
      </c>
      <c r="AI134" s="5">
        <v>4</v>
      </c>
      <c r="AJ134" s="5" t="s">
        <v>46</v>
      </c>
      <c r="AK134" s="5">
        <v>8</v>
      </c>
      <c r="AL134" s="5">
        <v>3</v>
      </c>
      <c r="AM134" s="5">
        <v>7</v>
      </c>
      <c r="AN134" s="5">
        <v>2</v>
      </c>
      <c r="AO134" s="5">
        <v>1</v>
      </c>
      <c r="AP134" s="5">
        <v>9</v>
      </c>
      <c r="AQ134" s="5" t="s">
        <v>45</v>
      </c>
      <c r="AR134" s="5">
        <v>6</v>
      </c>
      <c r="AS134" s="5">
        <v>5</v>
      </c>
      <c r="AT134" s="5" t="s">
        <v>47</v>
      </c>
      <c r="AU134" s="5" t="s">
        <v>46</v>
      </c>
      <c r="AV134" s="5">
        <v>4</v>
      </c>
      <c r="AW134" s="5">
        <v>3</v>
      </c>
      <c r="AX134" s="5">
        <v>8</v>
      </c>
      <c r="AY134" s="5">
        <v>7</v>
      </c>
      <c r="AZ134" s="5">
        <v>1</v>
      </c>
      <c r="BA134" s="5">
        <v>2</v>
      </c>
      <c r="BB134" s="5"/>
      <c r="BC134" s="1">
        <f ca="1">OFFSET(A134,0, 12) -0</f>
        <v>-22.510247488510302</v>
      </c>
      <c r="BD134" s="1">
        <f ca="1">OFFSET(A134,0, 11) -0</f>
        <v>9.1359242012133564</v>
      </c>
      <c r="BE134" s="1">
        <f ca="1">OFFSET(A134,0, 9) -0</f>
        <v>10.428267580660759</v>
      </c>
      <c r="BF134" s="1">
        <f ca="1">OFFSET(A134,0, 6) -0</f>
        <v>37.366782649831748</v>
      </c>
      <c r="BG134" s="1">
        <f ca="1">OFFSET(A134,0, 5) -0</f>
        <v>33.012954339555336</v>
      </c>
      <c r="BH134" s="1">
        <f ca="1">OFFSET(A134,0, 2) -0</f>
        <v>9.9514694087265525</v>
      </c>
      <c r="BI134" s="1">
        <f ca="1">OFFSET(A134,0, 10) -0</f>
        <v>-15.217904109062943</v>
      </c>
      <c r="BJ134" s="1">
        <f ca="1">OFFSET(A134,0, 8) -0</f>
        <v>36.074439270384346</v>
      </c>
      <c r="BK134" s="1">
        <f ca="1">OFFSET(A134,0, 1) -0</f>
        <v>-14.402358901550087</v>
      </c>
      <c r="BL134" s="1">
        <f ca="1">OFFSET(A134,0, 3) -0</f>
        <v>-5.6947022809972623</v>
      </c>
      <c r="BM134" s="1">
        <f ca="1">OFFSET(A134,0, 7) -0</f>
        <v>21.720610960108161</v>
      </c>
      <c r="BN134" s="1">
        <f ca="1">OFFSET(A134,0, 4) -0</f>
        <v>-11.34087397072085</v>
      </c>
      <c r="BO134" s="1">
        <f ca="1">OFFSET(A134,0, 23) -0</f>
        <v>-8.6181360754708294</v>
      </c>
      <c r="BP134" s="1">
        <f ca="1">OFFSET(A134,0, 24) -0</f>
        <v>15.735692234805811</v>
      </c>
      <c r="BQ134" s="1">
        <f ca="1">OFFSET(A134,0, 20) -0</f>
        <v>-31.679621006299612</v>
      </c>
      <c r="BR134" s="1">
        <f ca="1">OFFSET(A134,0, 19) -0</f>
        <v>13.966550683423975</v>
      </c>
      <c r="BS134" s="1">
        <f ca="1">OFFSET(A134,0, 16) -0</f>
        <v>30.905065752594965</v>
      </c>
      <c r="BT134" s="1">
        <f ca="1">OFFSET(A134,0, 15) -0</f>
        <v>-3.4487625576813343</v>
      </c>
      <c r="BU134" s="1">
        <f ca="1">OFFSET(A134,0, 22) -0</f>
        <v>-2.9719643857470146</v>
      </c>
      <c r="BV134" s="1">
        <f ca="1">OFFSET(A134,0, 21) -0</f>
        <v>-47.325792696023427</v>
      </c>
      <c r="BW134" s="1">
        <f ca="1">OFFSET(A134,0, 13) -0</f>
        <v>-42.156419178233975</v>
      </c>
      <c r="BX134" s="1">
        <f ca="1">OFFSET(A134,0, 14) -0</f>
        <v>-27.802590867957633</v>
      </c>
      <c r="BY134" s="1">
        <f ca="1">OFFSET(A134,0, 18) -0</f>
        <v>9.6127223731475624</v>
      </c>
      <c r="BZ134" s="1">
        <f ca="1">OFFSET(A134,0, 17) -0</f>
        <v>5.2588940628713772</v>
      </c>
      <c r="CB134" s="1">
        <f>COUNTIF(B134,"&lt;-69")</f>
        <v>0</v>
      </c>
      <c r="CC134" s="1">
        <f ca="1">COUNTIF(BC134:BN134,"&lt;-49")</f>
        <v>0</v>
      </c>
      <c r="CD134" s="1">
        <f ca="1">COUNTIF(BC134:BN134,"&gt;+49")</f>
        <v>0</v>
      </c>
      <c r="CE134" s="1">
        <f ca="1">COUNTIF(BO134:BZ134,"&lt;-49")</f>
        <v>0</v>
      </c>
      <c r="CF134" s="1">
        <f ca="1">COUNTIF(BO134:BZ134,"&gt;+49")</f>
        <v>0</v>
      </c>
    </row>
    <row r="135" spans="1:84">
      <c r="A135" s="1">
        <v>132</v>
      </c>
      <c r="B135" s="1">
        <f>'Team B 1'!B135-'Team B 1'!$AA135-('Team B 1'!B$2- 12.5)*'Team B 1'!$AC135</f>
        <v>-28.470507054943027</v>
      </c>
      <c r="C135" s="1">
        <f>'Team B 1'!C135-'Team B 1'!$AA135-('Team B 1'!C$2- 12.5)*'Team B 1'!$AC135</f>
        <v>-23.929593397991539</v>
      </c>
      <c r="D135" s="1">
        <f>'Team B 1'!D135-'Team B 1'!$AA135-('Team B 1'!D$2- 12.5)*'Team B 1'!$AC135</f>
        <v>-39.38867974104005</v>
      </c>
      <c r="E135" s="1">
        <f>'Team B 1'!E135-'Team B 1'!$AA135-('Team B 1'!E$2- 12.5)*'Team B 1'!$AC135</f>
        <v>-24.847766084088335</v>
      </c>
      <c r="F135" s="1">
        <f>'Team B 1'!F135-'Team B 1'!$AA135-('Team B 1'!F$2- 12.5)*'Team B 1'!$AC135</f>
        <v>-40.306852427136846</v>
      </c>
      <c r="G135" s="1">
        <f>'Team B 1'!G135-'Team B 1'!$AA135-('Team B 1'!G$2- 12.5)*'Team B 1'!$AC135</f>
        <v>84.23406122981487</v>
      </c>
      <c r="H135" s="1">
        <f>'Team B 1'!H135-'Team B 1'!$AA135-('Team B 1'!H$2- 12.5)*'Team B 1'!$AC135</f>
        <v>8.7749748867663584</v>
      </c>
      <c r="I135" s="1">
        <f>'Team B 1'!I135-'Team B 1'!$AA135-('Team B 1'!I$2- 12.5)*'Team B 1'!$AC135</f>
        <v>33.315888543717961</v>
      </c>
      <c r="J135" s="1">
        <f>'Team B 1'!J135-'Team B 1'!$AA135-('Team B 1'!J$2- 12.5)*'Team B 1'!$AC135</f>
        <v>7.8568022006694491</v>
      </c>
      <c r="K135" s="1">
        <f>'Team B 1'!K135-'Team B 1'!$AA135-('Team B 1'!K$2- 12.5)*'Team B 1'!$AC135</f>
        <v>22.397715857621051</v>
      </c>
      <c r="L135" s="1">
        <f>'Team B 1'!L135-'Team B 1'!$AA135-('Team B 1'!L$2- 12.5)*'Team B 1'!$AC135</f>
        <v>16.938629514572654</v>
      </c>
      <c r="M135" s="1">
        <f>'Team B 1'!M135-'Team B 1'!$AA135-('Team B 1'!M$2- 12.5)*'Team B 1'!$AC135</f>
        <v>31.479543171524213</v>
      </c>
      <c r="N135" s="1">
        <f>'Team B 1'!N135-'Team B 1'!$AA135-('Team B 1'!N$2- 12.5)*'Team B 1'!$AC135</f>
        <v>-23.979543171524213</v>
      </c>
      <c r="O135" s="1">
        <f>'Team B 1'!O135-'Team B 1'!$AA135-('Team B 1'!O$2- 12.5)*'Team B 1'!$AC135</f>
        <v>-29.438629514572654</v>
      </c>
      <c r="P135" s="1">
        <f>'Team B 1'!P135-'Team B 1'!$AA135-('Team B 1'!P$2- 12.5)*'Team B 1'!$AC135</f>
        <v>-24.897715857621051</v>
      </c>
      <c r="Q135" s="1">
        <f>'Team B 1'!Q135-'Team B 1'!$AA135-('Team B 1'!Q$2- 12.5)*'Team B 1'!$AC135</f>
        <v>-50.356802200669449</v>
      </c>
      <c r="R135" s="1">
        <f>'Team B 1'!R135-'Team B 1'!$AA135-('Team B 1'!R$2- 12.5)*'Team B 1'!$AC135</f>
        <v>-15.815888543717961</v>
      </c>
      <c r="S135" s="1">
        <f>'Team B 1'!S135-'Team B 1'!$AA135-('Team B 1'!S$2- 12.5)*'Team B 1'!$AC135</f>
        <v>-1.2749748867663584</v>
      </c>
      <c r="T135" s="1">
        <f>'Team B 1'!T135-'Team B 1'!$AA135-('Team B 1'!T$2- 12.5)*'Team B 1'!$AC135</f>
        <v>13.26593877018513</v>
      </c>
      <c r="U135" s="1">
        <f>'Team B 1'!U135-'Team B 1'!$AA135-('Team B 1'!U$2- 12.5)*'Team B 1'!$AC135</f>
        <v>47.806852427136846</v>
      </c>
      <c r="V135" s="1">
        <f>'Team B 1'!V135-'Team B 1'!$AA135-('Team B 1'!V$2- 12.5)*'Team B 1'!$AC135</f>
        <v>2.3477660840883345</v>
      </c>
      <c r="W135" s="1">
        <f>'Team B 1'!W135-'Team B 1'!$AA135-('Team B 1'!W$2- 12.5)*'Team B 1'!$AC135</f>
        <v>-13.11132025895995</v>
      </c>
      <c r="X135" s="1">
        <f>'Team B 1'!X135-'Team B 1'!$AA135-('Team B 1'!X$2- 12.5)*'Team B 1'!$AC135</f>
        <v>1.429593397991539</v>
      </c>
      <c r="Y135" s="1">
        <f>'Team B 1'!Y135-'Team B 1'!$AA135-('Team B 1'!Y$2- 12.5)*'Team B 1'!$AC135</f>
        <v>45.970507054943027</v>
      </c>
      <c r="AB135" s="1">
        <f>STDEV(B135:Y135)</f>
        <v>32.905438938003307</v>
      </c>
      <c r="AD135" s="5" t="s">
        <v>45</v>
      </c>
      <c r="AE135" s="5">
        <v>9</v>
      </c>
      <c r="AF135" s="5">
        <v>5</v>
      </c>
      <c r="AG135" s="5">
        <v>6</v>
      </c>
      <c r="AH135" s="5" t="s">
        <v>46</v>
      </c>
      <c r="AI135" s="5" t="s">
        <v>47</v>
      </c>
      <c r="AJ135" s="5">
        <v>3</v>
      </c>
      <c r="AK135" s="5">
        <v>4</v>
      </c>
      <c r="AL135" s="5">
        <v>7</v>
      </c>
      <c r="AM135" s="5">
        <v>8</v>
      </c>
      <c r="AN135" s="5">
        <v>2</v>
      </c>
      <c r="AO135" s="5">
        <v>1</v>
      </c>
      <c r="AP135" s="5">
        <v>9</v>
      </c>
      <c r="AQ135" s="5" t="s">
        <v>45</v>
      </c>
      <c r="AR135" s="5">
        <v>6</v>
      </c>
      <c r="AS135" s="5">
        <v>5</v>
      </c>
      <c r="AT135" s="5" t="s">
        <v>47</v>
      </c>
      <c r="AU135" s="5" t="s">
        <v>46</v>
      </c>
      <c r="AV135" s="5">
        <v>4</v>
      </c>
      <c r="AW135" s="5">
        <v>3</v>
      </c>
      <c r="AX135" s="5">
        <v>8</v>
      </c>
      <c r="AY135" s="5">
        <v>7</v>
      </c>
      <c r="AZ135" s="5">
        <v>2</v>
      </c>
      <c r="BA135" s="5">
        <v>1</v>
      </c>
      <c r="BB135" s="5"/>
      <c r="BC135" s="1">
        <f ca="1">OFFSET(A135,0, 12) -0</f>
        <v>31.479543171524213</v>
      </c>
      <c r="BD135" s="1">
        <f ca="1">OFFSET(A135,0, 11) -0</f>
        <v>16.938629514572654</v>
      </c>
      <c r="BE135" s="1">
        <f ca="1">OFFSET(A135,0, 7) -0</f>
        <v>8.7749748867663584</v>
      </c>
      <c r="BF135" s="1">
        <f ca="1">OFFSET(A135,0, 8) -0</f>
        <v>33.315888543717961</v>
      </c>
      <c r="BG135" s="1">
        <f ca="1">OFFSET(A135,0, 3) -0</f>
        <v>-39.38867974104005</v>
      </c>
      <c r="BH135" s="1">
        <f ca="1">OFFSET(A135,0, 4) -0</f>
        <v>-24.847766084088335</v>
      </c>
      <c r="BI135" s="1">
        <f ca="1">OFFSET(A135,0, 9) -0</f>
        <v>7.8568022006694491</v>
      </c>
      <c r="BJ135" s="1">
        <f ca="1">OFFSET(A135,0, 10) -0</f>
        <v>22.397715857621051</v>
      </c>
      <c r="BK135" s="1">
        <f ca="1">OFFSET(A135,0, 2) -0</f>
        <v>-23.929593397991539</v>
      </c>
      <c r="BL135" s="1">
        <f ca="1">OFFSET(A135,0, 1) -0</f>
        <v>-28.470507054943027</v>
      </c>
      <c r="BM135" s="1">
        <f ca="1">OFFSET(A135,0, 5) -0</f>
        <v>-40.306852427136846</v>
      </c>
      <c r="BN135" s="1">
        <f ca="1">OFFSET(A135,0, 6) -0</f>
        <v>84.23406122981487</v>
      </c>
      <c r="BO135" s="1">
        <f ca="1">OFFSET(A135,0, 24) -0</f>
        <v>45.970507054943027</v>
      </c>
      <c r="BP135" s="1">
        <f ca="1">OFFSET(A135,0, 23) -0</f>
        <v>1.429593397991539</v>
      </c>
      <c r="BQ135" s="1">
        <f ca="1">OFFSET(A135,0, 20) -0</f>
        <v>47.806852427136846</v>
      </c>
      <c r="BR135" s="1">
        <f ca="1">OFFSET(A135,0, 19) -0</f>
        <v>13.26593877018513</v>
      </c>
      <c r="BS135" s="1">
        <f ca="1">OFFSET(A135,0, 16) -0</f>
        <v>-50.356802200669449</v>
      </c>
      <c r="BT135" s="1">
        <f ca="1">OFFSET(A135,0, 15) -0</f>
        <v>-24.897715857621051</v>
      </c>
      <c r="BU135" s="1">
        <f ca="1">OFFSET(A135,0, 22) -0</f>
        <v>-13.11132025895995</v>
      </c>
      <c r="BV135" s="1">
        <f ca="1">OFFSET(A135,0, 21) -0</f>
        <v>2.3477660840883345</v>
      </c>
      <c r="BW135" s="1">
        <f ca="1">OFFSET(A135,0, 13) -0</f>
        <v>-23.979543171524213</v>
      </c>
      <c r="BX135" s="1">
        <f ca="1">OFFSET(A135,0, 14) -0</f>
        <v>-29.438629514572654</v>
      </c>
      <c r="BY135" s="1">
        <f ca="1">OFFSET(A135,0, 18) -0</f>
        <v>-1.2749748867663584</v>
      </c>
      <c r="BZ135" s="1">
        <f ca="1">OFFSET(A135,0, 17) -0</f>
        <v>-15.815888543717961</v>
      </c>
      <c r="CB135" s="1">
        <f>COUNTIF(B135,"&lt;-69")</f>
        <v>0</v>
      </c>
      <c r="CC135" s="1">
        <f ca="1">COUNTIF(BC135:BN135,"&lt;-49")</f>
        <v>0</v>
      </c>
      <c r="CD135" s="1">
        <f ca="1">COUNTIF(BC135:BN135,"&gt;+49")</f>
        <v>1</v>
      </c>
      <c r="CE135" s="1">
        <f ca="1">COUNTIF(BO135:BZ135,"&lt;-49")</f>
        <v>1</v>
      </c>
      <c r="CF135" s="1">
        <f ca="1">COUNTIF(BO135:BZ135,"&gt;+49")</f>
        <v>0</v>
      </c>
    </row>
    <row r="136" spans="1:84">
      <c r="A136" s="1">
        <v>133</v>
      </c>
      <c r="B136" s="1">
        <f>'Team B 1'!B136-'Team B 1'!$AA136-('Team B 1'!B$2- 12.5)*'Team B 1'!$AC136</f>
        <v>-18.078995812592439</v>
      </c>
      <c r="C136" s="1">
        <f>'Team B 1'!C136-'Team B 1'!$AA136-('Team B 1'!C$2- 12.5)*'Team B 1'!$AC136</f>
        <v>-43.499662843378246</v>
      </c>
      <c r="D136" s="1">
        <f>'Team B 1'!D136-'Team B 1'!$AA136-('Team B 1'!D$2- 12.5)*'Team B 1'!$AC136</f>
        <v>-38.920329874163826</v>
      </c>
      <c r="E136" s="1">
        <f>'Team B 1'!E136-'Team B 1'!$AA136-('Team B 1'!E$2- 12.5)*'Team B 1'!$AC136</f>
        <v>-14.340996904949407</v>
      </c>
      <c r="F136" s="1">
        <f>'Team B 1'!F136-'Team B 1'!$AA136-('Team B 1'!F$2- 12.5)*'Team B 1'!$AC136</f>
        <v>-29.761663935735214</v>
      </c>
      <c r="G136" s="1">
        <f>'Team B 1'!G136-'Team B 1'!$AA136-('Team B 1'!G$2- 12.5)*'Team B 1'!$AC136</f>
        <v>14.817669033479206</v>
      </c>
      <c r="H136" s="1">
        <f>'Team B 1'!H136-'Team B 1'!$AA136-('Team B 1'!H$2- 12.5)*'Team B 1'!$AC136</f>
        <v>19.397002002693398</v>
      </c>
      <c r="I136" s="1">
        <f>'Team B 1'!I136-'Team B 1'!$AA136-('Team B 1'!I$2- 12.5)*'Team B 1'!$AC136</f>
        <v>53.976334971907818</v>
      </c>
      <c r="J136" s="1">
        <f>'Team B 1'!J136-'Team B 1'!$AA136-('Team B 1'!J$2- 12.5)*'Team B 1'!$AC136</f>
        <v>48.55566794112201</v>
      </c>
      <c r="K136" s="1">
        <f>'Team B 1'!K136-'Team B 1'!$AA136-('Team B 1'!K$2- 12.5)*'Team B 1'!$AC136</f>
        <v>83.135000910336373</v>
      </c>
      <c r="L136" s="1">
        <f>'Team B 1'!L136-'Team B 1'!$AA136-('Team B 1'!L$2- 12.5)*'Team B 1'!$AC136</f>
        <v>17.714333879550679</v>
      </c>
      <c r="M136" s="1">
        <f>'Team B 1'!M136-'Team B 1'!$AA136-('Team B 1'!M$2- 12.5)*'Team B 1'!$AC136</f>
        <v>-17.706333151235015</v>
      </c>
      <c r="N136" s="1">
        <f>'Team B 1'!N136-'Team B 1'!$AA136-('Team B 1'!N$2- 12.5)*'Team B 1'!$AC136</f>
        <v>-3.1270001820207085</v>
      </c>
      <c r="O136" s="1">
        <f>'Team B 1'!O136-'Team B 1'!$AA136-('Team B 1'!O$2- 12.5)*'Team B 1'!$AC136</f>
        <v>1.4523327871935976</v>
      </c>
      <c r="P136" s="1">
        <f>'Team B 1'!P136-'Team B 1'!$AA136-('Team B 1'!P$2- 12.5)*'Team B 1'!$AC136</f>
        <v>-33.968334243592096</v>
      </c>
      <c r="Q136" s="1">
        <f>'Team B 1'!Q136-'Team B 1'!$AA136-('Team B 1'!Q$2- 12.5)*'Team B 1'!$AC136</f>
        <v>-29.389001274377733</v>
      </c>
      <c r="R136" s="1">
        <f>'Team B 1'!R136-'Team B 1'!$AA136-('Team B 1'!R$2- 12.5)*'Team B 1'!$AC136</f>
        <v>-24.809668305163541</v>
      </c>
      <c r="S136" s="1">
        <f>'Team B 1'!S136-'Team B 1'!$AA136-('Team B 1'!S$2- 12.5)*'Team B 1'!$AC136</f>
        <v>9.7696646640508789</v>
      </c>
      <c r="T136" s="1">
        <f>'Team B 1'!T136-'Team B 1'!$AA136-('Team B 1'!T$2- 12.5)*'Team B 1'!$AC136</f>
        <v>-5.6510023667349287</v>
      </c>
      <c r="U136" s="1">
        <f>'Team B 1'!U136-'Team B 1'!$AA136-('Team B 1'!U$2- 12.5)*'Team B 1'!$AC136</f>
        <v>-11.071669397520509</v>
      </c>
      <c r="V136" s="1">
        <f>'Team B 1'!V136-'Team B 1'!$AA136-('Team B 1'!V$2- 12.5)*'Team B 1'!$AC136</f>
        <v>-26.492336428306317</v>
      </c>
      <c r="W136" s="1">
        <f>'Team B 1'!W136-'Team B 1'!$AA136-('Team B 1'!W$2- 12.5)*'Team B 1'!$AC136</f>
        <v>-11.913003459091897</v>
      </c>
      <c r="X136" s="1">
        <f>'Team B 1'!X136-'Team B 1'!$AA136-('Team B 1'!X$2- 12.5)*'Team B 1'!$AC136</f>
        <v>22.666329510122523</v>
      </c>
      <c r="Y136" s="1">
        <f>'Team B 1'!Y136-'Team B 1'!$AA136-('Team B 1'!Y$2- 12.5)*'Team B 1'!$AC136</f>
        <v>37.245662479336715</v>
      </c>
      <c r="AB136" s="1">
        <f>STDEV(B136:Y136)</f>
        <v>32.215729446083046</v>
      </c>
      <c r="AD136" s="5" t="s">
        <v>45</v>
      </c>
      <c r="AE136" s="5">
        <v>9</v>
      </c>
      <c r="AF136" s="5">
        <v>5</v>
      </c>
      <c r="AG136" s="5">
        <v>6</v>
      </c>
      <c r="AH136" s="5" t="s">
        <v>46</v>
      </c>
      <c r="AI136" s="5" t="s">
        <v>47</v>
      </c>
      <c r="AJ136" s="5">
        <v>3</v>
      </c>
      <c r="AK136" s="5">
        <v>4</v>
      </c>
      <c r="AL136" s="5">
        <v>7</v>
      </c>
      <c r="AM136" s="5">
        <v>8</v>
      </c>
      <c r="AN136" s="5">
        <v>1</v>
      </c>
      <c r="AO136" s="5">
        <v>2</v>
      </c>
      <c r="AP136" s="5" t="s">
        <v>45</v>
      </c>
      <c r="AQ136" s="5">
        <v>5</v>
      </c>
      <c r="AR136" s="5">
        <v>9</v>
      </c>
      <c r="AS136" s="5" t="s">
        <v>46</v>
      </c>
      <c r="AT136" s="5">
        <v>6</v>
      </c>
      <c r="AU136" s="5">
        <v>3</v>
      </c>
      <c r="AV136" s="5" t="s">
        <v>47</v>
      </c>
      <c r="AW136" s="5">
        <v>7</v>
      </c>
      <c r="AX136" s="5">
        <v>4</v>
      </c>
      <c r="AY136" s="5">
        <v>8</v>
      </c>
      <c r="AZ136" s="5">
        <v>2</v>
      </c>
      <c r="BA136" s="5">
        <v>1</v>
      </c>
      <c r="BB136" s="5"/>
      <c r="BC136" s="1">
        <f ca="1">OFFSET(A136,0, 11) -0</f>
        <v>17.714333879550679</v>
      </c>
      <c r="BD136" s="1">
        <f ca="1">OFFSET(A136,0, 12) -0</f>
        <v>-17.706333151235015</v>
      </c>
      <c r="BE136" s="1">
        <f ca="1">OFFSET(A136,0, 7) -0</f>
        <v>19.397002002693398</v>
      </c>
      <c r="BF136" s="1">
        <f ca="1">OFFSET(A136,0, 8) -0</f>
        <v>53.976334971907818</v>
      </c>
      <c r="BG136" s="1">
        <f ca="1">OFFSET(A136,0, 3) -0</f>
        <v>-38.920329874163826</v>
      </c>
      <c r="BH136" s="1">
        <f ca="1">OFFSET(A136,0, 4) -0</f>
        <v>-14.340996904949407</v>
      </c>
      <c r="BI136" s="1">
        <f ca="1">OFFSET(A136,0, 9) -0</f>
        <v>48.55566794112201</v>
      </c>
      <c r="BJ136" s="1">
        <f ca="1">OFFSET(A136,0, 10) -0</f>
        <v>83.135000910336373</v>
      </c>
      <c r="BK136" s="1">
        <f ca="1">OFFSET(A136,0, 2) -0</f>
        <v>-43.499662843378246</v>
      </c>
      <c r="BL136" s="1">
        <f ca="1">OFFSET(A136,0, 1) -0</f>
        <v>-18.078995812592439</v>
      </c>
      <c r="BM136" s="1">
        <f ca="1">OFFSET(A136,0, 5) -0</f>
        <v>-29.761663935735214</v>
      </c>
      <c r="BN136" s="1">
        <f ca="1">OFFSET(A136,0, 6) -0</f>
        <v>14.817669033479206</v>
      </c>
      <c r="BO136" s="1">
        <f ca="1">OFFSET(A136,0, 24) -0</f>
        <v>37.245662479336715</v>
      </c>
      <c r="BP136" s="1">
        <f ca="1">OFFSET(A136,0, 23) -0</f>
        <v>22.666329510122523</v>
      </c>
      <c r="BQ136" s="1">
        <f ca="1">OFFSET(A136,0, 18) -0</f>
        <v>9.7696646640508789</v>
      </c>
      <c r="BR136" s="1">
        <f ca="1">OFFSET(A136,0, 21) -0</f>
        <v>-26.492336428306317</v>
      </c>
      <c r="BS136" s="1">
        <f ca="1">OFFSET(A136,0, 14) -0</f>
        <v>1.4523327871935976</v>
      </c>
      <c r="BT136" s="1">
        <f ca="1">OFFSET(A136,0, 17) -0</f>
        <v>-24.809668305163541</v>
      </c>
      <c r="BU136" s="1">
        <f ca="1">OFFSET(A136,0, 20) -0</f>
        <v>-11.071669397520509</v>
      </c>
      <c r="BV136" s="1">
        <f ca="1">OFFSET(A136,0, 22) -0</f>
        <v>-11.913003459091897</v>
      </c>
      <c r="BW136" s="1">
        <f ca="1">OFFSET(A136,0, 15) -0</f>
        <v>-33.968334243592096</v>
      </c>
      <c r="BX136" s="1">
        <f ca="1">OFFSET(A136,0, 13) -0</f>
        <v>-3.1270001820207085</v>
      </c>
      <c r="BY136" s="1">
        <f ca="1">OFFSET(A136,0, 16) -0</f>
        <v>-29.389001274377733</v>
      </c>
      <c r="BZ136" s="1">
        <f ca="1">OFFSET(A136,0, 19) -0</f>
        <v>-5.6510023667349287</v>
      </c>
      <c r="CB136" s="1">
        <f>COUNTIF(B136,"&lt;-69")</f>
        <v>0</v>
      </c>
      <c r="CC136" s="1">
        <f ca="1">COUNTIF(BC136:BN136,"&lt;-49")</f>
        <v>0</v>
      </c>
      <c r="CD136" s="1">
        <f ca="1">COUNTIF(BC136:BN136,"&gt;+49")</f>
        <v>2</v>
      </c>
      <c r="CE136" s="1">
        <f ca="1">COUNTIF(BO136:BZ136,"&lt;-49")</f>
        <v>0</v>
      </c>
      <c r="CF136" s="1">
        <f ca="1">COUNTIF(BO136:BZ136,"&gt;+49")</f>
        <v>0</v>
      </c>
    </row>
    <row r="137" spans="1:84">
      <c r="A137" s="1">
        <v>134</v>
      </c>
      <c r="B137" s="1">
        <f>'Team B 1'!B137-'Team B 1'!$AA137-('Team B 1'!B$2- 12.5)*'Team B 1'!$AC137</f>
        <v>15.570838852449924</v>
      </c>
      <c r="C137" s="1">
        <f>'Team B 1'!C137-'Team B 1'!$AA137-('Team B 1'!C$2- 12.5)*'Team B 1'!$AC137</f>
        <v>9.8327948942696821</v>
      </c>
      <c r="D137" s="1">
        <f>'Team B 1'!D137-'Team B 1'!$AA137-('Team B 1'!D$2- 12.5)*'Team B 1'!$AC137</f>
        <v>-15.905249063911242</v>
      </c>
      <c r="E137" s="1">
        <f>'Team B 1'!E137-'Team B 1'!$AA137-('Team B 1'!E$2- 12.5)*'Team B 1'!$AC137</f>
        <v>-1.6432930220919388</v>
      </c>
      <c r="F137" s="1">
        <f>'Team B 1'!F137-'Team B 1'!$AA137-('Team B 1'!F$2- 12.5)*'Team B 1'!$AC137</f>
        <v>12.618663019727364</v>
      </c>
      <c r="G137" s="1">
        <f>'Team B 1'!G137-'Team B 1'!$AA137-('Team B 1'!G$2- 12.5)*'Team B 1'!$AC137</f>
        <v>6.8806190615466676</v>
      </c>
      <c r="H137" s="1">
        <f>'Team B 1'!H137-'Team B 1'!$AA137-('Team B 1'!H$2- 12.5)*'Team B 1'!$AC137</f>
        <v>21.142575103365971</v>
      </c>
      <c r="I137" s="1">
        <f>'Team B 1'!I137-'Team B 1'!$AA137-('Team B 1'!I$2- 12.5)*'Team B 1'!$AC137</f>
        <v>45.404531145185274</v>
      </c>
      <c r="J137" s="1">
        <f>'Team B 1'!J137-'Team B 1'!$AA137-('Team B 1'!J$2- 12.5)*'Team B 1'!$AC137</f>
        <v>-20.333512812995423</v>
      </c>
      <c r="K137" s="1">
        <f>'Team B 1'!K137-'Team B 1'!$AA137-('Team B 1'!K$2- 12.5)*'Team B 1'!$AC137</f>
        <v>-26.07155677117612</v>
      </c>
      <c r="L137" s="1">
        <f>'Team B 1'!L137-'Team B 1'!$AA137-('Team B 1'!L$2- 12.5)*'Team B 1'!$AC137</f>
        <v>8.1903992706431836</v>
      </c>
      <c r="M137" s="1">
        <f>'Team B 1'!M137-'Team B 1'!$AA137-('Team B 1'!M$2- 12.5)*'Team B 1'!$AC137</f>
        <v>2.4523553124624868</v>
      </c>
      <c r="N137" s="1">
        <f>'Team B 1'!N137-'Team B 1'!$AA137-('Team B 1'!N$2- 12.5)*'Team B 1'!$AC137</f>
        <v>-13.28568864571821</v>
      </c>
      <c r="O137" s="1">
        <f>'Team B 1'!O137-'Team B 1'!$AA137-('Team B 1'!O$2- 12.5)*'Team B 1'!$AC137</f>
        <v>-9.0237326038989067</v>
      </c>
      <c r="P137" s="1">
        <f>'Team B 1'!P137-'Team B 1'!$AA137-('Team B 1'!P$2- 12.5)*'Team B 1'!$AC137</f>
        <v>-34.761776562079604</v>
      </c>
      <c r="Q137" s="1">
        <f>'Team B 1'!Q137-'Team B 1'!$AA137-('Team B 1'!Q$2- 12.5)*'Team B 1'!$AC137</f>
        <v>-40.4998205202603</v>
      </c>
      <c r="R137" s="1">
        <f>'Team B 1'!R137-'Team B 1'!$AA137-('Team B 1'!R$2- 12.5)*'Team B 1'!$AC137</f>
        <v>-6.2378644784409971</v>
      </c>
      <c r="S137" s="1">
        <f>'Team B 1'!S137-'Team B 1'!$AA137-('Team B 1'!S$2- 12.5)*'Team B 1'!$AC137</f>
        <v>8.0240915633783061</v>
      </c>
      <c r="T137" s="1">
        <f>'Team B 1'!T137-'Team B 1'!$AA137-('Team B 1'!T$2- 12.5)*'Team B 1'!$AC137</f>
        <v>22.286047605197609</v>
      </c>
      <c r="U137" s="1">
        <f>'Team B 1'!U137-'Team B 1'!$AA137-('Team B 1'!U$2- 12.5)*'Team B 1'!$AC137</f>
        <v>46.548003647016913</v>
      </c>
      <c r="V137" s="1">
        <f>'Team B 1'!V137-'Team B 1'!$AA137-('Team B 1'!V$2- 12.5)*'Team B 1'!$AC137</f>
        <v>0.80995968883621572</v>
      </c>
      <c r="W137" s="1">
        <f>'Team B 1'!W137-'Team B 1'!$AA137-('Team B 1'!W$2- 12.5)*'Team B 1'!$AC137</f>
        <v>15.071915730655519</v>
      </c>
      <c r="X137" s="1">
        <f>'Team B 1'!X137-'Team B 1'!$AA137-('Team B 1'!X$2- 12.5)*'Team B 1'!$AC137</f>
        <v>-40.666128227525405</v>
      </c>
      <c r="Y137" s="1">
        <f>'Team B 1'!Y137-'Team B 1'!$AA137-('Team B 1'!Y$2- 12.5)*'Team B 1'!$AC137</f>
        <v>-6.4041721857056473</v>
      </c>
      <c r="AB137" s="1">
        <f>STDEV(B137:Y137)</f>
        <v>23.099069937686657</v>
      </c>
      <c r="AD137" s="5">
        <v>5</v>
      </c>
      <c r="AE137" s="5" t="s">
        <v>45</v>
      </c>
      <c r="AF137" s="5" t="s">
        <v>46</v>
      </c>
      <c r="AG137" s="5">
        <v>9</v>
      </c>
      <c r="AH137" s="5">
        <v>3</v>
      </c>
      <c r="AI137" s="5">
        <v>6</v>
      </c>
      <c r="AJ137" s="5">
        <v>7</v>
      </c>
      <c r="AK137" s="5" t="s">
        <v>47</v>
      </c>
      <c r="AL137" s="5">
        <v>8</v>
      </c>
      <c r="AM137" s="5">
        <v>4</v>
      </c>
      <c r="AN137" s="5">
        <v>1</v>
      </c>
      <c r="AO137" s="5">
        <v>2</v>
      </c>
      <c r="AP137" s="5" t="s">
        <v>45</v>
      </c>
      <c r="AQ137" s="5">
        <v>5</v>
      </c>
      <c r="AR137" s="5">
        <v>9</v>
      </c>
      <c r="AS137" s="5" t="s">
        <v>46</v>
      </c>
      <c r="AT137" s="5">
        <v>6</v>
      </c>
      <c r="AU137" s="5">
        <v>3</v>
      </c>
      <c r="AV137" s="5" t="s">
        <v>47</v>
      </c>
      <c r="AW137" s="5">
        <v>7</v>
      </c>
      <c r="AX137" s="5">
        <v>8</v>
      </c>
      <c r="AY137" s="5">
        <v>1</v>
      </c>
      <c r="AZ137" s="5">
        <v>4</v>
      </c>
      <c r="BA137" s="5">
        <v>2</v>
      </c>
      <c r="BB137" s="5"/>
      <c r="BC137" s="1">
        <f ca="1">OFFSET(A137,0, 11) -0</f>
        <v>8.1903992706431836</v>
      </c>
      <c r="BD137" s="1">
        <f ca="1">OFFSET(A137,0, 12) -0</f>
        <v>2.4523553124624868</v>
      </c>
      <c r="BE137" s="1">
        <f ca="1">OFFSET(A137,0, 5) -0</f>
        <v>12.618663019727364</v>
      </c>
      <c r="BF137" s="1">
        <f ca="1">OFFSET(A137,0, 10) -0</f>
        <v>-26.07155677117612</v>
      </c>
      <c r="BG137" s="1">
        <f ca="1">OFFSET(A137,0, 1) -0</f>
        <v>15.570838852449924</v>
      </c>
      <c r="BH137" s="1">
        <f ca="1">OFFSET(A137,0, 6) -0</f>
        <v>6.8806190615466676</v>
      </c>
      <c r="BI137" s="1">
        <f ca="1">OFFSET(A137,0, 7) -0</f>
        <v>21.142575103365971</v>
      </c>
      <c r="BJ137" s="1">
        <f ca="1">OFFSET(A137,0, 9) -0</f>
        <v>-20.333512812995423</v>
      </c>
      <c r="BK137" s="1">
        <f ca="1">OFFSET(A137,0, 4) -0</f>
        <v>-1.6432930220919388</v>
      </c>
      <c r="BL137" s="1">
        <f ca="1">OFFSET(A137,0, 2) -0</f>
        <v>9.8327948942696821</v>
      </c>
      <c r="BM137" s="1">
        <f ca="1">OFFSET(A137,0, 3) -0</f>
        <v>-15.905249063911242</v>
      </c>
      <c r="BN137" s="1">
        <f ca="1">OFFSET(A137,0, 8) -0</f>
        <v>45.404531145185274</v>
      </c>
      <c r="BO137" s="1">
        <f ca="1">OFFSET(A137,0, 22) -0</f>
        <v>15.071915730655519</v>
      </c>
      <c r="BP137" s="1">
        <f ca="1">OFFSET(A137,0, 24) -0</f>
        <v>-6.4041721857056473</v>
      </c>
      <c r="BQ137" s="1">
        <f ca="1">OFFSET(A137,0, 18) -0</f>
        <v>8.0240915633783061</v>
      </c>
      <c r="BR137" s="1">
        <f ca="1">OFFSET(A137,0, 23) -0</f>
        <v>-40.666128227525405</v>
      </c>
      <c r="BS137" s="1">
        <f ca="1">OFFSET(A137,0, 14) -0</f>
        <v>-9.0237326038989067</v>
      </c>
      <c r="BT137" s="1">
        <f ca="1">OFFSET(A137,0, 17) -0</f>
        <v>-6.2378644784409971</v>
      </c>
      <c r="BU137" s="1">
        <f ca="1">OFFSET(A137,0, 20) -0</f>
        <v>46.548003647016913</v>
      </c>
      <c r="BV137" s="1">
        <f ca="1">OFFSET(A137,0, 21) -0</f>
        <v>0.80995968883621572</v>
      </c>
      <c r="BW137" s="1">
        <f ca="1">OFFSET(A137,0, 15) -0</f>
        <v>-34.761776562079604</v>
      </c>
      <c r="BX137" s="1">
        <f ca="1">OFFSET(A137,0, 13) -0</f>
        <v>-13.28568864571821</v>
      </c>
      <c r="BY137" s="1">
        <f ca="1">OFFSET(A137,0, 16) -0</f>
        <v>-40.4998205202603</v>
      </c>
      <c r="BZ137" s="1">
        <f ca="1">OFFSET(A137,0, 19) -0</f>
        <v>22.286047605197609</v>
      </c>
      <c r="CB137" s="1">
        <f>COUNTIF(B137,"&lt;-69")</f>
        <v>0</v>
      </c>
      <c r="CC137" s="1">
        <f ca="1">COUNTIF(BC137:BN137,"&lt;-49")</f>
        <v>0</v>
      </c>
      <c r="CD137" s="1">
        <f ca="1">COUNTIF(BC137:BN137,"&gt;+49")</f>
        <v>0</v>
      </c>
      <c r="CE137" s="1">
        <f ca="1">COUNTIF(BO137:BZ137,"&lt;-49")</f>
        <v>0</v>
      </c>
      <c r="CF137" s="1">
        <f ca="1">COUNTIF(BO137:BZ137,"&gt;+49")</f>
        <v>0</v>
      </c>
    </row>
    <row r="138" spans="1:84">
      <c r="A138" s="1">
        <v>135</v>
      </c>
      <c r="B138" s="1">
        <f>'Team B 1'!B138-'Team B 1'!$AA138-('Team B 1'!B$2- 12.5)*'Team B 1'!$AC138</f>
        <v>10.666887133126693</v>
      </c>
      <c r="C138" s="1">
        <f>'Team B 1'!C138-'Team B 1'!$AA138-('Team B 1'!C$2- 12.5)*'Team B 1'!$AC138</f>
        <v>-5.0795088494605807</v>
      </c>
      <c r="D138" s="1">
        <f>'Team B 1'!D138-'Team B 1'!$AA138-('Team B 1'!D$2- 12.5)*'Team B 1'!$AC138</f>
        <v>-10.825904832047854</v>
      </c>
      <c r="E138" s="1">
        <f>'Team B 1'!E138-'Team B 1'!$AA138-('Team B 1'!E$2- 12.5)*'Team B 1'!$AC138</f>
        <v>-16.572300814635355</v>
      </c>
      <c r="F138" s="1">
        <f>'Team B 1'!F138-'Team B 1'!$AA138-('Team B 1'!F$2- 12.5)*'Team B 1'!$AC138</f>
        <v>-12.318696797222628</v>
      </c>
      <c r="G138" s="1">
        <f>'Team B 1'!G138-'Team B 1'!$AA138-('Team B 1'!G$2- 12.5)*'Team B 1'!$AC138</f>
        <v>-8.0650927798101293</v>
      </c>
      <c r="H138" s="1">
        <f>'Team B 1'!H138-'Team B 1'!$AA138-('Team B 1'!H$2- 12.5)*'Team B 1'!$AC138</f>
        <v>26.188511237602597</v>
      </c>
      <c r="I138" s="1">
        <f>'Team B 1'!I138-'Team B 1'!$AA138-('Team B 1'!I$2- 12.5)*'Team B 1'!$AC138</f>
        <v>50.44211525501521</v>
      </c>
      <c r="J138" s="1">
        <f>'Team B 1'!J138-'Team B 1'!$AA138-('Team B 1'!J$2- 12.5)*'Team B 1'!$AC138</f>
        <v>-5.3042807275720634</v>
      </c>
      <c r="K138" s="1">
        <f>'Team B 1'!K138-'Team B 1'!$AA138-('Team B 1'!K$2- 12.5)*'Team B 1'!$AC138</f>
        <v>-11.050676710159451</v>
      </c>
      <c r="L138" s="1">
        <f>'Team B 1'!L138-'Team B 1'!$AA138-('Team B 1'!L$2- 12.5)*'Team B 1'!$AC138</f>
        <v>-6.7970726927468377</v>
      </c>
      <c r="M138" s="1">
        <f>'Team B 1'!M138-'Team B 1'!$AA138-('Team B 1'!M$2- 12.5)*'Team B 1'!$AC138</f>
        <v>-12.543468675334182</v>
      </c>
      <c r="N138" s="1">
        <f>'Team B 1'!N138-'Team B 1'!$AA138-('Team B 1'!N$2- 12.5)*'Team B 1'!$AC138</f>
        <v>1.7101353420784591</v>
      </c>
      <c r="O138" s="1">
        <f>'Team B 1'!O138-'Team B 1'!$AA138-('Team B 1'!O$2- 12.5)*'Team B 1'!$AC138</f>
        <v>-14.036260640508885</v>
      </c>
      <c r="P138" s="1">
        <f>'Team B 1'!P138-'Team B 1'!$AA138-('Team B 1'!P$2- 12.5)*'Team B 1'!$AC138</f>
        <v>-29.782656623096273</v>
      </c>
      <c r="Q138" s="1">
        <f>'Team B 1'!Q138-'Team B 1'!$AA138-('Team B 1'!Q$2- 12.5)*'Team B 1'!$AC138</f>
        <v>-25.52905260568366</v>
      </c>
      <c r="R138" s="1">
        <f>'Team B 1'!R138-'Team B 1'!$AA138-('Team B 1'!R$2- 12.5)*'Team B 1'!$AC138</f>
        <v>8.7245514117290668</v>
      </c>
      <c r="S138" s="1">
        <f>'Team B 1'!S138-'Team B 1'!$AA138-('Team B 1'!S$2- 12.5)*'Team B 1'!$AC138</f>
        <v>2.9781554291416796</v>
      </c>
      <c r="T138" s="1">
        <f>'Team B 1'!T138-'Team B 1'!$AA138-('Team B 1'!T$2- 12.5)*'Team B 1'!$AC138</f>
        <v>27.231759446554406</v>
      </c>
      <c r="U138" s="1">
        <f>'Team B 1'!U138-'Team B 1'!$AA138-('Team B 1'!U$2- 12.5)*'Team B 1'!$AC138</f>
        <v>-8.5146365360330947</v>
      </c>
      <c r="V138" s="1">
        <f>'Team B 1'!V138-'Team B 1'!$AA138-('Team B 1'!V$2- 12.5)*'Team B 1'!$AC138</f>
        <v>-4.2610325186203681</v>
      </c>
      <c r="W138" s="1">
        <f>'Team B 1'!W138-'Team B 1'!$AA138-('Team B 1'!W$2- 12.5)*'Team B 1'!$AC138</f>
        <v>39.992571498792131</v>
      </c>
      <c r="X138" s="1">
        <f>'Team B 1'!X138-'Team B 1'!$AA138-('Team B 1'!X$2- 12.5)*'Team B 1'!$AC138</f>
        <v>-5.7538244837951424</v>
      </c>
      <c r="Y138" s="1">
        <f>'Team B 1'!Y138-'Team B 1'!$AA138-('Team B 1'!Y$2- 12.5)*'Team B 1'!$AC138</f>
        <v>8.4997795336175841</v>
      </c>
      <c r="AB138" s="1">
        <f>STDEV(B138:Y138)</f>
        <v>19.44100134251061</v>
      </c>
      <c r="AD138" s="5">
        <v>5</v>
      </c>
      <c r="AE138" s="5" t="s">
        <v>45</v>
      </c>
      <c r="AF138" s="5" t="s">
        <v>46</v>
      </c>
      <c r="AG138" s="5">
        <v>9</v>
      </c>
      <c r="AH138" s="5">
        <v>3</v>
      </c>
      <c r="AI138" s="5">
        <v>6</v>
      </c>
      <c r="AJ138" s="5">
        <v>7</v>
      </c>
      <c r="AK138" s="5" t="s">
        <v>47</v>
      </c>
      <c r="AL138" s="5">
        <v>1</v>
      </c>
      <c r="AM138" s="5">
        <v>8</v>
      </c>
      <c r="AN138" s="5">
        <v>2</v>
      </c>
      <c r="AO138" s="5">
        <v>4</v>
      </c>
      <c r="AP138" s="5">
        <v>5</v>
      </c>
      <c r="AQ138" s="5" t="s">
        <v>46</v>
      </c>
      <c r="AR138" s="5" t="s">
        <v>45</v>
      </c>
      <c r="AS138" s="5">
        <v>3</v>
      </c>
      <c r="AT138" s="5">
        <v>9</v>
      </c>
      <c r="AU138" s="5">
        <v>7</v>
      </c>
      <c r="AV138" s="5">
        <v>6</v>
      </c>
      <c r="AW138" s="5" t="s">
        <v>47</v>
      </c>
      <c r="AX138" s="5">
        <v>8</v>
      </c>
      <c r="AY138" s="5">
        <v>1</v>
      </c>
      <c r="AZ138" s="5">
        <v>4</v>
      </c>
      <c r="BA138" s="5">
        <v>2</v>
      </c>
      <c r="BB138" s="5"/>
      <c r="BC138" s="1">
        <f ca="1">OFFSET(A138,0, 9) -0</f>
        <v>-5.3042807275720634</v>
      </c>
      <c r="BD138" s="1">
        <f ca="1">OFFSET(A138,0, 11) -0</f>
        <v>-6.7970726927468377</v>
      </c>
      <c r="BE138" s="1">
        <f ca="1">OFFSET(A138,0, 5) -0</f>
        <v>-12.318696797222628</v>
      </c>
      <c r="BF138" s="1">
        <f ca="1">OFFSET(A138,0, 12) -0</f>
        <v>-12.543468675334182</v>
      </c>
      <c r="BG138" s="1">
        <f ca="1">OFFSET(A138,0, 1) -0</f>
        <v>10.666887133126693</v>
      </c>
      <c r="BH138" s="1">
        <f ca="1">OFFSET(A138,0, 6) -0</f>
        <v>-8.0650927798101293</v>
      </c>
      <c r="BI138" s="1">
        <f ca="1">OFFSET(A138,0, 7) -0</f>
        <v>26.188511237602597</v>
      </c>
      <c r="BJ138" s="1">
        <f ca="1">OFFSET(A138,0, 10) -0</f>
        <v>-11.050676710159451</v>
      </c>
      <c r="BK138" s="1">
        <f ca="1">OFFSET(A138,0, 4) -0</f>
        <v>-16.572300814635355</v>
      </c>
      <c r="BL138" s="1">
        <f ca="1">OFFSET(A138,0, 2) -0</f>
        <v>-5.0795088494605807</v>
      </c>
      <c r="BM138" s="1">
        <f ca="1">OFFSET(A138,0, 3) -0</f>
        <v>-10.825904832047854</v>
      </c>
      <c r="BN138" s="1">
        <f ca="1">OFFSET(A138,0, 8) -0</f>
        <v>50.44211525501521</v>
      </c>
      <c r="BO138" s="1">
        <f ca="1">OFFSET(A138,0, 22) -0</f>
        <v>39.992571498792131</v>
      </c>
      <c r="BP138" s="1">
        <f ca="1">OFFSET(A138,0, 24) -0</f>
        <v>8.4997795336175841</v>
      </c>
      <c r="BQ138" s="1">
        <f ca="1">OFFSET(A138,0, 16) -0</f>
        <v>-25.52905260568366</v>
      </c>
      <c r="BR138" s="1">
        <f ca="1">OFFSET(A138,0, 23) -0</f>
        <v>-5.7538244837951424</v>
      </c>
      <c r="BS138" s="1">
        <f ca="1">OFFSET(A138,0, 13) -0</f>
        <v>1.7101353420784591</v>
      </c>
      <c r="BT138" s="1">
        <f ca="1">OFFSET(A138,0, 19) -0</f>
        <v>27.231759446554406</v>
      </c>
      <c r="BU138" s="1">
        <f ca="1">OFFSET(A138,0, 18) -0</f>
        <v>2.9781554291416796</v>
      </c>
      <c r="BV138" s="1">
        <f ca="1">OFFSET(A138,0, 21) -0</f>
        <v>-4.2610325186203681</v>
      </c>
      <c r="BW138" s="1">
        <f ca="1">OFFSET(A138,0, 17) -0</f>
        <v>8.7245514117290668</v>
      </c>
      <c r="BX138" s="1">
        <f ca="1">OFFSET(A138,0, 15) -0</f>
        <v>-29.782656623096273</v>
      </c>
      <c r="BY138" s="1">
        <f ca="1">OFFSET(A138,0, 14) -0</f>
        <v>-14.036260640508885</v>
      </c>
      <c r="BZ138" s="1">
        <f ca="1">OFFSET(A138,0, 20) -0</f>
        <v>-8.5146365360330947</v>
      </c>
      <c r="CB138" s="1">
        <f>COUNTIF(B138,"&lt;-69")</f>
        <v>0</v>
      </c>
      <c r="CC138" s="1">
        <f ca="1">COUNTIF(BC138:BN138,"&lt;-49")</f>
        <v>0</v>
      </c>
      <c r="CD138" s="1">
        <f ca="1">COUNTIF(BC138:BN138,"&gt;+49")</f>
        <v>1</v>
      </c>
      <c r="CE138" s="1">
        <f ca="1">COUNTIF(BO138:BZ138,"&lt;-49")</f>
        <v>0</v>
      </c>
      <c r="CF138" s="1">
        <f ca="1">COUNTIF(BO138:BZ138,"&gt;+49")</f>
        <v>0</v>
      </c>
    </row>
    <row r="139" spans="1:84">
      <c r="A139" s="1">
        <v>136</v>
      </c>
      <c r="B139" s="1">
        <f>'Team B 1'!B139-'Team B 1'!$AA139-('Team B 1'!B$2- 12.5)*'Team B 1'!$AC139</f>
        <v>-22.054938269428476</v>
      </c>
      <c r="C139" s="1">
        <f>'Team B 1'!C139-'Team B 1'!$AA139-('Team B 1'!C$2- 12.5)*'Team B 1'!$AC139</f>
        <v>-7.6008856662929247</v>
      </c>
      <c r="D139" s="1">
        <f>'Team B 1'!D139-'Team B 1'!$AA139-('Team B 1'!D$2- 12.5)*'Team B 1'!$AC139</f>
        <v>-3.1468330631578283</v>
      </c>
      <c r="E139" s="1">
        <f>'Team B 1'!E139-'Team B 1'!$AA139-('Team B 1'!E$2- 12.5)*'Team B 1'!$AC139</f>
        <v>31.307219539977723</v>
      </c>
      <c r="F139" s="1">
        <f>'Team B 1'!F139-'Team B 1'!$AA139-('Team B 1'!F$2- 12.5)*'Team B 1'!$AC139</f>
        <v>5.7612721431128193</v>
      </c>
      <c r="G139" s="1">
        <f>'Team B 1'!G139-'Team B 1'!$AA139-('Team B 1'!G$2- 12.5)*'Team B 1'!$AC139</f>
        <v>-9.7846752537516295</v>
      </c>
      <c r="H139" s="1">
        <f>'Team B 1'!H139-'Team B 1'!$AA139-('Team B 1'!H$2- 12.5)*'Team B 1'!$AC139</f>
        <v>4.6693773493834669</v>
      </c>
      <c r="I139" s="1">
        <f>'Team B 1'!I139-'Team B 1'!$AA139-('Team B 1'!I$2- 12.5)*'Team B 1'!$AC139</f>
        <v>-0.87657004748109557</v>
      </c>
      <c r="J139" s="1">
        <f>'Team B 1'!J139-'Team B 1'!$AA139-('Team B 1'!J$2- 12.5)*'Team B 1'!$AC139</f>
        <v>-16.422517444345772</v>
      </c>
      <c r="K139" s="1">
        <f>'Team B 1'!K139-'Team B 1'!$AA139-('Team B 1'!K$2- 12.5)*'Team B 1'!$AC139</f>
        <v>18.031535158789552</v>
      </c>
      <c r="L139" s="1">
        <f>'Team B 1'!L139-'Team B 1'!$AA139-('Team B 1'!L$2- 12.5)*'Team B 1'!$AC139</f>
        <v>2.4855877619248758</v>
      </c>
      <c r="M139" s="1">
        <f>'Team B 1'!M139-'Team B 1'!$AA139-('Team B 1'!M$2- 12.5)*'Team B 1'!$AC139</f>
        <v>-3.0603596349398003</v>
      </c>
      <c r="N139" s="1">
        <f>'Team B 1'!N139-'Team B 1'!$AA139-('Team B 1'!N$2- 12.5)*'Team B 1'!$AC139</f>
        <v>11.393692968195523</v>
      </c>
      <c r="O139" s="1">
        <f>'Team B 1'!O139-'Team B 1'!$AA139-('Team B 1'!O$2- 12.5)*'Team B 1'!$AC139</f>
        <v>5.8477455713308473</v>
      </c>
      <c r="P139" s="1">
        <f>'Team B 1'!P139-'Team B 1'!$AA139-('Team B 1'!P$2- 12.5)*'Team B 1'!$AC139</f>
        <v>10.301798174466171</v>
      </c>
      <c r="Q139" s="1">
        <f>'Team B 1'!Q139-'Team B 1'!$AA139-('Team B 1'!Q$2- 12.5)*'Team B 1'!$AC139</f>
        <v>-25.244149222398505</v>
      </c>
      <c r="R139" s="1">
        <f>'Team B 1'!R139-'Team B 1'!$AA139-('Team B 1'!R$2- 12.5)*'Team B 1'!$AC139</f>
        <v>-30.790096619263181</v>
      </c>
      <c r="S139" s="1">
        <f>'Team B 1'!S139-'Team B 1'!$AA139-('Team B 1'!S$2- 12.5)*'Team B 1'!$AC139</f>
        <v>-16.336044016127744</v>
      </c>
      <c r="T139" s="1">
        <f>'Team B 1'!T139-'Team B 1'!$AA139-('Team B 1'!T$2- 12.5)*'Team B 1'!$AC139</f>
        <v>18.118008587007353</v>
      </c>
      <c r="U139" s="1">
        <f>'Team B 1'!U139-'Team B 1'!$AA139-('Team B 1'!U$2- 12.5)*'Team B 1'!$AC139</f>
        <v>22.572061190142904</v>
      </c>
      <c r="V139" s="1">
        <f>'Team B 1'!V139-'Team B 1'!$AA139-('Team B 1'!V$2- 12.5)*'Team B 1'!$AC139</f>
        <v>-2.9738862067219998</v>
      </c>
      <c r="W139" s="1">
        <f>'Team B 1'!W139-'Team B 1'!$AA139-('Team B 1'!W$2- 12.5)*'Team B 1'!$AC139</f>
        <v>-8.5198336035864486</v>
      </c>
      <c r="X139" s="1">
        <f>'Team B 1'!X139-'Team B 1'!$AA139-('Team B 1'!X$2- 12.5)*'Team B 1'!$AC139</f>
        <v>-14.065781000451352</v>
      </c>
      <c r="Y139" s="1">
        <f>'Team B 1'!Y139-'Team B 1'!$AA139-('Team B 1'!Y$2- 12.5)*'Team B 1'!$AC139</f>
        <v>30.388271602684199</v>
      </c>
      <c r="AB139" s="1">
        <f>STDEV(B139:Y139)</f>
        <v>16.757748435931912</v>
      </c>
      <c r="AD139" s="5" t="s">
        <v>46</v>
      </c>
      <c r="AE139" s="5">
        <v>5</v>
      </c>
      <c r="AF139" s="5">
        <v>3</v>
      </c>
      <c r="AG139" s="5" t="s">
        <v>45</v>
      </c>
      <c r="AH139" s="5">
        <v>7</v>
      </c>
      <c r="AI139" s="5">
        <v>9</v>
      </c>
      <c r="AJ139" s="5" t="s">
        <v>47</v>
      </c>
      <c r="AK139" s="5">
        <v>6</v>
      </c>
      <c r="AL139" s="5">
        <v>1</v>
      </c>
      <c r="AM139" s="5">
        <v>8</v>
      </c>
      <c r="AN139" s="5">
        <v>2</v>
      </c>
      <c r="AO139" s="5">
        <v>4</v>
      </c>
      <c r="AP139" s="5">
        <v>5</v>
      </c>
      <c r="AQ139" s="5" t="s">
        <v>46</v>
      </c>
      <c r="AR139" s="5" t="s">
        <v>45</v>
      </c>
      <c r="AS139" s="5">
        <v>3</v>
      </c>
      <c r="AT139" s="5">
        <v>9</v>
      </c>
      <c r="AU139" s="5">
        <v>7</v>
      </c>
      <c r="AV139" s="5" t="s">
        <v>47</v>
      </c>
      <c r="AW139" s="5">
        <v>1</v>
      </c>
      <c r="AX139" s="5">
        <v>6</v>
      </c>
      <c r="AY139" s="5">
        <v>8</v>
      </c>
      <c r="AZ139" s="5">
        <v>4</v>
      </c>
      <c r="BA139" s="5">
        <v>2</v>
      </c>
      <c r="BB139" s="5"/>
      <c r="BC139" s="1">
        <f ca="1">OFFSET(A139,0, 9) -0</f>
        <v>-16.422517444345772</v>
      </c>
      <c r="BD139" s="1">
        <f ca="1">OFFSET(A139,0, 11) -0</f>
        <v>2.4855877619248758</v>
      </c>
      <c r="BE139" s="1">
        <f ca="1">OFFSET(A139,0, 3) -0</f>
        <v>-3.1468330631578283</v>
      </c>
      <c r="BF139" s="1">
        <f ca="1">OFFSET(A139,0, 12) -0</f>
        <v>-3.0603596349398003</v>
      </c>
      <c r="BG139" s="1">
        <f ca="1">OFFSET(A139,0, 2) -0</f>
        <v>-7.6008856662929247</v>
      </c>
      <c r="BH139" s="1">
        <f ca="1">OFFSET(A139,0, 8) -0</f>
        <v>-0.87657004748109557</v>
      </c>
      <c r="BI139" s="1">
        <f ca="1">OFFSET(A139,0, 5) -0</f>
        <v>5.7612721431128193</v>
      </c>
      <c r="BJ139" s="1">
        <f ca="1">OFFSET(A139,0, 10) -0</f>
        <v>18.031535158789552</v>
      </c>
      <c r="BK139" s="1">
        <f ca="1">OFFSET(A139,0, 6) -0</f>
        <v>-9.7846752537516295</v>
      </c>
      <c r="BL139" s="1">
        <f ca="1">OFFSET(A139,0, 4) -0</f>
        <v>31.307219539977723</v>
      </c>
      <c r="BM139" s="1">
        <f ca="1">OFFSET(A139,0, 1) -0</f>
        <v>-22.054938269428476</v>
      </c>
      <c r="BN139" s="1">
        <f ca="1">OFFSET(A139,0, 7) -0</f>
        <v>4.6693773493834669</v>
      </c>
      <c r="BO139" s="1">
        <f ca="1">OFFSET(A139,0, 20) -0</f>
        <v>22.572061190142904</v>
      </c>
      <c r="BP139" s="1">
        <f ca="1">OFFSET(A139,0, 24) -0</f>
        <v>30.388271602684199</v>
      </c>
      <c r="BQ139" s="1">
        <f ca="1">OFFSET(A139,0, 16) -0</f>
        <v>-25.244149222398505</v>
      </c>
      <c r="BR139" s="1">
        <f ca="1">OFFSET(A139,0, 23) -0</f>
        <v>-14.065781000451352</v>
      </c>
      <c r="BS139" s="1">
        <f ca="1">OFFSET(A139,0, 13) -0</f>
        <v>11.393692968195523</v>
      </c>
      <c r="BT139" s="1">
        <f ca="1">OFFSET(A139,0, 21) -0</f>
        <v>-2.9738862067219998</v>
      </c>
      <c r="BU139" s="1">
        <f ca="1">OFFSET(A139,0, 18) -0</f>
        <v>-16.336044016127744</v>
      </c>
      <c r="BV139" s="1">
        <f ca="1">OFFSET(A139,0, 22) -0</f>
        <v>-8.5198336035864486</v>
      </c>
      <c r="BW139" s="1">
        <f ca="1">OFFSET(A139,0, 17) -0</f>
        <v>-30.790096619263181</v>
      </c>
      <c r="BX139" s="1">
        <f ca="1">OFFSET(A139,0, 15) -0</f>
        <v>10.301798174466171</v>
      </c>
      <c r="BY139" s="1">
        <f ca="1">OFFSET(A139,0, 14) -0</f>
        <v>5.8477455713308473</v>
      </c>
      <c r="BZ139" s="1">
        <f ca="1">OFFSET(A139,0, 19) -0</f>
        <v>18.118008587007353</v>
      </c>
      <c r="CB139" s="1">
        <f>COUNTIF(B139,"&lt;-69")</f>
        <v>0</v>
      </c>
      <c r="CC139" s="1">
        <f ca="1">COUNTIF(BC139:BN139,"&lt;-49")</f>
        <v>0</v>
      </c>
      <c r="CD139" s="1">
        <f ca="1">COUNTIF(BC139:BN139,"&gt;+49")</f>
        <v>0</v>
      </c>
      <c r="CE139" s="1">
        <f ca="1">COUNTIF(BO139:BZ139,"&lt;-49")</f>
        <v>0</v>
      </c>
      <c r="CF139" s="1">
        <f ca="1">COUNTIF(BO139:BZ139,"&gt;+49")</f>
        <v>0</v>
      </c>
    </row>
    <row r="140" spans="1:84">
      <c r="A140" s="1">
        <v>137</v>
      </c>
      <c r="B140" s="1">
        <f>'Team B 1'!B140-'Team B 1'!$AA140-('Team B 1'!B$2- 12.5)*'Team B 1'!$AC140</f>
        <v>-12.732765639810168</v>
      </c>
      <c r="C140" s="1">
        <f>'Team B 1'!C140-'Team B 1'!$AA140-('Team B 1'!C$2- 12.5)*'Team B 1'!$AC140</f>
        <v>-28.654554134902355</v>
      </c>
      <c r="D140" s="1">
        <f>'Team B 1'!D140-'Team B 1'!$AA140-('Team B 1'!D$2- 12.5)*'Team B 1'!$AC140</f>
        <v>5.4236573700052304</v>
      </c>
      <c r="E140" s="1">
        <f>'Team B 1'!E140-'Team B 1'!$AA140-('Team B 1'!E$2- 12.5)*'Team B 1'!$AC140</f>
        <v>19.501868874912816</v>
      </c>
      <c r="F140" s="1">
        <f>'Team B 1'!F140-'Team B 1'!$AA140-('Team B 1'!F$2- 12.5)*'Team B 1'!$AC140</f>
        <v>-16.419919620179371</v>
      </c>
      <c r="G140" s="1">
        <f>'Team B 1'!G140-'Team B 1'!$AA140-('Team B 1'!G$2- 12.5)*'Team B 1'!$AC140</f>
        <v>-32.341708115271786</v>
      </c>
      <c r="H140" s="1">
        <f>'Team B 1'!H140-'Team B 1'!$AA140-('Team B 1'!H$2- 12.5)*'Team B 1'!$AC140</f>
        <v>1.7365033896358</v>
      </c>
      <c r="I140" s="1">
        <f>'Team B 1'!I140-'Team B 1'!$AA140-('Team B 1'!I$2- 12.5)*'Team B 1'!$AC140</f>
        <v>15.814714894543499</v>
      </c>
      <c r="J140" s="1">
        <f>'Team B 1'!J140-'Team B 1'!$AA140-('Team B 1'!J$2- 12.5)*'Team B 1'!$AC140</f>
        <v>-20.107073600548915</v>
      </c>
      <c r="K140" s="1">
        <f>'Team B 1'!K140-'Team B 1'!$AA140-('Team B 1'!K$2- 12.5)*'Team B 1'!$AC140</f>
        <v>3.971137904358784</v>
      </c>
      <c r="L140" s="1">
        <f>'Team B 1'!L140-'Team B 1'!$AA140-('Team B 1'!L$2- 12.5)*'Team B 1'!$AC140</f>
        <v>-1.9506505907336305</v>
      </c>
      <c r="M140" s="1">
        <f>'Team B 1'!M140-'Team B 1'!$AA140-('Team B 1'!M$2- 12.5)*'Team B 1'!$AC140</f>
        <v>32.12756091417404</v>
      </c>
      <c r="N140" s="1">
        <f>'Team B 1'!N140-'Team B 1'!$AA140-('Team B 1'!N$2- 12.5)*'Team B 1'!$AC140</f>
        <v>-3.7942275809183172</v>
      </c>
      <c r="O140" s="1">
        <f>'Team B 1'!O140-'Team B 1'!$AA140-('Team B 1'!O$2- 12.5)*'Team B 1'!$AC140</f>
        <v>-9.7160160760106464</v>
      </c>
      <c r="P140" s="1">
        <f>'Team B 1'!P140-'Team B 1'!$AA140-('Team B 1'!P$2- 12.5)*'Team B 1'!$AC140</f>
        <v>-25.637804571103061</v>
      </c>
      <c r="Q140" s="1">
        <f>'Team B 1'!Q140-'Team B 1'!$AA140-('Team B 1'!Q$2- 12.5)*'Team B 1'!$AC140</f>
        <v>38.440406933804638</v>
      </c>
      <c r="R140" s="1">
        <f>'Team B 1'!R140-'Team B 1'!$AA140-('Team B 1'!R$2- 12.5)*'Team B 1'!$AC140</f>
        <v>-47.481381561287776</v>
      </c>
      <c r="S140" s="1">
        <f>'Team B 1'!S140-'Team B 1'!$AA140-('Team B 1'!S$2- 12.5)*'Team B 1'!$AC140</f>
        <v>-43.403170056380077</v>
      </c>
      <c r="T140" s="1">
        <f>'Team B 1'!T140-'Team B 1'!$AA140-('Team B 1'!T$2- 12.5)*'Team B 1'!$AC140</f>
        <v>0.67504144852750869</v>
      </c>
      <c r="U140" s="1">
        <f>'Team B 1'!U140-'Team B 1'!$AA140-('Team B 1'!U$2- 12.5)*'Team B 1'!$AC140</f>
        <v>24.753252953435094</v>
      </c>
      <c r="V140" s="1">
        <f>'Team B 1'!V140-'Team B 1'!$AA140-('Team B 1'!V$2- 12.5)*'Team B 1'!$AC140</f>
        <v>18.831464458342907</v>
      </c>
      <c r="W140" s="1">
        <f>'Team B 1'!W140-'Team B 1'!$AA140-('Team B 1'!W$2- 12.5)*'Team B 1'!$AC140</f>
        <v>32.909675963250493</v>
      </c>
      <c r="X140" s="1">
        <f>'Team B 1'!X140-'Team B 1'!$AA140-('Team B 1'!X$2- 12.5)*'Team B 1'!$AC140</f>
        <v>26.987887468158078</v>
      </c>
      <c r="Y140" s="1">
        <f>'Team B 1'!Y140-'Team B 1'!$AA140-('Team B 1'!Y$2- 12.5)*'Team B 1'!$AC140</f>
        <v>21.066098973065891</v>
      </c>
      <c r="AB140" s="1">
        <f>STDEV(B140:Y140)</f>
        <v>24.691811907057847</v>
      </c>
      <c r="AD140" s="5" t="s">
        <v>46</v>
      </c>
      <c r="AE140" s="5">
        <v>5</v>
      </c>
      <c r="AF140" s="5">
        <v>3</v>
      </c>
      <c r="AG140" s="5" t="s">
        <v>45</v>
      </c>
      <c r="AH140" s="5">
        <v>7</v>
      </c>
      <c r="AI140" s="5">
        <v>9</v>
      </c>
      <c r="AJ140" s="5">
        <v>1</v>
      </c>
      <c r="AK140" s="5" t="s">
        <v>47</v>
      </c>
      <c r="AL140" s="5">
        <v>8</v>
      </c>
      <c r="AM140" s="5">
        <v>6</v>
      </c>
      <c r="AN140" s="5">
        <v>2</v>
      </c>
      <c r="AO140" s="5">
        <v>4</v>
      </c>
      <c r="AP140" s="5" t="s">
        <v>46</v>
      </c>
      <c r="AQ140" s="5">
        <v>3</v>
      </c>
      <c r="AR140" s="5">
        <v>5</v>
      </c>
      <c r="AS140" s="5">
        <v>7</v>
      </c>
      <c r="AT140" s="5" t="s">
        <v>45</v>
      </c>
      <c r="AU140" s="5">
        <v>9</v>
      </c>
      <c r="AV140" s="5" t="s">
        <v>47</v>
      </c>
      <c r="AW140" s="5">
        <v>1</v>
      </c>
      <c r="AX140" s="5">
        <v>8</v>
      </c>
      <c r="AY140" s="5">
        <v>2</v>
      </c>
      <c r="AZ140" s="5">
        <v>6</v>
      </c>
      <c r="BA140" s="5">
        <v>4</v>
      </c>
      <c r="BB140" s="5"/>
      <c r="BC140" s="1">
        <f ca="1">OFFSET(A140,0, 7) -0</f>
        <v>1.7365033896358</v>
      </c>
      <c r="BD140" s="1">
        <f ca="1">OFFSET(A140,0, 11) -0</f>
        <v>-1.9506505907336305</v>
      </c>
      <c r="BE140" s="1">
        <f ca="1">OFFSET(A140,0, 3) -0</f>
        <v>5.4236573700052304</v>
      </c>
      <c r="BF140" s="1">
        <f ca="1">OFFSET(A140,0, 12) -0</f>
        <v>32.12756091417404</v>
      </c>
      <c r="BG140" s="1">
        <f ca="1">OFFSET(A140,0, 2) -0</f>
        <v>-28.654554134902355</v>
      </c>
      <c r="BH140" s="1">
        <f ca="1">OFFSET(A140,0, 10) -0</f>
        <v>3.971137904358784</v>
      </c>
      <c r="BI140" s="1">
        <f ca="1">OFFSET(A140,0, 5) -0</f>
        <v>-16.419919620179371</v>
      </c>
      <c r="BJ140" s="1">
        <f ca="1">OFFSET(A140,0, 9) -0</f>
        <v>-20.107073600548915</v>
      </c>
      <c r="BK140" s="1">
        <f ca="1">OFFSET(A140,0, 6) -0</f>
        <v>-32.341708115271786</v>
      </c>
      <c r="BL140" s="1">
        <f ca="1">OFFSET(A140,0, 4) -0</f>
        <v>19.501868874912816</v>
      </c>
      <c r="BM140" s="1">
        <f ca="1">OFFSET(A140,0, 1) -0</f>
        <v>-12.732765639810168</v>
      </c>
      <c r="BN140" s="1">
        <f ca="1">OFFSET(A140,0, 8) -0</f>
        <v>15.814714894543499</v>
      </c>
      <c r="BO140" s="1">
        <f ca="1">OFFSET(A140,0, 20) -0</f>
        <v>24.753252953435094</v>
      </c>
      <c r="BP140" s="1">
        <f ca="1">OFFSET(A140,0, 22) -0</f>
        <v>32.909675963250493</v>
      </c>
      <c r="BQ140" s="1">
        <f ca="1">OFFSET(A140,0, 14) -0</f>
        <v>-9.7160160760106464</v>
      </c>
      <c r="BR140" s="1">
        <f ca="1">OFFSET(A140,0, 24) -0</f>
        <v>21.066098973065891</v>
      </c>
      <c r="BS140" s="1">
        <f ca="1">OFFSET(A140,0, 15) -0</f>
        <v>-25.637804571103061</v>
      </c>
      <c r="BT140" s="1">
        <f ca="1">OFFSET(A140,0, 23) -0</f>
        <v>26.987887468158078</v>
      </c>
      <c r="BU140" s="1">
        <f ca="1">OFFSET(A140,0, 16) -0</f>
        <v>38.440406933804638</v>
      </c>
      <c r="BV140" s="1">
        <f ca="1">OFFSET(A140,0, 21) -0</f>
        <v>18.831464458342907</v>
      </c>
      <c r="BW140" s="1">
        <f ca="1">OFFSET(A140,0, 18) -0</f>
        <v>-43.403170056380077</v>
      </c>
      <c r="BX140" s="1">
        <f ca="1">OFFSET(A140,0, 17) -0</f>
        <v>-47.481381561287776</v>
      </c>
      <c r="BY140" s="1">
        <f ca="1">OFFSET(A140,0, 13) -0</f>
        <v>-3.7942275809183172</v>
      </c>
      <c r="BZ140" s="1">
        <f ca="1">OFFSET(A140,0, 19) -0</f>
        <v>0.67504144852750869</v>
      </c>
      <c r="CB140" s="1">
        <f>COUNTIF(B140,"&lt;-69")</f>
        <v>0</v>
      </c>
      <c r="CC140" s="1">
        <f ca="1">COUNTIF(BC140:BN140,"&lt;-49")</f>
        <v>0</v>
      </c>
      <c r="CD140" s="1">
        <f ca="1">COUNTIF(BC140:BN140,"&gt;+49")</f>
        <v>0</v>
      </c>
      <c r="CE140" s="1">
        <f ca="1">COUNTIF(BO140:BZ140,"&lt;-49")</f>
        <v>0</v>
      </c>
      <c r="CF140" s="1">
        <f ca="1">COUNTIF(BO140:BZ140,"&gt;+49")</f>
        <v>0</v>
      </c>
    </row>
    <row r="141" spans="1:84">
      <c r="A141" s="1">
        <v>138</v>
      </c>
      <c r="B141" s="1">
        <f>'Team B 1'!B141-'Team B 1'!$AA141-('Team B 1'!B$2- 12.5)*'Team B 1'!$AC141</f>
        <v>11.654354077927565</v>
      </c>
      <c r="C141" s="1">
        <f>'Team B 1'!C141-'Team B 1'!$AA141-('Team B 1'!C$2- 12.5)*'Team B 1'!$AC141</f>
        <v>5.4235406798470649</v>
      </c>
      <c r="D141" s="1">
        <f>'Team B 1'!D141-'Team B 1'!$AA141-('Team B 1'!D$2- 12.5)*'Team B 1'!$AC141</f>
        <v>-50.807272718233662</v>
      </c>
      <c r="E141" s="1">
        <f>'Team B 1'!E141-'Team B 1'!$AA141-('Team B 1'!E$2- 12.5)*'Team B 1'!$AC141</f>
        <v>42.961913883685611</v>
      </c>
      <c r="F141" s="1">
        <f>'Team B 1'!F141-'Team B 1'!$AA141-('Team B 1'!F$2- 12.5)*'Team B 1'!$AC141</f>
        <v>-33.268899514394889</v>
      </c>
      <c r="G141" s="1">
        <f>'Team B 1'!G141-'Team B 1'!$AA141-('Team B 1'!G$2- 12.5)*'Team B 1'!$AC141</f>
        <v>-19.499712912475616</v>
      </c>
      <c r="H141" s="1">
        <f>'Team B 1'!H141-'Team B 1'!$AA141-('Team B 1'!H$2- 12.5)*'Team B 1'!$AC141</f>
        <v>-25.730526310556343</v>
      </c>
      <c r="I141" s="1">
        <f>'Team B 1'!I141-'Team B 1'!$AA141-('Team B 1'!I$2- 12.5)*'Team B 1'!$AC141</f>
        <v>-31.961339708636956</v>
      </c>
      <c r="J141" s="1">
        <f>'Team B 1'!J141-'Team B 1'!$AA141-('Team B 1'!J$2- 12.5)*'Team B 1'!$AC141</f>
        <v>31.807846893282317</v>
      </c>
      <c r="K141" s="1">
        <f>'Team B 1'!K141-'Team B 1'!$AA141-('Team B 1'!K$2- 12.5)*'Team B 1'!$AC141</f>
        <v>15.577033495201704</v>
      </c>
      <c r="L141" s="1">
        <f>'Team B 1'!L141-'Team B 1'!$AA141-('Team B 1'!L$2- 12.5)*'Team B 1'!$AC141</f>
        <v>39.346220097120977</v>
      </c>
      <c r="M141" s="1">
        <f>'Team B 1'!M141-'Team B 1'!$AA141-('Team B 1'!M$2- 12.5)*'Team B 1'!$AC141</f>
        <v>43.115406699040335</v>
      </c>
      <c r="N141" s="1">
        <f>'Team B 1'!N141-'Team B 1'!$AA141-('Team B 1'!N$2- 12.5)*'Team B 1'!$AC141</f>
        <v>-13.115406699040335</v>
      </c>
      <c r="O141" s="1">
        <f>'Team B 1'!O141-'Team B 1'!$AA141-('Team B 1'!O$2- 12.5)*'Team B 1'!$AC141</f>
        <v>-19.346220097120977</v>
      </c>
      <c r="P141" s="1">
        <f>'Team B 1'!P141-'Team B 1'!$AA141-('Team B 1'!P$2- 12.5)*'Team B 1'!$AC141</f>
        <v>-35.577033495201704</v>
      </c>
      <c r="Q141" s="1">
        <f>'Team B 1'!Q141-'Team B 1'!$AA141-('Team B 1'!Q$2- 12.5)*'Team B 1'!$AC141</f>
        <v>18.192153106717683</v>
      </c>
      <c r="R141" s="1">
        <f>'Team B 1'!R141-'Team B 1'!$AA141-('Team B 1'!R$2- 12.5)*'Team B 1'!$AC141</f>
        <v>-38.038660291363044</v>
      </c>
      <c r="S141" s="1">
        <f>'Team B 1'!S141-'Team B 1'!$AA141-('Team B 1'!S$2- 12.5)*'Team B 1'!$AC141</f>
        <v>-14.269473689443657</v>
      </c>
      <c r="T141" s="1">
        <f>'Team B 1'!T141-'Team B 1'!$AA141-('Team B 1'!T$2- 12.5)*'Team B 1'!$AC141</f>
        <v>-50.500287087524384</v>
      </c>
      <c r="U141" s="1">
        <f>'Team B 1'!U141-'Team B 1'!$AA141-('Team B 1'!U$2- 12.5)*'Team B 1'!$AC141</f>
        <v>13.268899514394889</v>
      </c>
      <c r="V141" s="1">
        <f>'Team B 1'!V141-'Team B 1'!$AA141-('Team B 1'!V$2- 12.5)*'Team B 1'!$AC141</f>
        <v>17.038086116314389</v>
      </c>
      <c r="W141" s="1">
        <f>'Team B 1'!W141-'Team B 1'!$AA141-('Team B 1'!W$2- 12.5)*'Team B 1'!$AC141</f>
        <v>40.807272718233662</v>
      </c>
      <c r="X141" s="1">
        <f>'Team B 1'!X141-'Team B 1'!$AA141-('Team B 1'!X$2- 12.5)*'Team B 1'!$AC141</f>
        <v>24.576459320152935</v>
      </c>
      <c r="Y141" s="1">
        <f>'Team B 1'!Y141-'Team B 1'!$AA141-('Team B 1'!Y$2- 12.5)*'Team B 1'!$AC141</f>
        <v>28.345645922072435</v>
      </c>
      <c r="AB141" s="1">
        <f>STDEV(B141:Y141)</f>
        <v>31.142948041913161</v>
      </c>
      <c r="AD141" s="5">
        <v>3</v>
      </c>
      <c r="AE141" s="5" t="s">
        <v>46</v>
      </c>
      <c r="AF141" s="5">
        <v>7</v>
      </c>
      <c r="AG141" s="5">
        <v>5</v>
      </c>
      <c r="AH141" s="5">
        <v>9</v>
      </c>
      <c r="AI141" s="5" t="s">
        <v>45</v>
      </c>
      <c r="AJ141" s="5">
        <v>1</v>
      </c>
      <c r="AK141" s="5" t="s">
        <v>47</v>
      </c>
      <c r="AL141" s="5">
        <v>2</v>
      </c>
      <c r="AM141" s="5">
        <v>8</v>
      </c>
      <c r="AN141" s="5">
        <v>4</v>
      </c>
      <c r="AO141" s="5">
        <v>6</v>
      </c>
      <c r="AP141" s="5" t="s">
        <v>46</v>
      </c>
      <c r="AQ141" s="5">
        <v>3</v>
      </c>
      <c r="AR141" s="5">
        <v>5</v>
      </c>
      <c r="AS141" s="5">
        <v>7</v>
      </c>
      <c r="AT141" s="5">
        <v>9</v>
      </c>
      <c r="AU141" s="5">
        <v>1</v>
      </c>
      <c r="AV141" s="5" t="s">
        <v>45</v>
      </c>
      <c r="AW141" s="5" t="s">
        <v>47</v>
      </c>
      <c r="AX141" s="5">
        <v>8</v>
      </c>
      <c r="AY141" s="5">
        <v>2</v>
      </c>
      <c r="AZ141" s="5">
        <v>6</v>
      </c>
      <c r="BA141" s="5">
        <v>4</v>
      </c>
      <c r="BB141" s="5"/>
      <c r="BC141" s="1">
        <f ca="1">OFFSET(A141,0, 7) -0</f>
        <v>-25.730526310556343</v>
      </c>
      <c r="BD141" s="1">
        <f ca="1">OFFSET(A141,0, 9) -0</f>
        <v>31.807846893282317</v>
      </c>
      <c r="BE141" s="1">
        <f ca="1">OFFSET(A141,0, 1) -0</f>
        <v>11.654354077927565</v>
      </c>
      <c r="BF141" s="1">
        <f ca="1">OFFSET(A141,0, 11) -0</f>
        <v>39.346220097120977</v>
      </c>
      <c r="BG141" s="1">
        <f ca="1">OFFSET(A141,0, 4) -0</f>
        <v>42.961913883685611</v>
      </c>
      <c r="BH141" s="1">
        <f ca="1">OFFSET(A141,0, 12) -0</f>
        <v>43.115406699040335</v>
      </c>
      <c r="BI141" s="1">
        <f ca="1">OFFSET(A141,0, 3) -0</f>
        <v>-50.807272718233662</v>
      </c>
      <c r="BJ141" s="1">
        <f ca="1">OFFSET(A141,0, 10) -0</f>
        <v>15.577033495201704</v>
      </c>
      <c r="BK141" s="1">
        <f ca="1">OFFSET(A141,0, 5) -0</f>
        <v>-33.268899514394889</v>
      </c>
      <c r="BL141" s="1">
        <f ca="1">OFFSET(A141,0, 6) -0</f>
        <v>-19.499712912475616</v>
      </c>
      <c r="BM141" s="1">
        <f ca="1">OFFSET(A141,0, 2) -0</f>
        <v>5.4235406798470649</v>
      </c>
      <c r="BN141" s="1">
        <f ca="1">OFFSET(A141,0, 8) -0</f>
        <v>-31.961339708636956</v>
      </c>
      <c r="BO141" s="1">
        <f ca="1">OFFSET(A141,0, 18) -0</f>
        <v>-14.269473689443657</v>
      </c>
      <c r="BP141" s="1">
        <f ca="1">OFFSET(A141,0, 22) -0</f>
        <v>40.807272718233662</v>
      </c>
      <c r="BQ141" s="1">
        <f ca="1">OFFSET(A141,0, 14) -0</f>
        <v>-19.346220097120977</v>
      </c>
      <c r="BR141" s="1">
        <f ca="1">OFFSET(A141,0, 24) -0</f>
        <v>28.345645922072435</v>
      </c>
      <c r="BS141" s="1">
        <f ca="1">OFFSET(A141,0, 15) -0</f>
        <v>-35.577033495201704</v>
      </c>
      <c r="BT141" s="1">
        <f ca="1">OFFSET(A141,0, 23) -0</f>
        <v>24.576459320152935</v>
      </c>
      <c r="BU141" s="1">
        <f ca="1">OFFSET(A141,0, 16) -0</f>
        <v>18.192153106717683</v>
      </c>
      <c r="BV141" s="1">
        <f ca="1">OFFSET(A141,0, 21) -0</f>
        <v>17.038086116314389</v>
      </c>
      <c r="BW141" s="1">
        <f ca="1">OFFSET(A141,0, 17) -0</f>
        <v>-38.038660291363044</v>
      </c>
      <c r="BX141" s="1">
        <f ca="1">OFFSET(A141,0, 19) -0</f>
        <v>-50.500287087524384</v>
      </c>
      <c r="BY141" s="1">
        <f ca="1">OFFSET(A141,0, 13) -0</f>
        <v>-13.115406699040335</v>
      </c>
      <c r="BZ141" s="1">
        <f ca="1">OFFSET(A141,0, 20) -0</f>
        <v>13.268899514394889</v>
      </c>
      <c r="CB141" s="1">
        <f>COUNTIF(B141,"&lt;-69")</f>
        <v>0</v>
      </c>
      <c r="CC141" s="1">
        <f ca="1">COUNTIF(BC141:BN141,"&lt;-49")</f>
        <v>1</v>
      </c>
      <c r="CD141" s="1">
        <f ca="1">COUNTIF(BC141:BN141,"&gt;+49")</f>
        <v>0</v>
      </c>
      <c r="CE141" s="1">
        <f ca="1">COUNTIF(BO141:BZ141,"&lt;-49")</f>
        <v>1</v>
      </c>
      <c r="CF141" s="1">
        <f ca="1">COUNTIF(BO141:BZ141,"&gt;+49")</f>
        <v>0</v>
      </c>
    </row>
    <row r="142" spans="1:84">
      <c r="A142" s="1">
        <v>139</v>
      </c>
      <c r="B142" s="1">
        <f>'Team B 1'!B142-'Team B 1'!$AA142-('Team B 1'!B$2- 12.5)*'Team B 1'!$AC142</f>
        <v>5.2717151989950253</v>
      </c>
      <c r="C142" s="1">
        <f>'Team B 1'!C142-'Team B 1'!$AA142-('Team B 1'!C$2- 12.5)*'Team B 1'!$AC142</f>
        <v>18.690116775897422</v>
      </c>
      <c r="D142" s="1">
        <f>'Team B 1'!D142-'Team B 1'!$AA142-('Team B 1'!D$2- 12.5)*'Team B 1'!$AC142</f>
        <v>-7.8914816472001803</v>
      </c>
      <c r="E142" s="1">
        <f>'Team B 1'!E142-'Team B 1'!$AA142-('Team B 1'!E$2- 12.5)*'Team B 1'!$AC142</f>
        <v>15.526919929702217</v>
      </c>
      <c r="F142" s="1">
        <f>'Team B 1'!F142-'Team B 1'!$AA142-('Team B 1'!F$2- 12.5)*'Team B 1'!$AC142</f>
        <v>28.945321506604614</v>
      </c>
      <c r="G142" s="1">
        <f>'Team B 1'!G142-'Team B 1'!$AA142-('Team B 1'!G$2- 12.5)*'Team B 1'!$AC142</f>
        <v>-27.636276916492989</v>
      </c>
      <c r="H142" s="1">
        <f>'Team B 1'!H142-'Team B 1'!$AA142-('Team B 1'!H$2- 12.5)*'Team B 1'!$AC142</f>
        <v>-44.217875339590819</v>
      </c>
      <c r="I142" s="1">
        <f>'Team B 1'!I142-'Team B 1'!$AA142-('Team B 1'!I$2- 12.5)*'Team B 1'!$AC142</f>
        <v>-20.799473762688422</v>
      </c>
      <c r="J142" s="1">
        <f>'Team B 1'!J142-'Team B 1'!$AA142-('Team B 1'!J$2- 12.5)*'Team B 1'!$AC142</f>
        <v>12.618927814213976</v>
      </c>
      <c r="K142" s="1">
        <f>'Team B 1'!K142-'Team B 1'!$AA142-('Team B 1'!K$2- 12.5)*'Team B 1'!$AC142</f>
        <v>16.037329391116259</v>
      </c>
      <c r="L142" s="1">
        <f>'Team B 1'!L142-'Team B 1'!$AA142-('Team B 1'!L$2- 12.5)*'Team B 1'!$AC142</f>
        <v>29.455730968018656</v>
      </c>
      <c r="M142" s="1">
        <f>'Team B 1'!M142-'Team B 1'!$AA142-('Team B 1'!M$2- 12.5)*'Team B 1'!$AC142</f>
        <v>12.874132544920968</v>
      </c>
      <c r="N142" s="1">
        <f>'Team B 1'!N142-'Team B 1'!$AA142-('Team B 1'!N$2- 12.5)*'Team B 1'!$AC142</f>
        <v>-3.7074658781766914</v>
      </c>
      <c r="O142" s="1">
        <f>'Team B 1'!O142-'Team B 1'!$AA142-('Team B 1'!O$2- 12.5)*'Team B 1'!$AC142</f>
        <v>49.710935698725621</v>
      </c>
      <c r="P142" s="1">
        <f>'Team B 1'!P142-'Team B 1'!$AA142-('Team B 1'!P$2- 12.5)*'Team B 1'!$AC142</f>
        <v>13.129337275628018</v>
      </c>
      <c r="Q142" s="1">
        <f>'Team B 1'!Q142-'Team B 1'!$AA142-('Team B 1'!Q$2- 12.5)*'Team B 1'!$AC142</f>
        <v>-23.452261147469699</v>
      </c>
      <c r="R142" s="1">
        <f>'Team B 1'!R142-'Team B 1'!$AA142-('Team B 1'!R$2- 12.5)*'Team B 1'!$AC142</f>
        <v>-20.033859570567301</v>
      </c>
      <c r="S142" s="1">
        <f>'Team B 1'!S142-'Team B 1'!$AA142-('Team B 1'!S$2- 12.5)*'Team B 1'!$AC142</f>
        <v>13.384542006335096</v>
      </c>
      <c r="T142" s="1">
        <f>'Team B 1'!T142-'Team B 1'!$AA142-('Team B 1'!T$2- 12.5)*'Team B 1'!$AC142</f>
        <v>-13.197056416762734</v>
      </c>
      <c r="U142" s="1">
        <f>'Team B 1'!U142-'Team B 1'!$AA142-('Team B 1'!U$2- 12.5)*'Team B 1'!$AC142</f>
        <v>20.221345160139663</v>
      </c>
      <c r="V142" s="1">
        <f>'Team B 1'!V142-'Team B 1'!$AA142-('Team B 1'!V$2- 12.5)*'Team B 1'!$AC142</f>
        <v>-6.36025326295794</v>
      </c>
      <c r="W142" s="1">
        <f>'Team B 1'!W142-'Team B 1'!$AA142-('Team B 1'!W$2- 12.5)*'Team B 1'!$AC142</f>
        <v>7.0581483139444572</v>
      </c>
      <c r="X142" s="1">
        <f>'Team B 1'!X142-'Team B 1'!$AA142-('Team B 1'!X$2- 12.5)*'Team B 1'!$AC142</f>
        <v>-59.523450109153146</v>
      </c>
      <c r="Y142" s="1">
        <f>'Team B 1'!Y142-'Team B 1'!$AA142-('Team B 1'!Y$2- 12.5)*'Team B 1'!$AC142</f>
        <v>-16.105048532250748</v>
      </c>
      <c r="AB142" s="1">
        <f>STDEV(B142:Y142)</f>
        <v>25.007202372443135</v>
      </c>
      <c r="AD142" s="5">
        <v>3</v>
      </c>
      <c r="AE142" s="5" t="s">
        <v>46</v>
      </c>
      <c r="AF142" s="5">
        <v>7</v>
      </c>
      <c r="AG142" s="5">
        <v>5</v>
      </c>
      <c r="AH142" s="5">
        <v>1</v>
      </c>
      <c r="AI142" s="5">
        <v>9</v>
      </c>
      <c r="AJ142" s="5" t="s">
        <v>47</v>
      </c>
      <c r="AK142" s="5" t="s">
        <v>45</v>
      </c>
      <c r="AL142" s="5">
        <v>2</v>
      </c>
      <c r="AM142" s="5">
        <v>8</v>
      </c>
      <c r="AN142" s="5">
        <v>4</v>
      </c>
      <c r="AO142" s="5">
        <v>6</v>
      </c>
      <c r="AP142" s="5">
        <v>3</v>
      </c>
      <c r="AQ142" s="5">
        <v>7</v>
      </c>
      <c r="AR142" s="5" t="s">
        <v>46</v>
      </c>
      <c r="AS142" s="5">
        <v>5</v>
      </c>
      <c r="AT142" s="5">
        <v>9</v>
      </c>
      <c r="AU142" s="5">
        <v>1</v>
      </c>
      <c r="AV142" s="5" t="s">
        <v>47</v>
      </c>
      <c r="AW142" s="5">
        <v>2</v>
      </c>
      <c r="AX142" s="5" t="s">
        <v>45</v>
      </c>
      <c r="AY142" s="5">
        <v>4</v>
      </c>
      <c r="AZ142" s="5">
        <v>8</v>
      </c>
      <c r="BA142" s="5">
        <v>6</v>
      </c>
      <c r="BB142" s="5"/>
      <c r="BC142" s="1">
        <f ca="1">OFFSET(A142,0, 5) -0</f>
        <v>28.945321506604614</v>
      </c>
      <c r="BD142" s="1">
        <f ca="1">OFFSET(A142,0, 9) -0</f>
        <v>12.618927814213976</v>
      </c>
      <c r="BE142" s="1">
        <f ca="1">OFFSET(A142,0, 1) -0</f>
        <v>5.2717151989950253</v>
      </c>
      <c r="BF142" s="1">
        <f ca="1">OFFSET(A142,0, 11) -0</f>
        <v>29.455730968018656</v>
      </c>
      <c r="BG142" s="1">
        <f ca="1">OFFSET(A142,0, 4) -0</f>
        <v>15.526919929702217</v>
      </c>
      <c r="BH142" s="1">
        <f ca="1">OFFSET(A142,0, 12) -0</f>
        <v>12.874132544920968</v>
      </c>
      <c r="BI142" s="1">
        <f ca="1">OFFSET(A142,0, 3) -0</f>
        <v>-7.8914816472001803</v>
      </c>
      <c r="BJ142" s="1">
        <f ca="1">OFFSET(A142,0, 10) -0</f>
        <v>16.037329391116259</v>
      </c>
      <c r="BK142" s="1">
        <f ca="1">OFFSET(A142,0, 6) -0</f>
        <v>-27.636276916492989</v>
      </c>
      <c r="BL142" s="1">
        <f ca="1">OFFSET(A142,0, 8) -0</f>
        <v>-20.799473762688422</v>
      </c>
      <c r="BM142" s="1">
        <f ca="1">OFFSET(A142,0, 2) -0</f>
        <v>18.690116775897422</v>
      </c>
      <c r="BN142" s="1">
        <f ca="1">OFFSET(A142,0, 7) -0</f>
        <v>-44.217875339590819</v>
      </c>
      <c r="BO142" s="1">
        <f ca="1">OFFSET(A142,0, 18) -0</f>
        <v>13.384542006335096</v>
      </c>
      <c r="BP142" s="1">
        <f ca="1">OFFSET(A142,0, 20) -0</f>
        <v>20.221345160139663</v>
      </c>
      <c r="BQ142" s="1">
        <f ca="1">OFFSET(A142,0, 13) -0</f>
        <v>-3.7074658781766914</v>
      </c>
      <c r="BR142" s="1">
        <f ca="1">OFFSET(A142,0, 22) -0</f>
        <v>7.0581483139444572</v>
      </c>
      <c r="BS142" s="1">
        <f ca="1">OFFSET(A142,0, 16) -0</f>
        <v>-23.452261147469699</v>
      </c>
      <c r="BT142" s="1">
        <f ca="1">OFFSET(A142,0, 24) -0</f>
        <v>-16.105048532250748</v>
      </c>
      <c r="BU142" s="1">
        <f ca="1">OFFSET(A142,0, 14) -0</f>
        <v>49.710935698725621</v>
      </c>
      <c r="BV142" s="1">
        <f ca="1">OFFSET(A142,0, 23) -0</f>
        <v>-59.523450109153146</v>
      </c>
      <c r="BW142" s="1">
        <f ca="1">OFFSET(A142,0, 17) -0</f>
        <v>-20.033859570567301</v>
      </c>
      <c r="BX142" s="1">
        <f ca="1">OFFSET(A142,0, 21) -0</f>
        <v>-6.36025326295794</v>
      </c>
      <c r="BY142" s="1">
        <f ca="1">OFFSET(A142,0, 15) -0</f>
        <v>13.129337275628018</v>
      </c>
      <c r="BZ142" s="1">
        <f ca="1">OFFSET(A142,0, 19) -0</f>
        <v>-13.197056416762734</v>
      </c>
      <c r="CB142" s="1">
        <f>COUNTIF(B142,"&lt;-70")</f>
        <v>0</v>
      </c>
      <c r="CC142" s="1">
        <f ca="1">COUNTIF(BC142:BN142,"&lt;-49")</f>
        <v>0</v>
      </c>
      <c r="CD142" s="1">
        <f ca="1">COUNTIF(BC142:BN142,"&gt;+49")</f>
        <v>0</v>
      </c>
      <c r="CE142" s="1">
        <f ca="1">COUNTIF(BO142:BZ142,"&lt;-49")</f>
        <v>1</v>
      </c>
      <c r="CF142" s="1">
        <f ca="1">COUNTIF(BO142:BZ142,"&gt;+49")</f>
        <v>1</v>
      </c>
    </row>
    <row r="143" spans="1:84">
      <c r="A143" s="1">
        <v>140</v>
      </c>
      <c r="B143" s="1">
        <f>'Team B 1'!B143-'Team B 1'!$AA143-('Team B 1'!B$2- 12.5)*'Team B 1'!$AC143</f>
        <v>22.158834916616797</v>
      </c>
      <c r="C143" s="1">
        <f>'Team B 1'!C143-'Team B 1'!$AA143-('Team B 1'!C$2- 12.5)*'Team B 1'!$AC143</f>
        <v>15.268211590530882</v>
      </c>
      <c r="D143" s="1">
        <f>'Team B 1'!D143-'Team B 1'!$AA143-('Team B 1'!D$2- 12.5)*'Team B 1'!$AC143</f>
        <v>48.377588264444967</v>
      </c>
      <c r="E143" s="1">
        <f>'Team B 1'!E143-'Team B 1'!$AA143-('Team B 1'!E$2- 12.5)*'Team B 1'!$AC143</f>
        <v>-8.5130350616411761</v>
      </c>
      <c r="F143" s="1">
        <f>'Team B 1'!F143-'Team B 1'!$AA143-('Team B 1'!F$2- 12.5)*'Team B 1'!$AC143</f>
        <v>-15.403658387727091</v>
      </c>
      <c r="G143" s="1">
        <f>'Team B 1'!G143-'Team B 1'!$AA143-('Team B 1'!G$2- 12.5)*'Team B 1'!$AC143</f>
        <v>-32.294281713813234</v>
      </c>
      <c r="H143" s="1">
        <f>'Team B 1'!H143-'Team B 1'!$AA143-('Team B 1'!H$2- 12.5)*'Team B 1'!$AC143</f>
        <v>-19.184905039899149</v>
      </c>
      <c r="I143" s="1">
        <f>'Team B 1'!I143-'Team B 1'!$AA143-('Team B 1'!I$2- 12.5)*'Team B 1'!$AC143</f>
        <v>23.924471634014822</v>
      </c>
      <c r="J143" s="1">
        <f>'Team B 1'!J143-'Team B 1'!$AA143-('Team B 1'!J$2- 12.5)*'Team B 1'!$AC143</f>
        <v>67.033848307928906</v>
      </c>
      <c r="K143" s="1">
        <f>'Team B 1'!K143-'Team B 1'!$AA143-('Team B 1'!K$2- 12.5)*'Team B 1'!$AC143</f>
        <v>40.143224981842877</v>
      </c>
      <c r="L143" s="1">
        <f>'Team B 1'!L143-'Team B 1'!$AA143-('Team B 1'!L$2- 12.5)*'Team B 1'!$AC143</f>
        <v>-26.747398344243152</v>
      </c>
      <c r="M143" s="1">
        <f>'Team B 1'!M143-'Team B 1'!$AA143-('Team B 1'!M$2- 12.5)*'Team B 1'!$AC143</f>
        <v>-83.638021670329138</v>
      </c>
      <c r="N143" s="1">
        <f>'Team B 1'!N143-'Team B 1'!$AA143-('Team B 1'!N$2- 12.5)*'Team B 1'!$AC143</f>
        <v>-10.528644996415139</v>
      </c>
      <c r="O143" s="1">
        <f>'Team B 1'!O143-'Team B 1'!$AA143-('Team B 1'!O$2- 12.5)*'Team B 1'!$AC143</f>
        <v>32.580731677498875</v>
      </c>
      <c r="P143" s="1">
        <f>'Team B 1'!P143-'Team B 1'!$AA143-('Team B 1'!P$2- 12.5)*'Team B 1'!$AC143</f>
        <v>-4.3098916485871541</v>
      </c>
      <c r="Q143" s="1">
        <f>'Team B 1'!Q143-'Team B 1'!$AA143-('Team B 1'!Q$2- 12.5)*'Team B 1'!$AC143</f>
        <v>-1.2005149746731831</v>
      </c>
      <c r="R143" s="1">
        <f>'Team B 1'!R143-'Team B 1'!$AA143-('Team B 1'!R$2- 12.5)*'Team B 1'!$AC143</f>
        <v>11.908861699240902</v>
      </c>
      <c r="S143" s="1">
        <f>'Team B 1'!S143-'Team B 1'!$AA143-('Team B 1'!S$2- 12.5)*'Team B 1'!$AC143</f>
        <v>-34.981761626845127</v>
      </c>
      <c r="T143" s="1">
        <f>'Team B 1'!T143-'Team B 1'!$AA143-('Team B 1'!T$2- 12.5)*'Team B 1'!$AC143</f>
        <v>-1.8723849529310428</v>
      </c>
      <c r="U143" s="1">
        <f>'Team B 1'!U143-'Team B 1'!$AA143-('Team B 1'!U$2- 12.5)*'Team B 1'!$AC143</f>
        <v>-8.7630082790171855</v>
      </c>
      <c r="V143" s="1">
        <f>'Team B 1'!V143-'Team B 1'!$AA143-('Team B 1'!V$2- 12.5)*'Team B 1'!$AC143</f>
        <v>-5.6536316051031008</v>
      </c>
      <c r="W143" s="1">
        <f>'Team B 1'!W143-'Team B 1'!$AA143-('Team B 1'!W$2- 12.5)*'Team B 1'!$AC143</f>
        <v>-2.5442549311892435</v>
      </c>
      <c r="X143" s="1">
        <f>'Team B 1'!X143-'Team B 1'!$AA143-('Team B 1'!X$2- 12.5)*'Team B 1'!$AC143</f>
        <v>-29.434878257275159</v>
      </c>
      <c r="Y143" s="1">
        <f>'Team B 1'!Y143-'Team B 1'!$AA143-('Team B 1'!Y$2- 12.5)*'Team B 1'!$AC143</f>
        <v>23.674498416638926</v>
      </c>
      <c r="AB143" s="1">
        <f>STDEV(B143:Y143)</f>
        <v>31.812583620396111</v>
      </c>
      <c r="AD143" s="5">
        <v>7</v>
      </c>
      <c r="AE143" s="5">
        <v>3</v>
      </c>
      <c r="AF143" s="5">
        <v>5</v>
      </c>
      <c r="AG143" s="5" t="s">
        <v>46</v>
      </c>
      <c r="AH143" s="5">
        <v>1</v>
      </c>
      <c r="AI143" s="5">
        <v>9</v>
      </c>
      <c r="AJ143" s="5">
        <v>2</v>
      </c>
      <c r="AK143" s="5" t="s">
        <v>47</v>
      </c>
      <c r="AL143" s="5">
        <v>4</v>
      </c>
      <c r="AM143" s="5" t="s">
        <v>45</v>
      </c>
      <c r="AN143" s="5">
        <v>6</v>
      </c>
      <c r="AO143" s="5">
        <v>8</v>
      </c>
      <c r="AP143" s="5">
        <v>3</v>
      </c>
      <c r="AQ143" s="5">
        <v>7</v>
      </c>
      <c r="AR143" s="5">
        <v>5</v>
      </c>
      <c r="AS143" s="5">
        <v>1</v>
      </c>
      <c r="AT143" s="5" t="s">
        <v>46</v>
      </c>
      <c r="AU143" s="5">
        <v>9</v>
      </c>
      <c r="AV143" s="5" t="s">
        <v>47</v>
      </c>
      <c r="AW143" s="5">
        <v>2</v>
      </c>
      <c r="AX143" s="5" t="s">
        <v>45</v>
      </c>
      <c r="AY143" s="5">
        <v>4</v>
      </c>
      <c r="AZ143" s="5">
        <v>8</v>
      </c>
      <c r="BA143" s="5">
        <v>6</v>
      </c>
      <c r="BB143" s="5"/>
      <c r="BC143" s="1">
        <f ca="1">OFFSET(A143,0, 5) -0</f>
        <v>-15.403658387727091</v>
      </c>
      <c r="BD143" s="1">
        <f ca="1">OFFSET(A143,0, 7) -0</f>
        <v>-19.184905039899149</v>
      </c>
      <c r="BE143" s="1">
        <f ca="1">OFFSET(A143,0, 2) -0</f>
        <v>15.268211590530882</v>
      </c>
      <c r="BF143" s="1">
        <f ca="1">OFFSET(A143,0, 9) -0</f>
        <v>67.033848307928906</v>
      </c>
      <c r="BG143" s="1">
        <f ca="1">OFFSET(A143,0, 3) -0</f>
        <v>48.377588264444967</v>
      </c>
      <c r="BH143" s="1">
        <f ca="1">OFFSET(A143,0, 11) -0</f>
        <v>-26.747398344243152</v>
      </c>
      <c r="BI143" s="1">
        <f ca="1">OFFSET(A143,0, 1) -0</f>
        <v>22.158834916616797</v>
      </c>
      <c r="BJ143" s="1">
        <f ca="1">OFFSET(A143,0, 12) -0</f>
        <v>-83.638021670329138</v>
      </c>
      <c r="BK143" s="1">
        <f ca="1">OFFSET(A143,0, 6) -0</f>
        <v>-32.294281713813234</v>
      </c>
      <c r="BL143" s="1">
        <f ca="1">OFFSET(A143,0, 10) -0</f>
        <v>40.143224981842877</v>
      </c>
      <c r="BM143" s="1">
        <f ca="1">OFFSET(A143,0, 4) -0</f>
        <v>-8.5130350616411761</v>
      </c>
      <c r="BN143" s="1">
        <f ca="1">OFFSET(A143,0, 8) -0</f>
        <v>23.924471634014822</v>
      </c>
      <c r="BO143" s="1">
        <f ca="1">OFFSET(A143,0, 16) -0</f>
        <v>-1.2005149746731831</v>
      </c>
      <c r="BP143" s="1">
        <f ca="1">OFFSET(A143,0, 20) -0</f>
        <v>-8.7630082790171855</v>
      </c>
      <c r="BQ143" s="1">
        <f ca="1">OFFSET(A143,0, 13) -0</f>
        <v>-10.528644996415139</v>
      </c>
      <c r="BR143" s="1">
        <f ca="1">OFFSET(A143,0, 22) -0</f>
        <v>-2.5442549311892435</v>
      </c>
      <c r="BS143" s="1">
        <f ca="1">OFFSET(A143,0, 15) -0</f>
        <v>-4.3098916485871541</v>
      </c>
      <c r="BT143" s="1">
        <f ca="1">OFFSET(A143,0, 24) -0</f>
        <v>23.674498416638926</v>
      </c>
      <c r="BU143" s="1">
        <f ca="1">OFFSET(A143,0, 14) -0</f>
        <v>32.580731677498875</v>
      </c>
      <c r="BV143" s="1">
        <f ca="1">OFFSET(A143,0, 23) -0</f>
        <v>-29.434878257275159</v>
      </c>
      <c r="BW143" s="1">
        <f ca="1">OFFSET(A143,0, 18) -0</f>
        <v>-34.981761626845127</v>
      </c>
      <c r="BX143" s="1">
        <f ca="1">OFFSET(A143,0, 21) -0</f>
        <v>-5.6536316051031008</v>
      </c>
      <c r="BY143" s="1">
        <f ca="1">OFFSET(A143,0, 17) -0</f>
        <v>11.908861699240902</v>
      </c>
      <c r="BZ143" s="1">
        <f ca="1">OFFSET(A143,0, 19) -0</f>
        <v>-1.8723849529310428</v>
      </c>
      <c r="CB143" s="1">
        <f>COUNTIF(B143,"&lt;-70")</f>
        <v>0</v>
      </c>
      <c r="CC143" s="1">
        <f ca="1">COUNTIF(BC143:BN143,"&lt;-49")</f>
        <v>1</v>
      </c>
      <c r="CD143" s="1">
        <f ca="1">COUNTIF(BC143:BN143,"&gt;+49")</f>
        <v>1</v>
      </c>
      <c r="CE143" s="1">
        <f ca="1">COUNTIF(BO143:BZ143,"&lt;-49")</f>
        <v>0</v>
      </c>
      <c r="CF143" s="1">
        <f ca="1">COUNTIF(BO143:BZ143,"&gt;+49")</f>
        <v>0</v>
      </c>
    </row>
    <row r="144" spans="1:84">
      <c r="A144" s="1">
        <v>141</v>
      </c>
      <c r="B144" s="1">
        <f>'Team B 1'!B144-'Team B 1'!$AA144-('Team B 1'!B$2- 12.5)*'Team B 1'!$AC144</f>
        <v>3.540101444247739</v>
      </c>
      <c r="C144" s="1">
        <f>'Team B 1'!C144-'Team B 1'!$AA144-('Team B 1'!C$2- 12.5)*'Team B 1'!$AC144</f>
        <v>-3.1083131740892895</v>
      </c>
      <c r="D144" s="1">
        <f>'Team B 1'!D144-'Team B 1'!$AA144-('Team B 1'!D$2- 12.5)*'Team B 1'!$AC144</f>
        <v>30.243272207573682</v>
      </c>
      <c r="E144" s="1">
        <f>'Team B 1'!E144-'Team B 1'!$AA144-('Team B 1'!E$2- 12.5)*'Team B 1'!$AC144</f>
        <v>13.594857589236653</v>
      </c>
      <c r="F144" s="1">
        <f>'Team B 1'!F144-'Team B 1'!$AA144-('Team B 1'!F$2- 12.5)*'Team B 1'!$AC144</f>
        <v>-23.053557029100375</v>
      </c>
      <c r="G144" s="1">
        <f>'Team B 1'!G144-'Team B 1'!$AA144-('Team B 1'!G$2- 12.5)*'Team B 1'!$AC144</f>
        <v>-19.701971647437404</v>
      </c>
      <c r="H144" s="1">
        <f>'Team B 1'!H144-'Team B 1'!$AA144-('Team B 1'!H$2- 12.5)*'Team B 1'!$AC144</f>
        <v>-36.350386265774432</v>
      </c>
      <c r="I144" s="1">
        <f>'Team B 1'!I144-'Team B 1'!$AA144-('Team B 1'!I$2- 12.5)*'Team B 1'!$AC144</f>
        <v>37.001199115888653</v>
      </c>
      <c r="J144" s="1">
        <f>'Team B 1'!J144-'Team B 1'!$AA144-('Team B 1'!J$2- 12.5)*'Team B 1'!$AC144</f>
        <v>20.352784497551625</v>
      </c>
      <c r="K144" s="1">
        <f>'Team B 1'!K144-'Team B 1'!$AA144-('Team B 1'!K$2- 12.5)*'Team B 1'!$AC144</f>
        <v>3.7043698792146529</v>
      </c>
      <c r="L144" s="1">
        <f>'Team B 1'!L144-'Team B 1'!$AA144-('Team B 1'!L$2- 12.5)*'Team B 1'!$AC144</f>
        <v>-42.944044739122376</v>
      </c>
      <c r="M144" s="1">
        <f>'Team B 1'!M144-'Team B 1'!$AA144-('Team B 1'!M$2- 12.5)*'Team B 1'!$AC144</f>
        <v>-29.592459357459362</v>
      </c>
      <c r="N144" s="1">
        <f>'Team B 1'!N144-'Team B 1'!$AA144-('Team B 1'!N$2- 12.5)*'Team B 1'!$AC144</f>
        <v>3.7591260242036384</v>
      </c>
      <c r="O144" s="1">
        <f>'Team B 1'!O144-'Team B 1'!$AA144-('Team B 1'!O$2- 12.5)*'Team B 1'!$AC144</f>
        <v>-42.889288594133347</v>
      </c>
      <c r="P144" s="1">
        <f>'Team B 1'!P144-'Team B 1'!$AA144-('Team B 1'!P$2- 12.5)*'Team B 1'!$AC144</f>
        <v>-19.537703212470376</v>
      </c>
      <c r="Q144" s="1">
        <f>'Team B 1'!Q144-'Team B 1'!$AA144-('Team B 1'!Q$2- 12.5)*'Team B 1'!$AC144</f>
        <v>23.813882169192652</v>
      </c>
      <c r="R144" s="1">
        <f>'Team B 1'!R144-'Team B 1'!$AA144-('Team B 1'!R$2- 12.5)*'Team B 1'!$AC144</f>
        <v>57.165467550855624</v>
      </c>
      <c r="S144" s="1">
        <f>'Team B 1'!S144-'Team B 1'!$AA144-('Team B 1'!S$2- 12.5)*'Team B 1'!$AC144</f>
        <v>30.517052932518709</v>
      </c>
      <c r="T144" s="1">
        <f>'Team B 1'!T144-'Team B 1'!$AA144-('Team B 1'!T$2- 12.5)*'Team B 1'!$AC144</f>
        <v>-46.13136168581832</v>
      </c>
      <c r="U144" s="1">
        <f>'Team B 1'!U144-'Team B 1'!$AA144-('Team B 1'!U$2- 12.5)*'Team B 1'!$AC144</f>
        <v>-32.779776304155348</v>
      </c>
      <c r="V144" s="1">
        <f>'Team B 1'!V144-'Team B 1'!$AA144-('Team B 1'!V$2- 12.5)*'Team B 1'!$AC144</f>
        <v>0.57180907750762344</v>
      </c>
      <c r="W144" s="1">
        <f>'Team B 1'!W144-'Team B 1'!$AA144-('Team B 1'!W$2- 12.5)*'Team B 1'!$AC144</f>
        <v>13.923394459170595</v>
      </c>
      <c r="X144" s="1">
        <f>'Team B 1'!X144-'Team B 1'!$AA144-('Team B 1'!X$2- 12.5)*'Team B 1'!$AC144</f>
        <v>7.2749798408335664</v>
      </c>
      <c r="Y144" s="1">
        <f>'Team B 1'!Y144-'Team B 1'!$AA144-('Team B 1'!Y$2- 12.5)*'Team B 1'!$AC144</f>
        <v>50.626565222496538</v>
      </c>
      <c r="AB144" s="1">
        <f>STDEV(B144:Y144)</f>
        <v>30.140259535516762</v>
      </c>
      <c r="AD144" s="5">
        <v>7</v>
      </c>
      <c r="AE144" s="5">
        <v>3</v>
      </c>
      <c r="AF144" s="5">
        <v>1</v>
      </c>
      <c r="AG144" s="5">
        <v>5</v>
      </c>
      <c r="AH144" s="5">
        <v>9</v>
      </c>
      <c r="AI144" s="5" t="s">
        <v>46</v>
      </c>
      <c r="AJ144" s="5">
        <v>2</v>
      </c>
      <c r="AK144" s="5" t="s">
        <v>47</v>
      </c>
      <c r="AL144" s="5">
        <v>4</v>
      </c>
      <c r="AM144" s="5" t="s">
        <v>45</v>
      </c>
      <c r="AN144" s="5">
        <v>6</v>
      </c>
      <c r="AO144" s="5">
        <v>8</v>
      </c>
      <c r="AP144" s="5">
        <v>7</v>
      </c>
      <c r="AQ144" s="5">
        <v>3</v>
      </c>
      <c r="AR144" s="5">
        <v>5</v>
      </c>
      <c r="AS144" s="5">
        <v>1</v>
      </c>
      <c r="AT144" s="5">
        <v>9</v>
      </c>
      <c r="AU144" s="5">
        <v>2</v>
      </c>
      <c r="AV144" s="5" t="s">
        <v>46</v>
      </c>
      <c r="AW144" s="5">
        <v>4</v>
      </c>
      <c r="AX144" s="5" t="s">
        <v>47</v>
      </c>
      <c r="AY144" s="5">
        <v>6</v>
      </c>
      <c r="AZ144" s="5" t="s">
        <v>45</v>
      </c>
      <c r="BA144" s="5">
        <v>8</v>
      </c>
      <c r="BB144" s="5"/>
      <c r="BC144" s="1">
        <f ca="1">OFFSET(A144,0, 3) -0</f>
        <v>30.243272207573682</v>
      </c>
      <c r="BD144" s="1">
        <f ca="1">OFFSET(A144,0, 7) -0</f>
        <v>-36.350386265774432</v>
      </c>
      <c r="BE144" s="1">
        <f ca="1">OFFSET(A144,0, 2) -0</f>
        <v>-3.1083131740892895</v>
      </c>
      <c r="BF144" s="1">
        <f ca="1">OFFSET(A144,0, 9) -0</f>
        <v>20.352784497551625</v>
      </c>
      <c r="BG144" s="1">
        <f ca="1">OFFSET(A144,0, 4) -0</f>
        <v>13.594857589236653</v>
      </c>
      <c r="BH144" s="1">
        <f ca="1">OFFSET(A144,0, 11) -0</f>
        <v>-42.944044739122376</v>
      </c>
      <c r="BI144" s="1">
        <f ca="1">OFFSET(A144,0, 1) -0</f>
        <v>3.540101444247739</v>
      </c>
      <c r="BJ144" s="1">
        <f ca="1">OFFSET(A144,0, 12) -0</f>
        <v>-29.592459357459362</v>
      </c>
      <c r="BK144" s="1">
        <f ca="1">OFFSET(A144,0, 5) -0</f>
        <v>-23.053557029100375</v>
      </c>
      <c r="BL144" s="1">
        <f ca="1">OFFSET(A144,0, 10) -0</f>
        <v>3.7043698792146529</v>
      </c>
      <c r="BM144" s="1">
        <f ca="1">OFFSET(A144,0, 6) -0</f>
        <v>-19.701971647437404</v>
      </c>
      <c r="BN144" s="1">
        <f ca="1">OFFSET(A144,0, 8) -0</f>
        <v>37.001199115888653</v>
      </c>
      <c r="BO144" s="1">
        <f ca="1">OFFSET(A144,0, 16) -0</f>
        <v>23.813882169192652</v>
      </c>
      <c r="BP144" s="1">
        <f ca="1">OFFSET(A144,0, 18) -0</f>
        <v>30.517052932518709</v>
      </c>
      <c r="BQ144" s="1">
        <f ca="1">OFFSET(A144,0, 14) -0</f>
        <v>-42.889288594133347</v>
      </c>
      <c r="BR144" s="1">
        <f ca="1">OFFSET(A144,0, 20) -0</f>
        <v>-32.779776304155348</v>
      </c>
      <c r="BS144" s="1">
        <f ca="1">OFFSET(A144,0, 15) -0</f>
        <v>-19.537703212470376</v>
      </c>
      <c r="BT144" s="1">
        <f ca="1">OFFSET(A144,0, 22) -0</f>
        <v>13.923394459170595</v>
      </c>
      <c r="BU144" s="1">
        <f ca="1">OFFSET(A144,0, 13) -0</f>
        <v>3.7591260242036384</v>
      </c>
      <c r="BV144" s="1">
        <f ca="1">OFFSET(A144,0, 24) -0</f>
        <v>50.626565222496538</v>
      </c>
      <c r="BW144" s="1">
        <f ca="1">OFFSET(A144,0, 17) -0</f>
        <v>57.165467550855624</v>
      </c>
      <c r="BX144" s="1">
        <f ca="1">OFFSET(A144,0, 23) -0</f>
        <v>7.2749798408335664</v>
      </c>
      <c r="BY144" s="1">
        <f ca="1">OFFSET(A144,0, 19) -0</f>
        <v>-46.13136168581832</v>
      </c>
      <c r="BZ144" s="1">
        <f ca="1">OFFSET(A144,0, 21) -0</f>
        <v>0.57180907750762344</v>
      </c>
      <c r="CB144" s="1">
        <f>COUNTIF(B144,"&lt;-70")</f>
        <v>0</v>
      </c>
      <c r="CC144" s="1">
        <f ca="1">COUNTIF(BC144:BN144,"&lt;-49")</f>
        <v>0</v>
      </c>
      <c r="CD144" s="1">
        <f ca="1">COUNTIF(BC144:BN144,"&gt;+49")</f>
        <v>0</v>
      </c>
      <c r="CE144" s="1">
        <f ca="1">COUNTIF(BO144:BZ144,"&lt;-49")</f>
        <v>0</v>
      </c>
      <c r="CF144" s="1">
        <f ca="1">COUNTIF(BO144:BZ144,"&gt;+49")</f>
        <v>2</v>
      </c>
    </row>
    <row r="145" spans="1:84">
      <c r="A145" s="1">
        <v>142</v>
      </c>
      <c r="B145" s="1">
        <f>'Team B 1'!B145-'Team B 1'!$AA145-('Team B 1'!B$2- 12.5)*'Team B 1'!$AC145</f>
        <v>-40.755087047121378</v>
      </c>
      <c r="C145" s="1">
        <f>'Team B 1'!C145-'Team B 1'!$AA145-('Team B 1'!C$2- 12.5)*'Team B 1'!$AC145</f>
        <v>42.571442261323682</v>
      </c>
      <c r="D145" s="1">
        <f>'Team B 1'!D145-'Team B 1'!$AA145-('Team B 1'!D$2- 12.5)*'Team B 1'!$AC145</f>
        <v>5.8979715697691972</v>
      </c>
      <c r="E145" s="1">
        <f>'Team B 1'!E145-'Team B 1'!$AA145-('Team B 1'!E$2- 12.5)*'Team B 1'!$AC145</f>
        <v>-0.77549912178551494</v>
      </c>
      <c r="F145" s="1">
        <f>'Team B 1'!F145-'Team B 1'!$AA145-('Team B 1'!F$2- 12.5)*'Team B 1'!$AC145</f>
        <v>12.55103018666</v>
      </c>
      <c r="G145" s="1">
        <f>'Team B 1'!G145-'Team B 1'!$AA145-('Team B 1'!G$2- 12.5)*'Team B 1'!$AC145</f>
        <v>5.8775594951052881</v>
      </c>
      <c r="H145" s="1">
        <f>'Team B 1'!H145-'Team B 1'!$AA145-('Team B 1'!H$2- 12.5)*'Team B 1'!$AC145</f>
        <v>-0.7959111964494241</v>
      </c>
      <c r="I145" s="1">
        <f>'Team B 1'!I145-'Team B 1'!$AA145-('Team B 1'!I$2- 12.5)*'Team B 1'!$AC145</f>
        <v>-7.4693818880040226</v>
      </c>
      <c r="J145" s="1">
        <f>'Team B 1'!J145-'Team B 1'!$AA145-('Team B 1'!J$2- 12.5)*'Team B 1'!$AC145</f>
        <v>-4.1428525795587348</v>
      </c>
      <c r="K145" s="1">
        <f>'Team B 1'!K145-'Team B 1'!$AA145-('Team B 1'!K$2- 12.5)*'Team B 1'!$AC145</f>
        <v>-10.816323271113333</v>
      </c>
      <c r="L145" s="1">
        <f>'Team B 1'!L145-'Team B 1'!$AA145-('Team B 1'!L$2- 12.5)*'Team B 1'!$AC145</f>
        <v>2.5102060373319546</v>
      </c>
      <c r="M145" s="1">
        <f>'Team B 1'!M145-'Team B 1'!$AA145-('Team B 1'!M$2- 12.5)*'Team B 1'!$AC145</f>
        <v>25.836735345777328</v>
      </c>
      <c r="N145" s="1">
        <f>'Team B 1'!N145-'Team B 1'!$AA145-('Team B 1'!N$2- 12.5)*'Team B 1'!$AC145</f>
        <v>-0.83673534577732767</v>
      </c>
      <c r="O145" s="1">
        <f>'Team B 1'!O145-'Team B 1'!$AA145-('Team B 1'!O$2- 12.5)*'Team B 1'!$AC145</f>
        <v>22.489793962668045</v>
      </c>
      <c r="P145" s="1">
        <f>'Team B 1'!P145-'Team B 1'!$AA145-('Team B 1'!P$2- 12.5)*'Team B 1'!$AC145</f>
        <v>15.816323271113333</v>
      </c>
      <c r="Q145" s="1">
        <f>'Team B 1'!Q145-'Team B 1'!$AA145-('Team B 1'!Q$2- 12.5)*'Team B 1'!$AC145</f>
        <v>-10.857147420441265</v>
      </c>
      <c r="R145" s="1">
        <f>'Team B 1'!R145-'Team B 1'!$AA145-('Team B 1'!R$2- 12.5)*'Team B 1'!$AC145</f>
        <v>-17.530618111995977</v>
      </c>
      <c r="S145" s="1">
        <f>'Team B 1'!S145-'Team B 1'!$AA145-('Team B 1'!S$2- 12.5)*'Team B 1'!$AC145</f>
        <v>-14.204088803550576</v>
      </c>
      <c r="T145" s="1">
        <f>'Team B 1'!T145-'Team B 1'!$AA145-('Team B 1'!T$2- 12.5)*'Team B 1'!$AC145</f>
        <v>-20.877559495105288</v>
      </c>
      <c r="U145" s="1">
        <f>'Team B 1'!U145-'Team B 1'!$AA145-('Team B 1'!U$2- 12.5)*'Team B 1'!$AC145</f>
        <v>-47.55103018666</v>
      </c>
      <c r="V145" s="1">
        <f>'Team B 1'!V145-'Team B 1'!$AA145-('Team B 1'!V$2- 12.5)*'Team B 1'!$AC145</f>
        <v>-14.224500878214485</v>
      </c>
      <c r="W145" s="1">
        <f>'Team B 1'!W145-'Team B 1'!$AA145-('Team B 1'!W$2- 12.5)*'Team B 1'!$AC145</f>
        <v>-0.89797156976919723</v>
      </c>
      <c r="X145" s="1">
        <f>'Team B 1'!X145-'Team B 1'!$AA145-('Team B 1'!X$2- 12.5)*'Team B 1'!$AC145</f>
        <v>2.428557738676318</v>
      </c>
      <c r="Y145" s="1">
        <f>'Team B 1'!Y145-'Team B 1'!$AA145-('Team B 1'!Y$2- 12.5)*'Team B 1'!$AC145</f>
        <v>55.755087047121378</v>
      </c>
      <c r="AB145" s="1">
        <f>STDEV(B145:Y145)</f>
        <v>22.806780416639793</v>
      </c>
      <c r="AD145" s="5">
        <v>3</v>
      </c>
      <c r="AE145" s="5">
        <v>7</v>
      </c>
      <c r="AF145" s="5">
        <v>1</v>
      </c>
      <c r="AG145" s="5">
        <v>5</v>
      </c>
      <c r="AH145" s="5">
        <v>2</v>
      </c>
      <c r="AI145" s="5">
        <v>9</v>
      </c>
      <c r="AJ145" s="5">
        <v>4</v>
      </c>
      <c r="AK145" s="5" t="s">
        <v>46</v>
      </c>
      <c r="AL145" s="5">
        <v>6</v>
      </c>
      <c r="AM145" s="5" t="s">
        <v>47</v>
      </c>
      <c r="AN145" s="5">
        <v>8</v>
      </c>
      <c r="AO145" s="5" t="s">
        <v>45</v>
      </c>
      <c r="AP145" s="5">
        <v>3</v>
      </c>
      <c r="AQ145" s="5">
        <v>1</v>
      </c>
      <c r="AR145" s="5">
        <v>7</v>
      </c>
      <c r="AS145" s="5">
        <v>5</v>
      </c>
      <c r="AT145" s="5">
        <v>9</v>
      </c>
      <c r="AU145" s="5">
        <v>2</v>
      </c>
      <c r="AV145" s="5" t="s">
        <v>46</v>
      </c>
      <c r="AW145" s="5">
        <v>4</v>
      </c>
      <c r="AX145" s="5" t="s">
        <v>47</v>
      </c>
      <c r="AY145" s="5">
        <v>6</v>
      </c>
      <c r="AZ145" s="5" t="s">
        <v>45</v>
      </c>
      <c r="BA145" s="5">
        <v>8</v>
      </c>
      <c r="BB145" s="5"/>
      <c r="BC145" s="1">
        <f ca="1">OFFSET(A145,0, 3) -0</f>
        <v>5.8979715697691972</v>
      </c>
      <c r="BD145" s="1">
        <f ca="1">OFFSET(A145,0, 5) -0</f>
        <v>12.55103018666</v>
      </c>
      <c r="BE145" s="1">
        <f ca="1">OFFSET(A145,0, 1) -0</f>
        <v>-40.755087047121378</v>
      </c>
      <c r="BF145" s="1">
        <f ca="1">OFFSET(A145,0, 7) -0</f>
        <v>-0.7959111964494241</v>
      </c>
      <c r="BG145" s="1">
        <f ca="1">OFFSET(A145,0, 4) -0</f>
        <v>-0.77549912178551494</v>
      </c>
      <c r="BH145" s="1">
        <f ca="1">OFFSET(A145,0, 9) -0</f>
        <v>-4.1428525795587348</v>
      </c>
      <c r="BI145" s="1">
        <f ca="1">OFFSET(A145,0, 2) -0</f>
        <v>42.571442261323682</v>
      </c>
      <c r="BJ145" s="1">
        <f ca="1">OFFSET(A145,0, 11) -0</f>
        <v>2.5102060373319546</v>
      </c>
      <c r="BK145" s="1">
        <f ca="1">OFFSET(A145,0, 6) -0</f>
        <v>5.8775594951052881</v>
      </c>
      <c r="BL145" s="1">
        <f ca="1">OFFSET(A145,0, 12) -0</f>
        <v>25.836735345777328</v>
      </c>
      <c r="BM145" s="1">
        <f ca="1">OFFSET(A145,0, 8) -0</f>
        <v>-7.4693818880040226</v>
      </c>
      <c r="BN145" s="1">
        <f ca="1">OFFSET(A145,0, 10) -0</f>
        <v>-10.816323271113333</v>
      </c>
      <c r="BO145" s="1">
        <f ca="1">OFFSET(A145,0, 14) -0</f>
        <v>22.489793962668045</v>
      </c>
      <c r="BP145" s="1">
        <f ca="1">OFFSET(A145,0, 18) -0</f>
        <v>-14.204088803550576</v>
      </c>
      <c r="BQ145" s="1">
        <f ca="1">OFFSET(A145,0, 13) -0</f>
        <v>-0.83673534577732767</v>
      </c>
      <c r="BR145" s="1">
        <f ca="1">OFFSET(A145,0, 20) -0</f>
        <v>-47.55103018666</v>
      </c>
      <c r="BS145" s="1">
        <f ca="1">OFFSET(A145,0, 16) -0</f>
        <v>-10.857147420441265</v>
      </c>
      <c r="BT145" s="1">
        <f ca="1">OFFSET(A145,0, 22) -0</f>
        <v>-0.89797156976919723</v>
      </c>
      <c r="BU145" s="1">
        <f ca="1">OFFSET(A145,0, 15) -0</f>
        <v>15.816323271113333</v>
      </c>
      <c r="BV145" s="1">
        <f ca="1">OFFSET(A145,0, 24) -0</f>
        <v>55.755087047121378</v>
      </c>
      <c r="BW145" s="1">
        <f ca="1">OFFSET(A145,0, 17) -0</f>
        <v>-17.530618111995977</v>
      </c>
      <c r="BX145" s="1">
        <f ca="1">OFFSET(A145,0, 23) -0</f>
        <v>2.428557738676318</v>
      </c>
      <c r="BY145" s="1">
        <f ca="1">OFFSET(A145,0, 19) -0</f>
        <v>-20.877559495105288</v>
      </c>
      <c r="BZ145" s="1">
        <f ca="1">OFFSET(A145,0, 21) -0</f>
        <v>-14.224500878214485</v>
      </c>
      <c r="CB145" s="1">
        <f>COUNTIF(B145,"&lt;-70")</f>
        <v>0</v>
      </c>
      <c r="CC145" s="1">
        <f ca="1">COUNTIF(BC145:BN145,"&lt;-49")</f>
        <v>0</v>
      </c>
      <c r="CD145" s="1">
        <f ca="1">COUNTIF(BC145:BN145,"&gt;+49")</f>
        <v>0</v>
      </c>
      <c r="CE145" s="1">
        <f ca="1">COUNTIF(BO145:BZ145,"&lt;-49")</f>
        <v>0</v>
      </c>
      <c r="CF145" s="1">
        <f ca="1">COUNTIF(BO145:BZ145,"&gt;+49")</f>
        <v>1</v>
      </c>
    </row>
    <row r="146" spans="1:84">
      <c r="A146" s="1">
        <v>143</v>
      </c>
      <c r="B146" s="1">
        <f>'Team B 1'!B146-'Team B 1'!$AA146-('Team B 1'!B$2- 12.5)*'Team B 1'!$AC146</f>
        <v>39.568276041693025</v>
      </c>
      <c r="C146" s="1">
        <f>'Team B 1'!C146-'Team B 1'!$AA146-('Team B 1'!C$2- 12.5)*'Team B 1'!$AC146</f>
        <v>43.120310009078366</v>
      </c>
      <c r="D146" s="1">
        <f>'Team B 1'!D146-'Team B 1'!$AA146-('Team B 1'!D$2- 12.5)*'Team B 1'!$AC146</f>
        <v>56.672343976464163</v>
      </c>
      <c r="E146" s="1">
        <f>'Team B 1'!E146-'Team B 1'!$AA146-('Team B 1'!E$2- 12.5)*'Team B 1'!$AC146</f>
        <v>70.224377943849731</v>
      </c>
      <c r="F146" s="1">
        <f>'Team B 1'!F146-'Team B 1'!$AA146-('Team B 1'!F$2- 12.5)*'Team B 1'!$AC146</f>
        <v>-16.223588088764473</v>
      </c>
      <c r="G146" s="1">
        <f>'Team B 1'!G146-'Team B 1'!$AA146-('Team B 1'!G$2- 12.5)*'Team B 1'!$AC146</f>
        <v>7.3284458786210962</v>
      </c>
      <c r="H146" s="1">
        <f>'Team B 1'!H146-'Team B 1'!$AA146-('Team B 1'!H$2- 12.5)*'Team B 1'!$AC146</f>
        <v>-19.119520153993335</v>
      </c>
      <c r="I146" s="1">
        <f>'Team B 1'!I146-'Team B 1'!$AA146-('Team B 1'!I$2- 12.5)*'Team B 1'!$AC146</f>
        <v>-35.567486186607539</v>
      </c>
      <c r="J146" s="1">
        <f>'Team B 1'!J146-'Team B 1'!$AA146-('Team B 1'!J$2- 12.5)*'Team B 1'!$AC146</f>
        <v>-22.01545221922197</v>
      </c>
      <c r="K146" s="1">
        <f>'Team B 1'!K146-'Team B 1'!$AA146-('Team B 1'!K$2- 12.5)*'Team B 1'!$AC146</f>
        <v>-38.463418251836288</v>
      </c>
      <c r="L146" s="1">
        <f>'Team B 1'!L146-'Team B 1'!$AA146-('Team B 1'!L$2- 12.5)*'Team B 1'!$AC146</f>
        <v>5.0886157155493947</v>
      </c>
      <c r="M146" s="1">
        <f>'Team B 1'!M146-'Team B 1'!$AA146-('Team B 1'!M$2- 12.5)*'Team B 1'!$AC146</f>
        <v>8.6406496829350345</v>
      </c>
      <c r="N146" s="1">
        <f>'Team B 1'!N146-'Team B 1'!$AA146-('Team B 1'!N$2- 12.5)*'Team B 1'!$AC146</f>
        <v>52.192683650320689</v>
      </c>
      <c r="O146" s="1">
        <f>'Team B 1'!O146-'Team B 1'!$AA146-('Team B 1'!O$2- 12.5)*'Team B 1'!$AC146</f>
        <v>45.744717617706328</v>
      </c>
      <c r="P146" s="1">
        <f>'Team B 1'!P146-'Team B 1'!$AA146-('Team B 1'!P$2- 12.5)*'Team B 1'!$AC146</f>
        <v>-10.703248414907989</v>
      </c>
      <c r="Q146" s="1">
        <f>'Team B 1'!Q146-'Team B 1'!$AA146-('Team B 1'!Q$2- 12.5)*'Team B 1'!$AC146</f>
        <v>-7.1512144475223067</v>
      </c>
      <c r="R146" s="1">
        <f>'Team B 1'!R146-'Team B 1'!$AA146-('Team B 1'!R$2- 12.5)*'Team B 1'!$AC146</f>
        <v>6.400819519863262</v>
      </c>
      <c r="S146" s="1">
        <f>'Team B 1'!S146-'Team B 1'!$AA146-('Team B 1'!S$2- 12.5)*'Team B 1'!$AC146</f>
        <v>-30.047146512750942</v>
      </c>
      <c r="T146" s="1">
        <f>'Team B 1'!T146-'Team B 1'!$AA146-('Team B 1'!T$2- 12.5)*'Team B 1'!$AC146</f>
        <v>-26.495112545365373</v>
      </c>
      <c r="U146" s="1">
        <f>'Team B 1'!U146-'Team B 1'!$AA146-('Team B 1'!U$2- 12.5)*'Team B 1'!$AC146</f>
        <v>-32.943078577979804</v>
      </c>
      <c r="V146" s="1">
        <f>'Team B 1'!V146-'Team B 1'!$AA146-('Team B 1'!V$2- 12.5)*'Team B 1'!$AC146</f>
        <v>-49.391044610594008</v>
      </c>
      <c r="W146" s="1">
        <f>'Team B 1'!W146-'Team B 1'!$AA146-('Team B 1'!W$2- 12.5)*'Team B 1'!$AC146</f>
        <v>-25.839010643208439</v>
      </c>
      <c r="X146" s="1">
        <f>'Team B 1'!X146-'Team B 1'!$AA146-('Team B 1'!X$2- 12.5)*'Team B 1'!$AC146</f>
        <v>-12.286976675822643</v>
      </c>
      <c r="Y146" s="1">
        <f>'Team B 1'!Y146-'Team B 1'!$AA146-('Team B 1'!Y$2- 12.5)*'Team B 1'!$AC146</f>
        <v>-8.7349427084373019</v>
      </c>
      <c r="AB146" s="1">
        <f>STDEV(B146:Y146)</f>
        <v>34.02569522242672</v>
      </c>
      <c r="AD146" s="5">
        <v>1</v>
      </c>
      <c r="AE146" s="5">
        <v>3</v>
      </c>
      <c r="AF146" s="5">
        <v>5</v>
      </c>
      <c r="AG146" s="5">
        <v>7</v>
      </c>
      <c r="AH146" s="5">
        <v>2</v>
      </c>
      <c r="AI146" s="5">
        <v>9</v>
      </c>
      <c r="AJ146" s="5">
        <v>4</v>
      </c>
      <c r="AK146" s="5" t="s">
        <v>46</v>
      </c>
      <c r="AL146" s="5">
        <v>6</v>
      </c>
      <c r="AM146" s="5" t="s">
        <v>47</v>
      </c>
      <c r="AN146" s="5">
        <v>8</v>
      </c>
      <c r="AO146" s="5" t="s">
        <v>45</v>
      </c>
      <c r="AP146" s="5">
        <v>3</v>
      </c>
      <c r="AQ146" s="5">
        <v>1</v>
      </c>
      <c r="AR146" s="5">
        <v>5</v>
      </c>
      <c r="AS146" s="5">
        <v>2</v>
      </c>
      <c r="AT146" s="5">
        <v>7</v>
      </c>
      <c r="AU146" s="5">
        <v>4</v>
      </c>
      <c r="AV146" s="5">
        <v>9</v>
      </c>
      <c r="AW146" s="5">
        <v>6</v>
      </c>
      <c r="AX146" s="5" t="s">
        <v>46</v>
      </c>
      <c r="AY146" s="5">
        <v>8</v>
      </c>
      <c r="AZ146" s="5" t="s">
        <v>47</v>
      </c>
      <c r="BA146" s="5" t="s">
        <v>45</v>
      </c>
      <c r="BB146" s="5"/>
      <c r="BC146" s="1">
        <f ca="1">OFFSET(A146,0, 1) -0</f>
        <v>39.568276041693025</v>
      </c>
      <c r="BD146" s="1">
        <f ca="1">OFFSET(A146,0, 5) -0</f>
        <v>-16.223588088764473</v>
      </c>
      <c r="BE146" s="1">
        <f ca="1">OFFSET(A146,0, 2) -0</f>
        <v>43.120310009078366</v>
      </c>
      <c r="BF146" s="1">
        <f ca="1">OFFSET(A146,0, 7) -0</f>
        <v>-19.119520153993335</v>
      </c>
      <c r="BG146" s="1">
        <f ca="1">OFFSET(A146,0, 3) -0</f>
        <v>56.672343976464163</v>
      </c>
      <c r="BH146" s="1">
        <f ca="1">OFFSET(A146,0, 9) -0</f>
        <v>-22.01545221922197</v>
      </c>
      <c r="BI146" s="1">
        <f ca="1">OFFSET(A146,0, 4) -0</f>
        <v>70.224377943849731</v>
      </c>
      <c r="BJ146" s="1">
        <f ca="1">OFFSET(A146,0, 11) -0</f>
        <v>5.0886157155493947</v>
      </c>
      <c r="BK146" s="1">
        <f ca="1">OFFSET(A146,0, 6) -0</f>
        <v>7.3284458786210962</v>
      </c>
      <c r="BL146" s="1">
        <f ca="1">OFFSET(A146,0, 12) -0</f>
        <v>8.6406496829350345</v>
      </c>
      <c r="BM146" s="1">
        <f ca="1">OFFSET(A146,0, 8) -0</f>
        <v>-35.567486186607539</v>
      </c>
      <c r="BN146" s="1">
        <f ca="1">OFFSET(A146,0, 10) -0</f>
        <v>-38.463418251836288</v>
      </c>
      <c r="BO146" s="1">
        <f ca="1">OFFSET(A146,0, 14) -0</f>
        <v>45.744717617706328</v>
      </c>
      <c r="BP146" s="1">
        <f ca="1">OFFSET(A146,0, 16) -0</f>
        <v>-7.1512144475223067</v>
      </c>
      <c r="BQ146" s="1">
        <f ca="1">OFFSET(A146,0, 13) -0</f>
        <v>52.192683650320689</v>
      </c>
      <c r="BR146" s="1">
        <f ca="1">OFFSET(A146,0, 18) -0</f>
        <v>-30.047146512750942</v>
      </c>
      <c r="BS146" s="1">
        <f ca="1">OFFSET(A146,0, 15) -0</f>
        <v>-10.703248414907989</v>
      </c>
      <c r="BT146" s="1">
        <f ca="1">OFFSET(A146,0, 20) -0</f>
        <v>-32.943078577979804</v>
      </c>
      <c r="BU146" s="1">
        <f ca="1">OFFSET(A146,0, 17) -0</f>
        <v>6.400819519863262</v>
      </c>
      <c r="BV146" s="1">
        <f ca="1">OFFSET(A146,0, 22) -0</f>
        <v>-25.839010643208439</v>
      </c>
      <c r="BW146" s="1">
        <f ca="1">OFFSET(A146,0, 19) -0</f>
        <v>-26.495112545365373</v>
      </c>
      <c r="BX146" s="1">
        <f ca="1">OFFSET(A146,0, 24) -0</f>
        <v>-8.7349427084373019</v>
      </c>
      <c r="BY146" s="1">
        <f ca="1">OFFSET(A146,0, 21) -0</f>
        <v>-49.391044610594008</v>
      </c>
      <c r="BZ146" s="1">
        <f ca="1">OFFSET(A146,0, 23) -0</f>
        <v>-12.286976675822643</v>
      </c>
      <c r="CB146" s="1">
        <f>COUNTIF(B146,"&lt;-69")</f>
        <v>0</v>
      </c>
      <c r="CC146" s="1">
        <f ca="1">COUNTIF(BC146:BN146,"&lt;-49")</f>
        <v>0</v>
      </c>
      <c r="CD146" s="1">
        <f ca="1">COUNTIF(BC146:BN146,"&gt;+49")</f>
        <v>2</v>
      </c>
      <c r="CE146" s="1">
        <f ca="1">COUNTIF(BO146:BZ146,"&lt;-49")</f>
        <v>1</v>
      </c>
      <c r="CF146" s="1">
        <f ca="1">COUNTIF(BO146:BZ146,"&gt;+49")</f>
        <v>1</v>
      </c>
    </row>
    <row r="147" spans="1:84">
      <c r="A147" s="1">
        <v>144</v>
      </c>
      <c r="B147" s="1">
        <f>'Team B 1'!B147-'Team B 1'!$AA147-('Team B 1'!B$2- 12.5)*'Team B 1'!$AC147</f>
        <v>46.149873239265617</v>
      </c>
      <c r="C147" s="1">
        <f>'Team B 1'!C147-'Team B 1'!$AA147-('Team B 1'!C$2- 12.5)*'Team B 1'!$AC147</f>
        <v>50.578869769187804</v>
      </c>
      <c r="D147" s="1">
        <f>'Team B 1'!D147-'Team B 1'!$AA147-('Team B 1'!D$2- 12.5)*'Team B 1'!$AC147</f>
        <v>25.007866299110219</v>
      </c>
      <c r="E147" s="1">
        <f>'Team B 1'!E147-'Team B 1'!$AA147-('Team B 1'!E$2- 12.5)*'Team B 1'!$AC147</f>
        <v>9.4368628290326342</v>
      </c>
      <c r="F147" s="1">
        <f>'Team B 1'!F147-'Team B 1'!$AA147-('Team B 1'!F$2- 12.5)*'Team B 1'!$AC147</f>
        <v>13.865859358954822</v>
      </c>
      <c r="G147" s="1">
        <f>'Team B 1'!G147-'Team B 1'!$AA147-('Team B 1'!G$2- 12.5)*'Team B 1'!$AC147</f>
        <v>18.294855888877237</v>
      </c>
      <c r="H147" s="1">
        <f>'Team B 1'!H147-'Team B 1'!$AA147-('Team B 1'!H$2- 12.5)*'Team B 1'!$AC147</f>
        <v>32.723852418799424</v>
      </c>
      <c r="I147" s="1">
        <f>'Team B 1'!I147-'Team B 1'!$AA147-('Team B 1'!I$2- 12.5)*'Team B 1'!$AC147</f>
        <v>-2.8471510512781606</v>
      </c>
      <c r="J147" s="1">
        <f>'Team B 1'!J147-'Team B 1'!$AA147-('Team B 1'!J$2- 12.5)*'Team B 1'!$AC147</f>
        <v>-38.418154521355973</v>
      </c>
      <c r="K147" s="1">
        <f>'Team B 1'!K147-'Team B 1'!$AA147-('Team B 1'!K$2- 12.5)*'Team B 1'!$AC147</f>
        <v>-63.989157991433615</v>
      </c>
      <c r="L147" s="1">
        <f>'Team B 1'!L147-'Team B 1'!$AA147-('Team B 1'!L$2- 12.5)*'Team B 1'!$AC147</f>
        <v>-39.560161461511314</v>
      </c>
      <c r="M147" s="1">
        <f>'Team B 1'!M147-'Team B 1'!$AA147-('Team B 1'!M$2- 12.5)*'Team B 1'!$AC147</f>
        <v>14.868835068410988</v>
      </c>
      <c r="N147" s="1">
        <f>'Team B 1'!N147-'Team B 1'!$AA147-('Team B 1'!N$2- 12.5)*'Team B 1'!$AC147</f>
        <v>49.297831598333289</v>
      </c>
      <c r="O147" s="1">
        <f>'Team B 1'!O147-'Team B 1'!$AA147-('Team B 1'!O$2- 12.5)*'Team B 1'!$AC147</f>
        <v>23.72682812825559</v>
      </c>
      <c r="P147" s="1">
        <f>'Team B 1'!P147-'Team B 1'!$AA147-('Team B 1'!P$2- 12.5)*'Team B 1'!$AC147</f>
        <v>28.155824658177892</v>
      </c>
      <c r="Q147" s="1">
        <f>'Team B 1'!Q147-'Team B 1'!$AA147-('Team B 1'!Q$2- 12.5)*'Team B 1'!$AC147</f>
        <v>2.5848211881002499</v>
      </c>
      <c r="R147" s="1">
        <f>'Team B 1'!R147-'Team B 1'!$AA147-('Team B 1'!R$2- 12.5)*'Team B 1'!$AC147</f>
        <v>7.0138177180224375</v>
      </c>
      <c r="S147" s="1">
        <f>'Team B 1'!S147-'Team B 1'!$AA147-('Team B 1'!S$2- 12.5)*'Team B 1'!$AC147</f>
        <v>1.4428142479448525</v>
      </c>
      <c r="T147" s="1">
        <f>'Team B 1'!T147-'Team B 1'!$AA147-('Team B 1'!T$2- 12.5)*'Team B 1'!$AC147</f>
        <v>-14.12818922213296</v>
      </c>
      <c r="U147" s="1">
        <f>'Team B 1'!U147-'Team B 1'!$AA147-('Team B 1'!U$2- 12.5)*'Team B 1'!$AC147</f>
        <v>-19.699192692210545</v>
      </c>
      <c r="V147" s="1">
        <f>'Team B 1'!V147-'Team B 1'!$AA147-('Team B 1'!V$2- 12.5)*'Team B 1'!$AC147</f>
        <v>-35.270196162288357</v>
      </c>
      <c r="W147" s="1">
        <f>'Team B 1'!W147-'Team B 1'!$AA147-('Team B 1'!W$2- 12.5)*'Team B 1'!$AC147</f>
        <v>-70.841199632365942</v>
      </c>
      <c r="X147" s="1">
        <f>'Team B 1'!X147-'Team B 1'!$AA147-('Team B 1'!X$2- 12.5)*'Team B 1'!$AC147</f>
        <v>-16.412203102443527</v>
      </c>
      <c r="Y147" s="1">
        <f>'Team B 1'!Y147-'Team B 1'!$AA147-('Team B 1'!Y$2- 12.5)*'Team B 1'!$AC147</f>
        <v>-21.98320657252134</v>
      </c>
      <c r="AB147" s="1">
        <f>STDEV(B147:Y147)</f>
        <v>33.500000313073294</v>
      </c>
      <c r="AD147" s="5">
        <v>1</v>
      </c>
      <c r="AE147" s="5">
        <v>3</v>
      </c>
      <c r="AF147" s="5">
        <v>2</v>
      </c>
      <c r="AG147" s="5">
        <v>5</v>
      </c>
      <c r="AH147" s="5">
        <v>4</v>
      </c>
      <c r="AI147" s="5">
        <v>7</v>
      </c>
      <c r="AJ147" s="5">
        <v>6</v>
      </c>
      <c r="AK147" s="5">
        <v>9</v>
      </c>
      <c r="AL147" s="5">
        <v>8</v>
      </c>
      <c r="AM147" s="5" t="s">
        <v>46</v>
      </c>
      <c r="AN147" s="5" t="s">
        <v>45</v>
      </c>
      <c r="AO147" s="5" t="s">
        <v>47</v>
      </c>
      <c r="AP147" s="5">
        <v>1</v>
      </c>
      <c r="AQ147" s="5">
        <v>2</v>
      </c>
      <c r="AR147" s="5">
        <v>3</v>
      </c>
      <c r="AS147" s="5">
        <v>4</v>
      </c>
      <c r="AT147" s="5">
        <v>5</v>
      </c>
      <c r="AU147" s="5">
        <v>6</v>
      </c>
      <c r="AV147" s="5">
        <v>7</v>
      </c>
      <c r="AW147" s="5">
        <v>8</v>
      </c>
      <c r="AX147" s="5">
        <v>9</v>
      </c>
      <c r="AY147" s="5" t="s">
        <v>45</v>
      </c>
      <c r="AZ147" s="5" t="s">
        <v>46</v>
      </c>
      <c r="BA147" s="5" t="s">
        <v>47</v>
      </c>
      <c r="BB147" s="5"/>
      <c r="BC147" s="1">
        <f ca="1">OFFSET(A147,0, 1) -0</f>
        <v>46.149873239265617</v>
      </c>
      <c r="BD147" s="1">
        <f ca="1">OFFSET(A147,0, 3) -0</f>
        <v>25.007866299110219</v>
      </c>
      <c r="BE147" s="1">
        <f ca="1">OFFSET(A147,0, 2) -0</f>
        <v>50.578869769187804</v>
      </c>
      <c r="BF147" s="1">
        <f ca="1">OFFSET(A147,0, 5) -0</f>
        <v>13.865859358954822</v>
      </c>
      <c r="BG147" s="1">
        <f ca="1">OFFSET(A147,0, 4) -0</f>
        <v>9.4368628290326342</v>
      </c>
      <c r="BH147" s="1">
        <f ca="1">OFFSET(A147,0, 7) -0</f>
        <v>32.723852418799424</v>
      </c>
      <c r="BI147" s="1">
        <f ca="1">OFFSET(A147,0, 6) -0</f>
        <v>18.294855888877237</v>
      </c>
      <c r="BJ147" s="1">
        <f ca="1">OFFSET(A147,0, 9) -0</f>
        <v>-38.418154521355973</v>
      </c>
      <c r="BK147" s="1">
        <f ca="1">OFFSET(A147,0, 8) -0</f>
        <v>-2.8471510512781606</v>
      </c>
      <c r="BL147" s="1">
        <f ca="1">OFFSET(A147,0, 11) -0</f>
        <v>-39.560161461511314</v>
      </c>
      <c r="BM147" s="1">
        <f ca="1">OFFSET(A147,0, 10) -0</f>
        <v>-63.989157991433615</v>
      </c>
      <c r="BN147" s="1">
        <f ca="1">OFFSET(A147,0, 12) -0</f>
        <v>14.868835068410988</v>
      </c>
      <c r="BO147" s="1">
        <f ca="1">OFFSET(A147,0, 13) -0</f>
        <v>49.297831598333289</v>
      </c>
      <c r="BP147" s="1">
        <f ca="1">OFFSET(A147,0, 14) -0</f>
        <v>23.72682812825559</v>
      </c>
      <c r="BQ147" s="1">
        <f ca="1">OFFSET(A147,0, 15) -0</f>
        <v>28.155824658177892</v>
      </c>
      <c r="BR147" s="1">
        <f ca="1">OFFSET(A147,0, 16) -0</f>
        <v>2.5848211881002499</v>
      </c>
      <c r="BS147" s="1">
        <f ca="1">OFFSET(A147,0, 17) -0</f>
        <v>7.0138177180224375</v>
      </c>
      <c r="BT147" s="1">
        <f ca="1">OFFSET(A147,0, 18) -0</f>
        <v>1.4428142479448525</v>
      </c>
      <c r="BU147" s="1">
        <f ca="1">OFFSET(A147,0, 19) -0</f>
        <v>-14.12818922213296</v>
      </c>
      <c r="BV147" s="1">
        <f ca="1">OFFSET(A147,0, 20) -0</f>
        <v>-19.699192692210545</v>
      </c>
      <c r="BW147" s="1">
        <f ca="1">OFFSET(A147,0, 21) -0</f>
        <v>-35.270196162288357</v>
      </c>
      <c r="BX147" s="1">
        <f ca="1">OFFSET(A147,0, 22) -0</f>
        <v>-70.841199632365942</v>
      </c>
      <c r="BY147" s="1">
        <f ca="1">OFFSET(A147,0, 23) -0</f>
        <v>-16.412203102443527</v>
      </c>
      <c r="BZ147" s="1">
        <f ca="1">OFFSET(A147,0, 24) -0</f>
        <v>-21.98320657252134</v>
      </c>
      <c r="CB147" s="1">
        <f>COUNTIF(B147,"&lt;-69")</f>
        <v>0</v>
      </c>
      <c r="CC147" s="1">
        <f ca="1">COUNTIF(BC147:BN147,"&lt;-49")</f>
        <v>1</v>
      </c>
      <c r="CD147" s="1">
        <f ca="1">COUNTIF(BC147:BN147,"&gt;+49")</f>
        <v>1</v>
      </c>
      <c r="CE147" s="1">
        <f ca="1">COUNTIF(BO147:BZ147,"&lt;-49")</f>
        <v>1</v>
      </c>
      <c r="CF147" s="1">
        <f ca="1">COUNTIF(BO147:BZ147,"&gt;+49")</f>
        <v>1</v>
      </c>
    </row>
    <row r="148" spans="1:84"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</row>
    <row r="149" spans="1:84">
      <c r="A149" s="1" t="s">
        <v>49</v>
      </c>
      <c r="B149" s="1">
        <f>AVERAGE(B4:B147)</f>
        <v>7.9806067661052458</v>
      </c>
      <c r="C149" s="1">
        <f>AVERAGE(C4:C147)</f>
        <v>11.40625649980945</v>
      </c>
      <c r="D149" s="1">
        <f>AVERAGE(D4:D147)</f>
        <v>12.331906233513559</v>
      </c>
      <c r="E149" s="1">
        <f>AVERAGE(E4:E147)</f>
        <v>12.771444856106605</v>
      </c>
      <c r="F149" s="1">
        <f>AVERAGE(F4:F147)</f>
        <v>10.919316812032982</v>
      </c>
      <c r="G149" s="1">
        <f>AVERAGE(G4:G147)</f>
        <v>13.71996654573714</v>
      </c>
      <c r="H149" s="1">
        <f>AVERAGE(H4:H147)</f>
        <v>1.7289496127746118</v>
      </c>
      <c r="I149" s="1">
        <f>AVERAGE(I4:I147)</f>
        <v>9.2240437909232131</v>
      </c>
      <c r="J149" s="1">
        <f>AVERAGE(J4:J147)</f>
        <v>-1.2114175864837446</v>
      </c>
      <c r="K149" s="1">
        <f>AVERAGE(K4:K147)</f>
        <v>-3.0635456305573676</v>
      </c>
      <c r="L149" s="1">
        <f>AVERAGE(L4:L147)</f>
        <v>-10.262895896853221</v>
      </c>
      <c r="M149" s="1">
        <f>AVERAGE(M4:M147)</f>
        <v>-2.0872461631490631</v>
      </c>
      <c r="N149" s="1">
        <f>AVERAGE(N4:N147)</f>
        <v>-4.7310408738893575</v>
      </c>
      <c r="O149" s="1">
        <f>AVERAGE(O4:O147)</f>
        <v>-5.6803911401852032</v>
      </c>
      <c r="P149" s="1">
        <f>AVERAGE(P4:P147)</f>
        <v>-8.2964080731477186</v>
      </c>
      <c r="Q149" s="1">
        <f>AVERAGE(Q4:Q147)</f>
        <v>-3.2040916727768955</v>
      </c>
      <c r="R149" s="1">
        <f>AVERAGE(R4:R147)</f>
        <v>-4.3617752724060814</v>
      </c>
      <c r="S149" s="1">
        <f>AVERAGE(S4:S147)</f>
        <v>-3.783347760924141</v>
      </c>
      <c r="T149" s="1">
        <f>AVERAGE(T4:T147)</f>
        <v>-6.4688091383311139</v>
      </c>
      <c r="U149" s="1">
        <f>AVERAGE(U4:U147)</f>
        <v>-9.1542705157380677</v>
      </c>
      <c r="V149" s="1">
        <f>AVERAGE(V4:V147)</f>
        <v>-11.770287448700579</v>
      </c>
      <c r="W149" s="1">
        <f>AVERAGE(W4:W147)</f>
        <v>-5.2890821594408663</v>
      </c>
      <c r="X149" s="1">
        <f>AVERAGE(X4:X147)</f>
        <v>-8.8078768701812002</v>
      </c>
      <c r="Y149" s="1">
        <f>AVERAGE(Y4:Y147)</f>
        <v>8.0899950857452243</v>
      </c>
      <c r="AB149" s="1">
        <f ca="1">(DEVSQ(BC4:BZ147)/(144*23))^0.5</f>
        <v>26.071547520388297</v>
      </c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 t="s">
        <v>49</v>
      </c>
      <c r="BC149" s="1">
        <f ca="1">AVERAGE(BC4:BC147)</f>
        <v>20.0421542846865</v>
      </c>
      <c r="BD149" s="1">
        <f ca="1">AVERAGE(BD4:BD147)</f>
        <v>7.5429215662129252</v>
      </c>
      <c r="BE149" s="1">
        <f ca="1">AVERAGE(BE4:BE147)</f>
        <v>1.6325814448621072</v>
      </c>
      <c r="BF149" s="1">
        <f ca="1">AVERAGE(BF4:BF147)</f>
        <v>11.944689262335581</v>
      </c>
      <c r="BG149" s="1">
        <f ca="1">AVERAGE(BG4:BG147)</f>
        <v>4.7474560211293504</v>
      </c>
      <c r="BH149" s="1">
        <f ca="1">AVERAGE(BH4:BH147)</f>
        <v>10.085288358239206</v>
      </c>
      <c r="BI149" s="1">
        <f ca="1">AVERAGE(BI4:BI147)</f>
        <v>21.634877214650082</v>
      </c>
      <c r="BJ149" s="1">
        <f ca="1">AVERAGE(BJ4:BJ147)</f>
        <v>-6.1202006567812433</v>
      </c>
      <c r="BK149" s="1">
        <f ca="1">AVERAGE(BK4:BK147)</f>
        <v>-13.559516153378913</v>
      </c>
      <c r="BL149" s="1">
        <f ca="1">AVERAGE(BL4:BL147)</f>
        <v>10.084112244457778</v>
      </c>
      <c r="BM149" s="1">
        <f ca="1">AVERAGE(BM4:BM147)</f>
        <v>-10.843330429754714</v>
      </c>
      <c r="BN149" s="1">
        <f ca="1">AVERAGE(BN4:BN147)</f>
        <v>6.2663526833007559</v>
      </c>
      <c r="BO149" s="1">
        <f ca="1">AVERAGE(BO4:BO147)</f>
        <v>12.720161135817902</v>
      </c>
      <c r="BP149" s="1">
        <f ca="1">AVERAGE(BP4:BP147)</f>
        <v>9.6530933256121703</v>
      </c>
      <c r="BQ149" s="1">
        <f ca="1">AVERAGE(BQ4:BQ147)</f>
        <v>1.4634735260755853</v>
      </c>
      <c r="BR149" s="1">
        <f ca="1">AVERAGE(BR4:BR147)</f>
        <v>-19.371353836578951</v>
      </c>
      <c r="BS149" s="1">
        <f ca="1">AVERAGE(BS4:BS147)</f>
        <v>-12.835462937146978</v>
      </c>
      <c r="BT149" s="1">
        <f ca="1">AVERAGE(BT4:BT147)</f>
        <v>2.2615559717207243</v>
      </c>
      <c r="BU149" s="1">
        <f ca="1">AVERAGE(BU4:BU147)</f>
        <v>9.3743817195726784</v>
      </c>
      <c r="BV149" s="1">
        <f ca="1">AVERAGE(BV4:BV147)</f>
        <v>-11.812820734603688</v>
      </c>
      <c r="BW149" s="1">
        <f ca="1">AVERAGE(BW4:BW147)</f>
        <v>-16.773897611324934</v>
      </c>
      <c r="BX149" s="1">
        <f ca="1">AVERAGE(BX4:BX147)</f>
        <v>-16.1852911674846</v>
      </c>
      <c r="BY149" s="1">
        <f ca="1">AVERAGE(BY4:BY147)</f>
        <v>-14.15897550858714</v>
      </c>
      <c r="BZ149" s="1">
        <f ca="1">AVERAGE(BZ4:BZ147)</f>
        <v>-7.7922497230487453</v>
      </c>
      <c r="CB149" s="1">
        <f>SUM(CB4:CB147)</f>
        <v>0</v>
      </c>
      <c r="CC149" s="1">
        <f ca="1">SUM(CC4:CC147)</f>
        <v>29</v>
      </c>
      <c r="CD149" s="1">
        <f ca="1">SUM(CD4:CD147)</f>
        <v>82</v>
      </c>
      <c r="CE149" s="1">
        <f ca="1">SUM(CE4:CE147)</f>
        <v>71</v>
      </c>
      <c r="CF149" s="1">
        <f ca="1">SUM(CF4:CF147)</f>
        <v>21</v>
      </c>
    </row>
    <row r="150" spans="1:84">
      <c r="A150" s="1" t="s">
        <v>67</v>
      </c>
      <c r="B150" s="1">
        <f>STDEV(B4:B147)</f>
        <v>22.922907656366782</v>
      </c>
      <c r="C150" s="1">
        <f>STDEV(C4:C147)</f>
        <v>27.041783301060363</v>
      </c>
      <c r="D150" s="1">
        <f>STDEV(D4:D147)</f>
        <v>26.367842159184086</v>
      </c>
      <c r="E150" s="1">
        <f>STDEV(E4:E147)</f>
        <v>23.833467942036574</v>
      </c>
      <c r="F150" s="1">
        <f>STDEV(F4:F147)</f>
        <v>25.316673909077238</v>
      </c>
      <c r="G150" s="1">
        <f>STDEV(G4:G147)</f>
        <v>24.807785418593948</v>
      </c>
      <c r="H150" s="1">
        <f>STDEV(H4:H147)</f>
        <v>23.264215082959495</v>
      </c>
      <c r="I150" s="1">
        <f>STDEV(I4:I147)</f>
        <v>25.965320016457703</v>
      </c>
      <c r="J150" s="1">
        <f>STDEV(J4:J147)</f>
        <v>24.230809022776917</v>
      </c>
      <c r="K150" s="1">
        <f>STDEV(K4:K147)</f>
        <v>26.490622933364417</v>
      </c>
      <c r="L150" s="1">
        <f>STDEV(L4:L147)</f>
        <v>22.639515509180235</v>
      </c>
      <c r="M150" s="1">
        <f>STDEV(M4:M147)</f>
        <v>22.980346458590848</v>
      </c>
      <c r="N150" s="1">
        <f>STDEV(N4:N147)</f>
        <v>23.732195093997817</v>
      </c>
      <c r="O150" s="1">
        <f>STDEV(O4:O147)</f>
        <v>25.659488015642975</v>
      </c>
      <c r="P150" s="1">
        <f>STDEV(P4:P147)</f>
        <v>22.727284205722849</v>
      </c>
      <c r="Q150" s="1">
        <f>STDEV(Q4:Q147)</f>
        <v>24.309048838618349</v>
      </c>
      <c r="R150" s="1">
        <f>STDEV(R4:R147)</f>
        <v>20.959225712808649</v>
      </c>
      <c r="S150" s="1">
        <f>STDEV(S4:S147)</f>
        <v>21.802396274219518</v>
      </c>
      <c r="T150" s="1">
        <f>STDEV(T4:T147)</f>
        <v>23.468130264566121</v>
      </c>
      <c r="U150" s="1">
        <f>STDEV(U4:U147)</f>
        <v>27.864527902259439</v>
      </c>
      <c r="V150" s="1">
        <f>STDEV(V4:V147)</f>
        <v>24.787597319985473</v>
      </c>
      <c r="W150" s="1">
        <f>STDEV(W4:W147)</f>
        <v>25.944973922592226</v>
      </c>
      <c r="X150" s="1">
        <f>STDEV(X4:X147)</f>
        <v>22.154572576766405</v>
      </c>
      <c r="Y150" s="1">
        <f>STDEV(Y4:Y147)</f>
        <v>20.825104036628929</v>
      </c>
      <c r="AA150" s="1">
        <f>MIN(B4:Y147)</f>
        <v>-91.341800861030379</v>
      </c>
      <c r="AB150" s="1">
        <f>'Team B 1'!AE151</f>
        <v>14.219434107039174</v>
      </c>
      <c r="BB150" s="1" t="s">
        <v>67</v>
      </c>
      <c r="BC150" s="1">
        <f ca="1">STDEV(BC4:BC147)</f>
        <v>22.481011994192631</v>
      </c>
      <c r="BD150" s="1">
        <f ca="1">STDEV(BD4:BD147)</f>
        <v>18.589118913436991</v>
      </c>
      <c r="BE150" s="1">
        <f ca="1">STDEV(BE4:BE147)</f>
        <v>20.245348844367363</v>
      </c>
      <c r="BF150" s="1">
        <f ca="1">STDEV(BF4:BF147)</f>
        <v>23.759485322925766</v>
      </c>
      <c r="BG150" s="1">
        <f ca="1">STDEV(BG4:BG147)</f>
        <v>25.343325704789599</v>
      </c>
      <c r="BH150" s="1">
        <f ca="1">STDEV(BH4:BH147)</f>
        <v>22.558976757024752</v>
      </c>
      <c r="BI150" s="1">
        <f ca="1">STDEV(BI4:BI147)</f>
        <v>26.227262191582966</v>
      </c>
      <c r="BJ150" s="1">
        <f ca="1">STDEV(BJ4:BJ147)</f>
        <v>26.924279364312358</v>
      </c>
      <c r="BK150" s="1">
        <f ca="1">STDEV(BK4:BK147)</f>
        <v>22.344586475338836</v>
      </c>
      <c r="BL150" s="1">
        <f ca="1">STDEV(BL4:BL147)</f>
        <v>23.519860426590174</v>
      </c>
      <c r="BM150" s="1">
        <f ca="1">STDEV(BM4:BM147)</f>
        <v>23.908016266678398</v>
      </c>
      <c r="BN150" s="1">
        <f ca="1">STDEV(BN4:BN147)</f>
        <v>25.541340972430632</v>
      </c>
      <c r="BO150" s="1">
        <f ca="1">STDEV(BO4:BO147)</f>
        <v>18.368870470172698</v>
      </c>
      <c r="BP150" s="1">
        <f ca="1">STDEV(BP4:BP147)</f>
        <v>16.765476282467336</v>
      </c>
      <c r="BQ150" s="1">
        <f ca="1">STDEV(BQ4:BQ147)</f>
        <v>20.5743111589635</v>
      </c>
      <c r="BR150" s="1">
        <f ca="1">STDEV(BR4:BR147)</f>
        <v>24.634124081351253</v>
      </c>
      <c r="BS150" s="1">
        <f ca="1">STDEV(BS4:BS147)</f>
        <v>21.168805738775898</v>
      </c>
      <c r="BT150" s="1">
        <f ca="1">STDEV(BT4:BT147)</f>
        <v>19.887964392047859</v>
      </c>
      <c r="BU150" s="1">
        <f ca="1">STDEV(BU4:BU147)</f>
        <v>25.574343905588396</v>
      </c>
      <c r="BV150" s="1">
        <f ca="1">STDEV(BV4:BV147)</f>
        <v>26.340244415843202</v>
      </c>
      <c r="BW150" s="1">
        <f ca="1">STDEV(BW4:BW147)</f>
        <v>20.87536093526279</v>
      </c>
      <c r="BX150" s="1">
        <f ca="1">STDEV(BX4:BX147)</f>
        <v>21.393742272865261</v>
      </c>
      <c r="BY150" s="1">
        <f ca="1">STDEV(BY4:BY147)</f>
        <v>20.466685348442752</v>
      </c>
      <c r="BZ150" s="1">
        <f ca="1">STDEV(BZ4:BZ147)</f>
        <v>19.747197527690933</v>
      </c>
    </row>
    <row r="151" spans="1:84" s="6" customFormat="1">
      <c r="A151" s="6" t="s">
        <v>68</v>
      </c>
      <c r="C151" s="6">
        <f>CORREL(B4:B147,C4:C147)</f>
        <v>0.40419326928496296</v>
      </c>
      <c r="D151" s="6">
        <f>CORREL(C4:C147,D4:D147)</f>
        <v>0.28666086284002223</v>
      </c>
      <c r="E151" s="6">
        <f>CORREL(D4:D147,E4:E147)</f>
        <v>0.16239784140157501</v>
      </c>
      <c r="F151" s="6">
        <f>CORREL(E4:E147,F4:F147)</f>
        <v>0.21724577860843453</v>
      </c>
      <c r="G151" s="6">
        <f>CORREL(F4:F147,G4:G147)</f>
        <v>0.37466088637934863</v>
      </c>
      <c r="H151" s="6">
        <f>CORREL(G4:G147,H4:H147)</f>
        <v>8.2798556192025224E-2</v>
      </c>
      <c r="I151" s="6">
        <f>CORREL(H4:H147,I4:I147)</f>
        <v>0.28181797456648766</v>
      </c>
      <c r="J151" s="6">
        <f>CORREL(I4:I147,J4:J147)</f>
        <v>0.24311954325720958</v>
      </c>
      <c r="K151" s="6">
        <f>CORREL(J4:J147,K4:K147)</f>
        <v>0.43380377470370635</v>
      </c>
      <c r="L151" s="6">
        <f>CORREL(K4:K147,L4:L147)</f>
        <v>0.20555961839736109</v>
      </c>
      <c r="M151" s="6">
        <f>CORREL(L4:L147,M4:M147)</f>
        <v>0.299762520852215</v>
      </c>
      <c r="N151" s="6">
        <f>CORREL(M4:M147,N4:N147)</f>
        <v>4.2130932341460509E-2</v>
      </c>
      <c r="O151" s="6">
        <f>CORREL(N4:N147,O4:O147)</f>
        <v>0.25532716442317471</v>
      </c>
      <c r="P151" s="6">
        <f>CORREL(O4:O147,P4:P147)</f>
        <v>0.23116939313043466</v>
      </c>
      <c r="Q151" s="6">
        <f>CORREL(P4:P147,Q4:Q147)</f>
        <v>0.31583456005993843</v>
      </c>
      <c r="R151" s="6">
        <f>CORREL(Q4:Q147,R4:R147)</f>
        <v>9.9497993614037758E-2</v>
      </c>
      <c r="S151" s="6">
        <f>CORREL(R4:R147,S4:S147)</f>
        <v>0.14175228065788201</v>
      </c>
      <c r="T151" s="6">
        <f>CORREL(S4:S147,T4:T147)</f>
        <v>0.25426134720947763</v>
      </c>
      <c r="U151" s="6">
        <f>CORREL(T4:T147,U4:U147)</f>
        <v>0.27697562206948884</v>
      </c>
      <c r="V151" s="6">
        <f>CORREL(U4:U147,V4:V147)</f>
        <v>8.5912455387799527E-2</v>
      </c>
      <c r="W151" s="6">
        <f>CORREL(V4:V147,W4:W147)</f>
        <v>0.4066581697379425</v>
      </c>
      <c r="X151" s="6">
        <f>CORREL(W4:W147,X4:X147)</f>
        <v>0.27138531294951085</v>
      </c>
      <c r="Y151" s="6">
        <f>CORREL(X4:X147,Y4:Y147)</f>
        <v>0.4241310161231801</v>
      </c>
      <c r="AA151" s="1">
        <f>MAX(B4:Y147)</f>
        <v>88.732926916054794</v>
      </c>
      <c r="AB151" s="6">
        <f ca="1">IF(AB149&lt;AB150,((AB150^2-AB149^2)/4)^0.5,0)</f>
        <v>0</v>
      </c>
      <c r="BB151" s="6" t="s">
        <v>72</v>
      </c>
      <c r="BO151" s="6">
        <f ca="1">((BC150^2+BO150^2)/2)^0.5</f>
        <v>20.528167266380787</v>
      </c>
      <c r="BP151" s="6">
        <f ca="1">((BD150^2+BP150^2)/2)^0.5</f>
        <v>17.700798526561954</v>
      </c>
      <c r="BQ151" s="6">
        <f ca="1">((BE150^2+BQ150^2)/2)^0.5</f>
        <v>20.410492761028294</v>
      </c>
      <c r="BR151" s="6">
        <f ca="1">((BF150^2+BR150^2)/2)^0.5</f>
        <v>24.200756311174807</v>
      </c>
      <c r="BS151" s="6">
        <f ca="1">((BG150^2+BS150^2)/2)^0.5</f>
        <v>23.349544901186839</v>
      </c>
      <c r="BT151" s="6">
        <f ca="1">((BH150^2+BT150^2)/2)^0.5</f>
        <v>21.265448031764421</v>
      </c>
      <c r="BU151" s="6">
        <f ca="1">((BI150^2+BU150^2)/2)^0.5</f>
        <v>25.902860346565433</v>
      </c>
      <c r="BV151" s="6">
        <f ca="1">((BJ150^2+BV150^2)/2)^0.5</f>
        <v>26.633862798830883</v>
      </c>
      <c r="BW151" s="6">
        <f ca="1">((BK150^2+BW150^2)/2)^0.5</f>
        <v>21.622456369841412</v>
      </c>
      <c r="BX151" s="6">
        <f ca="1">((BL150^2+BX150^2)/2)^0.5</f>
        <v>22.481948791464504</v>
      </c>
      <c r="BY151" s="6">
        <f ca="1">((BM150^2+BY150^2)/2)^0.5</f>
        <v>22.253971004743402</v>
      </c>
      <c r="BZ151" s="6">
        <f ca="1">((BN150^2+BZ150^2)/2)^0.5</f>
        <v>22.828840409311272</v>
      </c>
    </row>
    <row r="152" spans="1:84">
      <c r="AB152" s="1">
        <f ca="1">(AB149^2+AB151^2)^0.5</f>
        <v>26.071547520388297</v>
      </c>
    </row>
    <row r="153" spans="1:84">
      <c r="A153" s="1" t="s">
        <v>69</v>
      </c>
      <c r="BB153" s="1" t="s">
        <v>69</v>
      </c>
    </row>
    <row r="154" spans="1:84">
      <c r="A154" s="1" t="s">
        <v>70</v>
      </c>
      <c r="B154" s="1">
        <f>SUMIF(B4:B147,"&lt;0")</f>
        <v>-813.18886701077599</v>
      </c>
      <c r="C154" s="1">
        <f>SUMIF(C4:C147,"&lt;0")</f>
        <v>-826.2095292241338</v>
      </c>
      <c r="D154" s="1">
        <f>SUMIF(D4:D147,"&lt;0")</f>
        <v>-803.95074177535867</v>
      </c>
      <c r="E154" s="1">
        <f>SUMIF(E4:E147,"&lt;0")</f>
        <v>-617.98682541308563</v>
      </c>
      <c r="F154" s="1">
        <f>SUMIF(F4:F147,"&lt;0")</f>
        <v>-821.37100649932813</v>
      </c>
      <c r="G154" s="1">
        <f>SUMIF(G4:G147,"&lt;0")</f>
        <v>-668.69368341882796</v>
      </c>
      <c r="H154" s="1">
        <f>SUMIF(H4:H147,"&lt;0")</f>
        <v>-1193.7301001753342</v>
      </c>
      <c r="I154" s="1">
        <f>SUMIF(I4:I147,"&lt;0")</f>
        <v>-956.13637593243504</v>
      </c>
      <c r="J154" s="1">
        <f>SUMIF(J4:J147,"&lt;0")</f>
        <v>-1466.5282018832831</v>
      </c>
      <c r="K154" s="1">
        <f>SUMIF(K4:K147,"&lt;0")</f>
        <v>-1769.2651289827029</v>
      </c>
      <c r="L154" s="1">
        <f>SUMIF(L4:L147,"&lt;0")</f>
        <v>-2141.0852864007024</v>
      </c>
      <c r="M154" s="1">
        <f>SUMIF(M4:M147,"&lt;0")</f>
        <v>-1420.6251476656628</v>
      </c>
      <c r="N154" s="1">
        <f>SUMIF(N4:N147,"&lt;0")</f>
        <v>-1752.619795836956</v>
      </c>
      <c r="O154" s="1">
        <f>SUMIF(O4:O147,"&lt;0")</f>
        <v>-1901.2917983735749</v>
      </c>
      <c r="P154" s="1">
        <f>SUMIF(P4:P147,"&lt;0")</f>
        <v>-1965.2107200318264</v>
      </c>
      <c r="Q154" s="1">
        <f>SUMIF(Q4:Q147,"&lt;0")</f>
        <v>-1711.6407125369778</v>
      </c>
      <c r="R154" s="1">
        <f>SUMIF(R4:R147,"&lt;0")</f>
        <v>-1486.4074538182622</v>
      </c>
      <c r="S154" s="1">
        <f>SUMIF(S4:S147,"&lt;0")</f>
        <v>-1541.3313921608685</v>
      </c>
      <c r="T154" s="1">
        <f>SUMIF(T4:T147,"&lt;0")</f>
        <v>-1849.5107180422353</v>
      </c>
      <c r="U154" s="1">
        <f>SUMIF(U4:U147,"&lt;0")</f>
        <v>-2381.5081090714607</v>
      </c>
      <c r="V154" s="1">
        <f>SUMIF(V4:V147,"&lt;0")</f>
        <v>-2405.9032334134686</v>
      </c>
      <c r="W154" s="1">
        <f>SUMIF(W4:W147,"&lt;0")</f>
        <v>-1841.7054064286633</v>
      </c>
      <c r="X154" s="1">
        <f>SUMIF(X4:X147,"&lt;0")</f>
        <v>-1985.2916273699846</v>
      </c>
      <c r="Y154" s="1">
        <f>SUMIF(Y4:Y147,"&lt;0")</f>
        <v>-681.71941688860352</v>
      </c>
      <c r="BB154" s="1" t="s">
        <v>70</v>
      </c>
      <c r="BC154" s="1">
        <f ca="1">SUMIF(BC4:BC147,"&lt;0")</f>
        <v>-317.34021900917406</v>
      </c>
      <c r="BD154" s="1">
        <f ca="1">SUMIF(BD4:BD147,"&lt;0")</f>
        <v>-627.62771601106544</v>
      </c>
      <c r="BE154" s="1">
        <f ca="1">SUMIF(BE4:BE147,"&lt;0")</f>
        <v>-1068.7511249604479</v>
      </c>
      <c r="BF154" s="1">
        <f ca="1">SUMIF(BF4:BF147,"&lt;0")</f>
        <v>-647.13432074014338</v>
      </c>
      <c r="BG154" s="1">
        <f ca="1">SUMIF(BG4:BG147,"&lt;0")</f>
        <v>-1162.7195914660451</v>
      </c>
      <c r="BH154" s="1">
        <f ca="1">SUMIF(BH4:BH147,"&lt;0")</f>
        <v>-733.24157357515003</v>
      </c>
      <c r="BI154" s="1">
        <f ca="1">SUMIF(BI4:BI147,"&lt;0")</f>
        <v>-431.4890229301572</v>
      </c>
      <c r="BJ154" s="1">
        <f ca="1">SUMIF(BJ4:BJ147,"&lt;0")</f>
        <v>-1973.8002198059323</v>
      </c>
      <c r="BK154" s="1">
        <f ca="1">SUMIF(BK4:BK147,"&lt;0")</f>
        <v>-2515.7477152718297</v>
      </c>
      <c r="BL154" s="1">
        <f ca="1">SUMIF(BL4:BL147,"&lt;0")</f>
        <v>-737.68375063905182</v>
      </c>
      <c r="BM154" s="1">
        <f ca="1">SUMIF(BM4:BM147,"&lt;0")</f>
        <v>-2214.2151322753898</v>
      </c>
      <c r="BN154" s="1">
        <f ca="1">SUMIF(BN4:BN147,"&lt;0")</f>
        <v>-1069.0205076972452</v>
      </c>
      <c r="BO154" s="1">
        <f ca="1">SUMIF(BO4:BO147,"&lt;0")</f>
        <v>-357.21789562020626</v>
      </c>
      <c r="BP154" s="1">
        <f ca="1">SUMIF(BP4:BP147,"&lt;0")</f>
        <v>-438.04693928311644</v>
      </c>
      <c r="BQ154" s="1">
        <f ca="1">SUMIF(BQ4:BQ147,"&lt;0")</f>
        <v>-1098.053482022357</v>
      </c>
      <c r="BR154" s="1">
        <f ca="1">SUMIF(BR4:BR147,"&lt;0")</f>
        <v>-3218.4258525001997</v>
      </c>
      <c r="BS154" s="1">
        <f ca="1">SUMIF(BS4:BS147,"&lt;0")</f>
        <v>-2343.2287420278985</v>
      </c>
      <c r="BT154" s="1">
        <f ca="1">SUMIF(BT4:BT147,"&lt;0")</f>
        <v>-995.61474744136592</v>
      </c>
      <c r="BU154" s="1">
        <f ca="1">SUMIF(BU4:BU147,"&lt;0")</f>
        <v>-905.07108497888976</v>
      </c>
      <c r="BV154" s="1">
        <f ca="1">SUMIF(BV4:BV147,"&lt;0")</f>
        <v>-2460.8999089108588</v>
      </c>
      <c r="BW154" s="1">
        <f ca="1">SUMIF(BW4:BW147,"&lt;0")</f>
        <v>-2823.4801444517434</v>
      </c>
      <c r="BX154" s="1">
        <f ca="1">SUMIF(BX4:BX147,"&lt;0")</f>
        <v>-2652.5685266837399</v>
      </c>
      <c r="BY154" s="1">
        <f ca="1">SUMIF(BY4:BY147,"&lt;0")</f>
        <v>-2459.4479084421446</v>
      </c>
      <c r="BZ154" s="1">
        <f ca="1">SUMIF(BZ4:BZ147,"&lt;0")</f>
        <v>-1752.0851516103583</v>
      </c>
    </row>
    <row r="155" spans="1:84">
      <c r="A155" s="1" t="s">
        <v>71</v>
      </c>
      <c r="B155" s="1">
        <f>SUMIF(B4:B147,"&gt;0")</f>
        <v>1962.3962413299314</v>
      </c>
      <c r="C155" s="1">
        <f>SUMIF(C4:C147,"&gt;0")</f>
        <v>2468.7104651966947</v>
      </c>
      <c r="D155" s="1">
        <f>SUMIF(D4:D147,"&gt;0")</f>
        <v>2579.7452394013108</v>
      </c>
      <c r="E155" s="1">
        <f>SUMIF(E4:E147,"&gt;0")</f>
        <v>2457.0748846924366</v>
      </c>
      <c r="F155" s="1">
        <f>SUMIF(F4:F147,"&gt;0")</f>
        <v>2393.7526274320767</v>
      </c>
      <c r="G155" s="1">
        <f>SUMIF(G4:G147,"&gt;0")</f>
        <v>2644.3688660049766</v>
      </c>
      <c r="H155" s="1">
        <f>SUMIF(H4:H147,"&gt;0")</f>
        <v>1442.6988444148783</v>
      </c>
      <c r="I155" s="1">
        <f>SUMIF(I4:I147,"&gt;0")</f>
        <v>2284.3986818253784</v>
      </c>
      <c r="J155" s="1">
        <f>SUMIF(J4:J147,"&gt;0")</f>
        <v>1292.084069429623</v>
      </c>
      <c r="K155" s="1">
        <f>SUMIF(K4:K147,"&gt;0")</f>
        <v>1328.1145581824426</v>
      </c>
      <c r="L155" s="1">
        <f>SUMIF(L4:L147,"&gt;0")</f>
        <v>663.22827725383945</v>
      </c>
      <c r="M155" s="1">
        <f>SUMIF(M4:M147,"&gt;0")</f>
        <v>1120.0617001721982</v>
      </c>
      <c r="N155" s="1">
        <f>SUMIF(N4:N147,"&gt;0")</f>
        <v>1071.3499099968885</v>
      </c>
      <c r="O155" s="1">
        <f>SUMIF(O4:O147,"&gt;0")</f>
        <v>1083.3154741869064</v>
      </c>
      <c r="P155" s="1">
        <f>SUMIF(P4:P147,"&gt;0")</f>
        <v>770.527957498555</v>
      </c>
      <c r="Q155" s="1">
        <f>SUMIF(Q4:Q147,"&gt;0")</f>
        <v>1250.2515116571053</v>
      </c>
      <c r="R155" s="1">
        <f>SUMIF(R4:R147,"&gt;0")</f>
        <v>858.31181459178629</v>
      </c>
      <c r="S155" s="1">
        <f>SUMIF(S4:S147,"&gt;0")</f>
        <v>996.52931458779221</v>
      </c>
      <c r="T155" s="1">
        <f>SUMIF(T4:T147,"&gt;0")</f>
        <v>918.00220212255499</v>
      </c>
      <c r="U155" s="1">
        <f>SUMIF(U4:U147,"&gt;0")</f>
        <v>1063.2931548051795</v>
      </c>
      <c r="V155" s="1">
        <f>SUMIF(V4:V147,"&gt;0")</f>
        <v>710.98184080058513</v>
      </c>
      <c r="W155" s="1">
        <f>SUMIF(W4:W147,"&gt;0")</f>
        <v>1080.0775754691786</v>
      </c>
      <c r="X155" s="1">
        <f>SUMIF(X4:X147,"&gt;0")</f>
        <v>716.95735806389166</v>
      </c>
      <c r="Y155" s="1">
        <f>SUMIF(Y4:Y147,"&gt;0")</f>
        <v>1846.6787092359159</v>
      </c>
      <c r="BB155" s="1" t="s">
        <v>71</v>
      </c>
      <c r="BC155" s="1">
        <f ca="1">SUMIF(BC4:BC147,"&gt;0")</f>
        <v>3203.4104360040301</v>
      </c>
      <c r="BD155" s="1">
        <f ca="1">SUMIF(BD4:BD147,"&gt;0")</f>
        <v>1713.8084215457263</v>
      </c>
      <c r="BE155" s="1">
        <f ca="1">SUMIF(BE4:BE147,"&gt;0")</f>
        <v>1303.8428530205911</v>
      </c>
      <c r="BF155" s="1">
        <f ca="1">SUMIF(BF4:BF147,"&gt;0")</f>
        <v>2367.1695745164661</v>
      </c>
      <c r="BG155" s="1">
        <f ca="1">SUMIF(BG4:BG147,"&gt;0")</f>
        <v>1846.3532585086718</v>
      </c>
      <c r="BH155" s="1">
        <f ca="1">SUMIF(BH4:BH147,"&gt;0")</f>
        <v>2185.5230971615956</v>
      </c>
      <c r="BI155" s="1">
        <f ca="1">SUMIF(BI4:BI147,"&gt;0")</f>
        <v>3546.9113418397692</v>
      </c>
      <c r="BJ155" s="1">
        <f ca="1">SUMIF(BJ4:BJ147,"&gt;0")</f>
        <v>1092.4913252294325</v>
      </c>
      <c r="BK155" s="1">
        <f ca="1">SUMIF(BK4:BK147,"&gt;0")</f>
        <v>563.17738918526618</v>
      </c>
      <c r="BL155" s="1">
        <f ca="1">SUMIF(BL4:BL147,"&gt;0")</f>
        <v>2189.7959138409715</v>
      </c>
      <c r="BM155" s="1">
        <f ca="1">SUMIF(BM4:BM147,"&gt;0")</f>
        <v>652.77555039071069</v>
      </c>
      <c r="BN155" s="1">
        <f ca="1">SUMIF(BN4:BN147,"&gt;0")</f>
        <v>1971.3752940925542</v>
      </c>
      <c r="BO155" s="1">
        <f ca="1">SUMIF(BO4:BO147,"&gt;0")</f>
        <v>2188.9210991779842</v>
      </c>
      <c r="BP155" s="1">
        <f ca="1">SUMIF(BP4:BP147,"&gt;0")</f>
        <v>1828.092378171269</v>
      </c>
      <c r="BQ155" s="1">
        <f ca="1">SUMIF(BQ4:BQ147,"&gt;0")</f>
        <v>1308.7936697772416</v>
      </c>
      <c r="BR155" s="1">
        <f ca="1">SUMIF(BR4:BR147,"&gt;0")</f>
        <v>428.95090003283349</v>
      </c>
      <c r="BS155" s="1">
        <f ca="1">SUMIF(BS4:BS147,"&gt;0")</f>
        <v>494.9220790787341</v>
      </c>
      <c r="BT155" s="1">
        <f ca="1">SUMIF(BT4:BT147,"&gt;0")</f>
        <v>1321.2788073691499</v>
      </c>
      <c r="BU155" s="1">
        <f ca="1">SUMIF(BU4:BU147,"&gt;0")</f>
        <v>2254.9820525973555</v>
      </c>
      <c r="BV155" s="1">
        <f ca="1">SUMIF(BV4:BV147,"&gt;0")</f>
        <v>759.85372312792731</v>
      </c>
      <c r="BW155" s="1">
        <f ca="1">SUMIF(BW4:BW147,"&gt;0")</f>
        <v>408.03888842095165</v>
      </c>
      <c r="BX155" s="1">
        <f ca="1">SUMIF(BX4:BX147,"&gt;0")</f>
        <v>321.88659856595876</v>
      </c>
      <c r="BY155" s="1">
        <f ca="1">SUMIF(BY4:BY147,"&gt;0")</f>
        <v>420.55543520559576</v>
      </c>
      <c r="BZ155" s="1">
        <f ca="1">SUMIF(BZ4:BZ147,"&gt;0")</f>
        <v>630.00119149133866</v>
      </c>
    </row>
    <row r="156" spans="1:84">
      <c r="A156" s="1" t="s">
        <v>72</v>
      </c>
      <c r="B156" s="1">
        <f>-B154+B155</f>
        <v>2775.5851083407074</v>
      </c>
      <c r="C156" s="1">
        <f>-C154+C155</f>
        <v>3294.9199944208285</v>
      </c>
      <c r="D156" s="1">
        <f>-D154+D155</f>
        <v>3383.6959811766692</v>
      </c>
      <c r="E156" s="1">
        <f>-E154+E155</f>
        <v>3075.0617101055223</v>
      </c>
      <c r="F156" s="1">
        <f>-F154+F155</f>
        <v>3215.1236339314046</v>
      </c>
      <c r="G156" s="1">
        <f>-G154+G155</f>
        <v>3313.0625494238047</v>
      </c>
      <c r="H156" s="1">
        <f>-H154+H155</f>
        <v>2636.4289445902123</v>
      </c>
      <c r="I156" s="1">
        <f>-I154+I155</f>
        <v>3240.5350577578133</v>
      </c>
      <c r="J156" s="1">
        <f>-J154+J155</f>
        <v>2758.6122713129062</v>
      </c>
      <c r="K156" s="1">
        <f>-K154+K155</f>
        <v>3097.3796871651457</v>
      </c>
      <c r="L156" s="1">
        <f>-L154+L155</f>
        <v>2804.3135636545421</v>
      </c>
      <c r="M156" s="1">
        <f>-M154+M155</f>
        <v>2540.686847837861</v>
      </c>
      <c r="N156" s="1">
        <f>-N154+N155</f>
        <v>2823.9697058338443</v>
      </c>
      <c r="O156" s="1">
        <f>-O154+O155</f>
        <v>2984.6072725604813</v>
      </c>
      <c r="P156" s="1">
        <f>-P154+P155</f>
        <v>2735.7386775303812</v>
      </c>
      <c r="Q156" s="1">
        <f>-Q154+Q155</f>
        <v>2961.8922241940832</v>
      </c>
      <c r="R156" s="1">
        <f>-R154+R155</f>
        <v>2344.7192684100482</v>
      </c>
      <c r="S156" s="1">
        <f>-S154+S155</f>
        <v>2537.860706748661</v>
      </c>
      <c r="T156" s="1">
        <f>-T154+T155</f>
        <v>2767.5129201647906</v>
      </c>
      <c r="U156" s="1">
        <f>-U154+U155</f>
        <v>3444.8012638766404</v>
      </c>
      <c r="V156" s="1">
        <f>-V154+V155</f>
        <v>3116.8850742140539</v>
      </c>
      <c r="W156" s="1">
        <f>-W154+W155</f>
        <v>2921.7829818978416</v>
      </c>
      <c r="X156" s="1">
        <f>-X154+X155</f>
        <v>2702.2489854338764</v>
      </c>
      <c r="Y156" s="1">
        <f>-Y154+Y155</f>
        <v>2528.3981261245194</v>
      </c>
      <c r="BB156" s="1" t="s">
        <v>72</v>
      </c>
      <c r="BC156" s="1">
        <f ca="1">-BC154 + BC155</f>
        <v>3520.7506550132043</v>
      </c>
      <c r="BD156" s="1">
        <f ca="1">-BD154 + BD155</f>
        <v>2341.4361375567919</v>
      </c>
      <c r="BE156" s="1">
        <f ca="1">-BE154 + BE155</f>
        <v>2372.5939779810387</v>
      </c>
      <c r="BF156" s="1">
        <f ca="1">-BF154 + BF155</f>
        <v>3014.3038952566094</v>
      </c>
      <c r="BG156" s="1">
        <f ca="1">-BG154 + BG155</f>
        <v>3009.072849974717</v>
      </c>
      <c r="BH156" s="1">
        <f ca="1">-BH154 + BH155</f>
        <v>2918.7646707367458</v>
      </c>
      <c r="BI156" s="1">
        <f ca="1">-BI154 + BI155</f>
        <v>3978.4003647699265</v>
      </c>
      <c r="BJ156" s="1">
        <f ca="1">-BJ154 + BJ155</f>
        <v>3066.2915450353648</v>
      </c>
      <c r="BK156" s="1">
        <f ca="1">-BK154 + BK155</f>
        <v>3078.925104457096</v>
      </c>
      <c r="BL156" s="1">
        <f ca="1">-BL154 + BL155</f>
        <v>2927.4796644800235</v>
      </c>
      <c r="BM156" s="1">
        <f ca="1">-BM154 + BM155</f>
        <v>2866.9906826661004</v>
      </c>
      <c r="BN156" s="1">
        <f ca="1">-BN154 + BN155</f>
        <v>3040.3958017897994</v>
      </c>
      <c r="BO156" s="1">
        <f ca="1">-BO154 + BO155</f>
        <v>2546.1389947981907</v>
      </c>
      <c r="BP156" s="1">
        <f ca="1">-BP154 + BP155</f>
        <v>2266.1393174543855</v>
      </c>
      <c r="BQ156" s="1">
        <f ca="1">-BQ154 + BQ155</f>
        <v>2406.8471517995986</v>
      </c>
      <c r="BR156" s="1">
        <f ca="1">-BR154 + BR155</f>
        <v>3647.3767525330331</v>
      </c>
      <c r="BS156" s="1">
        <f ca="1">-BS154 + BS155</f>
        <v>2838.1508211066325</v>
      </c>
      <c r="BT156" s="1">
        <f ca="1">-BT154 + BT155</f>
        <v>2316.893554810516</v>
      </c>
      <c r="BU156" s="1">
        <f ca="1">-BU154 + BU155</f>
        <v>3160.0531375762453</v>
      </c>
      <c r="BV156" s="1">
        <f ca="1">-BV154 + BV155</f>
        <v>3220.7536320387862</v>
      </c>
      <c r="BW156" s="1">
        <f ca="1">-BW154 + BW155</f>
        <v>3231.5190328726949</v>
      </c>
      <c r="BX156" s="1">
        <f ca="1">-BX154 + BX155</f>
        <v>2974.4551252496985</v>
      </c>
      <c r="BY156" s="1">
        <f ca="1">-BY154 + BY155</f>
        <v>2880.0033436477402</v>
      </c>
      <c r="BZ156" s="1">
        <f ca="1">-BZ154 + BZ155</f>
        <v>2382.0863431016969</v>
      </c>
    </row>
    <row r="157" spans="1:84">
      <c r="BB157" s="1" t="s">
        <v>73</v>
      </c>
      <c r="BO157" s="1">
        <f ca="1">BC156+BO156</f>
        <v>6066.8896498113954</v>
      </c>
      <c r="BP157" s="1">
        <f ca="1">BD156+BP156</f>
        <v>4607.5754550111778</v>
      </c>
      <c r="BQ157" s="1">
        <f ca="1">BE156+BQ156</f>
        <v>4779.4411297806373</v>
      </c>
      <c r="BR157" s="1">
        <f ca="1">BF156+BR156</f>
        <v>6661.6806477896425</v>
      </c>
      <c r="BS157" s="1">
        <f ca="1">BG156+BS156</f>
        <v>5847.2236710813495</v>
      </c>
      <c r="BT157" s="1">
        <f ca="1">BH156+BT156</f>
        <v>5235.6582255472622</v>
      </c>
      <c r="BU157" s="1">
        <f ca="1">BI156+BU156</f>
        <v>7138.4535023461722</v>
      </c>
      <c r="BV157" s="1">
        <f ca="1">BJ156+BV156</f>
        <v>6287.0451770741511</v>
      </c>
      <c r="BW157" s="1">
        <f ca="1">BK156+BW156</f>
        <v>6310.4441373297905</v>
      </c>
      <c r="BX157" s="1">
        <f ca="1">BL156+BX156</f>
        <v>5901.9347897297221</v>
      </c>
      <c r="BY157" s="1">
        <f ca="1">BM156+BY156</f>
        <v>5746.9940263138405</v>
      </c>
      <c r="BZ157" s="1">
        <f ca="1">BN156+BZ156</f>
        <v>5422.4821448914963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5"/>
  <dimension ref="A1:N50"/>
  <sheetViews>
    <sheetView tabSelected="1" workbookViewId="0"/>
  </sheetViews>
  <sheetFormatPr defaultRowHeight="12.75"/>
  <cols>
    <col min="1" max="1" width="33.85546875" style="1" bestFit="1" customWidth="1"/>
    <col min="2" max="3" width="9.140625" style="1" customWidth="1"/>
    <col min="4" max="16384" width="9.140625" style="1"/>
  </cols>
  <sheetData>
    <row r="1" spans="1:14">
      <c r="A1" s="1" t="s">
        <v>38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>
      <c r="B3" s="5" t="s">
        <v>41</v>
      </c>
      <c r="C3" s="5" t="s">
        <v>43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>
      <c r="A4" s="1" t="s">
        <v>79</v>
      </c>
      <c r="B4" s="5">
        <f>'Team A 1'!AA151</f>
        <v>193.47222222222027</v>
      </c>
      <c r="C4" s="5">
        <f>'Team B 1'!AA151</f>
        <v>195.46799516908158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>
      <c r="A5" s="1" t="s">
        <v>80</v>
      </c>
      <c r="B5" s="5">
        <f>'Team A 1'!AG150</f>
        <v>379.37062937062939</v>
      </c>
      <c r="C5" s="5">
        <f>'Team B 1'!AG150</f>
        <v>379.65034965034965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>
      <c r="A6" s="1" t="s">
        <v>81</v>
      </c>
      <c r="B6" s="5" t="str">
        <f>SecondsToHoursAndMinutes(($B$4*23+$B$5)*5040/(2*1000))</f>
        <v>3h 23m</v>
      </c>
      <c r="C6" s="5" t="str">
        <f>SecondsToHoursAndMinutes(($C$4*23+$C$5)*5040/(2*1000))</f>
        <v>3h 25m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>
      <c r="A7" s="1" t="s">
        <v>82</v>
      </c>
      <c r="B7" s="14">
        <f ca="1">'Team A 2'!AB152</f>
        <v>27.247710923641431</v>
      </c>
      <c r="C7" s="14">
        <f ca="1">'Team B 2'!AB152</f>
        <v>26.071547520388297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>
      <c r="A8" s="1" t="s">
        <v>83</v>
      </c>
      <c r="B8" s="18">
        <f ca="1">$B$7/$B$4</f>
        <v>0.14083526105543454</v>
      </c>
      <c r="C8" s="18">
        <f ca="1">$C$7/$C$4</f>
        <v>0.13338013467542947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>
      <c r="A9" s="1" t="s">
        <v>84</v>
      </c>
      <c r="B9" s="18">
        <f ca="1">1-4*(1-NORMSDIST(0.25/$B$8))</f>
        <v>0.84824504824021618</v>
      </c>
      <c r="C9" s="18">
        <f ca="1">1-4*(1-NORMSDIST(0.25/$C$8))</f>
        <v>0.87823341972961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>
      <c r="A11" s="1" t="s">
        <v>85</v>
      </c>
      <c r="B11" s="5">
        <f ca="1">RANK(B$8,$B$8:$C$8,1)</f>
        <v>2</v>
      </c>
      <c r="C11" s="5">
        <f ca="1">RANK(C$8,$B$8:$C$8,1)</f>
        <v>1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>
      <c r="A14" s="1" t="s">
        <v>86</v>
      </c>
      <c r="B14" s="5">
        <f ca="1">'Team A 2'!CC149</f>
        <v>50</v>
      </c>
      <c r="C14" s="5">
        <f ca="1">'Team B 2'!CC149</f>
        <v>29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>
      <c r="A15" s="1" t="s">
        <v>87</v>
      </c>
      <c r="B15" s="5">
        <f ca="1">'Team A 2'!CD149</f>
        <v>72</v>
      </c>
      <c r="C15" s="5">
        <f ca="1">'Team B 2'!CD149</f>
        <v>82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>
      <c r="A16" s="1" t="s">
        <v>88</v>
      </c>
      <c r="B16" s="5">
        <f ca="1">'Team A 2'!CE149</f>
        <v>72</v>
      </c>
      <c r="C16" s="5">
        <f ca="1">'Team B 2'!CE149</f>
        <v>71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>
      <c r="A17" s="1" t="s">
        <v>89</v>
      </c>
      <c r="B17" s="5">
        <f ca="1">'Team A 2'!CF149</f>
        <v>34</v>
      </c>
      <c r="C17" s="5">
        <f ca="1">'Team B 2'!CF149</f>
        <v>21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>
      <c r="A18" s="1" t="s">
        <v>90</v>
      </c>
      <c r="B18" s="5">
        <f ca="1">SUM(B$14:B$17)</f>
        <v>228</v>
      </c>
      <c r="C18" s="5">
        <f ca="1">SUM(C$14:C$17)</f>
        <v>203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>
      <c r="A19" s="1" t="s">
        <v>85</v>
      </c>
      <c r="B19" s="5">
        <f ca="1">RANK(B$18,$B$18:$C$18,1)</f>
        <v>2</v>
      </c>
      <c r="C19" s="5">
        <f ca="1">RANK(C$18,$B$18:$C$18,1)</f>
        <v>1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2:14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2:14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2:14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2:14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2:14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2:14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2:14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2:14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2:14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2:14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2:14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2:14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2:14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2:14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Front</vt:lpstr>
      <vt:lpstr>Settings</vt:lpstr>
      <vt:lpstr>ProgrammaticSheets</vt:lpstr>
      <vt:lpstr>About</vt:lpstr>
      <vt:lpstr>Team A</vt:lpstr>
      <vt:lpstr>Team A 1</vt:lpstr>
      <vt:lpstr>Team A 2</vt:lpstr>
      <vt:lpstr>Team B</vt:lpstr>
      <vt:lpstr>Team B 1</vt:lpstr>
      <vt:lpstr>Team B 2</vt:lpstr>
      <vt:lpstr>SUMMARY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2015-05-18T09:27:03Z</dcterms:modified>
</cp:coreProperties>
</file>