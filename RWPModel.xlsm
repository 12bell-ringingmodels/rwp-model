
<file path=[Content_Types].xml><?xml version="1.0" encoding="utf-8"?>
<Types xmlns="http://schemas.openxmlformats.org/package/2006/content-types">
  <Override PartName="/xl/activeX/activeX2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activeX/activeX16.bin" ContentType="application/vnd.ms-office.activeX"/>
  <Override PartName="/xl/attachedToolbars.bin" ContentType="application/vnd.ms-excel.attachedToolbars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7.xml" ContentType="application/vnd.ms-office.activeX+xml"/>
  <Override PartName="/xl/activeX/activeX14.bin" ContentType="application/vnd.ms-office.activeX"/>
  <Override PartName="/xl/activeX/activeX19.xml" ContentType="application/vnd.ms-office.activeX+xml"/>
  <Override PartName="/xl/charts/chart4.xml" ContentType="application/vnd.openxmlformats-officedocument.drawingml.chart+xml"/>
  <Override PartName="/xl/worksheets/sheet7.xml" ContentType="application/vnd.openxmlformats-officedocument.spreadsheetml.worksheet+xml"/>
  <Override PartName="/xl/activeX/activeX5.xml" ContentType="application/vnd.ms-office.activeX+xml"/>
  <Override PartName="/xl/activeX/activeX12.bin" ContentType="application/vnd.ms-office.activeX"/>
  <Override PartName="/xl/activeX/activeX17.xml" ContentType="application/vnd.ms-office.activeX+xml"/>
  <Override PartName="/xl/activeX/activeX21.bin" ContentType="application/vnd.ms-office.activeX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sheets/sheet5.xml" ContentType="application/vnd.openxmlformats-officedocument.spreadsheetml.worksheet+xml"/>
  <Override PartName="/xl/activeX/activeX3.xml" ContentType="application/vnd.ms-office.activeX+xml"/>
  <Override PartName="/xl/activeX/activeX10.bin" ContentType="application/vnd.ms-office.activeX"/>
  <Override PartName="/xl/activeX/activeX15.xml" ContentType="application/vnd.ms-office.activeX+xml"/>
  <Override PartName="/xl/drawings/drawing2.xml" ContentType="application/vnd.openxmlformats-officedocument.drawing+xml"/>
  <Override PartName="/xl/worksheets/sheet3.xml" ContentType="application/vnd.openxmlformats-officedocument.spreadsheetml.worksheet+xml"/>
  <Override PartName="/xl/activeX/activeX1.xml" ContentType="application/vnd.ms-office.activeX+xml"/>
  <Override PartName="/xl/activeX/activeX13.xml" ContentType="application/vnd.ms-office.activeX+xml"/>
  <Override PartName="/xl/activeX/activeX22.xml" ContentType="application/vnd.ms-office.activeX+xml"/>
  <Override PartName="/xl/worksheets/sheet1.xml" ContentType="application/vnd.openxmlformats-officedocument.spreadsheetml.worksheet+xml"/>
  <Override PartName="/xl/chartsheets/sheet4.xml" ContentType="application/vnd.openxmlformats-officedocument.spreadsheetml.chartsheet+xml"/>
  <Override PartName="/xl/activeX/activeX9.bin" ContentType="application/vnd.ms-office.activeX"/>
  <Override PartName="/xl/activeX/activeX11.xml" ContentType="application/vnd.ms-office.activeX+xml"/>
  <Override PartName="/xl/activeX/activeX20.xml" ContentType="application/vnd.ms-office.activeX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19.bin" ContentType="application/vnd.ms-office.activeX"/>
  <Override PartName="/xl/chartsheets/sheet1.xml" ContentType="application/vnd.openxmlformats-officedocument.spreadsheetml.chartsheet+xml"/>
  <Override PartName="/xl/activeX/activeX5.bin" ContentType="application/vnd.ms-office.activeX"/>
  <Override PartName="/xl/activeX/activeX6.bin" ContentType="application/vnd.ms-office.activeX"/>
  <Override PartName="/xl/activeX/activeX17.bin" ContentType="application/vnd.ms-office.activeX"/>
  <Override PartName="/xl/activeX/activeX18.bin" ContentType="application/vnd.ms-office.activeX"/>
  <Override PartName="/xl/ctrlProps/ctrlProp1.xml" ContentType="application/vnd.ms-excel.controlproperties+xml"/>
  <Override PartName="/docProps/core.xml" ContentType="application/vnd.openxmlformats-package.core-properties+xml"/>
  <Default Extension="bin" ContentType="application/vnd.openxmlformats-officedocument.spreadsheetml.printerSettings"/>
  <Override PartName="/xl/activeX/activeX3.bin" ContentType="application/vnd.ms-office.activeX"/>
  <Override PartName="/xl/activeX/activeX15.bin" ContentType="application/vnd.ms-office.activeX"/>
  <Override PartName="/xl/activeX/activeX1.bin" ContentType="application/vnd.ms-office.activeX"/>
  <Override PartName="/xl/activeX/activeX8.xml" ContentType="application/vnd.ms-office.activeX+xml"/>
  <Override PartName="/xl/activeX/activeX13.bin" ContentType="application/vnd.ms-office.activeX"/>
  <Override PartName="/xl/activeX/activeX22.bin" ContentType="application/vnd.ms-office.activeX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activeX/activeX6.xml" ContentType="application/vnd.ms-office.activeX+xml"/>
  <Override PartName="/xl/activeX/activeX11.bin" ContentType="application/vnd.ms-office.activeX"/>
  <Override PartName="/xl/activeX/activeX18.xml" ContentType="application/vnd.ms-office.activeX+xml"/>
  <Override PartName="/xl/activeX/activeX20.bin" ContentType="application/vnd.ms-office.activeX"/>
  <Default Extension="emf" ContentType="image/x-emf"/>
  <Override PartName="/xl/charts/chart3.xml" ContentType="application/vnd.openxmlformats-officedocument.drawingml.chart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activeX/activeX2.xml" ContentType="application/vnd.ms-office.activeX+xml"/>
  <Override PartName="/xl/activeX/activeX4.xml" ContentType="application/vnd.ms-office.activeX+xml"/>
  <Override PartName="/xl/activeX/activeX16.xml" ContentType="application/vnd.ms-office.activeX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activeX/activeX14.xml" ContentType="application/vnd.ms-office.activeX+xml"/>
  <Override PartName="/xl/drawings/drawing1.xml" ContentType="application/vnd.openxmlformats-officedocument.drawing+xml"/>
  <Default Extension="vml" ContentType="application/vnd.openxmlformats-officedocument.vmlDrawing"/>
  <Override PartName="/xl/activeX/activeX12.xml" ContentType="application/vnd.ms-office.activeX+xml"/>
  <Override PartName="/xl/activeX/activeX21.xml" ContentType="application/vnd.ms-office.activeX+xml"/>
  <Override PartName="/xl/comments1.xml" ContentType="application/vnd.openxmlformats-officedocument.spreadsheetml.comments+xml"/>
  <Override PartName="/xl/calcChain.xml" ContentType="application/vnd.openxmlformats-officedocument.spreadsheetml.calcChai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 defaultThemeVersion="124226"/>
  <bookViews>
    <workbookView xWindow="30" yWindow="90" windowWidth="5970" windowHeight="3345" firstSheet="9" activeTab="11"/>
  </bookViews>
  <sheets>
    <sheet name="Front" sheetId="20" r:id="rId1"/>
    <sheet name="Settings" sheetId="46" r:id="rId2"/>
    <sheet name="ProgrammaticSheets" sheetId="67" state="hidden" r:id="rId3"/>
    <sheet name="Touch 1 1" sheetId="118" r:id="rId4"/>
    <sheet name="Touch 1 2" sheetId="119" r:id="rId5"/>
    <sheet name="SUMMARY" sheetId="120" r:id="rId6"/>
    <sheet name="Flockton Touch 1" sheetId="126" r:id="rId7"/>
    <sheet name="Touch 1 AD Chart" sheetId="122" r:id="rId8"/>
    <sheet name="Touch 1 SD Chart" sheetId="123" r:id="rId9"/>
    <sheet name="Touch 1 AE Chart" sheetId="124" r:id="rId10"/>
    <sheet name="Touch 1 Fault Chart" sheetId="125" r:id="rId11"/>
    <sheet name="Touch 1 Charts" sheetId="121" r:id="rId12"/>
  </sheets>
  <functionGroups/>
  <definedNames>
    <definedName name="Analyse_RoundS">Settings!#REF!</definedName>
    <definedName name="AnalyseLabel">Front!$H$3</definedName>
    <definedName name="flocktonBaseDir">Front!$B$16</definedName>
    <definedName name="optAnalysisFaultPct">Settings!$G$10</definedName>
    <definedName name="optAnalysisOpeningRounds">Settings!$G$9</definedName>
    <definedName name="optAnalysisQuickHandstrokeLeadPct">Settings!$G$11</definedName>
    <definedName name="optDevProfile">Settings!$G$19</definedName>
    <definedName name="optDisplayHideQuickLeads">Settings!$G$15</definedName>
    <definedName name="optDisplayHighlighting">Settings!$G$16</definedName>
    <definedName name="optPresMode">Settings!$G$4</definedName>
    <definedName name="SoundFileLabel">Front!$E$3</definedName>
    <definedName name="strikeBaseDir">Front!$B$15</definedName>
    <definedName name="StrikeFileLabel">Front!$C$3</definedName>
    <definedName name="TeamNameLabel">Front!$B$3</definedName>
    <definedName name="touchFile">Front!$B$17</definedName>
    <definedName name="touchLength">Front!$B$18</definedName>
  </definedNames>
  <calcPr calcId="125725"/>
</workbook>
</file>

<file path=xl/calcChain.xml><?xml version="1.0" encoding="utf-8"?>
<calcChain xmlns="http://schemas.openxmlformats.org/spreadsheetml/2006/main">
  <c r="B5" i="120"/>
  <c r="B4"/>
  <c r="CB147" i="119"/>
  <c r="CB146"/>
  <c r="CB145"/>
  <c r="CB144"/>
  <c r="CB143"/>
  <c r="CB142"/>
  <c r="CB141"/>
  <c r="CB140"/>
  <c r="CB139"/>
  <c r="CB138"/>
  <c r="CB137"/>
  <c r="CB136"/>
  <c r="CB135"/>
  <c r="CB134"/>
  <c r="CB133"/>
  <c r="CB132"/>
  <c r="CB131"/>
  <c r="CB130"/>
  <c r="CB129"/>
  <c r="CB128"/>
  <c r="CB127"/>
  <c r="CB126"/>
  <c r="CB125"/>
  <c r="CB124"/>
  <c r="CB123"/>
  <c r="CB122"/>
  <c r="CB121"/>
  <c r="CB120"/>
  <c r="CB119"/>
  <c r="CB118"/>
  <c r="CB117"/>
  <c r="CB116"/>
  <c r="CB115"/>
  <c r="CB114"/>
  <c r="CB113"/>
  <c r="CB112"/>
  <c r="CB111"/>
  <c r="CB110"/>
  <c r="CB109"/>
  <c r="CB108"/>
  <c r="CB107"/>
  <c r="CB106"/>
  <c r="CB105"/>
  <c r="CB104"/>
  <c r="CB103"/>
  <c r="CB102"/>
  <c r="CB101"/>
  <c r="CB100"/>
  <c r="CB99"/>
  <c r="CB98"/>
  <c r="CB97"/>
  <c r="CB96"/>
  <c r="CB95"/>
  <c r="CB94"/>
  <c r="CB93"/>
  <c r="CB92"/>
  <c r="CB91"/>
  <c r="CB90"/>
  <c r="CB89"/>
  <c r="CB88"/>
  <c r="CB87"/>
  <c r="CB86"/>
  <c r="CB85"/>
  <c r="CB84"/>
  <c r="CB83"/>
  <c r="CB82"/>
  <c r="CB81"/>
  <c r="CB80"/>
  <c r="CB79"/>
  <c r="CB78"/>
  <c r="CB77"/>
  <c r="CB76"/>
  <c r="CB75"/>
  <c r="CB74"/>
  <c r="CB73"/>
  <c r="CB72"/>
  <c r="CB71"/>
  <c r="CB70"/>
  <c r="CB69"/>
  <c r="CB68"/>
  <c r="CB67"/>
  <c r="CB66"/>
  <c r="CB65"/>
  <c r="CB64"/>
  <c r="CB63"/>
  <c r="CB62"/>
  <c r="CB61"/>
  <c r="CB60"/>
  <c r="CB59"/>
  <c r="CB58"/>
  <c r="CB57"/>
  <c r="CB56"/>
  <c r="CB55"/>
  <c r="CB54"/>
  <c r="CB53"/>
  <c r="CB52"/>
  <c r="CB51"/>
  <c r="CB50"/>
  <c r="CB49"/>
  <c r="CB48"/>
  <c r="CB47"/>
  <c r="CB46"/>
  <c r="CB45"/>
  <c r="CB44"/>
  <c r="CB43"/>
  <c r="CB42"/>
  <c r="CB41"/>
  <c r="CB40"/>
  <c r="CB39"/>
  <c r="CB38"/>
  <c r="CB37"/>
  <c r="CB36"/>
  <c r="CB35"/>
  <c r="CB34"/>
  <c r="CB33"/>
  <c r="CB32"/>
  <c r="CB31"/>
  <c r="CB30"/>
  <c r="CB29"/>
  <c r="CB28"/>
  <c r="CB27"/>
  <c r="CB26"/>
  <c r="CB25"/>
  <c r="CB24"/>
  <c r="CB23"/>
  <c r="CB22"/>
  <c r="CB21"/>
  <c r="CB20"/>
  <c r="CB19"/>
  <c r="CB18"/>
  <c r="CB17"/>
  <c r="CB16"/>
  <c r="CB15"/>
  <c r="CB14"/>
  <c r="CB13"/>
  <c r="CB12"/>
  <c r="CB11"/>
  <c r="CB10"/>
  <c r="CB9"/>
  <c r="CB8"/>
  <c r="CB7"/>
  <c r="CB6"/>
  <c r="CB5"/>
  <c r="CB4"/>
  <c r="CB149" s="1"/>
  <c r="BF147" i="118"/>
  <c r="BF146"/>
  <c r="BF145"/>
  <c r="BF144"/>
  <c r="BF143"/>
  <c r="BF142"/>
  <c r="BF141"/>
  <c r="BF140"/>
  <c r="BF139"/>
  <c r="BF138"/>
  <c r="BF137"/>
  <c r="BF136"/>
  <c r="BF135"/>
  <c r="BF134"/>
  <c r="BF133"/>
  <c r="BF132"/>
  <c r="BF131"/>
  <c r="BF130"/>
  <c r="BF129"/>
  <c r="BF128"/>
  <c r="BF127"/>
  <c r="BF126"/>
  <c r="BF125"/>
  <c r="BF124"/>
  <c r="BF123"/>
  <c r="BF122"/>
  <c r="BF121"/>
  <c r="BF120"/>
  <c r="BF119"/>
  <c r="BF118"/>
  <c r="BF117"/>
  <c r="BF116"/>
  <c r="BF115"/>
  <c r="BF114"/>
  <c r="BF113"/>
  <c r="BF112"/>
  <c r="BF111"/>
  <c r="BF110"/>
  <c r="BF109"/>
  <c r="BF108"/>
  <c r="BF107"/>
  <c r="BF106"/>
  <c r="BF105"/>
  <c r="BF104"/>
  <c r="BF103"/>
  <c r="BF102"/>
  <c r="BF101"/>
  <c r="BF100"/>
  <c r="BF99"/>
  <c r="BF98"/>
  <c r="BF97"/>
  <c r="BF96"/>
  <c r="BF95"/>
  <c r="BF94"/>
  <c r="BF93"/>
  <c r="BF92"/>
  <c r="BF91"/>
  <c r="BF90"/>
  <c r="BF89"/>
  <c r="BF88"/>
  <c r="BF87"/>
  <c r="BF86"/>
  <c r="BF85"/>
  <c r="BF84"/>
  <c r="BF83"/>
  <c r="BF82"/>
  <c r="BF81"/>
  <c r="BF80"/>
  <c r="BF79"/>
  <c r="BF78"/>
  <c r="BF77"/>
  <c r="BF76"/>
  <c r="BF75"/>
  <c r="BF74"/>
  <c r="BF73"/>
  <c r="BF72"/>
  <c r="BF71"/>
  <c r="BF70"/>
  <c r="BF69"/>
  <c r="BF68"/>
  <c r="BF67"/>
  <c r="BF66"/>
  <c r="BF65"/>
  <c r="BF64"/>
  <c r="BF63"/>
  <c r="BF62"/>
  <c r="BF61"/>
  <c r="BF60"/>
  <c r="BF59"/>
  <c r="BF58"/>
  <c r="BF57"/>
  <c r="BF56"/>
  <c r="BF55"/>
  <c r="BF54"/>
  <c r="BF53"/>
  <c r="BF52"/>
  <c r="BF51"/>
  <c r="BF50"/>
  <c r="BF49"/>
  <c r="BF48"/>
  <c r="BF47"/>
  <c r="BF46"/>
  <c r="BF45"/>
  <c r="BF44"/>
  <c r="BF43"/>
  <c r="BF42"/>
  <c r="BF41"/>
  <c r="BF40"/>
  <c r="BF39"/>
  <c r="BF38"/>
  <c r="BF37"/>
  <c r="BF36"/>
  <c r="BF35"/>
  <c r="BF34"/>
  <c r="BF33"/>
  <c r="BF32"/>
  <c r="BF31"/>
  <c r="BF30"/>
  <c r="BF29"/>
  <c r="BF28"/>
  <c r="BF27"/>
  <c r="BF26"/>
  <c r="BF25"/>
  <c r="BF24"/>
  <c r="BF23"/>
  <c r="BF22"/>
  <c r="BF21"/>
  <c r="BF20"/>
  <c r="BF19"/>
  <c r="BF18"/>
  <c r="BF17"/>
  <c r="BF16"/>
  <c r="BF15"/>
  <c r="BF14"/>
  <c r="BF13"/>
  <c r="BF12"/>
  <c r="BF11"/>
  <c r="BF10"/>
  <c r="BF9"/>
  <c r="BF8"/>
  <c r="BF7"/>
  <c r="BF6"/>
  <c r="BF5"/>
  <c r="BF151" s="1"/>
  <c r="BF4"/>
  <c r="BF150" s="1"/>
  <c r="BF3"/>
  <c r="BE147"/>
  <c r="BE146"/>
  <c r="BE145"/>
  <c r="BE144"/>
  <c r="BE143"/>
  <c r="BE142"/>
  <c r="BE141"/>
  <c r="BE140"/>
  <c r="BE139"/>
  <c r="BE138"/>
  <c r="BE137"/>
  <c r="BE136"/>
  <c r="BE135"/>
  <c r="BE134"/>
  <c r="BE133"/>
  <c r="BE132"/>
  <c r="BE131"/>
  <c r="BE130"/>
  <c r="BE129"/>
  <c r="BE128"/>
  <c r="BE127"/>
  <c r="BE126"/>
  <c r="BE125"/>
  <c r="BE124"/>
  <c r="BE123"/>
  <c r="BE122"/>
  <c r="BE121"/>
  <c r="BE120"/>
  <c r="BE119"/>
  <c r="BE118"/>
  <c r="BE117"/>
  <c r="BE116"/>
  <c r="BE115"/>
  <c r="BE114"/>
  <c r="BE113"/>
  <c r="BE112"/>
  <c r="BE111"/>
  <c r="BE110"/>
  <c r="BE109"/>
  <c r="BE108"/>
  <c r="BE107"/>
  <c r="BE106"/>
  <c r="BE105"/>
  <c r="BE104"/>
  <c r="BE103"/>
  <c r="BE102"/>
  <c r="BE101"/>
  <c r="BE100"/>
  <c r="BE99"/>
  <c r="BE98"/>
  <c r="BE97"/>
  <c r="BE96"/>
  <c r="BE95"/>
  <c r="BE94"/>
  <c r="BE93"/>
  <c r="BE92"/>
  <c r="BE91"/>
  <c r="BE90"/>
  <c r="BE89"/>
  <c r="BE88"/>
  <c r="BE87"/>
  <c r="BE86"/>
  <c r="BE85"/>
  <c r="BE84"/>
  <c r="BE83"/>
  <c r="BE82"/>
  <c r="BE81"/>
  <c r="BE80"/>
  <c r="BE79"/>
  <c r="BE78"/>
  <c r="BE77"/>
  <c r="BE76"/>
  <c r="BE75"/>
  <c r="BE74"/>
  <c r="BE73"/>
  <c r="BE72"/>
  <c r="BE71"/>
  <c r="BE70"/>
  <c r="BE69"/>
  <c r="BE68"/>
  <c r="BE67"/>
  <c r="BE66"/>
  <c r="BE65"/>
  <c r="BE64"/>
  <c r="BE63"/>
  <c r="BE62"/>
  <c r="BE61"/>
  <c r="BE60"/>
  <c r="BE59"/>
  <c r="BE58"/>
  <c r="BE57"/>
  <c r="BE56"/>
  <c r="BE55"/>
  <c r="BE54"/>
  <c r="BE53"/>
  <c r="BE52"/>
  <c r="BE51"/>
  <c r="BE50"/>
  <c r="BE49"/>
  <c r="BE48"/>
  <c r="BE47"/>
  <c r="BE46"/>
  <c r="BE45"/>
  <c r="BE44"/>
  <c r="BE43"/>
  <c r="BE42"/>
  <c r="BE41"/>
  <c r="BE40"/>
  <c r="BE39"/>
  <c r="BE38"/>
  <c r="BE37"/>
  <c r="BE36"/>
  <c r="BE35"/>
  <c r="BE34"/>
  <c r="BE33"/>
  <c r="BE32"/>
  <c r="BE31"/>
  <c r="BE30"/>
  <c r="BE29"/>
  <c r="BE28"/>
  <c r="BE27"/>
  <c r="BE26"/>
  <c r="BE25"/>
  <c r="BE24"/>
  <c r="BE23"/>
  <c r="BE22"/>
  <c r="BE21"/>
  <c r="BE20"/>
  <c r="BE19"/>
  <c r="BE18"/>
  <c r="BE17"/>
  <c r="BE16"/>
  <c r="BE15"/>
  <c r="BE14"/>
  <c r="BE13"/>
  <c r="BE12"/>
  <c r="BE11"/>
  <c r="BE10"/>
  <c r="BE9"/>
  <c r="BE8"/>
  <c r="BE7"/>
  <c r="BE6"/>
  <c r="BE5"/>
  <c r="BE4"/>
  <c r="BE150" s="1"/>
  <c r="BE3"/>
  <c r="BD147"/>
  <c r="BD146"/>
  <c r="BD145"/>
  <c r="BD144"/>
  <c r="BD143"/>
  <c r="BD142"/>
  <c r="BD141"/>
  <c r="BD140"/>
  <c r="BD139"/>
  <c r="BD138"/>
  <c r="BD137"/>
  <c r="BD136"/>
  <c r="BD135"/>
  <c r="BD134"/>
  <c r="BD133"/>
  <c r="BD132"/>
  <c r="BD131"/>
  <c r="BD130"/>
  <c r="BD129"/>
  <c r="BD128"/>
  <c r="BD127"/>
  <c r="BD126"/>
  <c r="BD125"/>
  <c r="BD124"/>
  <c r="BD123"/>
  <c r="BD122"/>
  <c r="BD121"/>
  <c r="BD120"/>
  <c r="BD119"/>
  <c r="BD118"/>
  <c r="BD117"/>
  <c r="BD116"/>
  <c r="BD115"/>
  <c r="BD114"/>
  <c r="BD113"/>
  <c r="BD112"/>
  <c r="BD111"/>
  <c r="BD110"/>
  <c r="BD109"/>
  <c r="BD108"/>
  <c r="BD107"/>
  <c r="BD106"/>
  <c r="BD105"/>
  <c r="BD104"/>
  <c r="BD103"/>
  <c r="BD102"/>
  <c r="BD101"/>
  <c r="BD100"/>
  <c r="BD99"/>
  <c r="BD98"/>
  <c r="BD97"/>
  <c r="BD96"/>
  <c r="BD95"/>
  <c r="BD94"/>
  <c r="BD93"/>
  <c r="BD92"/>
  <c r="BD91"/>
  <c r="BD90"/>
  <c r="BD89"/>
  <c r="BD88"/>
  <c r="BD87"/>
  <c r="BD86"/>
  <c r="BD85"/>
  <c r="BD84"/>
  <c r="BD83"/>
  <c r="BD82"/>
  <c r="BD81"/>
  <c r="BD80"/>
  <c r="BD79"/>
  <c r="BD78"/>
  <c r="BD77"/>
  <c r="BD76"/>
  <c r="BD75"/>
  <c r="BD74"/>
  <c r="BD73"/>
  <c r="BD72"/>
  <c r="BD71"/>
  <c r="BD70"/>
  <c r="BD69"/>
  <c r="BD68"/>
  <c r="BD67"/>
  <c r="BD66"/>
  <c r="BD65"/>
  <c r="BD64"/>
  <c r="BD63"/>
  <c r="BD62"/>
  <c r="BD61"/>
  <c r="BD60"/>
  <c r="BD59"/>
  <c r="BD58"/>
  <c r="BD57"/>
  <c r="BD56"/>
  <c r="BD55"/>
  <c r="BD54"/>
  <c r="BD53"/>
  <c r="BD52"/>
  <c r="BD51"/>
  <c r="BD50"/>
  <c r="BD49"/>
  <c r="BD48"/>
  <c r="BD47"/>
  <c r="BD46"/>
  <c r="BD45"/>
  <c r="BD44"/>
  <c r="BD43"/>
  <c r="BD42"/>
  <c r="BD41"/>
  <c r="BD40"/>
  <c r="BD39"/>
  <c r="BD38"/>
  <c r="BD37"/>
  <c r="BD36"/>
  <c r="BD35"/>
  <c r="BD34"/>
  <c r="BD33"/>
  <c r="BD32"/>
  <c r="BD31"/>
  <c r="BD30"/>
  <c r="BD29"/>
  <c r="BD28"/>
  <c r="BD27"/>
  <c r="BD26"/>
  <c r="BD25"/>
  <c r="BD24"/>
  <c r="BD23"/>
  <c r="BD22"/>
  <c r="BD21"/>
  <c r="BD20"/>
  <c r="BD19"/>
  <c r="BD18"/>
  <c r="BD17"/>
  <c r="BD16"/>
  <c r="BD15"/>
  <c r="BD14"/>
  <c r="BD13"/>
  <c r="BD12"/>
  <c r="BD11"/>
  <c r="BD10"/>
  <c r="BD9"/>
  <c r="BD8"/>
  <c r="BD7"/>
  <c r="BD6"/>
  <c r="BD5"/>
  <c r="BD151" s="1"/>
  <c r="BD4"/>
  <c r="BD150" s="1"/>
  <c r="BD3"/>
  <c r="BC147"/>
  <c r="BC146"/>
  <c r="BC145"/>
  <c r="BC144"/>
  <c r="BC143"/>
  <c r="BC142"/>
  <c r="BC141"/>
  <c r="BC140"/>
  <c r="BC139"/>
  <c r="BC138"/>
  <c r="BC137"/>
  <c r="BC136"/>
  <c r="BC135"/>
  <c r="BC134"/>
  <c r="BC133"/>
  <c r="BC132"/>
  <c r="BC131"/>
  <c r="BC130"/>
  <c r="BC129"/>
  <c r="BC128"/>
  <c r="BC127"/>
  <c r="BC126"/>
  <c r="BC125"/>
  <c r="BC124"/>
  <c r="BC123"/>
  <c r="BC122"/>
  <c r="BC121"/>
  <c r="BC120"/>
  <c r="BC119"/>
  <c r="BC118"/>
  <c r="BC117"/>
  <c r="BC116"/>
  <c r="BC115"/>
  <c r="BC114"/>
  <c r="BC113"/>
  <c r="BC112"/>
  <c r="BC111"/>
  <c r="BC110"/>
  <c r="BC109"/>
  <c r="BC108"/>
  <c r="BC107"/>
  <c r="BC106"/>
  <c r="BC105"/>
  <c r="BC104"/>
  <c r="BC103"/>
  <c r="BC102"/>
  <c r="BC101"/>
  <c r="BC100"/>
  <c r="BC99"/>
  <c r="BC98"/>
  <c r="BC97"/>
  <c r="BC96"/>
  <c r="BC95"/>
  <c r="BC94"/>
  <c r="BC93"/>
  <c r="BC92"/>
  <c r="BC91"/>
  <c r="BC90"/>
  <c r="BC89"/>
  <c r="BC88"/>
  <c r="BC87"/>
  <c r="BC86"/>
  <c r="BC85"/>
  <c r="BC84"/>
  <c r="BC83"/>
  <c r="BC82"/>
  <c r="BC81"/>
  <c r="BC80"/>
  <c r="BC79"/>
  <c r="BC78"/>
  <c r="BC77"/>
  <c r="BC76"/>
  <c r="BC75"/>
  <c r="BC74"/>
  <c r="BC73"/>
  <c r="BC72"/>
  <c r="BC71"/>
  <c r="BC70"/>
  <c r="BC69"/>
  <c r="BC68"/>
  <c r="BC67"/>
  <c r="BC66"/>
  <c r="BC65"/>
  <c r="BC64"/>
  <c r="BC63"/>
  <c r="BC62"/>
  <c r="BC61"/>
  <c r="BC60"/>
  <c r="BC59"/>
  <c r="BC58"/>
  <c r="BC57"/>
  <c r="BC56"/>
  <c r="BC55"/>
  <c r="BC54"/>
  <c r="BC53"/>
  <c r="BC52"/>
  <c r="BC51"/>
  <c r="BC50"/>
  <c r="BC49"/>
  <c r="BC48"/>
  <c r="BC47"/>
  <c r="BC46"/>
  <c r="BC45"/>
  <c r="BC44"/>
  <c r="BC43"/>
  <c r="BC42"/>
  <c r="BC41"/>
  <c r="BC40"/>
  <c r="BC39"/>
  <c r="BC38"/>
  <c r="BC37"/>
  <c r="BC36"/>
  <c r="BC35"/>
  <c r="BC34"/>
  <c r="BC33"/>
  <c r="BC32"/>
  <c r="BC31"/>
  <c r="BC30"/>
  <c r="BC29"/>
  <c r="BC28"/>
  <c r="BC27"/>
  <c r="BC26"/>
  <c r="BC25"/>
  <c r="BC24"/>
  <c r="BC23"/>
  <c r="BC22"/>
  <c r="BC21"/>
  <c r="BC20"/>
  <c r="BC19"/>
  <c r="BC18"/>
  <c r="BC17"/>
  <c r="BC16"/>
  <c r="BC15"/>
  <c r="BC14"/>
  <c r="BC13"/>
  <c r="BC12"/>
  <c r="BC11"/>
  <c r="BC10"/>
  <c r="BC9"/>
  <c r="BC8"/>
  <c r="BC7"/>
  <c r="BC6"/>
  <c r="BC5"/>
  <c r="BC4"/>
  <c r="BC150" s="1"/>
  <c r="BC3"/>
  <c r="BB147"/>
  <c r="BB146"/>
  <c r="BB145"/>
  <c r="BB144"/>
  <c r="BB143"/>
  <c r="BB142"/>
  <c r="BB141"/>
  <c r="BB140"/>
  <c r="BB139"/>
  <c r="BB138"/>
  <c r="BB137"/>
  <c r="BB136"/>
  <c r="BB135"/>
  <c r="BB134"/>
  <c r="BB133"/>
  <c r="BB132"/>
  <c r="BB131"/>
  <c r="BB130"/>
  <c r="BB129"/>
  <c r="BB128"/>
  <c r="BB127"/>
  <c r="BB126"/>
  <c r="BB125"/>
  <c r="BB124"/>
  <c r="BB123"/>
  <c r="BB122"/>
  <c r="BB121"/>
  <c r="BB120"/>
  <c r="BB119"/>
  <c r="BB118"/>
  <c r="BB117"/>
  <c r="BB116"/>
  <c r="BB115"/>
  <c r="BB114"/>
  <c r="BB113"/>
  <c r="BB112"/>
  <c r="BB111"/>
  <c r="BB110"/>
  <c r="BB109"/>
  <c r="BB108"/>
  <c r="BB107"/>
  <c r="BB106"/>
  <c r="BB105"/>
  <c r="BB104"/>
  <c r="BB103"/>
  <c r="BB102"/>
  <c r="BB101"/>
  <c r="BB100"/>
  <c r="BB99"/>
  <c r="BB98"/>
  <c r="BB97"/>
  <c r="BB96"/>
  <c r="BB95"/>
  <c r="BB94"/>
  <c r="BB93"/>
  <c r="BB92"/>
  <c r="BB91"/>
  <c r="BB90"/>
  <c r="BB89"/>
  <c r="BB88"/>
  <c r="BB87"/>
  <c r="BB86"/>
  <c r="BB85"/>
  <c r="BB84"/>
  <c r="BB83"/>
  <c r="BB82"/>
  <c r="BB81"/>
  <c r="BB80"/>
  <c r="BB79"/>
  <c r="BB78"/>
  <c r="BB77"/>
  <c r="BB76"/>
  <c r="BB75"/>
  <c r="BB74"/>
  <c r="BB73"/>
  <c r="BB72"/>
  <c r="BB71"/>
  <c r="BB70"/>
  <c r="BB69"/>
  <c r="BB68"/>
  <c r="BB67"/>
  <c r="BB66"/>
  <c r="BB65"/>
  <c r="BB64"/>
  <c r="BB63"/>
  <c r="BB62"/>
  <c r="BB61"/>
  <c r="BB60"/>
  <c r="BB59"/>
  <c r="BB58"/>
  <c r="BB57"/>
  <c r="BB56"/>
  <c r="BB55"/>
  <c r="BB54"/>
  <c r="BB53"/>
  <c r="BB52"/>
  <c r="BB51"/>
  <c r="BB50"/>
  <c r="BB49"/>
  <c r="BB48"/>
  <c r="BB47"/>
  <c r="BB46"/>
  <c r="BB45"/>
  <c r="BB44"/>
  <c r="BB43"/>
  <c r="BB42"/>
  <c r="BB41"/>
  <c r="BB40"/>
  <c r="BB39"/>
  <c r="BB38"/>
  <c r="BB37"/>
  <c r="BB36"/>
  <c r="BB35"/>
  <c r="BB34"/>
  <c r="BB33"/>
  <c r="BB32"/>
  <c r="BB31"/>
  <c r="BB30"/>
  <c r="BB29"/>
  <c r="BB28"/>
  <c r="BB27"/>
  <c r="BB26"/>
  <c r="BB25"/>
  <c r="BB24"/>
  <c r="BB23"/>
  <c r="BB22"/>
  <c r="BB21"/>
  <c r="BB20"/>
  <c r="BB19"/>
  <c r="BB18"/>
  <c r="BB17"/>
  <c r="BB16"/>
  <c r="BB15"/>
  <c r="BB14"/>
  <c r="BB13"/>
  <c r="BB12"/>
  <c r="BB11"/>
  <c r="BB10"/>
  <c r="BB9"/>
  <c r="BB8"/>
  <c r="BB7"/>
  <c r="BB6"/>
  <c r="BB5"/>
  <c r="BB151" s="1"/>
  <c r="BB4"/>
  <c r="BB150" s="1"/>
  <c r="BB3"/>
  <c r="BA147"/>
  <c r="BA146"/>
  <c r="BA145"/>
  <c r="BA144"/>
  <c r="BA143"/>
  <c r="BA142"/>
  <c r="BA141"/>
  <c r="BA140"/>
  <c r="BA139"/>
  <c r="BA138"/>
  <c r="BA137"/>
  <c r="BA136"/>
  <c r="BA135"/>
  <c r="BA134"/>
  <c r="BA133"/>
  <c r="BA132"/>
  <c r="BA131"/>
  <c r="BA130"/>
  <c r="BA129"/>
  <c r="BA128"/>
  <c r="BA127"/>
  <c r="BA126"/>
  <c r="BA125"/>
  <c r="BA124"/>
  <c r="BA123"/>
  <c r="BA122"/>
  <c r="BA121"/>
  <c r="BA120"/>
  <c r="BA119"/>
  <c r="BA118"/>
  <c r="BA117"/>
  <c r="BA116"/>
  <c r="BA115"/>
  <c r="BA114"/>
  <c r="BA113"/>
  <c r="BA112"/>
  <c r="BA111"/>
  <c r="BA110"/>
  <c r="BA109"/>
  <c r="BA108"/>
  <c r="BA107"/>
  <c r="BA106"/>
  <c r="BA105"/>
  <c r="BA104"/>
  <c r="BA103"/>
  <c r="BA102"/>
  <c r="BA101"/>
  <c r="BA100"/>
  <c r="BA99"/>
  <c r="BA98"/>
  <c r="BA97"/>
  <c r="BA96"/>
  <c r="BA95"/>
  <c r="BA94"/>
  <c r="BA93"/>
  <c r="BA92"/>
  <c r="BA91"/>
  <c r="BA90"/>
  <c r="BA89"/>
  <c r="BA88"/>
  <c r="BA87"/>
  <c r="BA86"/>
  <c r="BA85"/>
  <c r="BA84"/>
  <c r="BA83"/>
  <c r="BA82"/>
  <c r="BA81"/>
  <c r="BA80"/>
  <c r="BA79"/>
  <c r="BA78"/>
  <c r="BA77"/>
  <c r="BA76"/>
  <c r="BA75"/>
  <c r="BA74"/>
  <c r="BA73"/>
  <c r="BA72"/>
  <c r="BA71"/>
  <c r="BA70"/>
  <c r="BA69"/>
  <c r="BA68"/>
  <c r="BA67"/>
  <c r="BA66"/>
  <c r="BA65"/>
  <c r="BA64"/>
  <c r="BA63"/>
  <c r="BA62"/>
  <c r="BA61"/>
  <c r="BA60"/>
  <c r="BA59"/>
  <c r="BA58"/>
  <c r="BA57"/>
  <c r="BA56"/>
  <c r="BA55"/>
  <c r="BA54"/>
  <c r="BA53"/>
  <c r="BA52"/>
  <c r="BA51"/>
  <c r="BA50"/>
  <c r="BA49"/>
  <c r="BA48"/>
  <c r="BA47"/>
  <c r="BA46"/>
  <c r="BA45"/>
  <c r="BA44"/>
  <c r="BA43"/>
  <c r="BA42"/>
  <c r="BA41"/>
  <c r="BA40"/>
  <c r="BA39"/>
  <c r="BA38"/>
  <c r="BA37"/>
  <c r="BA36"/>
  <c r="BA35"/>
  <c r="BA34"/>
  <c r="BA33"/>
  <c r="BA32"/>
  <c r="BA31"/>
  <c r="BA30"/>
  <c r="BA29"/>
  <c r="BA28"/>
  <c r="BA27"/>
  <c r="BA26"/>
  <c r="BA25"/>
  <c r="BA24"/>
  <c r="BA23"/>
  <c r="BA22"/>
  <c r="BA21"/>
  <c r="BA20"/>
  <c r="BA19"/>
  <c r="BA18"/>
  <c r="BA17"/>
  <c r="BA16"/>
  <c r="BA15"/>
  <c r="BA14"/>
  <c r="BA13"/>
  <c r="BA12"/>
  <c r="BA11"/>
  <c r="BA10"/>
  <c r="BA9"/>
  <c r="BA8"/>
  <c r="BA7"/>
  <c r="BA6"/>
  <c r="BA5"/>
  <c r="BA4"/>
  <c r="BA150" s="1"/>
  <c r="BA3"/>
  <c r="AZ147"/>
  <c r="AZ146"/>
  <c r="AZ145"/>
  <c r="AZ144"/>
  <c r="AZ143"/>
  <c r="AZ142"/>
  <c r="AZ141"/>
  <c r="AZ140"/>
  <c r="AZ139"/>
  <c r="AZ138"/>
  <c r="AZ137"/>
  <c r="AZ136"/>
  <c r="AZ135"/>
  <c r="AZ134"/>
  <c r="AZ133"/>
  <c r="AZ132"/>
  <c r="AZ131"/>
  <c r="AZ130"/>
  <c r="AZ129"/>
  <c r="AZ128"/>
  <c r="AZ127"/>
  <c r="AZ126"/>
  <c r="AZ125"/>
  <c r="AZ124"/>
  <c r="AZ123"/>
  <c r="AZ122"/>
  <c r="AZ121"/>
  <c r="AZ120"/>
  <c r="AZ119"/>
  <c r="AZ118"/>
  <c r="AZ117"/>
  <c r="AZ116"/>
  <c r="AZ115"/>
  <c r="AZ114"/>
  <c r="AZ113"/>
  <c r="AZ112"/>
  <c r="AZ111"/>
  <c r="AZ110"/>
  <c r="AZ109"/>
  <c r="AZ108"/>
  <c r="AZ107"/>
  <c r="AZ106"/>
  <c r="AZ105"/>
  <c r="AZ104"/>
  <c r="AZ103"/>
  <c r="AZ102"/>
  <c r="AZ101"/>
  <c r="AZ100"/>
  <c r="AZ99"/>
  <c r="AZ98"/>
  <c r="AZ97"/>
  <c r="AZ96"/>
  <c r="AZ95"/>
  <c r="AZ94"/>
  <c r="AZ93"/>
  <c r="AZ92"/>
  <c r="AZ91"/>
  <c r="AZ90"/>
  <c r="AZ89"/>
  <c r="AZ88"/>
  <c r="AZ87"/>
  <c r="AZ86"/>
  <c r="AZ85"/>
  <c r="AZ84"/>
  <c r="AZ83"/>
  <c r="AZ82"/>
  <c r="AZ81"/>
  <c r="AZ80"/>
  <c r="AZ79"/>
  <c r="AZ78"/>
  <c r="AZ77"/>
  <c r="AZ76"/>
  <c r="AZ75"/>
  <c r="AZ74"/>
  <c r="AZ73"/>
  <c r="AZ72"/>
  <c r="AZ71"/>
  <c r="AZ70"/>
  <c r="AZ69"/>
  <c r="AZ68"/>
  <c r="AZ67"/>
  <c r="AZ66"/>
  <c r="AZ65"/>
  <c r="AZ64"/>
  <c r="AZ63"/>
  <c r="AZ62"/>
  <c r="AZ61"/>
  <c r="AZ60"/>
  <c r="AZ59"/>
  <c r="AZ58"/>
  <c r="AZ57"/>
  <c r="AZ56"/>
  <c r="AZ55"/>
  <c r="AZ54"/>
  <c r="AZ53"/>
  <c r="AZ52"/>
  <c r="AZ51"/>
  <c r="AZ50"/>
  <c r="AZ49"/>
  <c r="AZ48"/>
  <c r="AZ47"/>
  <c r="AZ46"/>
  <c r="AZ45"/>
  <c r="AZ44"/>
  <c r="AZ43"/>
  <c r="AZ42"/>
  <c r="AZ41"/>
  <c r="AZ40"/>
  <c r="AZ39"/>
  <c r="AZ38"/>
  <c r="AZ37"/>
  <c r="AZ36"/>
  <c r="AZ35"/>
  <c r="AZ34"/>
  <c r="AZ33"/>
  <c r="AZ32"/>
  <c r="AZ31"/>
  <c r="AZ30"/>
  <c r="AZ29"/>
  <c r="AZ28"/>
  <c r="AZ27"/>
  <c r="AZ26"/>
  <c r="AZ25"/>
  <c r="AZ24"/>
  <c r="AZ23"/>
  <c r="AZ22"/>
  <c r="AZ21"/>
  <c r="AZ20"/>
  <c r="AZ19"/>
  <c r="AZ18"/>
  <c r="AZ17"/>
  <c r="AZ16"/>
  <c r="AZ15"/>
  <c r="AZ14"/>
  <c r="AZ13"/>
  <c r="AZ12"/>
  <c r="AZ11"/>
  <c r="AZ10"/>
  <c r="AZ9"/>
  <c r="AZ8"/>
  <c r="AZ7"/>
  <c r="AZ6"/>
  <c r="AZ5"/>
  <c r="AZ151" s="1"/>
  <c r="AZ4"/>
  <c r="AZ150" s="1"/>
  <c r="AZ3"/>
  <c r="AY147"/>
  <c r="AY146"/>
  <c r="AY145"/>
  <c r="AY144"/>
  <c r="AY143"/>
  <c r="AY142"/>
  <c r="AY141"/>
  <c r="AY140"/>
  <c r="AY139"/>
  <c r="AY138"/>
  <c r="AY137"/>
  <c r="AY136"/>
  <c r="AY135"/>
  <c r="AY134"/>
  <c r="AY133"/>
  <c r="AY132"/>
  <c r="AY131"/>
  <c r="AY130"/>
  <c r="AY129"/>
  <c r="AY128"/>
  <c r="AY127"/>
  <c r="AY126"/>
  <c r="AY125"/>
  <c r="AY124"/>
  <c r="AY123"/>
  <c r="AY122"/>
  <c r="AY121"/>
  <c r="AY120"/>
  <c r="AY119"/>
  <c r="AY118"/>
  <c r="AY117"/>
  <c r="AY116"/>
  <c r="AY115"/>
  <c r="AY114"/>
  <c r="AY113"/>
  <c r="AY112"/>
  <c r="AY111"/>
  <c r="AY110"/>
  <c r="AY109"/>
  <c r="AY108"/>
  <c r="AY107"/>
  <c r="AY106"/>
  <c r="AY105"/>
  <c r="AY104"/>
  <c r="AY103"/>
  <c r="AY102"/>
  <c r="AY101"/>
  <c r="AY100"/>
  <c r="AY99"/>
  <c r="AY98"/>
  <c r="AY97"/>
  <c r="AY96"/>
  <c r="AY95"/>
  <c r="AY94"/>
  <c r="AY93"/>
  <c r="AY92"/>
  <c r="AY91"/>
  <c r="AY90"/>
  <c r="AY89"/>
  <c r="AY88"/>
  <c r="AY87"/>
  <c r="AY86"/>
  <c r="AY85"/>
  <c r="AY84"/>
  <c r="AY83"/>
  <c r="AY82"/>
  <c r="AY81"/>
  <c r="AY80"/>
  <c r="AY79"/>
  <c r="AY78"/>
  <c r="AY77"/>
  <c r="AY76"/>
  <c r="AY75"/>
  <c r="AY74"/>
  <c r="AY73"/>
  <c r="AY72"/>
  <c r="AY71"/>
  <c r="AY70"/>
  <c r="AY69"/>
  <c r="AY68"/>
  <c r="AY67"/>
  <c r="AY66"/>
  <c r="AY65"/>
  <c r="AY64"/>
  <c r="AY63"/>
  <c r="AY62"/>
  <c r="AY61"/>
  <c r="AY60"/>
  <c r="AY59"/>
  <c r="AY58"/>
  <c r="AY57"/>
  <c r="AY56"/>
  <c r="AY55"/>
  <c r="AY54"/>
  <c r="AY53"/>
  <c r="AY52"/>
  <c r="AY51"/>
  <c r="AY50"/>
  <c r="AY49"/>
  <c r="AY48"/>
  <c r="AY47"/>
  <c r="AY46"/>
  <c r="AY45"/>
  <c r="AY44"/>
  <c r="AY43"/>
  <c r="AY42"/>
  <c r="AY41"/>
  <c r="AY40"/>
  <c r="AY39"/>
  <c r="AY38"/>
  <c r="AY37"/>
  <c r="AY36"/>
  <c r="AY35"/>
  <c r="AY34"/>
  <c r="AY33"/>
  <c r="AY32"/>
  <c r="AY31"/>
  <c r="AY30"/>
  <c r="AY29"/>
  <c r="AY28"/>
  <c r="AY27"/>
  <c r="AY26"/>
  <c r="AY25"/>
  <c r="AY24"/>
  <c r="AY23"/>
  <c r="AY22"/>
  <c r="AY21"/>
  <c r="AY20"/>
  <c r="AY19"/>
  <c r="AY18"/>
  <c r="AY17"/>
  <c r="AY16"/>
  <c r="AY15"/>
  <c r="AY14"/>
  <c r="AY13"/>
  <c r="AY12"/>
  <c r="AY11"/>
  <c r="AY10"/>
  <c r="AY9"/>
  <c r="AY8"/>
  <c r="AY7"/>
  <c r="AY6"/>
  <c r="AY5"/>
  <c r="AY4"/>
  <c r="AY150" s="1"/>
  <c r="AY3"/>
  <c r="AX147"/>
  <c r="AX146"/>
  <c r="AX145"/>
  <c r="AX144"/>
  <c r="AX143"/>
  <c r="AX142"/>
  <c r="AX141"/>
  <c r="AX140"/>
  <c r="AX139"/>
  <c r="AX138"/>
  <c r="AX137"/>
  <c r="AX136"/>
  <c r="AX135"/>
  <c r="AX134"/>
  <c r="AX133"/>
  <c r="AX132"/>
  <c r="AX131"/>
  <c r="AX130"/>
  <c r="AX129"/>
  <c r="AX128"/>
  <c r="AX127"/>
  <c r="AX126"/>
  <c r="AX125"/>
  <c r="AX124"/>
  <c r="AX123"/>
  <c r="AX122"/>
  <c r="AX121"/>
  <c r="AX120"/>
  <c r="AX119"/>
  <c r="AX118"/>
  <c r="AX117"/>
  <c r="AX116"/>
  <c r="AX115"/>
  <c r="AX114"/>
  <c r="AX113"/>
  <c r="AX112"/>
  <c r="AX111"/>
  <c r="AX110"/>
  <c r="AX109"/>
  <c r="AX108"/>
  <c r="AX107"/>
  <c r="AX106"/>
  <c r="AX105"/>
  <c r="AX104"/>
  <c r="AX103"/>
  <c r="AX102"/>
  <c r="AX101"/>
  <c r="AX100"/>
  <c r="AX99"/>
  <c r="AX98"/>
  <c r="AX97"/>
  <c r="AX96"/>
  <c r="AX95"/>
  <c r="AX94"/>
  <c r="AX93"/>
  <c r="AX92"/>
  <c r="AX91"/>
  <c r="AX90"/>
  <c r="AX89"/>
  <c r="AX88"/>
  <c r="AX87"/>
  <c r="AX86"/>
  <c r="AX85"/>
  <c r="AX84"/>
  <c r="AX83"/>
  <c r="AX82"/>
  <c r="AX81"/>
  <c r="AX80"/>
  <c r="AX79"/>
  <c r="AX78"/>
  <c r="AX77"/>
  <c r="AX76"/>
  <c r="AX75"/>
  <c r="AX74"/>
  <c r="AX73"/>
  <c r="AX72"/>
  <c r="AX71"/>
  <c r="AX70"/>
  <c r="AX69"/>
  <c r="AX68"/>
  <c r="AX67"/>
  <c r="AX66"/>
  <c r="AX65"/>
  <c r="AX64"/>
  <c r="AX63"/>
  <c r="AX62"/>
  <c r="AX61"/>
  <c r="AX60"/>
  <c r="AX59"/>
  <c r="AX58"/>
  <c r="AX57"/>
  <c r="AX56"/>
  <c r="AX55"/>
  <c r="AX54"/>
  <c r="AX53"/>
  <c r="AX52"/>
  <c r="AX51"/>
  <c r="AX50"/>
  <c r="AX49"/>
  <c r="AX48"/>
  <c r="AX47"/>
  <c r="AX46"/>
  <c r="AX45"/>
  <c r="AX44"/>
  <c r="AX43"/>
  <c r="AX42"/>
  <c r="AX41"/>
  <c r="AX40"/>
  <c r="AX39"/>
  <c r="AX38"/>
  <c r="AX37"/>
  <c r="AX36"/>
  <c r="AX35"/>
  <c r="AX34"/>
  <c r="AX33"/>
  <c r="AX32"/>
  <c r="AX31"/>
  <c r="AX30"/>
  <c r="AX29"/>
  <c r="AX28"/>
  <c r="AX27"/>
  <c r="AX26"/>
  <c r="AX25"/>
  <c r="AX24"/>
  <c r="AX23"/>
  <c r="AX22"/>
  <c r="AX21"/>
  <c r="AX20"/>
  <c r="AX19"/>
  <c r="AX18"/>
  <c r="AX17"/>
  <c r="AX16"/>
  <c r="AX15"/>
  <c r="AX14"/>
  <c r="AX13"/>
  <c r="AX12"/>
  <c r="AX11"/>
  <c r="AX10"/>
  <c r="AX9"/>
  <c r="AX8"/>
  <c r="AX7"/>
  <c r="AX6"/>
  <c r="AX5"/>
  <c r="AX151" s="1"/>
  <c r="AX4"/>
  <c r="AX150" s="1"/>
  <c r="AX3"/>
  <c r="AW147"/>
  <c r="AW146"/>
  <c r="AW145"/>
  <c r="AW144"/>
  <c r="AW143"/>
  <c r="AW142"/>
  <c r="AW141"/>
  <c r="AW140"/>
  <c r="AW139"/>
  <c r="AW138"/>
  <c r="AW137"/>
  <c r="AW136"/>
  <c r="AW135"/>
  <c r="AW134"/>
  <c r="AW133"/>
  <c r="AW132"/>
  <c r="AW131"/>
  <c r="AW130"/>
  <c r="AW129"/>
  <c r="AW128"/>
  <c r="AW127"/>
  <c r="AW126"/>
  <c r="AW125"/>
  <c r="AW124"/>
  <c r="AW123"/>
  <c r="AW122"/>
  <c r="AW121"/>
  <c r="AW120"/>
  <c r="AW119"/>
  <c r="AW118"/>
  <c r="AW117"/>
  <c r="AW116"/>
  <c r="AW115"/>
  <c r="AW114"/>
  <c r="AW113"/>
  <c r="AW112"/>
  <c r="AW111"/>
  <c r="AW110"/>
  <c r="AW109"/>
  <c r="AW108"/>
  <c r="AW107"/>
  <c r="AW106"/>
  <c r="AW105"/>
  <c r="AW104"/>
  <c r="AW103"/>
  <c r="AW102"/>
  <c r="AW101"/>
  <c r="AW100"/>
  <c r="AW99"/>
  <c r="AW98"/>
  <c r="AW97"/>
  <c r="AW96"/>
  <c r="AW95"/>
  <c r="AW94"/>
  <c r="AW93"/>
  <c r="AW92"/>
  <c r="AW91"/>
  <c r="AW90"/>
  <c r="AW89"/>
  <c r="AW88"/>
  <c r="AW87"/>
  <c r="AW86"/>
  <c r="AW85"/>
  <c r="AW84"/>
  <c r="AW83"/>
  <c r="AW82"/>
  <c r="AW81"/>
  <c r="AW80"/>
  <c r="AW79"/>
  <c r="AW78"/>
  <c r="AW77"/>
  <c r="AW76"/>
  <c r="AW75"/>
  <c r="AW74"/>
  <c r="AW73"/>
  <c r="AW72"/>
  <c r="AW71"/>
  <c r="AW70"/>
  <c r="AW69"/>
  <c r="AW68"/>
  <c r="AW67"/>
  <c r="AW66"/>
  <c r="AW65"/>
  <c r="AW64"/>
  <c r="AW63"/>
  <c r="AW62"/>
  <c r="AW61"/>
  <c r="AW60"/>
  <c r="AW59"/>
  <c r="AW58"/>
  <c r="AW57"/>
  <c r="AW56"/>
  <c r="AW55"/>
  <c r="AW54"/>
  <c r="AW53"/>
  <c r="AW52"/>
  <c r="AW51"/>
  <c r="AW50"/>
  <c r="AW49"/>
  <c r="AW48"/>
  <c r="AW47"/>
  <c r="AW46"/>
  <c r="AW45"/>
  <c r="AW44"/>
  <c r="AW43"/>
  <c r="AW42"/>
  <c r="AW41"/>
  <c r="AW40"/>
  <c r="AW39"/>
  <c r="AW38"/>
  <c r="AW37"/>
  <c r="AW36"/>
  <c r="AW35"/>
  <c r="AW34"/>
  <c r="AW33"/>
  <c r="AW32"/>
  <c r="AW31"/>
  <c r="AW30"/>
  <c r="AW29"/>
  <c r="AW28"/>
  <c r="AW27"/>
  <c r="AW26"/>
  <c r="AW25"/>
  <c r="AW24"/>
  <c r="AW23"/>
  <c r="AW22"/>
  <c r="AW21"/>
  <c r="AW20"/>
  <c r="AW19"/>
  <c r="AW18"/>
  <c r="AW17"/>
  <c r="AW16"/>
  <c r="AW15"/>
  <c r="AW14"/>
  <c r="AW13"/>
  <c r="AW12"/>
  <c r="AW11"/>
  <c r="AW10"/>
  <c r="AW9"/>
  <c r="AW8"/>
  <c r="AW7"/>
  <c r="AW6"/>
  <c r="AW5"/>
  <c r="AW4"/>
  <c r="AW150" s="1"/>
  <c r="AW3"/>
  <c r="AV147"/>
  <c r="AV146"/>
  <c r="AV145"/>
  <c r="AV144"/>
  <c r="AV143"/>
  <c r="AV142"/>
  <c r="AV141"/>
  <c r="AV140"/>
  <c r="AV139"/>
  <c r="AV138"/>
  <c r="AV137"/>
  <c r="AV136"/>
  <c r="AV135"/>
  <c r="AV134"/>
  <c r="AV133"/>
  <c r="AV132"/>
  <c r="AV131"/>
  <c r="AV130"/>
  <c r="AV129"/>
  <c r="AV128"/>
  <c r="AV127"/>
  <c r="AV126"/>
  <c r="AV125"/>
  <c r="AV124"/>
  <c r="AV123"/>
  <c r="AV122"/>
  <c r="AV121"/>
  <c r="AV120"/>
  <c r="AV119"/>
  <c r="AV118"/>
  <c r="AV117"/>
  <c r="AV116"/>
  <c r="AV115"/>
  <c r="AV114"/>
  <c r="AV113"/>
  <c r="AV112"/>
  <c r="AV111"/>
  <c r="AV110"/>
  <c r="AV109"/>
  <c r="AV108"/>
  <c r="AV107"/>
  <c r="AV106"/>
  <c r="AV105"/>
  <c r="AV104"/>
  <c r="AV103"/>
  <c r="AV102"/>
  <c r="AV101"/>
  <c r="AV100"/>
  <c r="AV99"/>
  <c r="AV98"/>
  <c r="AV97"/>
  <c r="AV96"/>
  <c r="AV95"/>
  <c r="AV94"/>
  <c r="AV93"/>
  <c r="AV92"/>
  <c r="AV91"/>
  <c r="AV90"/>
  <c r="AV89"/>
  <c r="AV88"/>
  <c r="AV87"/>
  <c r="AV86"/>
  <c r="AV85"/>
  <c r="AV84"/>
  <c r="AV83"/>
  <c r="AV82"/>
  <c r="AV81"/>
  <c r="AV80"/>
  <c r="AV79"/>
  <c r="AV78"/>
  <c r="AV77"/>
  <c r="AV76"/>
  <c r="AV75"/>
  <c r="AV74"/>
  <c r="AV73"/>
  <c r="AV72"/>
  <c r="AV71"/>
  <c r="AV70"/>
  <c r="AV69"/>
  <c r="AV68"/>
  <c r="AV67"/>
  <c r="AV66"/>
  <c r="AV65"/>
  <c r="AV64"/>
  <c r="AV63"/>
  <c r="AV62"/>
  <c r="AV61"/>
  <c r="AV60"/>
  <c r="AV59"/>
  <c r="AV58"/>
  <c r="AV57"/>
  <c r="AV56"/>
  <c r="AV55"/>
  <c r="AV54"/>
  <c r="AV53"/>
  <c r="AV52"/>
  <c r="AV51"/>
  <c r="AV50"/>
  <c r="AV49"/>
  <c r="AV48"/>
  <c r="AV47"/>
  <c r="AV46"/>
  <c r="AV45"/>
  <c r="AV44"/>
  <c r="AV43"/>
  <c r="AV42"/>
  <c r="AV41"/>
  <c r="AV40"/>
  <c r="AV39"/>
  <c r="AV38"/>
  <c r="AV37"/>
  <c r="AV36"/>
  <c r="AV35"/>
  <c r="AV34"/>
  <c r="AV33"/>
  <c r="AV32"/>
  <c r="AV31"/>
  <c r="AV30"/>
  <c r="AV29"/>
  <c r="AV28"/>
  <c r="AV27"/>
  <c r="AV26"/>
  <c r="AV25"/>
  <c r="AV24"/>
  <c r="AV23"/>
  <c r="AV22"/>
  <c r="AV21"/>
  <c r="AV20"/>
  <c r="AV19"/>
  <c r="AV18"/>
  <c r="AV17"/>
  <c r="AV16"/>
  <c r="AV15"/>
  <c r="AV14"/>
  <c r="AV13"/>
  <c r="AV12"/>
  <c r="AV11"/>
  <c r="AV10"/>
  <c r="AV9"/>
  <c r="AV8"/>
  <c r="AV7"/>
  <c r="AV6"/>
  <c r="AV5"/>
  <c r="AV151" s="1"/>
  <c r="AV4"/>
  <c r="AV150" s="1"/>
  <c r="AV3"/>
  <c r="AU147"/>
  <c r="AU146"/>
  <c r="AU145"/>
  <c r="AU144"/>
  <c r="AU143"/>
  <c r="AU142"/>
  <c r="AU141"/>
  <c r="AU140"/>
  <c r="AU139"/>
  <c r="AU138"/>
  <c r="AU137"/>
  <c r="AU136"/>
  <c r="AU135"/>
  <c r="AU134"/>
  <c r="AU133"/>
  <c r="AU132"/>
  <c r="AU131"/>
  <c r="AU130"/>
  <c r="AU129"/>
  <c r="AU128"/>
  <c r="AU127"/>
  <c r="AU126"/>
  <c r="AU125"/>
  <c r="AU124"/>
  <c r="AU123"/>
  <c r="AU122"/>
  <c r="AU121"/>
  <c r="AU120"/>
  <c r="AU119"/>
  <c r="AU118"/>
  <c r="AU117"/>
  <c r="AU116"/>
  <c r="AU115"/>
  <c r="AU114"/>
  <c r="AU113"/>
  <c r="AU112"/>
  <c r="AU111"/>
  <c r="AU110"/>
  <c r="AU109"/>
  <c r="AU108"/>
  <c r="AU107"/>
  <c r="AU106"/>
  <c r="AU105"/>
  <c r="AU104"/>
  <c r="AU103"/>
  <c r="AU102"/>
  <c r="AU101"/>
  <c r="AU100"/>
  <c r="AU99"/>
  <c r="AU98"/>
  <c r="AU97"/>
  <c r="AU96"/>
  <c r="AU95"/>
  <c r="AU94"/>
  <c r="AU93"/>
  <c r="AU92"/>
  <c r="AU91"/>
  <c r="AU90"/>
  <c r="AU89"/>
  <c r="AU88"/>
  <c r="AU87"/>
  <c r="AU86"/>
  <c r="AU85"/>
  <c r="AU84"/>
  <c r="AU83"/>
  <c r="AU82"/>
  <c r="AU81"/>
  <c r="AU80"/>
  <c r="AU79"/>
  <c r="AU78"/>
  <c r="AU77"/>
  <c r="AU76"/>
  <c r="AU75"/>
  <c r="AU74"/>
  <c r="AU73"/>
  <c r="AU72"/>
  <c r="AU71"/>
  <c r="AU70"/>
  <c r="AU69"/>
  <c r="AU68"/>
  <c r="AU67"/>
  <c r="AU66"/>
  <c r="AU65"/>
  <c r="AU64"/>
  <c r="AU63"/>
  <c r="AU62"/>
  <c r="AU61"/>
  <c r="AU60"/>
  <c r="AU59"/>
  <c r="AU58"/>
  <c r="AU57"/>
  <c r="AU56"/>
  <c r="AU55"/>
  <c r="AU54"/>
  <c r="AU53"/>
  <c r="AU52"/>
  <c r="AU51"/>
  <c r="AU50"/>
  <c r="AU49"/>
  <c r="AU48"/>
  <c r="AU47"/>
  <c r="AU46"/>
  <c r="AU45"/>
  <c r="AU44"/>
  <c r="AU43"/>
  <c r="AU42"/>
  <c r="AU41"/>
  <c r="AU40"/>
  <c r="AU39"/>
  <c r="AU38"/>
  <c r="AU37"/>
  <c r="AU36"/>
  <c r="AU35"/>
  <c r="AU34"/>
  <c r="AU33"/>
  <c r="AU32"/>
  <c r="AU31"/>
  <c r="AU30"/>
  <c r="AU29"/>
  <c r="AU28"/>
  <c r="AU27"/>
  <c r="AU26"/>
  <c r="AU25"/>
  <c r="AU24"/>
  <c r="AU23"/>
  <c r="AU22"/>
  <c r="AU21"/>
  <c r="AU20"/>
  <c r="AU19"/>
  <c r="AU18"/>
  <c r="AU17"/>
  <c r="AU16"/>
  <c r="AU15"/>
  <c r="AU14"/>
  <c r="AU13"/>
  <c r="AU12"/>
  <c r="AU11"/>
  <c r="AU10"/>
  <c r="AU9"/>
  <c r="AU8"/>
  <c r="AU7"/>
  <c r="AU6"/>
  <c r="AU5"/>
  <c r="AU4"/>
  <c r="AU150" s="1"/>
  <c r="AU3"/>
  <c r="AT147"/>
  <c r="AT146"/>
  <c r="AT145"/>
  <c r="AT144"/>
  <c r="AT143"/>
  <c r="AT142"/>
  <c r="AT141"/>
  <c r="AT140"/>
  <c r="AT139"/>
  <c r="AT138"/>
  <c r="AT137"/>
  <c r="AT136"/>
  <c r="AT135"/>
  <c r="AT134"/>
  <c r="AT133"/>
  <c r="AT132"/>
  <c r="AT131"/>
  <c r="AT130"/>
  <c r="AT129"/>
  <c r="AT128"/>
  <c r="AT127"/>
  <c r="AT126"/>
  <c r="AT125"/>
  <c r="AT124"/>
  <c r="AT123"/>
  <c r="AT122"/>
  <c r="AT121"/>
  <c r="AT120"/>
  <c r="AT119"/>
  <c r="AT118"/>
  <c r="AT117"/>
  <c r="AT116"/>
  <c r="AT115"/>
  <c r="AT114"/>
  <c r="AT113"/>
  <c r="AT112"/>
  <c r="AT111"/>
  <c r="AT110"/>
  <c r="AT109"/>
  <c r="AT108"/>
  <c r="AT107"/>
  <c r="AT106"/>
  <c r="AT105"/>
  <c r="AT104"/>
  <c r="AT103"/>
  <c r="AT102"/>
  <c r="AT101"/>
  <c r="AT100"/>
  <c r="AT99"/>
  <c r="AT98"/>
  <c r="AT97"/>
  <c r="AT96"/>
  <c r="AT95"/>
  <c r="AT94"/>
  <c r="AT93"/>
  <c r="AT92"/>
  <c r="AT91"/>
  <c r="AT90"/>
  <c r="AT89"/>
  <c r="AT88"/>
  <c r="AT87"/>
  <c r="AT86"/>
  <c r="AT85"/>
  <c r="AT84"/>
  <c r="AT83"/>
  <c r="AT82"/>
  <c r="AT81"/>
  <c r="AT80"/>
  <c r="AT79"/>
  <c r="AT78"/>
  <c r="AT77"/>
  <c r="AT76"/>
  <c r="AT75"/>
  <c r="AT74"/>
  <c r="AT73"/>
  <c r="AT72"/>
  <c r="AT71"/>
  <c r="AT70"/>
  <c r="AT69"/>
  <c r="AT68"/>
  <c r="AT67"/>
  <c r="AT66"/>
  <c r="AT65"/>
  <c r="AT64"/>
  <c r="AT63"/>
  <c r="AT62"/>
  <c r="AT61"/>
  <c r="AT60"/>
  <c r="AT59"/>
  <c r="AT58"/>
  <c r="AT57"/>
  <c r="AT56"/>
  <c r="AT55"/>
  <c r="AT54"/>
  <c r="AT53"/>
  <c r="AT52"/>
  <c r="AT51"/>
  <c r="AT50"/>
  <c r="AT49"/>
  <c r="AT48"/>
  <c r="AT47"/>
  <c r="AT46"/>
  <c r="AT45"/>
  <c r="AT44"/>
  <c r="AT43"/>
  <c r="AT42"/>
  <c r="AT41"/>
  <c r="AT40"/>
  <c r="AT39"/>
  <c r="AT38"/>
  <c r="AT37"/>
  <c r="AT36"/>
  <c r="AT35"/>
  <c r="AT34"/>
  <c r="AT33"/>
  <c r="AT32"/>
  <c r="AT31"/>
  <c r="AT30"/>
  <c r="AT29"/>
  <c r="AT28"/>
  <c r="AT27"/>
  <c r="AT26"/>
  <c r="AT25"/>
  <c r="AT24"/>
  <c r="AT23"/>
  <c r="AT22"/>
  <c r="AT21"/>
  <c r="AT20"/>
  <c r="AT19"/>
  <c r="AT18"/>
  <c r="AT17"/>
  <c r="AT16"/>
  <c r="AT15"/>
  <c r="AT14"/>
  <c r="AT13"/>
  <c r="AT12"/>
  <c r="AT11"/>
  <c r="AT10"/>
  <c r="AT9"/>
  <c r="AT8"/>
  <c r="AT7"/>
  <c r="AT6"/>
  <c r="AT5"/>
  <c r="AT151" s="1"/>
  <c r="AT4"/>
  <c r="AT150" s="1"/>
  <c r="AT3"/>
  <c r="AS147"/>
  <c r="AS146"/>
  <c r="AS145"/>
  <c r="AS144"/>
  <c r="AS143"/>
  <c r="AS142"/>
  <c r="AS141"/>
  <c r="AS140"/>
  <c r="AS139"/>
  <c r="AS138"/>
  <c r="AS137"/>
  <c r="AS136"/>
  <c r="AS135"/>
  <c r="AS134"/>
  <c r="AS133"/>
  <c r="AS132"/>
  <c r="AS131"/>
  <c r="AS130"/>
  <c r="AS129"/>
  <c r="AS128"/>
  <c r="AS127"/>
  <c r="AS126"/>
  <c r="AS125"/>
  <c r="AS124"/>
  <c r="AS123"/>
  <c r="AS122"/>
  <c r="AS121"/>
  <c r="AS120"/>
  <c r="AS119"/>
  <c r="AS118"/>
  <c r="AS117"/>
  <c r="AS116"/>
  <c r="AS115"/>
  <c r="AS114"/>
  <c r="AS113"/>
  <c r="AS112"/>
  <c r="AS111"/>
  <c r="AS110"/>
  <c r="AS109"/>
  <c r="AS108"/>
  <c r="AS107"/>
  <c r="AS106"/>
  <c r="AS105"/>
  <c r="AS104"/>
  <c r="AS103"/>
  <c r="AS102"/>
  <c r="AS101"/>
  <c r="AS100"/>
  <c r="AS99"/>
  <c r="AS98"/>
  <c r="AS97"/>
  <c r="AS96"/>
  <c r="AS95"/>
  <c r="AS94"/>
  <c r="AS93"/>
  <c r="AS92"/>
  <c r="AS91"/>
  <c r="AS90"/>
  <c r="AS89"/>
  <c r="AS88"/>
  <c r="AS87"/>
  <c r="AS86"/>
  <c r="AS85"/>
  <c r="AS84"/>
  <c r="AS83"/>
  <c r="AS82"/>
  <c r="AS81"/>
  <c r="AS80"/>
  <c r="AS79"/>
  <c r="AS78"/>
  <c r="AS77"/>
  <c r="AS76"/>
  <c r="AS75"/>
  <c r="AS74"/>
  <c r="AS73"/>
  <c r="AS72"/>
  <c r="AS71"/>
  <c r="AS70"/>
  <c r="AS69"/>
  <c r="AS68"/>
  <c r="AS67"/>
  <c r="AS66"/>
  <c r="AS65"/>
  <c r="AS64"/>
  <c r="AS63"/>
  <c r="AS62"/>
  <c r="AS61"/>
  <c r="AS60"/>
  <c r="AS59"/>
  <c r="AS58"/>
  <c r="AS57"/>
  <c r="AS56"/>
  <c r="AS55"/>
  <c r="AS54"/>
  <c r="AS53"/>
  <c r="AS52"/>
  <c r="AS51"/>
  <c r="AS50"/>
  <c r="AS49"/>
  <c r="AS48"/>
  <c r="AS47"/>
  <c r="AS46"/>
  <c r="AS45"/>
  <c r="AS44"/>
  <c r="AS43"/>
  <c r="AS42"/>
  <c r="AS41"/>
  <c r="AS40"/>
  <c r="AS39"/>
  <c r="AS38"/>
  <c r="AS37"/>
  <c r="AS36"/>
  <c r="AS35"/>
  <c r="AS34"/>
  <c r="AS33"/>
  <c r="AS32"/>
  <c r="AS31"/>
  <c r="AS30"/>
  <c r="AS29"/>
  <c r="AS28"/>
  <c r="AS27"/>
  <c r="AS26"/>
  <c r="AS25"/>
  <c r="AS24"/>
  <c r="AS23"/>
  <c r="AS22"/>
  <c r="AS21"/>
  <c r="AS20"/>
  <c r="AS19"/>
  <c r="AS18"/>
  <c r="AS17"/>
  <c r="AS16"/>
  <c r="AS15"/>
  <c r="AS14"/>
  <c r="AS13"/>
  <c r="AS12"/>
  <c r="AS11"/>
  <c r="AS10"/>
  <c r="AS9"/>
  <c r="AS8"/>
  <c r="AS7"/>
  <c r="AS6"/>
  <c r="AS5"/>
  <c r="AS4"/>
  <c r="AS150" s="1"/>
  <c r="AS3"/>
  <c r="AR147"/>
  <c r="AR146"/>
  <c r="AR145"/>
  <c r="AR144"/>
  <c r="AR143"/>
  <c r="AR142"/>
  <c r="AR141"/>
  <c r="AR140"/>
  <c r="AR139"/>
  <c r="AR138"/>
  <c r="AR137"/>
  <c r="AR136"/>
  <c r="AR135"/>
  <c r="AR134"/>
  <c r="AR133"/>
  <c r="AR132"/>
  <c r="AR131"/>
  <c r="AR130"/>
  <c r="AR129"/>
  <c r="AR128"/>
  <c r="AR127"/>
  <c r="AR126"/>
  <c r="AR125"/>
  <c r="AR124"/>
  <c r="AR123"/>
  <c r="AR122"/>
  <c r="AR121"/>
  <c r="AR120"/>
  <c r="AR119"/>
  <c r="AR118"/>
  <c r="AR117"/>
  <c r="AR116"/>
  <c r="AR115"/>
  <c r="AR114"/>
  <c r="AR113"/>
  <c r="AR112"/>
  <c r="AR111"/>
  <c r="AR110"/>
  <c r="AR109"/>
  <c r="AR108"/>
  <c r="AR107"/>
  <c r="AR106"/>
  <c r="AR105"/>
  <c r="AR104"/>
  <c r="AR103"/>
  <c r="AR102"/>
  <c r="AR101"/>
  <c r="AR100"/>
  <c r="AR99"/>
  <c r="AR98"/>
  <c r="AR97"/>
  <c r="AR96"/>
  <c r="AR95"/>
  <c r="AR94"/>
  <c r="AR93"/>
  <c r="AR92"/>
  <c r="AR91"/>
  <c r="AR90"/>
  <c r="AR89"/>
  <c r="AR88"/>
  <c r="AR87"/>
  <c r="AR86"/>
  <c r="AR85"/>
  <c r="AR84"/>
  <c r="AR83"/>
  <c r="AR82"/>
  <c r="AR81"/>
  <c r="AR80"/>
  <c r="AR79"/>
  <c r="AR78"/>
  <c r="AR77"/>
  <c r="AR76"/>
  <c r="AR75"/>
  <c r="AR74"/>
  <c r="AR73"/>
  <c r="AR72"/>
  <c r="AR71"/>
  <c r="AR70"/>
  <c r="AR69"/>
  <c r="AR68"/>
  <c r="AR67"/>
  <c r="AR66"/>
  <c r="AR65"/>
  <c r="AR64"/>
  <c r="AR63"/>
  <c r="AR62"/>
  <c r="AR61"/>
  <c r="AR60"/>
  <c r="AR59"/>
  <c r="AR58"/>
  <c r="AR57"/>
  <c r="AR56"/>
  <c r="AR55"/>
  <c r="AR54"/>
  <c r="AR53"/>
  <c r="AR52"/>
  <c r="AR51"/>
  <c r="AR50"/>
  <c r="AR49"/>
  <c r="AR48"/>
  <c r="AR47"/>
  <c r="AR46"/>
  <c r="AR45"/>
  <c r="AR44"/>
  <c r="AR43"/>
  <c r="AR42"/>
  <c r="AR41"/>
  <c r="AR40"/>
  <c r="AR39"/>
  <c r="AR38"/>
  <c r="AR37"/>
  <c r="AR36"/>
  <c r="AR35"/>
  <c r="AR34"/>
  <c r="AR33"/>
  <c r="AR32"/>
  <c r="AR31"/>
  <c r="AR30"/>
  <c r="AR29"/>
  <c r="AR28"/>
  <c r="AR27"/>
  <c r="AR26"/>
  <c r="AR25"/>
  <c r="AR24"/>
  <c r="AR23"/>
  <c r="AR22"/>
  <c r="AR21"/>
  <c r="AR20"/>
  <c r="AR19"/>
  <c r="AR18"/>
  <c r="AR17"/>
  <c r="AR16"/>
  <c r="AR15"/>
  <c r="AR14"/>
  <c r="AR13"/>
  <c r="AR12"/>
  <c r="AR11"/>
  <c r="AR10"/>
  <c r="AR9"/>
  <c r="AR8"/>
  <c r="AR7"/>
  <c r="AR6"/>
  <c r="AR5"/>
  <c r="AR151" s="1"/>
  <c r="AR4"/>
  <c r="AR150" s="1"/>
  <c r="AR3"/>
  <c r="AQ147"/>
  <c r="AQ146"/>
  <c r="AQ145"/>
  <c r="AQ144"/>
  <c r="AQ143"/>
  <c r="AQ142"/>
  <c r="AQ141"/>
  <c r="AQ140"/>
  <c r="AQ139"/>
  <c r="AQ138"/>
  <c r="AQ137"/>
  <c r="AQ136"/>
  <c r="AQ135"/>
  <c r="AQ134"/>
  <c r="AQ133"/>
  <c r="AQ132"/>
  <c r="AQ131"/>
  <c r="AQ130"/>
  <c r="AQ129"/>
  <c r="AQ128"/>
  <c r="AQ127"/>
  <c r="AQ126"/>
  <c r="AQ125"/>
  <c r="AQ124"/>
  <c r="AQ123"/>
  <c r="AQ122"/>
  <c r="AQ121"/>
  <c r="AQ120"/>
  <c r="AQ119"/>
  <c r="AQ118"/>
  <c r="AQ117"/>
  <c r="AQ116"/>
  <c r="AQ115"/>
  <c r="AQ114"/>
  <c r="AQ113"/>
  <c r="AQ112"/>
  <c r="AQ111"/>
  <c r="AQ110"/>
  <c r="AQ109"/>
  <c r="AQ108"/>
  <c r="AQ107"/>
  <c r="AQ106"/>
  <c r="AQ105"/>
  <c r="AQ104"/>
  <c r="AQ103"/>
  <c r="AQ102"/>
  <c r="AQ101"/>
  <c r="AQ100"/>
  <c r="AQ99"/>
  <c r="AQ98"/>
  <c r="AQ97"/>
  <c r="AQ96"/>
  <c r="AQ95"/>
  <c r="AQ94"/>
  <c r="AQ93"/>
  <c r="AQ92"/>
  <c r="AQ91"/>
  <c r="AQ90"/>
  <c r="AQ89"/>
  <c r="AQ88"/>
  <c r="AQ87"/>
  <c r="AQ86"/>
  <c r="AQ85"/>
  <c r="AQ84"/>
  <c r="AQ83"/>
  <c r="AQ82"/>
  <c r="AQ81"/>
  <c r="AQ80"/>
  <c r="AQ79"/>
  <c r="AQ78"/>
  <c r="AQ77"/>
  <c r="AQ76"/>
  <c r="AQ75"/>
  <c r="AQ74"/>
  <c r="AQ73"/>
  <c r="AQ72"/>
  <c r="AQ71"/>
  <c r="AQ70"/>
  <c r="AQ69"/>
  <c r="AQ68"/>
  <c r="AQ67"/>
  <c r="AQ66"/>
  <c r="AQ65"/>
  <c r="AQ64"/>
  <c r="AQ63"/>
  <c r="AQ62"/>
  <c r="AQ61"/>
  <c r="AQ60"/>
  <c r="AQ59"/>
  <c r="AQ58"/>
  <c r="AQ57"/>
  <c r="AQ56"/>
  <c r="AQ55"/>
  <c r="AQ54"/>
  <c r="AQ53"/>
  <c r="AQ52"/>
  <c r="AQ51"/>
  <c r="AQ50"/>
  <c r="AQ49"/>
  <c r="AQ48"/>
  <c r="AQ47"/>
  <c r="AQ46"/>
  <c r="AQ45"/>
  <c r="AQ44"/>
  <c r="AQ43"/>
  <c r="AQ42"/>
  <c r="AQ41"/>
  <c r="AQ40"/>
  <c r="AQ39"/>
  <c r="AQ38"/>
  <c r="AQ37"/>
  <c r="AQ36"/>
  <c r="AQ35"/>
  <c r="AQ34"/>
  <c r="AQ33"/>
  <c r="AQ32"/>
  <c r="AQ31"/>
  <c r="AQ30"/>
  <c r="AQ29"/>
  <c r="AQ28"/>
  <c r="AQ27"/>
  <c r="AQ26"/>
  <c r="AQ25"/>
  <c r="AQ24"/>
  <c r="AQ23"/>
  <c r="AQ22"/>
  <c r="AQ21"/>
  <c r="AQ20"/>
  <c r="AQ19"/>
  <c r="AQ18"/>
  <c r="AQ17"/>
  <c r="AQ16"/>
  <c r="AQ15"/>
  <c r="AQ14"/>
  <c r="AQ13"/>
  <c r="AQ12"/>
  <c r="AQ11"/>
  <c r="AQ10"/>
  <c r="AQ9"/>
  <c r="AQ8"/>
  <c r="AQ7"/>
  <c r="AQ6"/>
  <c r="AQ5"/>
  <c r="AQ4"/>
  <c r="AQ150" s="1"/>
  <c r="AQ3"/>
  <c r="AP147"/>
  <c r="AP146"/>
  <c r="AP145"/>
  <c r="AP144"/>
  <c r="AP143"/>
  <c r="AP142"/>
  <c r="AP141"/>
  <c r="AP140"/>
  <c r="AP139"/>
  <c r="AP138"/>
  <c r="AP137"/>
  <c r="AP136"/>
  <c r="AP135"/>
  <c r="AP134"/>
  <c r="AP133"/>
  <c r="AP132"/>
  <c r="AP131"/>
  <c r="AP130"/>
  <c r="AP129"/>
  <c r="AP128"/>
  <c r="AP127"/>
  <c r="AP126"/>
  <c r="AP125"/>
  <c r="AP124"/>
  <c r="AP123"/>
  <c r="AP122"/>
  <c r="AP121"/>
  <c r="AP120"/>
  <c r="AP119"/>
  <c r="AP118"/>
  <c r="AP117"/>
  <c r="AP116"/>
  <c r="AP115"/>
  <c r="AP114"/>
  <c r="AP113"/>
  <c r="AP112"/>
  <c r="AP111"/>
  <c r="AP110"/>
  <c r="AP109"/>
  <c r="AP108"/>
  <c r="AP107"/>
  <c r="AP106"/>
  <c r="AP105"/>
  <c r="AP104"/>
  <c r="AP103"/>
  <c r="AP102"/>
  <c r="AP101"/>
  <c r="AP100"/>
  <c r="AP99"/>
  <c r="AP98"/>
  <c r="AP97"/>
  <c r="AP96"/>
  <c r="AP95"/>
  <c r="AP94"/>
  <c r="AP93"/>
  <c r="AP92"/>
  <c r="AP91"/>
  <c r="AP90"/>
  <c r="AP89"/>
  <c r="AP88"/>
  <c r="AP87"/>
  <c r="AP86"/>
  <c r="AP85"/>
  <c r="AP84"/>
  <c r="AP83"/>
  <c r="AP82"/>
  <c r="AP81"/>
  <c r="AP80"/>
  <c r="AP79"/>
  <c r="AP78"/>
  <c r="AP77"/>
  <c r="AP76"/>
  <c r="AP75"/>
  <c r="AP74"/>
  <c r="AP73"/>
  <c r="AP72"/>
  <c r="AP71"/>
  <c r="AP70"/>
  <c r="AP69"/>
  <c r="AP68"/>
  <c r="AP67"/>
  <c r="AP66"/>
  <c r="AP65"/>
  <c r="AP64"/>
  <c r="AP63"/>
  <c r="AP62"/>
  <c r="AP61"/>
  <c r="AP60"/>
  <c r="AP59"/>
  <c r="AP58"/>
  <c r="AP57"/>
  <c r="AP56"/>
  <c r="AP55"/>
  <c r="AP54"/>
  <c r="AP53"/>
  <c r="AP52"/>
  <c r="AP51"/>
  <c r="AP50"/>
  <c r="AP49"/>
  <c r="AP48"/>
  <c r="AP47"/>
  <c r="AP46"/>
  <c r="AP45"/>
  <c r="AP44"/>
  <c r="AP43"/>
  <c r="AP42"/>
  <c r="AP41"/>
  <c r="AP40"/>
  <c r="AP39"/>
  <c r="AP38"/>
  <c r="AP37"/>
  <c r="AP36"/>
  <c r="AP35"/>
  <c r="AP34"/>
  <c r="AP33"/>
  <c r="AP32"/>
  <c r="AP31"/>
  <c r="AP30"/>
  <c r="AP29"/>
  <c r="AP28"/>
  <c r="AP27"/>
  <c r="AP26"/>
  <c r="AP25"/>
  <c r="AP24"/>
  <c r="AP23"/>
  <c r="AP22"/>
  <c r="AP21"/>
  <c r="AP20"/>
  <c r="AP19"/>
  <c r="AP18"/>
  <c r="AP17"/>
  <c r="AP16"/>
  <c r="AP15"/>
  <c r="AP14"/>
  <c r="AP13"/>
  <c r="AP12"/>
  <c r="AP11"/>
  <c r="AP10"/>
  <c r="AP9"/>
  <c r="AP8"/>
  <c r="AP7"/>
  <c r="AP6"/>
  <c r="AP5"/>
  <c r="AP151" s="1"/>
  <c r="AP4"/>
  <c r="AP3"/>
  <c r="AO147"/>
  <c r="AO146"/>
  <c r="AO145"/>
  <c r="AO144"/>
  <c r="AO143"/>
  <c r="AO142"/>
  <c r="AO141"/>
  <c r="AO140"/>
  <c r="AO139"/>
  <c r="AO138"/>
  <c r="AO137"/>
  <c r="AO136"/>
  <c r="AO135"/>
  <c r="AO134"/>
  <c r="AO133"/>
  <c r="AO132"/>
  <c r="AO131"/>
  <c r="AO130"/>
  <c r="AO129"/>
  <c r="AO128"/>
  <c r="AO127"/>
  <c r="AO126"/>
  <c r="AO125"/>
  <c r="AO124"/>
  <c r="AO123"/>
  <c r="AO122"/>
  <c r="AO121"/>
  <c r="AO120"/>
  <c r="AO119"/>
  <c r="AO118"/>
  <c r="AO117"/>
  <c r="AO116"/>
  <c r="AO115"/>
  <c r="AO114"/>
  <c r="AO113"/>
  <c r="AO112"/>
  <c r="AO111"/>
  <c r="AO110"/>
  <c r="AO109"/>
  <c r="AO108"/>
  <c r="AO107"/>
  <c r="AO106"/>
  <c r="AO105"/>
  <c r="AO104"/>
  <c r="AO103"/>
  <c r="AO102"/>
  <c r="AO101"/>
  <c r="AO100"/>
  <c r="AO99"/>
  <c r="AO98"/>
  <c r="AO97"/>
  <c r="AO96"/>
  <c r="AO95"/>
  <c r="AO94"/>
  <c r="AO93"/>
  <c r="AO92"/>
  <c r="AO91"/>
  <c r="AO90"/>
  <c r="AO89"/>
  <c r="AO88"/>
  <c r="AO87"/>
  <c r="AO86"/>
  <c r="AO85"/>
  <c r="AO84"/>
  <c r="AO83"/>
  <c r="AO82"/>
  <c r="AO81"/>
  <c r="AO80"/>
  <c r="AO79"/>
  <c r="AO78"/>
  <c r="AO77"/>
  <c r="AO76"/>
  <c r="AO75"/>
  <c r="AO74"/>
  <c r="AO73"/>
  <c r="AO72"/>
  <c r="AO71"/>
  <c r="AO70"/>
  <c r="AO69"/>
  <c r="AO68"/>
  <c r="AO67"/>
  <c r="AO66"/>
  <c r="AO65"/>
  <c r="AO64"/>
  <c r="AO63"/>
  <c r="AO62"/>
  <c r="AO61"/>
  <c r="AO60"/>
  <c r="AO59"/>
  <c r="AO58"/>
  <c r="AO57"/>
  <c r="AO56"/>
  <c r="AO55"/>
  <c r="AO54"/>
  <c r="AO53"/>
  <c r="AO52"/>
  <c r="AO51"/>
  <c r="AO50"/>
  <c r="AO49"/>
  <c r="AO48"/>
  <c r="AO47"/>
  <c r="AO46"/>
  <c r="AO45"/>
  <c r="AO44"/>
  <c r="AO43"/>
  <c r="AO42"/>
  <c r="AO41"/>
  <c r="AO40"/>
  <c r="AO39"/>
  <c r="AO38"/>
  <c r="AO37"/>
  <c r="AO36"/>
  <c r="AO35"/>
  <c r="AO34"/>
  <c r="AO33"/>
  <c r="AO32"/>
  <c r="AO31"/>
  <c r="AO30"/>
  <c r="AO29"/>
  <c r="AO28"/>
  <c r="AO27"/>
  <c r="AO26"/>
  <c r="AO25"/>
  <c r="AO24"/>
  <c r="AO23"/>
  <c r="AO22"/>
  <c r="AO21"/>
  <c r="AO20"/>
  <c r="AO19"/>
  <c r="AO18"/>
  <c r="AO17"/>
  <c r="AO16"/>
  <c r="AO15"/>
  <c r="AO14"/>
  <c r="AO13"/>
  <c r="AO12"/>
  <c r="AO11"/>
  <c r="AO10"/>
  <c r="AO9"/>
  <c r="AO8"/>
  <c r="AO7"/>
  <c r="AO6"/>
  <c r="AO5"/>
  <c r="AO4"/>
  <c r="AO150" s="1"/>
  <c r="AO3"/>
  <c r="AN147"/>
  <c r="AN146"/>
  <c r="AN145"/>
  <c r="AN144"/>
  <c r="AN143"/>
  <c r="AN142"/>
  <c r="AN141"/>
  <c r="AN140"/>
  <c r="AN139"/>
  <c r="AN138"/>
  <c r="AN137"/>
  <c r="AN136"/>
  <c r="AN135"/>
  <c r="AN134"/>
  <c r="AN133"/>
  <c r="AN132"/>
  <c r="AN131"/>
  <c r="AN130"/>
  <c r="AN129"/>
  <c r="AN128"/>
  <c r="AN127"/>
  <c r="AN126"/>
  <c r="AN125"/>
  <c r="AN124"/>
  <c r="AN123"/>
  <c r="AN122"/>
  <c r="AN121"/>
  <c r="AN120"/>
  <c r="AN119"/>
  <c r="AN118"/>
  <c r="AN117"/>
  <c r="AN116"/>
  <c r="AN115"/>
  <c r="AN114"/>
  <c r="AN113"/>
  <c r="AN112"/>
  <c r="AN111"/>
  <c r="AN110"/>
  <c r="AN109"/>
  <c r="AN108"/>
  <c r="AN107"/>
  <c r="AN106"/>
  <c r="AN105"/>
  <c r="AN104"/>
  <c r="AN103"/>
  <c r="AN102"/>
  <c r="AN101"/>
  <c r="AN100"/>
  <c r="AN99"/>
  <c r="AN98"/>
  <c r="AN97"/>
  <c r="AN96"/>
  <c r="AN95"/>
  <c r="AN94"/>
  <c r="AN93"/>
  <c r="AN92"/>
  <c r="AN91"/>
  <c r="AN90"/>
  <c r="AN89"/>
  <c r="AN88"/>
  <c r="AN87"/>
  <c r="AN86"/>
  <c r="AN85"/>
  <c r="AN84"/>
  <c r="AN83"/>
  <c r="AN82"/>
  <c r="AN81"/>
  <c r="AN80"/>
  <c r="AN79"/>
  <c r="AN78"/>
  <c r="AN77"/>
  <c r="AN76"/>
  <c r="AN75"/>
  <c r="AN74"/>
  <c r="AN73"/>
  <c r="AN72"/>
  <c r="AN71"/>
  <c r="AN70"/>
  <c r="AN69"/>
  <c r="AN68"/>
  <c r="AN67"/>
  <c r="AN66"/>
  <c r="AN65"/>
  <c r="AN64"/>
  <c r="AN63"/>
  <c r="AN62"/>
  <c r="AN61"/>
  <c r="AN60"/>
  <c r="AN59"/>
  <c r="AN58"/>
  <c r="AN57"/>
  <c r="AN56"/>
  <c r="AN55"/>
  <c r="AN54"/>
  <c r="AN53"/>
  <c r="AN52"/>
  <c r="AN51"/>
  <c r="AN50"/>
  <c r="AN49"/>
  <c r="AN48"/>
  <c r="AN47"/>
  <c r="AN46"/>
  <c r="AN45"/>
  <c r="AN44"/>
  <c r="AN43"/>
  <c r="AN42"/>
  <c r="AN41"/>
  <c r="AN40"/>
  <c r="AN39"/>
  <c r="AN38"/>
  <c r="AN37"/>
  <c r="AN36"/>
  <c r="AN35"/>
  <c r="AN34"/>
  <c r="AN33"/>
  <c r="AN32"/>
  <c r="AN31"/>
  <c r="AN30"/>
  <c r="AN29"/>
  <c r="AN28"/>
  <c r="AN27"/>
  <c r="AN26"/>
  <c r="AN25"/>
  <c r="AN24"/>
  <c r="AN23"/>
  <c r="AN22"/>
  <c r="AN21"/>
  <c r="AN20"/>
  <c r="AN19"/>
  <c r="AN18"/>
  <c r="AN17"/>
  <c r="AN16"/>
  <c r="AN15"/>
  <c r="AN14"/>
  <c r="AN13"/>
  <c r="AN12"/>
  <c r="AN11"/>
  <c r="AN10"/>
  <c r="AN9"/>
  <c r="AN8"/>
  <c r="AN7"/>
  <c r="AN6"/>
  <c r="AN5"/>
  <c r="AN4"/>
  <c r="AN3"/>
  <c r="AM147"/>
  <c r="AM146"/>
  <c r="AM145"/>
  <c r="AM144"/>
  <c r="AM143"/>
  <c r="AM142"/>
  <c r="AM141"/>
  <c r="AM140"/>
  <c r="AM139"/>
  <c r="AM138"/>
  <c r="AM137"/>
  <c r="AM136"/>
  <c r="AM135"/>
  <c r="AM134"/>
  <c r="AM133"/>
  <c r="AM132"/>
  <c r="AM131"/>
  <c r="AM130"/>
  <c r="AM129"/>
  <c r="AM128"/>
  <c r="AM127"/>
  <c r="AM126"/>
  <c r="AM125"/>
  <c r="AM124"/>
  <c r="AM123"/>
  <c r="AM122"/>
  <c r="AM121"/>
  <c r="AM120"/>
  <c r="AM119"/>
  <c r="AM118"/>
  <c r="AM117"/>
  <c r="AM116"/>
  <c r="AM115"/>
  <c r="AM114"/>
  <c r="AM113"/>
  <c r="AM112"/>
  <c r="AM111"/>
  <c r="AM110"/>
  <c r="AM109"/>
  <c r="AM108"/>
  <c r="AM107"/>
  <c r="AM106"/>
  <c r="AM105"/>
  <c r="AM104"/>
  <c r="AM103"/>
  <c r="AM102"/>
  <c r="AM101"/>
  <c r="AM100"/>
  <c r="AM99"/>
  <c r="AM98"/>
  <c r="AM97"/>
  <c r="AM96"/>
  <c r="AM95"/>
  <c r="AM94"/>
  <c r="AM93"/>
  <c r="AM92"/>
  <c r="AM91"/>
  <c r="AM90"/>
  <c r="AM89"/>
  <c r="AM88"/>
  <c r="AM87"/>
  <c r="AM86"/>
  <c r="AM85"/>
  <c r="AM84"/>
  <c r="AM83"/>
  <c r="AM82"/>
  <c r="AM81"/>
  <c r="AM80"/>
  <c r="AM79"/>
  <c r="AM78"/>
  <c r="AM77"/>
  <c r="AM76"/>
  <c r="AM75"/>
  <c r="AM74"/>
  <c r="AM73"/>
  <c r="AM72"/>
  <c r="AM71"/>
  <c r="AM70"/>
  <c r="AM69"/>
  <c r="AM68"/>
  <c r="AM67"/>
  <c r="AM66"/>
  <c r="AM65"/>
  <c r="AM64"/>
  <c r="AM63"/>
  <c r="AM62"/>
  <c r="AM61"/>
  <c r="AM60"/>
  <c r="AM59"/>
  <c r="AM58"/>
  <c r="AM57"/>
  <c r="AM56"/>
  <c r="AM55"/>
  <c r="AM54"/>
  <c r="AM53"/>
  <c r="AM52"/>
  <c r="AM51"/>
  <c r="AM50"/>
  <c r="AM49"/>
  <c r="AM48"/>
  <c r="AM47"/>
  <c r="AM46"/>
  <c r="AM45"/>
  <c r="AM44"/>
  <c r="AM43"/>
  <c r="AM42"/>
  <c r="AM41"/>
  <c r="AM40"/>
  <c r="AM39"/>
  <c r="AM38"/>
  <c r="AM37"/>
  <c r="AM36"/>
  <c r="AM35"/>
  <c r="AM34"/>
  <c r="AM33"/>
  <c r="AM32"/>
  <c r="AM31"/>
  <c r="AM30"/>
  <c r="AM29"/>
  <c r="AM28"/>
  <c r="AM27"/>
  <c r="AM26"/>
  <c r="AM25"/>
  <c r="AM24"/>
  <c r="AM23"/>
  <c r="AM22"/>
  <c r="AM21"/>
  <c r="AM20"/>
  <c r="AM19"/>
  <c r="AM18"/>
  <c r="AM17"/>
  <c r="AM16"/>
  <c r="AM15"/>
  <c r="AM14"/>
  <c r="AM13"/>
  <c r="AM12"/>
  <c r="AM11"/>
  <c r="AM10"/>
  <c r="AM9"/>
  <c r="AM8"/>
  <c r="AM7"/>
  <c r="AM6"/>
  <c r="AM5"/>
  <c r="AM4"/>
  <c r="AM3"/>
  <c r="AL147"/>
  <c r="AL146"/>
  <c r="AL145"/>
  <c r="AL144"/>
  <c r="AL143"/>
  <c r="AL142"/>
  <c r="AL141"/>
  <c r="AL140"/>
  <c r="AL139"/>
  <c r="AL138"/>
  <c r="AL137"/>
  <c r="AL136"/>
  <c r="AL135"/>
  <c r="AL134"/>
  <c r="AL133"/>
  <c r="AL132"/>
  <c r="AL131"/>
  <c r="AL130"/>
  <c r="AL129"/>
  <c r="AL128"/>
  <c r="AL127"/>
  <c r="AL126"/>
  <c r="AL125"/>
  <c r="AL124"/>
  <c r="AL123"/>
  <c r="AL122"/>
  <c r="AL121"/>
  <c r="AL120"/>
  <c r="AL119"/>
  <c r="AL118"/>
  <c r="AL117"/>
  <c r="AL116"/>
  <c r="AL115"/>
  <c r="AL114"/>
  <c r="AL113"/>
  <c r="AL112"/>
  <c r="AL111"/>
  <c r="AL110"/>
  <c r="AL109"/>
  <c r="AL108"/>
  <c r="AL107"/>
  <c r="AL106"/>
  <c r="AL105"/>
  <c r="AL104"/>
  <c r="AL103"/>
  <c r="AL102"/>
  <c r="AL101"/>
  <c r="AL100"/>
  <c r="AL99"/>
  <c r="AL98"/>
  <c r="AL97"/>
  <c r="AL96"/>
  <c r="AL95"/>
  <c r="AL94"/>
  <c r="AL93"/>
  <c r="AL92"/>
  <c r="AL91"/>
  <c r="AL90"/>
  <c r="AL89"/>
  <c r="AL88"/>
  <c r="AL87"/>
  <c r="AL86"/>
  <c r="AL85"/>
  <c r="AL84"/>
  <c r="AL83"/>
  <c r="AL82"/>
  <c r="AL81"/>
  <c r="AL80"/>
  <c r="AL79"/>
  <c r="AL78"/>
  <c r="AL77"/>
  <c r="AL76"/>
  <c r="AL75"/>
  <c r="AL74"/>
  <c r="AL73"/>
  <c r="AL72"/>
  <c r="AL71"/>
  <c r="AL70"/>
  <c r="AL69"/>
  <c r="AL68"/>
  <c r="AL67"/>
  <c r="AL66"/>
  <c r="AL65"/>
  <c r="AL64"/>
  <c r="AL63"/>
  <c r="AL62"/>
  <c r="AL61"/>
  <c r="AL60"/>
  <c r="AL59"/>
  <c r="AL58"/>
  <c r="AL57"/>
  <c r="AL56"/>
  <c r="AL55"/>
  <c r="AL54"/>
  <c r="AL53"/>
  <c r="AL52"/>
  <c r="AL51"/>
  <c r="AL50"/>
  <c r="AL49"/>
  <c r="AL48"/>
  <c r="AL47"/>
  <c r="AL46"/>
  <c r="AL45"/>
  <c r="AL44"/>
  <c r="AL43"/>
  <c r="AL42"/>
  <c r="AL41"/>
  <c r="AL40"/>
  <c r="AL39"/>
  <c r="AL38"/>
  <c r="AL37"/>
  <c r="AL36"/>
  <c r="AL35"/>
  <c r="AL34"/>
  <c r="AL33"/>
  <c r="AL32"/>
  <c r="AL31"/>
  <c r="AL30"/>
  <c r="AL29"/>
  <c r="AL28"/>
  <c r="AL27"/>
  <c r="AL26"/>
  <c r="AL25"/>
  <c r="AL24"/>
  <c r="AL23"/>
  <c r="AL22"/>
  <c r="AL21"/>
  <c r="AL20"/>
  <c r="AL19"/>
  <c r="AL18"/>
  <c r="AL17"/>
  <c r="AL16"/>
  <c r="AL15"/>
  <c r="AL14"/>
  <c r="AL13"/>
  <c r="AL12"/>
  <c r="AL11"/>
  <c r="AL10"/>
  <c r="AL9"/>
  <c r="AL8"/>
  <c r="AL7"/>
  <c r="AL6"/>
  <c r="AL5"/>
  <c r="AL151" s="1"/>
  <c r="AL4"/>
  <c r="AL3"/>
  <c r="AK147"/>
  <c r="AK146"/>
  <c r="AK145"/>
  <c r="AK144"/>
  <c r="AK143"/>
  <c r="AK142"/>
  <c r="AK141"/>
  <c r="AK140"/>
  <c r="AK139"/>
  <c r="AK138"/>
  <c r="AK137"/>
  <c r="AK136"/>
  <c r="AK135"/>
  <c r="AK134"/>
  <c r="AK133"/>
  <c r="AK132"/>
  <c r="AK131"/>
  <c r="AK130"/>
  <c r="AK129"/>
  <c r="AK128"/>
  <c r="AK127"/>
  <c r="AK126"/>
  <c r="AK125"/>
  <c r="AK124"/>
  <c r="AK123"/>
  <c r="AK122"/>
  <c r="AK121"/>
  <c r="AK120"/>
  <c r="AK119"/>
  <c r="AK118"/>
  <c r="AK117"/>
  <c r="AK116"/>
  <c r="AK115"/>
  <c r="AK114"/>
  <c r="AK113"/>
  <c r="AK112"/>
  <c r="AK111"/>
  <c r="AK110"/>
  <c r="AK109"/>
  <c r="AK108"/>
  <c r="AK107"/>
  <c r="AK106"/>
  <c r="AK105"/>
  <c r="AK104"/>
  <c r="AK103"/>
  <c r="AK102"/>
  <c r="AK101"/>
  <c r="AK100"/>
  <c r="AK99"/>
  <c r="AK98"/>
  <c r="AK97"/>
  <c r="AK96"/>
  <c r="AK95"/>
  <c r="AK94"/>
  <c r="AK93"/>
  <c r="AK92"/>
  <c r="AK91"/>
  <c r="AK90"/>
  <c r="AK89"/>
  <c r="AK88"/>
  <c r="AK87"/>
  <c r="AK86"/>
  <c r="AK85"/>
  <c r="AK84"/>
  <c r="AK83"/>
  <c r="AK82"/>
  <c r="AK81"/>
  <c r="AK80"/>
  <c r="AK79"/>
  <c r="AK78"/>
  <c r="AK77"/>
  <c r="AK76"/>
  <c r="AK75"/>
  <c r="AK74"/>
  <c r="AK73"/>
  <c r="AK72"/>
  <c r="AK71"/>
  <c r="AK70"/>
  <c r="AK69"/>
  <c r="AK68"/>
  <c r="AK67"/>
  <c r="AK66"/>
  <c r="AK65"/>
  <c r="AK64"/>
  <c r="AK63"/>
  <c r="AK62"/>
  <c r="AK61"/>
  <c r="AK60"/>
  <c r="AK59"/>
  <c r="AK58"/>
  <c r="AK57"/>
  <c r="AK56"/>
  <c r="AK55"/>
  <c r="AK54"/>
  <c r="AK53"/>
  <c r="AK52"/>
  <c r="AK51"/>
  <c r="AK50"/>
  <c r="AK49"/>
  <c r="AK48"/>
  <c r="AK47"/>
  <c r="AK46"/>
  <c r="AK45"/>
  <c r="AK44"/>
  <c r="AK43"/>
  <c r="AK42"/>
  <c r="AK41"/>
  <c r="AK40"/>
  <c r="AK39"/>
  <c r="AK38"/>
  <c r="AK37"/>
  <c r="AK36"/>
  <c r="AK35"/>
  <c r="AK34"/>
  <c r="AK33"/>
  <c r="AK32"/>
  <c r="AK31"/>
  <c r="AK30"/>
  <c r="AK29"/>
  <c r="AK28"/>
  <c r="AK27"/>
  <c r="AK26"/>
  <c r="AK25"/>
  <c r="AK24"/>
  <c r="AK23"/>
  <c r="AK22"/>
  <c r="AK21"/>
  <c r="AK20"/>
  <c r="AK19"/>
  <c r="AK18"/>
  <c r="AK17"/>
  <c r="AK16"/>
  <c r="AK15"/>
  <c r="AK14"/>
  <c r="AK13"/>
  <c r="AK12"/>
  <c r="AK11"/>
  <c r="AK10"/>
  <c r="AK9"/>
  <c r="AK8"/>
  <c r="AK7"/>
  <c r="AK6"/>
  <c r="AK5"/>
  <c r="AK4"/>
  <c r="AK151" s="1"/>
  <c r="AK3"/>
  <c r="AJ147"/>
  <c r="AJ146"/>
  <c r="AJ145"/>
  <c r="AJ144"/>
  <c r="AJ143"/>
  <c r="AJ142"/>
  <c r="AJ141"/>
  <c r="AJ140"/>
  <c r="AJ139"/>
  <c r="AJ138"/>
  <c r="AJ137"/>
  <c r="AJ136"/>
  <c r="AJ135"/>
  <c r="AJ134"/>
  <c r="AJ133"/>
  <c r="AJ132"/>
  <c r="AJ131"/>
  <c r="AJ130"/>
  <c r="AJ129"/>
  <c r="AJ128"/>
  <c r="AJ127"/>
  <c r="AJ126"/>
  <c r="AJ125"/>
  <c r="AJ124"/>
  <c r="AJ123"/>
  <c r="AJ122"/>
  <c r="AJ121"/>
  <c r="AJ120"/>
  <c r="AJ119"/>
  <c r="AJ118"/>
  <c r="AJ117"/>
  <c r="AJ116"/>
  <c r="AJ115"/>
  <c r="AJ114"/>
  <c r="AJ113"/>
  <c r="AJ112"/>
  <c r="AJ111"/>
  <c r="AJ110"/>
  <c r="AJ109"/>
  <c r="AJ108"/>
  <c r="AJ107"/>
  <c r="AJ106"/>
  <c r="AJ105"/>
  <c r="AJ104"/>
  <c r="AJ103"/>
  <c r="AJ102"/>
  <c r="AJ101"/>
  <c r="AJ100"/>
  <c r="AJ99"/>
  <c r="AJ98"/>
  <c r="AJ97"/>
  <c r="AJ96"/>
  <c r="AJ95"/>
  <c r="AJ94"/>
  <c r="AJ93"/>
  <c r="AJ92"/>
  <c r="AJ91"/>
  <c r="AJ90"/>
  <c r="AJ89"/>
  <c r="AJ88"/>
  <c r="AJ87"/>
  <c r="AJ86"/>
  <c r="AJ85"/>
  <c r="AJ84"/>
  <c r="AJ83"/>
  <c r="AJ82"/>
  <c r="AJ81"/>
  <c r="AJ80"/>
  <c r="AJ79"/>
  <c r="AJ78"/>
  <c r="AJ77"/>
  <c r="AJ76"/>
  <c r="AJ75"/>
  <c r="AJ74"/>
  <c r="AJ73"/>
  <c r="AJ72"/>
  <c r="AJ71"/>
  <c r="AJ70"/>
  <c r="AJ69"/>
  <c r="AJ68"/>
  <c r="AJ67"/>
  <c r="AJ66"/>
  <c r="AJ65"/>
  <c r="AJ64"/>
  <c r="AJ63"/>
  <c r="AJ62"/>
  <c r="AJ61"/>
  <c r="AJ60"/>
  <c r="AJ59"/>
  <c r="AJ58"/>
  <c r="AJ57"/>
  <c r="AJ56"/>
  <c r="AJ55"/>
  <c r="AJ54"/>
  <c r="AJ53"/>
  <c r="AJ52"/>
  <c r="AJ51"/>
  <c r="AJ50"/>
  <c r="AJ49"/>
  <c r="AJ48"/>
  <c r="AJ47"/>
  <c r="AJ46"/>
  <c r="AJ45"/>
  <c r="AJ44"/>
  <c r="AJ43"/>
  <c r="AJ42"/>
  <c r="AJ41"/>
  <c r="AJ40"/>
  <c r="AJ39"/>
  <c r="AJ38"/>
  <c r="AJ37"/>
  <c r="AJ36"/>
  <c r="AJ35"/>
  <c r="AJ34"/>
  <c r="AJ33"/>
  <c r="AJ32"/>
  <c r="AJ31"/>
  <c r="AJ30"/>
  <c r="AJ29"/>
  <c r="AJ28"/>
  <c r="AJ27"/>
  <c r="AJ26"/>
  <c r="AJ25"/>
  <c r="AJ24"/>
  <c r="AJ23"/>
  <c r="AJ22"/>
  <c r="AJ21"/>
  <c r="AJ20"/>
  <c r="AJ19"/>
  <c r="AJ18"/>
  <c r="AJ17"/>
  <c r="AJ16"/>
  <c r="AJ15"/>
  <c r="AJ14"/>
  <c r="AJ13"/>
  <c r="AJ12"/>
  <c r="AJ11"/>
  <c r="AJ10"/>
  <c r="AJ9"/>
  <c r="AJ8"/>
  <c r="AJ7"/>
  <c r="AJ6"/>
  <c r="AJ5"/>
  <c r="AJ151" s="1"/>
  <c r="AJ4"/>
  <c r="AJ3"/>
  <c r="AI147"/>
  <c r="AI146"/>
  <c r="AI145"/>
  <c r="AI144"/>
  <c r="AI143"/>
  <c r="AI142"/>
  <c r="AI141"/>
  <c r="AI140"/>
  <c r="AI139"/>
  <c r="AI138"/>
  <c r="AI137"/>
  <c r="AI136"/>
  <c r="AI135"/>
  <c r="AI134"/>
  <c r="AI133"/>
  <c r="AI132"/>
  <c r="AI131"/>
  <c r="AI130"/>
  <c r="AI129"/>
  <c r="AI128"/>
  <c r="AI127"/>
  <c r="AI126"/>
  <c r="AI125"/>
  <c r="AI124"/>
  <c r="AI123"/>
  <c r="AI122"/>
  <c r="AI121"/>
  <c r="AI120"/>
  <c r="AI119"/>
  <c r="AI118"/>
  <c r="AI117"/>
  <c r="AI116"/>
  <c r="AI115"/>
  <c r="AI114"/>
  <c r="AI113"/>
  <c r="AI112"/>
  <c r="AI111"/>
  <c r="AI110"/>
  <c r="AI109"/>
  <c r="AI108"/>
  <c r="AI107"/>
  <c r="AI106"/>
  <c r="AI105"/>
  <c r="AI104"/>
  <c r="AI103"/>
  <c r="AI102"/>
  <c r="AI101"/>
  <c r="AI100"/>
  <c r="AI99"/>
  <c r="AI98"/>
  <c r="AI97"/>
  <c r="AI96"/>
  <c r="AI95"/>
  <c r="AI94"/>
  <c r="AI93"/>
  <c r="AI92"/>
  <c r="AI91"/>
  <c r="AI90"/>
  <c r="AI89"/>
  <c r="AI88"/>
  <c r="AI87"/>
  <c r="AI86"/>
  <c r="AI85"/>
  <c r="AI84"/>
  <c r="AI83"/>
  <c r="AI82"/>
  <c r="AI81"/>
  <c r="AI80"/>
  <c r="AI79"/>
  <c r="AI78"/>
  <c r="AI77"/>
  <c r="AI76"/>
  <c r="AI75"/>
  <c r="AI74"/>
  <c r="AI73"/>
  <c r="AI72"/>
  <c r="AI71"/>
  <c r="AI70"/>
  <c r="AI69"/>
  <c r="AI68"/>
  <c r="AI67"/>
  <c r="AI66"/>
  <c r="AI65"/>
  <c r="AI64"/>
  <c r="AI63"/>
  <c r="AI62"/>
  <c r="AI61"/>
  <c r="AI60"/>
  <c r="AI59"/>
  <c r="AI58"/>
  <c r="AI57"/>
  <c r="AI56"/>
  <c r="AI55"/>
  <c r="AI54"/>
  <c r="AI53"/>
  <c r="AI52"/>
  <c r="AI51"/>
  <c r="AI50"/>
  <c r="AI49"/>
  <c r="AI48"/>
  <c r="AI47"/>
  <c r="AI46"/>
  <c r="AI45"/>
  <c r="AI44"/>
  <c r="AI43"/>
  <c r="AI42"/>
  <c r="AI41"/>
  <c r="AI40"/>
  <c r="AI39"/>
  <c r="AI38"/>
  <c r="AI37"/>
  <c r="AI36"/>
  <c r="AI35"/>
  <c r="AI34"/>
  <c r="AI33"/>
  <c r="AI32"/>
  <c r="AI31"/>
  <c r="AI30"/>
  <c r="AI29"/>
  <c r="AI28"/>
  <c r="AI27"/>
  <c r="AI26"/>
  <c r="AI25"/>
  <c r="AI24"/>
  <c r="AI23"/>
  <c r="AI22"/>
  <c r="AI21"/>
  <c r="AI20"/>
  <c r="AI19"/>
  <c r="AI18"/>
  <c r="AI17"/>
  <c r="AI16"/>
  <c r="AI15"/>
  <c r="AI14"/>
  <c r="AI13"/>
  <c r="AI12"/>
  <c r="AI11"/>
  <c r="AI10"/>
  <c r="AI9"/>
  <c r="AI8"/>
  <c r="AI7"/>
  <c r="AI6"/>
  <c r="AI5"/>
  <c r="AI151" s="1"/>
  <c r="AI4"/>
  <c r="AI3"/>
  <c r="AG147"/>
  <c r="AG146"/>
  <c r="AG145"/>
  <c r="AG144"/>
  <c r="AG143"/>
  <c r="AG142"/>
  <c r="AG141"/>
  <c r="AG140"/>
  <c r="AG139"/>
  <c r="AG138"/>
  <c r="AG137"/>
  <c r="AG136"/>
  <c r="AG135"/>
  <c r="AG134"/>
  <c r="AG133"/>
  <c r="AG132"/>
  <c r="AG131"/>
  <c r="AG130"/>
  <c r="AG129"/>
  <c r="AG128"/>
  <c r="AG127"/>
  <c r="AG126"/>
  <c r="AG125"/>
  <c r="AG124"/>
  <c r="AG123"/>
  <c r="AG122"/>
  <c r="AG121"/>
  <c r="AG120"/>
  <c r="AG119"/>
  <c r="AG118"/>
  <c r="AG117"/>
  <c r="AG116"/>
  <c r="AG115"/>
  <c r="AG114"/>
  <c r="AG113"/>
  <c r="AG112"/>
  <c r="AG111"/>
  <c r="AG110"/>
  <c r="AG109"/>
  <c r="AG108"/>
  <c r="AG107"/>
  <c r="AG106"/>
  <c r="AG105"/>
  <c r="AG104"/>
  <c r="AG103"/>
  <c r="AG102"/>
  <c r="AG101"/>
  <c r="AG100"/>
  <c r="AG99"/>
  <c r="AG98"/>
  <c r="AG97"/>
  <c r="AG96"/>
  <c r="AG95"/>
  <c r="AG94"/>
  <c r="AG93"/>
  <c r="AG92"/>
  <c r="AG91"/>
  <c r="AG90"/>
  <c r="AG89"/>
  <c r="AG88"/>
  <c r="AG87"/>
  <c r="AG86"/>
  <c r="AG85"/>
  <c r="AG84"/>
  <c r="AG83"/>
  <c r="AG82"/>
  <c r="AG81"/>
  <c r="AG80"/>
  <c r="AG79"/>
  <c r="AG78"/>
  <c r="AG77"/>
  <c r="AG76"/>
  <c r="AG75"/>
  <c r="AG74"/>
  <c r="AG73"/>
  <c r="AG72"/>
  <c r="AG71"/>
  <c r="AG70"/>
  <c r="AG69"/>
  <c r="AG68"/>
  <c r="AG67"/>
  <c r="AG66"/>
  <c r="AG65"/>
  <c r="AG64"/>
  <c r="AG63"/>
  <c r="AG62"/>
  <c r="AG61"/>
  <c r="AG60"/>
  <c r="AG59"/>
  <c r="AG58"/>
  <c r="AG57"/>
  <c r="AG56"/>
  <c r="AG55"/>
  <c r="AG54"/>
  <c r="AG53"/>
  <c r="AG52"/>
  <c r="AG51"/>
  <c r="AG50"/>
  <c r="AG49"/>
  <c r="AG48"/>
  <c r="AG47"/>
  <c r="AG46"/>
  <c r="AG45"/>
  <c r="AG44"/>
  <c r="AG43"/>
  <c r="AG42"/>
  <c r="AG41"/>
  <c r="AG40"/>
  <c r="AG39"/>
  <c r="AG38"/>
  <c r="AG37"/>
  <c r="AG36"/>
  <c r="AG35"/>
  <c r="AG34"/>
  <c r="AG33"/>
  <c r="AG32"/>
  <c r="AG31"/>
  <c r="AG30"/>
  <c r="AG29"/>
  <c r="AG28"/>
  <c r="AG27"/>
  <c r="AG26"/>
  <c r="AG25"/>
  <c r="AG24"/>
  <c r="AG23"/>
  <c r="AG22"/>
  <c r="AG21"/>
  <c r="AG20"/>
  <c r="AG19"/>
  <c r="AG18"/>
  <c r="AG17"/>
  <c r="AG16"/>
  <c r="AG15"/>
  <c r="AG14"/>
  <c r="AG13"/>
  <c r="AG12"/>
  <c r="AG11"/>
  <c r="AG10"/>
  <c r="AG9"/>
  <c r="AG8"/>
  <c r="AG7"/>
  <c r="AG6"/>
  <c r="AG5"/>
  <c r="AG4"/>
  <c r="AG151" s="1"/>
  <c r="AD146"/>
  <c r="AD140"/>
  <c r="AD130"/>
  <c r="AD122"/>
  <c r="AD120"/>
  <c r="AD114"/>
  <c r="AD106"/>
  <c r="AD98"/>
  <c r="AA148"/>
  <c r="AB147"/>
  <c r="AA147"/>
  <c r="AA146"/>
  <c r="AB145"/>
  <c r="AA145"/>
  <c r="AB144"/>
  <c r="AA144"/>
  <c r="AB143"/>
  <c r="AA143"/>
  <c r="AD143" s="1"/>
  <c r="AA142"/>
  <c r="AD142" s="1"/>
  <c r="AB141"/>
  <c r="AA141"/>
  <c r="AB140"/>
  <c r="AA140"/>
  <c r="AB139"/>
  <c r="AA139"/>
  <c r="AD139" s="1"/>
  <c r="AA138"/>
  <c r="AD138" s="1"/>
  <c r="AB137"/>
  <c r="AA137"/>
  <c r="AB136"/>
  <c r="AA136"/>
  <c r="AB135"/>
  <c r="AA135"/>
  <c r="AA134"/>
  <c r="AB133"/>
  <c r="AA133"/>
  <c r="AB132"/>
  <c r="AA132"/>
  <c r="AD132" s="1"/>
  <c r="AB131"/>
  <c r="AA131"/>
  <c r="AD131" s="1"/>
  <c r="AE131" s="1"/>
  <c r="AA130"/>
  <c r="AB129"/>
  <c r="AA129"/>
  <c r="AB128"/>
  <c r="AA128"/>
  <c r="AB127"/>
  <c r="AA127"/>
  <c r="AD127" s="1"/>
  <c r="AE127" s="1"/>
  <c r="AA126"/>
  <c r="AD126" s="1"/>
  <c r="AB125"/>
  <c r="AA125"/>
  <c r="AB124"/>
  <c r="AA124"/>
  <c r="AB123"/>
  <c r="AA123"/>
  <c r="AA122"/>
  <c r="AB121"/>
  <c r="AA121"/>
  <c r="AB120"/>
  <c r="AA120"/>
  <c r="AA119"/>
  <c r="AD119" s="1"/>
  <c r="AA118"/>
  <c r="AD118" s="1"/>
  <c r="AB117"/>
  <c r="AA117"/>
  <c r="AB116"/>
  <c r="AA116"/>
  <c r="AA115"/>
  <c r="AA114"/>
  <c r="AB113"/>
  <c r="AA113"/>
  <c r="AB112"/>
  <c r="AA112"/>
  <c r="AA111"/>
  <c r="AD111" s="1"/>
  <c r="AE111" s="1"/>
  <c r="AA110"/>
  <c r="AD110" s="1"/>
  <c r="AB109"/>
  <c r="AA109"/>
  <c r="AB108"/>
  <c r="AA108"/>
  <c r="AA107"/>
  <c r="AA106"/>
  <c r="AB105"/>
  <c r="AA105"/>
  <c r="AB104"/>
  <c r="AA104"/>
  <c r="AA103"/>
  <c r="AD103" s="1"/>
  <c r="AA102"/>
  <c r="AD102" s="1"/>
  <c r="AB101"/>
  <c r="AA101"/>
  <c r="AB100"/>
  <c r="AA100"/>
  <c r="AA99"/>
  <c r="AA98"/>
  <c r="AB97"/>
  <c r="AA97"/>
  <c r="AB96"/>
  <c r="AA96"/>
  <c r="AA95"/>
  <c r="AD95" s="1"/>
  <c r="AE95" s="1"/>
  <c r="AA94"/>
  <c r="AD94" s="1"/>
  <c r="AB93"/>
  <c r="AA93"/>
  <c r="AB92"/>
  <c r="AA92"/>
  <c r="AA91"/>
  <c r="AA90"/>
  <c r="AD90" s="1"/>
  <c r="AB89"/>
  <c r="AA89"/>
  <c r="AB88"/>
  <c r="AA88"/>
  <c r="AA87"/>
  <c r="AD87" s="1"/>
  <c r="AA86"/>
  <c r="AD86" s="1"/>
  <c r="AB85"/>
  <c r="AA85"/>
  <c r="AB84"/>
  <c r="AA84"/>
  <c r="AA83"/>
  <c r="AA82"/>
  <c r="AD82" s="1"/>
  <c r="AB81"/>
  <c r="AA81"/>
  <c r="AB80"/>
  <c r="AA80"/>
  <c r="AA79"/>
  <c r="AD79" s="1"/>
  <c r="AE79" s="1"/>
  <c r="AA78"/>
  <c r="AD78" s="1"/>
  <c r="AB77"/>
  <c r="AA77"/>
  <c r="AB76"/>
  <c r="AA76"/>
  <c r="AA75"/>
  <c r="AA74"/>
  <c r="AD74" s="1"/>
  <c r="AB73"/>
  <c r="AA73"/>
  <c r="AB72"/>
  <c r="AA72"/>
  <c r="AA71"/>
  <c r="AD71" s="1"/>
  <c r="AA70"/>
  <c r="AD70" s="1"/>
  <c r="AB69"/>
  <c r="AA69"/>
  <c r="AB68"/>
  <c r="AA68"/>
  <c r="AD68" s="1"/>
  <c r="AA67"/>
  <c r="AD67" s="1"/>
  <c r="AA66"/>
  <c r="AD66" s="1"/>
  <c r="AA65"/>
  <c r="AB64"/>
  <c r="AA64"/>
  <c r="AB65" s="1"/>
  <c r="AA63"/>
  <c r="AA62"/>
  <c r="AD62" s="1"/>
  <c r="AA61"/>
  <c r="AB60"/>
  <c r="AA60"/>
  <c r="AB61" s="1"/>
  <c r="AA59"/>
  <c r="AA58"/>
  <c r="AA57"/>
  <c r="AB56"/>
  <c r="AA56"/>
  <c r="AD56" s="1"/>
  <c r="AE56" s="1"/>
  <c r="AA55"/>
  <c r="AD55" s="1"/>
  <c r="AA54"/>
  <c r="AD54" s="1"/>
  <c r="AA53"/>
  <c r="AB52"/>
  <c r="AA52"/>
  <c r="AD52" s="1"/>
  <c r="AE52" s="1"/>
  <c r="AA51"/>
  <c r="AD51" s="1"/>
  <c r="AA50"/>
  <c r="AD50" s="1"/>
  <c r="AA49"/>
  <c r="AB48"/>
  <c r="AA48"/>
  <c r="AB49" s="1"/>
  <c r="AA47"/>
  <c r="AD47" s="1"/>
  <c r="AA46"/>
  <c r="AD46" s="1"/>
  <c r="AA45"/>
  <c r="AB44"/>
  <c r="AA44"/>
  <c r="AB45" s="1"/>
  <c r="AA43"/>
  <c r="AD43" s="1"/>
  <c r="AE43" s="1"/>
  <c r="AA42"/>
  <c r="AD42" s="1"/>
  <c r="AA41"/>
  <c r="AB40"/>
  <c r="AA40"/>
  <c r="AB41" s="1"/>
  <c r="AA39"/>
  <c r="AD39" s="1"/>
  <c r="AE39" s="1"/>
  <c r="AA38"/>
  <c r="AD38" s="1"/>
  <c r="AA37"/>
  <c r="AB36"/>
  <c r="AA36"/>
  <c r="AB37" s="1"/>
  <c r="AA35"/>
  <c r="AD35" s="1"/>
  <c r="AA34"/>
  <c r="AD34" s="1"/>
  <c r="AA33"/>
  <c r="AB32"/>
  <c r="AA32"/>
  <c r="AB33" s="1"/>
  <c r="AA31"/>
  <c r="AD31" s="1"/>
  <c r="AE31" s="1"/>
  <c r="AA30"/>
  <c r="AD30" s="1"/>
  <c r="AA29"/>
  <c r="AA28"/>
  <c r="AB29" s="1"/>
  <c r="AA27"/>
  <c r="AB28" s="1"/>
  <c r="AA26"/>
  <c r="AD26" s="1"/>
  <c r="AA25"/>
  <c r="AB24"/>
  <c r="AA24"/>
  <c r="AB25" s="1"/>
  <c r="AA23"/>
  <c r="AD23" s="1"/>
  <c r="AE23" s="1"/>
  <c r="AA22"/>
  <c r="AD22" s="1"/>
  <c r="AA21"/>
  <c r="AA20"/>
  <c r="AB21" s="1"/>
  <c r="AA19"/>
  <c r="AB20" s="1"/>
  <c r="AA18"/>
  <c r="AD18" s="1"/>
  <c r="AA17"/>
  <c r="AA16"/>
  <c r="AB17" s="1"/>
  <c r="AA15"/>
  <c r="AB14" s="1"/>
  <c r="AA14"/>
  <c r="AD14" s="1"/>
  <c r="AA13"/>
  <c r="AA12"/>
  <c r="AB13" s="1"/>
  <c r="AA11"/>
  <c r="AB12" s="1"/>
  <c r="AA10"/>
  <c r="AD10" s="1"/>
  <c r="AA9"/>
  <c r="AA8"/>
  <c r="AB9" s="1"/>
  <c r="AA7"/>
  <c r="AB8" s="1"/>
  <c r="AA6"/>
  <c r="AD6" s="1"/>
  <c r="AA5"/>
  <c r="AB4"/>
  <c r="AA4"/>
  <c r="AA3"/>
  <c r="Y151"/>
  <c r="Y150"/>
  <c r="X150"/>
  <c r="X151" s="1"/>
  <c r="W150"/>
  <c r="W151" s="1"/>
  <c r="V151"/>
  <c r="V150"/>
  <c r="U151"/>
  <c r="U150"/>
  <c r="T150"/>
  <c r="T151" s="1"/>
  <c r="S150"/>
  <c r="S151" s="1"/>
  <c r="R151"/>
  <c r="R150"/>
  <c r="Q151"/>
  <c r="Q150"/>
  <c r="P150"/>
  <c r="P151" s="1"/>
  <c r="O150"/>
  <c r="O151" s="1"/>
  <c r="N151"/>
  <c r="N150"/>
  <c r="M151"/>
  <c r="M150"/>
  <c r="L150"/>
  <c r="L151" s="1"/>
  <c r="K150"/>
  <c r="K151" s="1"/>
  <c r="J150"/>
  <c r="I151"/>
  <c r="I150"/>
  <c r="J151" s="1"/>
  <c r="H150"/>
  <c r="H151" s="1"/>
  <c r="G150"/>
  <c r="G151" s="1"/>
  <c r="F150"/>
  <c r="F151" s="1"/>
  <c r="E150"/>
  <c r="D150"/>
  <c r="D151" s="1"/>
  <c r="C150"/>
  <c r="C151" s="1"/>
  <c r="B150"/>
  <c r="Z150"/>
  <c r="Z151" s="1"/>
  <c r="G11" i="46"/>
  <c r="B11"/>
  <c r="G10"/>
  <c r="B6" i="120"/>
  <c r="AE35" i="118" l="1"/>
  <c r="AE67"/>
  <c r="AE139"/>
  <c r="AE47"/>
  <c r="AE143"/>
  <c r="AE71"/>
  <c r="AE87"/>
  <c r="AE103"/>
  <c r="AE119"/>
  <c r="AE51"/>
  <c r="AE132"/>
  <c r="AE55"/>
  <c r="AE68"/>
  <c r="AB5"/>
  <c r="AB53"/>
  <c r="AB57"/>
  <c r="AN151"/>
  <c r="AD125"/>
  <c r="AE126" s="1"/>
  <c r="AD129"/>
  <c r="AD133"/>
  <c r="AE133" s="1"/>
  <c r="AD137"/>
  <c r="AD141"/>
  <c r="AE141" s="1"/>
  <c r="AD145"/>
  <c r="AD7"/>
  <c r="AE7" s="1"/>
  <c r="AD11"/>
  <c r="AE11" s="1"/>
  <c r="AD15"/>
  <c r="AE15" s="1"/>
  <c r="AD19"/>
  <c r="AE19" s="1"/>
  <c r="AD27"/>
  <c r="AE27" s="1"/>
  <c r="AD57"/>
  <c r="AE57" s="1"/>
  <c r="AD73"/>
  <c r="AE74" s="1"/>
  <c r="AD81"/>
  <c r="AE82" s="1"/>
  <c r="AD89"/>
  <c r="AE89" s="1"/>
  <c r="AD97"/>
  <c r="AE98" s="1"/>
  <c r="AD105"/>
  <c r="AE106" s="1"/>
  <c r="AD113"/>
  <c r="AD121"/>
  <c r="AE121" s="1"/>
  <c r="AI150"/>
  <c r="AN150"/>
  <c r="AM150"/>
  <c r="AM151"/>
  <c r="AB16"/>
  <c r="AD72"/>
  <c r="AE72" s="1"/>
  <c r="AD80"/>
  <c r="AE80" s="1"/>
  <c r="AD88"/>
  <c r="AE88" s="1"/>
  <c r="AD96"/>
  <c r="AE96" s="1"/>
  <c r="AD104"/>
  <c r="AE104" s="1"/>
  <c r="AD112"/>
  <c r="AE112" s="1"/>
  <c r="AE120"/>
  <c r="AE140"/>
  <c r="AD61"/>
  <c r="AD128"/>
  <c r="AE128" s="1"/>
  <c r="AG150"/>
  <c r="AL150"/>
  <c r="AB7"/>
  <c r="AB11"/>
  <c r="AB15"/>
  <c r="AB19"/>
  <c r="AB23"/>
  <c r="AB27"/>
  <c r="AB31"/>
  <c r="AB35"/>
  <c r="AB39"/>
  <c r="AB43"/>
  <c r="AB47"/>
  <c r="AB51"/>
  <c r="AB55"/>
  <c r="AB59"/>
  <c r="AB63"/>
  <c r="AB67"/>
  <c r="AB71"/>
  <c r="AB75"/>
  <c r="AB79"/>
  <c r="AB83"/>
  <c r="AB87"/>
  <c r="AB91"/>
  <c r="AB95"/>
  <c r="AB99"/>
  <c r="AB103"/>
  <c r="AB107"/>
  <c r="AB111"/>
  <c r="AB115"/>
  <c r="AB119"/>
  <c r="AD60"/>
  <c r="E151"/>
  <c r="AA151" s="1"/>
  <c r="AB151" s="1"/>
  <c r="AD5"/>
  <c r="AE6" s="1"/>
  <c r="AD9"/>
  <c r="AD13"/>
  <c r="AE14" s="1"/>
  <c r="AD17"/>
  <c r="AD21"/>
  <c r="AE22" s="1"/>
  <c r="AD25"/>
  <c r="AD29"/>
  <c r="AD33"/>
  <c r="AD37"/>
  <c r="AD41"/>
  <c r="AD45"/>
  <c r="AD49"/>
  <c r="AE50" s="1"/>
  <c r="AD59"/>
  <c r="AD65"/>
  <c r="AD77"/>
  <c r="AD85"/>
  <c r="AE85" s="1"/>
  <c r="AD93"/>
  <c r="AD101"/>
  <c r="AE102" s="1"/>
  <c r="AD109"/>
  <c r="AE109" s="1"/>
  <c r="AD117"/>
  <c r="AE117" s="1"/>
  <c r="AD136"/>
  <c r="AD147"/>
  <c r="AE147" s="1"/>
  <c r="AK150"/>
  <c r="AB6"/>
  <c r="AB10"/>
  <c r="AB18"/>
  <c r="AB22"/>
  <c r="AB26"/>
  <c r="AB30"/>
  <c r="AB34"/>
  <c r="AB38"/>
  <c r="AB42"/>
  <c r="AB46"/>
  <c r="AB50"/>
  <c r="AB54"/>
  <c r="AB58"/>
  <c r="AB62"/>
  <c r="AB66"/>
  <c r="AB70"/>
  <c r="AB74"/>
  <c r="AB78"/>
  <c r="AB82"/>
  <c r="AB86"/>
  <c r="AB90"/>
  <c r="AB94"/>
  <c r="AB98"/>
  <c r="AB102"/>
  <c r="AB106"/>
  <c r="AB110"/>
  <c r="AB114"/>
  <c r="AB118"/>
  <c r="AB122"/>
  <c r="AB126"/>
  <c r="AB130"/>
  <c r="AB134"/>
  <c r="AB138"/>
  <c r="AB142"/>
  <c r="AB146"/>
  <c r="AD4"/>
  <c r="AD64"/>
  <c r="AD76"/>
  <c r="AD84"/>
  <c r="AD92"/>
  <c r="AD100"/>
  <c r="AD108"/>
  <c r="AD116"/>
  <c r="AD124"/>
  <c r="AD135"/>
  <c r="AE146"/>
  <c r="AD8"/>
  <c r="AE8" s="1"/>
  <c r="AD12"/>
  <c r="AE12" s="1"/>
  <c r="AD16"/>
  <c r="AE16" s="1"/>
  <c r="AD20"/>
  <c r="AE20" s="1"/>
  <c r="AD24"/>
  <c r="AE24" s="1"/>
  <c r="AD28"/>
  <c r="AE28" s="1"/>
  <c r="AD32"/>
  <c r="AE32" s="1"/>
  <c r="AD36"/>
  <c r="AE36" s="1"/>
  <c r="AD40"/>
  <c r="AE40" s="1"/>
  <c r="AD44"/>
  <c r="AE44" s="1"/>
  <c r="AD48"/>
  <c r="AE48" s="1"/>
  <c r="AD53"/>
  <c r="AE53" s="1"/>
  <c r="AD58"/>
  <c r="AE58" s="1"/>
  <c r="AD63"/>
  <c r="AE63" s="1"/>
  <c r="AD69"/>
  <c r="AE69" s="1"/>
  <c r="AD75"/>
  <c r="AE75" s="1"/>
  <c r="AD83"/>
  <c r="AE83" s="1"/>
  <c r="AD91"/>
  <c r="AE91" s="1"/>
  <c r="AD99"/>
  <c r="AE99" s="1"/>
  <c r="AD107"/>
  <c r="AE107" s="1"/>
  <c r="AD115"/>
  <c r="AE115" s="1"/>
  <c r="AD123"/>
  <c r="AE123" s="1"/>
  <c r="AD134"/>
  <c r="AE134" s="1"/>
  <c r="AD144"/>
  <c r="AE144" s="1"/>
  <c r="AJ150"/>
  <c r="AP150"/>
  <c r="AU151"/>
  <c r="BC151"/>
  <c r="AO151"/>
  <c r="AW151"/>
  <c r="BE151"/>
  <c r="AI153"/>
  <c r="AQ151"/>
  <c r="AY151"/>
  <c r="AS151"/>
  <c r="BA151"/>
  <c r="AC60" l="1"/>
  <c r="AC120"/>
  <c r="AC89"/>
  <c r="AC40"/>
  <c r="AC52"/>
  <c r="AC108"/>
  <c r="AC32"/>
  <c r="AC69"/>
  <c r="AC8"/>
  <c r="AC100"/>
  <c r="AC48"/>
  <c r="AC109"/>
  <c r="AC73"/>
  <c r="AC64"/>
  <c r="AC65"/>
  <c r="AC127"/>
  <c r="AC17"/>
  <c r="AC139"/>
  <c r="AC49"/>
  <c r="AC104"/>
  <c r="AC36"/>
  <c r="AC28"/>
  <c r="AC133"/>
  <c r="AC41"/>
  <c r="AC97"/>
  <c r="AC141"/>
  <c r="AC117"/>
  <c r="AC140"/>
  <c r="AC37"/>
  <c r="AC125"/>
  <c r="AC93"/>
  <c r="AC56"/>
  <c r="AC21"/>
  <c r="AC124"/>
  <c r="AC92"/>
  <c r="AC132"/>
  <c r="AC44"/>
  <c r="AC112"/>
  <c r="AC131"/>
  <c r="AC14"/>
  <c r="AC29"/>
  <c r="AC88"/>
  <c r="AC9"/>
  <c r="AC13"/>
  <c r="AC20"/>
  <c r="AC137"/>
  <c r="AC123"/>
  <c r="AC101"/>
  <c r="AC84"/>
  <c r="AC77"/>
  <c r="AC143"/>
  <c r="AC4"/>
  <c r="AC12"/>
  <c r="AC81"/>
  <c r="AC128"/>
  <c r="AC33"/>
  <c r="AC96"/>
  <c r="AC45"/>
  <c r="AC25"/>
  <c r="AC68"/>
  <c r="AC72"/>
  <c r="AC121"/>
  <c r="AC61"/>
  <c r="AC76"/>
  <c r="AC24"/>
  <c r="AC85"/>
  <c r="AC145"/>
  <c r="AC144"/>
  <c r="AC135"/>
  <c r="AC129"/>
  <c r="AC105"/>
  <c r="AC147"/>
  <c r="AC113"/>
  <c r="AC80"/>
  <c r="AC136"/>
  <c r="AC116"/>
  <c r="AE84"/>
  <c r="AC130"/>
  <c r="AC98"/>
  <c r="AC66"/>
  <c r="AC34"/>
  <c r="AE65"/>
  <c r="AE25"/>
  <c r="AC119"/>
  <c r="AC87"/>
  <c r="AC55"/>
  <c r="AC23"/>
  <c r="AE61"/>
  <c r="AE113"/>
  <c r="AC53"/>
  <c r="AE86"/>
  <c r="AE92"/>
  <c r="AC134"/>
  <c r="AC102"/>
  <c r="AC70"/>
  <c r="AC38"/>
  <c r="AE77"/>
  <c r="AE29"/>
  <c r="AE60"/>
  <c r="AC91"/>
  <c r="AC59"/>
  <c r="AC27"/>
  <c r="AC57"/>
  <c r="AE100"/>
  <c r="AC138"/>
  <c r="AC106"/>
  <c r="AC74"/>
  <c r="AC42"/>
  <c r="AC6"/>
  <c r="AE33"/>
  <c r="AC95"/>
  <c r="AC63"/>
  <c r="AC31"/>
  <c r="AE129"/>
  <c r="AE125"/>
  <c r="AE78"/>
  <c r="AE118"/>
  <c r="AE66"/>
  <c r="AE108"/>
  <c r="AC142"/>
  <c r="AC110"/>
  <c r="AC78"/>
  <c r="AC46"/>
  <c r="AC10"/>
  <c r="AE93"/>
  <c r="AE37"/>
  <c r="AE5"/>
  <c r="AC99"/>
  <c r="AC67"/>
  <c r="AC35"/>
  <c r="AE73"/>
  <c r="AE94"/>
  <c r="AE90"/>
  <c r="AE38"/>
  <c r="AE116"/>
  <c r="AC146"/>
  <c r="AC114"/>
  <c r="AC82"/>
  <c r="AC50"/>
  <c r="AC18"/>
  <c r="AE101"/>
  <c r="AE41"/>
  <c r="AE9"/>
  <c r="AC103"/>
  <c r="AC71"/>
  <c r="AC39"/>
  <c r="AC7"/>
  <c r="AE81"/>
  <c r="AE137"/>
  <c r="AE114"/>
  <c r="AE110"/>
  <c r="AE142"/>
  <c r="AE26"/>
  <c r="AD151"/>
  <c r="AD150"/>
  <c r="AE124"/>
  <c r="AC118"/>
  <c r="AC86"/>
  <c r="AC54"/>
  <c r="AC22"/>
  <c r="AE45"/>
  <c r="AE13"/>
  <c r="AC107"/>
  <c r="AC75"/>
  <c r="AC43"/>
  <c r="AC11"/>
  <c r="AE122"/>
  <c r="AE30"/>
  <c r="AE10"/>
  <c r="AE135"/>
  <c r="AE64"/>
  <c r="AC122"/>
  <c r="AC90"/>
  <c r="AC58"/>
  <c r="AC26"/>
  <c r="AE49"/>
  <c r="AE17"/>
  <c r="AC111"/>
  <c r="AC79"/>
  <c r="AC47"/>
  <c r="AC15"/>
  <c r="AE130"/>
  <c r="AC16"/>
  <c r="AE97"/>
  <c r="AE42"/>
  <c r="AE62"/>
  <c r="AE18"/>
  <c r="AE46"/>
  <c r="AE138"/>
  <c r="AE34"/>
  <c r="AE54"/>
  <c r="AE76"/>
  <c r="AC126"/>
  <c r="AC94"/>
  <c r="AC62"/>
  <c r="AC30"/>
  <c r="AE136"/>
  <c r="AE59"/>
  <c r="AE21"/>
  <c r="AC115"/>
  <c r="AC83"/>
  <c r="AC51"/>
  <c r="AC19"/>
  <c r="AE105"/>
  <c r="AE145"/>
  <c r="AC5"/>
  <c r="AE70"/>
  <c r="T39" i="119" l="1"/>
  <c r="BS39" s="1"/>
  <c r="K39"/>
  <c r="BD39" s="1"/>
  <c r="E39"/>
  <c r="BE39" s="1"/>
  <c r="M39"/>
  <c r="BC39" s="1"/>
  <c r="N39"/>
  <c r="BX39" s="1"/>
  <c r="I39"/>
  <c r="BG39" s="1"/>
  <c r="Q39"/>
  <c r="BY39" s="1"/>
  <c r="R39"/>
  <c r="BT39" s="1"/>
  <c r="B39"/>
  <c r="U39"/>
  <c r="BW39" s="1"/>
  <c r="V39"/>
  <c r="BP39" s="1"/>
  <c r="F39"/>
  <c r="BJ39" s="1"/>
  <c r="X39"/>
  <c r="BU39" s="1"/>
  <c r="W39"/>
  <c r="BZ39" s="1"/>
  <c r="J39"/>
  <c r="BN39" s="1"/>
  <c r="Y39"/>
  <c r="BO39" s="1"/>
  <c r="O39"/>
  <c r="BR39" s="1"/>
  <c r="L39"/>
  <c r="BI39" s="1"/>
  <c r="S39"/>
  <c r="BV39" s="1"/>
  <c r="C39"/>
  <c r="BL39" s="1"/>
  <c r="D39"/>
  <c r="BM39" s="1"/>
  <c r="P39"/>
  <c r="BQ39" s="1"/>
  <c r="G39"/>
  <c r="BH39" s="1"/>
  <c r="H39"/>
  <c r="BK39" s="1"/>
  <c r="T82"/>
  <c r="BO82" s="1"/>
  <c r="D82"/>
  <c r="BM82" s="1"/>
  <c r="B82"/>
  <c r="Q82"/>
  <c r="BP82" s="1"/>
  <c r="H82"/>
  <c r="BE82" s="1"/>
  <c r="N82"/>
  <c r="BS82" s="1"/>
  <c r="U82"/>
  <c r="BQ82" s="1"/>
  <c r="M82"/>
  <c r="BJ82" s="1"/>
  <c r="F82"/>
  <c r="BD82" s="1"/>
  <c r="W82"/>
  <c r="BT82" s="1"/>
  <c r="E82"/>
  <c r="BK82" s="1"/>
  <c r="J82"/>
  <c r="BF82" s="1"/>
  <c r="R82"/>
  <c r="BW82" s="1"/>
  <c r="I82"/>
  <c r="BC82" s="1"/>
  <c r="C82"/>
  <c r="BN82" s="1"/>
  <c r="V82"/>
  <c r="BR82" s="1"/>
  <c r="O82"/>
  <c r="BY82" s="1"/>
  <c r="G82"/>
  <c r="BI82" s="1"/>
  <c r="Y82"/>
  <c r="BV82" s="1"/>
  <c r="S82"/>
  <c r="BU82" s="1"/>
  <c r="K82"/>
  <c r="BL82" s="1"/>
  <c r="X82"/>
  <c r="BX82" s="1"/>
  <c r="P82"/>
  <c r="BZ82" s="1"/>
  <c r="L82"/>
  <c r="BH82" s="1"/>
  <c r="R35"/>
  <c r="BP35" s="1"/>
  <c r="B35"/>
  <c r="L35"/>
  <c r="BK35" s="1"/>
  <c r="V35"/>
  <c r="BO35" s="1"/>
  <c r="P35"/>
  <c r="BS35" s="1"/>
  <c r="C35"/>
  <c r="BH35" s="1"/>
  <c r="W35"/>
  <c r="BZ35" s="1"/>
  <c r="T35"/>
  <c r="BV35" s="1"/>
  <c r="G35"/>
  <c r="BD35" s="1"/>
  <c r="O35"/>
  <c r="BQ35" s="1"/>
  <c r="Y35"/>
  <c r="BW35" s="1"/>
  <c r="K35"/>
  <c r="BN35" s="1"/>
  <c r="S35"/>
  <c r="BR35" s="1"/>
  <c r="M35"/>
  <c r="BI35" s="1"/>
  <c r="D35"/>
  <c r="BL35" s="1"/>
  <c r="X35"/>
  <c r="BU35" s="1"/>
  <c r="Q35"/>
  <c r="BX35" s="1"/>
  <c r="H35"/>
  <c r="BJ35" s="1"/>
  <c r="U35"/>
  <c r="BY35" s="1"/>
  <c r="E35"/>
  <c r="BG35" s="1"/>
  <c r="F35"/>
  <c r="BF35" s="1"/>
  <c r="N35"/>
  <c r="BT35" s="1"/>
  <c r="I35"/>
  <c r="BC35" s="1"/>
  <c r="J35"/>
  <c r="BM35" s="1"/>
  <c r="R78"/>
  <c r="BU78" s="1"/>
  <c r="F78"/>
  <c r="BI78" s="1"/>
  <c r="M78"/>
  <c r="BF78" s="1"/>
  <c r="V78"/>
  <c r="BV78" s="1"/>
  <c r="J78"/>
  <c r="BE78" s="1"/>
  <c r="D78"/>
  <c r="BM78" s="1"/>
  <c r="S78"/>
  <c r="BS78" s="1"/>
  <c r="C78"/>
  <c r="BN78" s="1"/>
  <c r="H78"/>
  <c r="BG78" s="1"/>
  <c r="X78"/>
  <c r="BT78" s="1"/>
  <c r="G78"/>
  <c r="BL78" s="1"/>
  <c r="N78"/>
  <c r="BW78" s="1"/>
  <c r="P78"/>
  <c r="BO78" s="1"/>
  <c r="K78"/>
  <c r="BH78" s="1"/>
  <c r="E78"/>
  <c r="BC78" s="1"/>
  <c r="T78"/>
  <c r="BX78" s="1"/>
  <c r="L78"/>
  <c r="BD78" s="1"/>
  <c r="I78"/>
  <c r="BJ78" s="1"/>
  <c r="W78"/>
  <c r="BP78" s="1"/>
  <c r="Q78"/>
  <c r="BY78" s="1"/>
  <c r="O78"/>
  <c r="BZ78" s="1"/>
  <c r="Y78"/>
  <c r="BR78" s="1"/>
  <c r="U78"/>
  <c r="BQ78" s="1"/>
  <c r="B78"/>
  <c r="W106"/>
  <c r="BP106" s="1"/>
  <c r="D106"/>
  <c r="BL106" s="1"/>
  <c r="B106"/>
  <c r="P106"/>
  <c r="BV106" s="1"/>
  <c r="H106"/>
  <c r="BI106" s="1"/>
  <c r="F106"/>
  <c r="BG106" s="1"/>
  <c r="T106"/>
  <c r="BO106" s="1"/>
  <c r="E106"/>
  <c r="BN106" s="1"/>
  <c r="J106"/>
  <c r="BE106" s="1"/>
  <c r="Q106"/>
  <c r="BS106" s="1"/>
  <c r="I106"/>
  <c r="BC106" s="1"/>
  <c r="L106"/>
  <c r="BD106" s="1"/>
  <c r="U106"/>
  <c r="BU106" s="1"/>
  <c r="M106"/>
  <c r="BF106" s="1"/>
  <c r="C106"/>
  <c r="BJ106" s="1"/>
  <c r="R106"/>
  <c r="BZ106" s="1"/>
  <c r="O106"/>
  <c r="BX106" s="1"/>
  <c r="G106"/>
  <c r="BM106" s="1"/>
  <c r="V106"/>
  <c r="BQ106" s="1"/>
  <c r="S106"/>
  <c r="BY106" s="1"/>
  <c r="K106"/>
  <c r="BH106" s="1"/>
  <c r="X106"/>
  <c r="BT106" s="1"/>
  <c r="Y106"/>
  <c r="BR106" s="1"/>
  <c r="N106"/>
  <c r="BW106" s="1"/>
  <c r="Y53"/>
  <c r="BT53" s="1"/>
  <c r="V53"/>
  <c r="BX53" s="1"/>
  <c r="B53"/>
  <c r="O53"/>
  <c r="BS53" s="1"/>
  <c r="F53"/>
  <c r="BE53" s="1"/>
  <c r="C53"/>
  <c r="BC53" s="1"/>
  <c r="S53"/>
  <c r="BQ53" s="1"/>
  <c r="J53"/>
  <c r="BF53" s="1"/>
  <c r="G53"/>
  <c r="BM53" s="1"/>
  <c r="L53"/>
  <c r="BH53" s="1"/>
  <c r="M53"/>
  <c r="BJ53" s="1"/>
  <c r="K53"/>
  <c r="BL53" s="1"/>
  <c r="P53"/>
  <c r="BO53" s="1"/>
  <c r="Q53"/>
  <c r="BU53" s="1"/>
  <c r="D53"/>
  <c r="BG53" s="1"/>
  <c r="T53"/>
  <c r="BZ53" s="1"/>
  <c r="U53"/>
  <c r="BP53" s="1"/>
  <c r="H53"/>
  <c r="BD53" s="1"/>
  <c r="W53"/>
  <c r="BR53" s="1"/>
  <c r="N53"/>
  <c r="BW53" s="1"/>
  <c r="E53"/>
  <c r="BI53" s="1"/>
  <c r="X53"/>
  <c r="BV53" s="1"/>
  <c r="R53"/>
  <c r="BY53" s="1"/>
  <c r="I53"/>
  <c r="BN53" s="1"/>
  <c r="S80"/>
  <c r="BU80" s="1"/>
  <c r="G80"/>
  <c r="BC80" s="1"/>
  <c r="E80"/>
  <c r="BM80" s="1"/>
  <c r="P80"/>
  <c r="BW80" s="1"/>
  <c r="K80"/>
  <c r="BJ80" s="1"/>
  <c r="I80"/>
  <c r="BL80" s="1"/>
  <c r="T80"/>
  <c r="BQ80" s="1"/>
  <c r="L80"/>
  <c r="BF80" s="1"/>
  <c r="N80"/>
  <c r="BZ80" s="1"/>
  <c r="X80"/>
  <c r="BV80" s="1"/>
  <c r="D80"/>
  <c r="BG80" s="1"/>
  <c r="B80"/>
  <c r="Q80"/>
  <c r="BY80" s="1"/>
  <c r="H80"/>
  <c r="BE80" s="1"/>
  <c r="O80"/>
  <c r="BS80" s="1"/>
  <c r="U80"/>
  <c r="BP80" s="1"/>
  <c r="M80"/>
  <c r="BH80" s="1"/>
  <c r="F80"/>
  <c r="BI80" s="1"/>
  <c r="Y80"/>
  <c r="BT80" s="1"/>
  <c r="R80"/>
  <c r="BO80" s="1"/>
  <c r="J80"/>
  <c r="BD80" s="1"/>
  <c r="W80"/>
  <c r="BR80" s="1"/>
  <c r="V80"/>
  <c r="BX80" s="1"/>
  <c r="C80"/>
  <c r="BN80" s="1"/>
  <c r="Y85"/>
  <c r="BX85" s="1"/>
  <c r="V85"/>
  <c r="BR85" s="1"/>
  <c r="B85"/>
  <c r="O85"/>
  <c r="BP85" s="1"/>
  <c r="F85"/>
  <c r="BH85" s="1"/>
  <c r="C85"/>
  <c r="BM85" s="1"/>
  <c r="S85"/>
  <c r="BT85" s="1"/>
  <c r="J85"/>
  <c r="BF85" s="1"/>
  <c r="G85"/>
  <c r="BN85" s="1"/>
  <c r="L85"/>
  <c r="BJ85" s="1"/>
  <c r="M85"/>
  <c r="BL85" s="1"/>
  <c r="K85"/>
  <c r="BC85" s="1"/>
  <c r="P85"/>
  <c r="BS85" s="1"/>
  <c r="Q85"/>
  <c r="BU85" s="1"/>
  <c r="D85"/>
  <c r="BI85" s="1"/>
  <c r="T85"/>
  <c r="BW85" s="1"/>
  <c r="U85"/>
  <c r="BQ85" s="1"/>
  <c r="H85"/>
  <c r="BE85" s="1"/>
  <c r="W85"/>
  <c r="BV85" s="1"/>
  <c r="N85"/>
  <c r="BY85" s="1"/>
  <c r="E85"/>
  <c r="BG85" s="1"/>
  <c r="X85"/>
  <c r="BO85" s="1"/>
  <c r="R85"/>
  <c r="BZ85" s="1"/>
  <c r="I85"/>
  <c r="BK85" s="1"/>
  <c r="Y45"/>
  <c r="BS45" s="1"/>
  <c r="V45"/>
  <c r="BP45" s="1"/>
  <c r="B45"/>
  <c r="O45"/>
  <c r="BW45" s="1"/>
  <c r="F45"/>
  <c r="BL45" s="1"/>
  <c r="C45"/>
  <c r="BJ45" s="1"/>
  <c r="S45"/>
  <c r="BO45" s="1"/>
  <c r="J45"/>
  <c r="BI45" s="1"/>
  <c r="G45"/>
  <c r="BF45" s="1"/>
  <c r="L45"/>
  <c r="BG45" s="1"/>
  <c r="M45"/>
  <c r="BE45" s="1"/>
  <c r="K45"/>
  <c r="BD45" s="1"/>
  <c r="P45"/>
  <c r="BY45" s="1"/>
  <c r="Q45"/>
  <c r="BZ45" s="1"/>
  <c r="D45"/>
  <c r="BN45" s="1"/>
  <c r="T45"/>
  <c r="BR45" s="1"/>
  <c r="U45"/>
  <c r="BT45" s="1"/>
  <c r="H45"/>
  <c r="BC45" s="1"/>
  <c r="W45"/>
  <c r="BU45" s="1"/>
  <c r="N45"/>
  <c r="BV45" s="1"/>
  <c r="E45"/>
  <c r="BM45" s="1"/>
  <c r="X45"/>
  <c r="BQ45" s="1"/>
  <c r="R45"/>
  <c r="BX45" s="1"/>
  <c r="I45"/>
  <c r="BH45" s="1"/>
  <c r="Y77"/>
  <c r="BP77" s="1"/>
  <c r="V77"/>
  <c r="BT77" s="1"/>
  <c r="B77"/>
  <c r="O77"/>
  <c r="BW77" s="1"/>
  <c r="F77"/>
  <c r="BI77" s="1"/>
  <c r="C77"/>
  <c r="BC77" s="1"/>
  <c r="S77"/>
  <c r="BU77" s="1"/>
  <c r="J77"/>
  <c r="BE77" s="1"/>
  <c r="G77"/>
  <c r="BL77" s="1"/>
  <c r="L77"/>
  <c r="BD77" s="1"/>
  <c r="M77"/>
  <c r="BF77" s="1"/>
  <c r="K77"/>
  <c r="BH77" s="1"/>
  <c r="P77"/>
  <c r="BO77" s="1"/>
  <c r="Q77"/>
  <c r="BY77" s="1"/>
  <c r="D77"/>
  <c r="BK77" s="1"/>
  <c r="T77"/>
  <c r="BV77" s="1"/>
  <c r="U77"/>
  <c r="BS77" s="1"/>
  <c r="H77"/>
  <c r="BG77" s="1"/>
  <c r="W77"/>
  <c r="BQ77" s="1"/>
  <c r="N77"/>
  <c r="BZ77" s="1"/>
  <c r="E77"/>
  <c r="BM77" s="1"/>
  <c r="X77"/>
  <c r="BR77" s="1"/>
  <c r="R77"/>
  <c r="BX77" s="1"/>
  <c r="I77"/>
  <c r="BJ77" s="1"/>
  <c r="X88"/>
  <c r="BX88" s="1"/>
  <c r="G88"/>
  <c r="BG88" s="1"/>
  <c r="O88"/>
  <c r="BT88" s="1"/>
  <c r="S88"/>
  <c r="BV88" s="1"/>
  <c r="K88"/>
  <c r="BK88" s="1"/>
  <c r="E88"/>
  <c r="BM88" s="1"/>
  <c r="P88"/>
  <c r="BP88" s="1"/>
  <c r="N88"/>
  <c r="BU88" s="1"/>
  <c r="I88"/>
  <c r="BN88" s="1"/>
  <c r="T88"/>
  <c r="BS88" s="1"/>
  <c r="D88"/>
  <c r="BH88" s="1"/>
  <c r="B88"/>
  <c r="Q88"/>
  <c r="BQ88" s="1"/>
  <c r="H88"/>
  <c r="BJ88" s="1"/>
  <c r="M88"/>
  <c r="BL88" s="1"/>
  <c r="U88"/>
  <c r="BR88" s="1"/>
  <c r="L88"/>
  <c r="BC88" s="1"/>
  <c r="F88"/>
  <c r="BE88" s="1"/>
  <c r="Y88"/>
  <c r="BO88" s="1"/>
  <c r="R88"/>
  <c r="BY88" s="1"/>
  <c r="J88"/>
  <c r="BF88" s="1"/>
  <c r="W88"/>
  <c r="BW88" s="1"/>
  <c r="V88"/>
  <c r="BZ88" s="1"/>
  <c r="C88"/>
  <c r="BD88" s="1"/>
  <c r="W124"/>
  <c r="BY124" s="1"/>
  <c r="I124"/>
  <c r="BG124" s="1"/>
  <c r="C124"/>
  <c r="BC124" s="1"/>
  <c r="Q124"/>
  <c r="BV124" s="1"/>
  <c r="B124"/>
  <c r="G124"/>
  <c r="BE124" s="1"/>
  <c r="U124"/>
  <c r="BZ124" s="1"/>
  <c r="M124"/>
  <c r="BK124" s="1"/>
  <c r="K124"/>
  <c r="BI124" s="1"/>
  <c r="R124"/>
  <c r="BP124" s="1"/>
  <c r="F124"/>
  <c r="BJ124" s="1"/>
  <c r="D124"/>
  <c r="BH124" s="1"/>
  <c r="V124"/>
  <c r="BS124" s="1"/>
  <c r="J124"/>
  <c r="BN124" s="1"/>
  <c r="H124"/>
  <c r="BL124" s="1"/>
  <c r="S124"/>
  <c r="BX124" s="1"/>
  <c r="O124"/>
  <c r="BR124" s="1"/>
  <c r="N124"/>
  <c r="BO124" s="1"/>
  <c r="X124"/>
  <c r="BU124" s="1"/>
  <c r="P124"/>
  <c r="BT124" s="1"/>
  <c r="L124"/>
  <c r="BM124" s="1"/>
  <c r="Y124"/>
  <c r="BW124" s="1"/>
  <c r="T124"/>
  <c r="BQ124" s="1"/>
  <c r="E124"/>
  <c r="BD124" s="1"/>
  <c r="P141"/>
  <c r="BS141" s="1"/>
  <c r="Q141"/>
  <c r="BU141" s="1"/>
  <c r="H141"/>
  <c r="BC141" s="1"/>
  <c r="T141"/>
  <c r="BX141" s="1"/>
  <c r="U141"/>
  <c r="BZ141" s="1"/>
  <c r="W141"/>
  <c r="BP141" s="1"/>
  <c r="N141"/>
  <c r="BY141" s="1"/>
  <c r="E141"/>
  <c r="BG141" s="1"/>
  <c r="X141"/>
  <c r="BT141" s="1"/>
  <c r="R141"/>
  <c r="BW141" s="1"/>
  <c r="I141"/>
  <c r="BN141" s="1"/>
  <c r="Y141"/>
  <c r="BR141" s="1"/>
  <c r="V141"/>
  <c r="BV141" s="1"/>
  <c r="B141"/>
  <c r="C141"/>
  <c r="BM141" s="1"/>
  <c r="O141"/>
  <c r="BQ141" s="1"/>
  <c r="F141"/>
  <c r="BK141" s="1"/>
  <c r="G141"/>
  <c r="BL141" s="1"/>
  <c r="S141"/>
  <c r="BO141" s="1"/>
  <c r="J141"/>
  <c r="BD141" s="1"/>
  <c r="K141"/>
  <c r="BJ141" s="1"/>
  <c r="L141"/>
  <c r="BF141" s="1"/>
  <c r="M141"/>
  <c r="BH141" s="1"/>
  <c r="D141"/>
  <c r="BI141" s="1"/>
  <c r="V139"/>
  <c r="BT139" s="1"/>
  <c r="L139"/>
  <c r="BD139" s="1"/>
  <c r="C139"/>
  <c r="BG139" s="1"/>
  <c r="O139"/>
  <c r="BY139" s="1"/>
  <c r="P139"/>
  <c r="BX139" s="1"/>
  <c r="G139"/>
  <c r="BK139" s="1"/>
  <c r="S139"/>
  <c r="BU139" s="1"/>
  <c r="T139"/>
  <c r="BZ139" s="1"/>
  <c r="K139"/>
  <c r="BJ139" s="1"/>
  <c r="Y139"/>
  <c r="BP139" s="1"/>
  <c r="M139"/>
  <c r="BF139" s="1"/>
  <c r="D139"/>
  <c r="BE139" s="1"/>
  <c r="W139"/>
  <c r="BV139" s="1"/>
  <c r="Q139"/>
  <c r="BQ139" s="1"/>
  <c r="H139"/>
  <c r="BN139" s="1"/>
  <c r="X139"/>
  <c r="BR139" s="1"/>
  <c r="U139"/>
  <c r="BO139" s="1"/>
  <c r="E139"/>
  <c r="BL139" s="1"/>
  <c r="N139"/>
  <c r="BS139" s="1"/>
  <c r="I139"/>
  <c r="BH139" s="1"/>
  <c r="F139"/>
  <c r="BI139" s="1"/>
  <c r="R139"/>
  <c r="BW139" s="1"/>
  <c r="B139"/>
  <c r="J139"/>
  <c r="BC139" s="1"/>
  <c r="Q100"/>
  <c r="BZ100" s="1"/>
  <c r="O100"/>
  <c r="BV100" s="1"/>
  <c r="C100"/>
  <c r="BC100" s="1"/>
  <c r="U100"/>
  <c r="BW100" s="1"/>
  <c r="B100"/>
  <c r="G100"/>
  <c r="BF100" s="1"/>
  <c r="R100"/>
  <c r="BT100" s="1"/>
  <c r="L100"/>
  <c r="BI100" s="1"/>
  <c r="K100"/>
  <c r="BE100" s="1"/>
  <c r="V100"/>
  <c r="BP100" s="1"/>
  <c r="F100"/>
  <c r="BN100" s="1"/>
  <c r="M100"/>
  <c r="BG100" s="1"/>
  <c r="W100"/>
  <c r="BU100" s="1"/>
  <c r="J100"/>
  <c r="BK100" s="1"/>
  <c r="D100"/>
  <c r="BL100" s="1"/>
  <c r="S100"/>
  <c r="BY100" s="1"/>
  <c r="N100"/>
  <c r="BO100" s="1"/>
  <c r="H100"/>
  <c r="BM100" s="1"/>
  <c r="X100"/>
  <c r="BQ100" s="1"/>
  <c r="P100"/>
  <c r="BX100" s="1"/>
  <c r="E100"/>
  <c r="BH100" s="1"/>
  <c r="Y100"/>
  <c r="BS100" s="1"/>
  <c r="T100"/>
  <c r="BR100" s="1"/>
  <c r="I100"/>
  <c r="BD100" s="1"/>
  <c r="S120"/>
  <c r="BT120" s="1"/>
  <c r="G120"/>
  <c r="BI120" s="1"/>
  <c r="M120"/>
  <c r="BN120" s="1"/>
  <c r="P120"/>
  <c r="BP120" s="1"/>
  <c r="K120"/>
  <c r="BM120" s="1"/>
  <c r="O120"/>
  <c r="BR120" s="1"/>
  <c r="T120"/>
  <c r="BU120" s="1"/>
  <c r="N120"/>
  <c r="BQ120" s="1"/>
  <c r="E120"/>
  <c r="BD120" s="1"/>
  <c r="X120"/>
  <c r="BY120" s="1"/>
  <c r="D120"/>
  <c r="BC120" s="1"/>
  <c r="I120"/>
  <c r="BK120" s="1"/>
  <c r="Q120"/>
  <c r="BO120" s="1"/>
  <c r="H120"/>
  <c r="BH120" s="1"/>
  <c r="B120"/>
  <c r="U120"/>
  <c r="BV120" s="1"/>
  <c r="L120"/>
  <c r="BL120" s="1"/>
  <c r="F120"/>
  <c r="BG120" s="1"/>
  <c r="Y120"/>
  <c r="BZ120" s="1"/>
  <c r="R120"/>
  <c r="BS120" s="1"/>
  <c r="J120"/>
  <c r="BJ120" s="1"/>
  <c r="W120"/>
  <c r="BX120" s="1"/>
  <c r="V120"/>
  <c r="BW120" s="1"/>
  <c r="C120"/>
  <c r="BF120" s="1"/>
  <c r="V83"/>
  <c r="BO83" s="1"/>
  <c r="L83"/>
  <c r="BJ83" s="1"/>
  <c r="C83"/>
  <c r="BG83" s="1"/>
  <c r="Y83"/>
  <c r="BV83" s="1"/>
  <c r="P83"/>
  <c r="BZ83" s="1"/>
  <c r="G83"/>
  <c r="BK83" s="1"/>
  <c r="O83"/>
  <c r="BY83" s="1"/>
  <c r="T83"/>
  <c r="BQ83" s="1"/>
  <c r="K83"/>
  <c r="BF83" s="1"/>
  <c r="S83"/>
  <c r="BU83" s="1"/>
  <c r="M83"/>
  <c r="BL83" s="1"/>
  <c r="D83"/>
  <c r="BD83" s="1"/>
  <c r="W83"/>
  <c r="BR83" s="1"/>
  <c r="Q83"/>
  <c r="BP83" s="1"/>
  <c r="H83"/>
  <c r="BE83" s="1"/>
  <c r="X83"/>
  <c r="BX83" s="1"/>
  <c r="U83"/>
  <c r="BT83" s="1"/>
  <c r="E83"/>
  <c r="BN83" s="1"/>
  <c r="N83"/>
  <c r="BS83" s="1"/>
  <c r="I83"/>
  <c r="BC83" s="1"/>
  <c r="F83"/>
  <c r="BI83" s="1"/>
  <c r="R83"/>
  <c r="BW83" s="1"/>
  <c r="B83"/>
  <c r="J83"/>
  <c r="BH83" s="1"/>
  <c r="W7"/>
  <c r="BY7" s="1"/>
  <c r="K7"/>
  <c r="BG7" s="1"/>
  <c r="L7"/>
  <c r="BK7" s="1"/>
  <c r="M7"/>
  <c r="BI7" s="1"/>
  <c r="N7"/>
  <c r="BT7" s="1"/>
  <c r="E7"/>
  <c r="BC7" s="1"/>
  <c r="Q7"/>
  <c r="BX7" s="1"/>
  <c r="R7"/>
  <c r="BO7" s="1"/>
  <c r="I7"/>
  <c r="BE7" s="1"/>
  <c r="U7"/>
  <c r="BZ7" s="1"/>
  <c r="V7"/>
  <c r="BS7" s="1"/>
  <c r="B7"/>
  <c r="X7"/>
  <c r="BU7" s="1"/>
  <c r="O7"/>
  <c r="BP7" s="1"/>
  <c r="F7"/>
  <c r="BL7" s="1"/>
  <c r="Y7"/>
  <c r="BW7" s="1"/>
  <c r="S7"/>
  <c r="BV7" s="1"/>
  <c r="J7"/>
  <c r="BM7" s="1"/>
  <c r="P7"/>
  <c r="BR7" s="1"/>
  <c r="C7"/>
  <c r="BH7" s="1"/>
  <c r="D7"/>
  <c r="BF7" s="1"/>
  <c r="T7"/>
  <c r="BQ7" s="1"/>
  <c r="G7"/>
  <c r="BJ7" s="1"/>
  <c r="H7"/>
  <c r="BN7" s="1"/>
  <c r="T50"/>
  <c r="BX50" s="1"/>
  <c r="L50"/>
  <c r="BD50" s="1"/>
  <c r="B50"/>
  <c r="Q50"/>
  <c r="BU50" s="1"/>
  <c r="D50"/>
  <c r="BM50" s="1"/>
  <c r="N50"/>
  <c r="BW50" s="1"/>
  <c r="U50"/>
  <c r="BQ50" s="1"/>
  <c r="H50"/>
  <c r="BG50" s="1"/>
  <c r="F50"/>
  <c r="BI50" s="1"/>
  <c r="W50"/>
  <c r="BP50" s="1"/>
  <c r="E50"/>
  <c r="BN50" s="1"/>
  <c r="J50"/>
  <c r="BE50" s="1"/>
  <c r="R50"/>
  <c r="BZ50" s="1"/>
  <c r="I50"/>
  <c r="BJ50" s="1"/>
  <c r="M50"/>
  <c r="BF50" s="1"/>
  <c r="V50"/>
  <c r="BV50" s="1"/>
  <c r="O50"/>
  <c r="BO50" s="1"/>
  <c r="C50"/>
  <c r="BK50" s="1"/>
  <c r="Y50"/>
  <c r="BR50" s="1"/>
  <c r="S50"/>
  <c r="BS50" s="1"/>
  <c r="G50"/>
  <c r="BL50" s="1"/>
  <c r="X50"/>
  <c r="BT50" s="1"/>
  <c r="P50"/>
  <c r="BY50" s="1"/>
  <c r="K50"/>
  <c r="BH50" s="1"/>
  <c r="R46"/>
  <c r="BX46" s="1"/>
  <c r="J46"/>
  <c r="BI46" s="1"/>
  <c r="D46"/>
  <c r="BN46" s="1"/>
  <c r="V46"/>
  <c r="BR46" s="1"/>
  <c r="C46"/>
  <c r="BJ46" s="1"/>
  <c r="H46"/>
  <c r="BH46" s="1"/>
  <c r="S46"/>
  <c r="BO46" s="1"/>
  <c r="G46"/>
  <c r="BL46" s="1"/>
  <c r="N46"/>
  <c r="BW46" s="1"/>
  <c r="X46"/>
  <c r="BP46" s="1"/>
  <c r="K46"/>
  <c r="BD46" s="1"/>
  <c r="E46"/>
  <c r="BM46" s="1"/>
  <c r="P46"/>
  <c r="BV46" s="1"/>
  <c r="L46"/>
  <c r="BG46" s="1"/>
  <c r="I46"/>
  <c r="BF46" s="1"/>
  <c r="T46"/>
  <c r="BT46" s="1"/>
  <c r="O46"/>
  <c r="BZ46" s="1"/>
  <c r="B46"/>
  <c r="W46"/>
  <c r="BS46" s="1"/>
  <c r="Q46"/>
  <c r="BY46" s="1"/>
  <c r="M46"/>
  <c r="BE46" s="1"/>
  <c r="Y46"/>
  <c r="BQ46" s="1"/>
  <c r="U46"/>
  <c r="BU46" s="1"/>
  <c r="F46"/>
  <c r="BC46" s="1"/>
  <c r="W74"/>
  <c r="BS74" s="1"/>
  <c r="N74"/>
  <c r="BZ74" s="1"/>
  <c r="B74"/>
  <c r="P74"/>
  <c r="BX74" s="1"/>
  <c r="D74"/>
  <c r="BL74" s="1"/>
  <c r="F74"/>
  <c r="BM74" s="1"/>
  <c r="T74"/>
  <c r="BT74" s="1"/>
  <c r="H74"/>
  <c r="BK74" s="1"/>
  <c r="J74"/>
  <c r="BI74" s="1"/>
  <c r="Q74"/>
  <c r="BY74" s="1"/>
  <c r="E74"/>
  <c r="BJ74" s="1"/>
  <c r="L74"/>
  <c r="BG74" s="1"/>
  <c r="U74"/>
  <c r="BU74" s="1"/>
  <c r="I74"/>
  <c r="BF74" s="1"/>
  <c r="M74"/>
  <c r="BE74" s="1"/>
  <c r="R74"/>
  <c r="BV74" s="1"/>
  <c r="O74"/>
  <c r="BO74" s="1"/>
  <c r="C74"/>
  <c r="BN74" s="1"/>
  <c r="V74"/>
  <c r="BR74" s="1"/>
  <c r="S74"/>
  <c r="BW74" s="1"/>
  <c r="G74"/>
  <c r="BH74" s="1"/>
  <c r="X74"/>
  <c r="BP74" s="1"/>
  <c r="Y74"/>
  <c r="BQ74" s="1"/>
  <c r="K74"/>
  <c r="BD74" s="1"/>
  <c r="S136"/>
  <c r="BQ136" s="1"/>
  <c r="C136"/>
  <c r="BK136" s="1"/>
  <c r="M136"/>
  <c r="BD136" s="1"/>
  <c r="P136"/>
  <c r="BW136" s="1"/>
  <c r="G136"/>
  <c r="BN136" s="1"/>
  <c r="E136"/>
  <c r="BH136" s="1"/>
  <c r="T136"/>
  <c r="BZ136" s="1"/>
  <c r="K136"/>
  <c r="BJ136" s="1"/>
  <c r="I136"/>
  <c r="BF136" s="1"/>
  <c r="Q136"/>
  <c r="BY136" s="1"/>
  <c r="N136"/>
  <c r="BX136" s="1"/>
  <c r="B136"/>
  <c r="U136"/>
  <c r="BU136" s="1"/>
  <c r="D136"/>
  <c r="BG136" s="1"/>
  <c r="F136"/>
  <c r="BM136" s="1"/>
  <c r="X136"/>
  <c r="BP136" s="1"/>
  <c r="H136"/>
  <c r="BE136" s="1"/>
  <c r="J136"/>
  <c r="BI136" s="1"/>
  <c r="Y136"/>
  <c r="BO136" s="1"/>
  <c r="R136"/>
  <c r="BT136" s="1"/>
  <c r="L136"/>
  <c r="BC136" s="1"/>
  <c r="W136"/>
  <c r="BV136" s="1"/>
  <c r="V136"/>
  <c r="BR136" s="1"/>
  <c r="O136"/>
  <c r="BS136" s="1"/>
  <c r="R145"/>
  <c r="BW145" s="1"/>
  <c r="S145"/>
  <c r="BP145" s="1"/>
  <c r="V145"/>
  <c r="BZ145" s="1"/>
  <c r="P145"/>
  <c r="BU145" s="1"/>
  <c r="C145"/>
  <c r="BI145" s="1"/>
  <c r="Y145"/>
  <c r="BV145" s="1"/>
  <c r="T145"/>
  <c r="BY145" s="1"/>
  <c r="G145"/>
  <c r="BK145" s="1"/>
  <c r="W145"/>
  <c r="BT145" s="1"/>
  <c r="X145"/>
  <c r="BX145" s="1"/>
  <c r="K145"/>
  <c r="BN145" s="1"/>
  <c r="E145"/>
  <c r="BG145" s="1"/>
  <c r="M145"/>
  <c r="BL145" s="1"/>
  <c r="L145"/>
  <c r="BJ145" s="1"/>
  <c r="I145"/>
  <c r="BM145" s="1"/>
  <c r="Q145"/>
  <c r="BS145" s="1"/>
  <c r="D145"/>
  <c r="BC145" s="1"/>
  <c r="B145"/>
  <c r="U145"/>
  <c r="BR145" s="1"/>
  <c r="H145"/>
  <c r="BF145" s="1"/>
  <c r="F145"/>
  <c r="BD145" s="1"/>
  <c r="N145"/>
  <c r="BQ145" s="1"/>
  <c r="O145"/>
  <c r="BO145" s="1"/>
  <c r="J145"/>
  <c r="BH145" s="1"/>
  <c r="W25"/>
  <c r="BR25" s="1"/>
  <c r="T25"/>
  <c r="BZ25" s="1"/>
  <c r="C25"/>
  <c r="BK25" s="1"/>
  <c r="Q25"/>
  <c r="BU25" s="1"/>
  <c r="G25"/>
  <c r="BM25" s="1"/>
  <c r="E25"/>
  <c r="BI25" s="1"/>
  <c r="U25"/>
  <c r="BP25" s="1"/>
  <c r="K25"/>
  <c r="BL25" s="1"/>
  <c r="I25"/>
  <c r="BN25" s="1"/>
  <c r="X25"/>
  <c r="BV25" s="1"/>
  <c r="D25"/>
  <c r="BC25" s="1"/>
  <c r="B25"/>
  <c r="N25"/>
  <c r="BS25" s="1"/>
  <c r="H25"/>
  <c r="BD25" s="1"/>
  <c r="L25"/>
  <c r="BH25" s="1"/>
  <c r="R25"/>
  <c r="BY25" s="1"/>
  <c r="O25"/>
  <c r="BO25" s="1"/>
  <c r="M25"/>
  <c r="BJ25" s="1"/>
  <c r="V25"/>
  <c r="BX25" s="1"/>
  <c r="S25"/>
  <c r="BQ25" s="1"/>
  <c r="F25"/>
  <c r="BE25" s="1"/>
  <c r="Y25"/>
  <c r="BT25" s="1"/>
  <c r="P25"/>
  <c r="BW25" s="1"/>
  <c r="J25"/>
  <c r="BF25" s="1"/>
  <c r="W143"/>
  <c r="BR143" s="1"/>
  <c r="L143"/>
  <c r="BH143" s="1"/>
  <c r="E143"/>
  <c r="BM143" s="1"/>
  <c r="M143"/>
  <c r="BJ143" s="1"/>
  <c r="N143"/>
  <c r="BQ143" s="1"/>
  <c r="I143"/>
  <c r="BN143" s="1"/>
  <c r="Q143"/>
  <c r="BO143" s="1"/>
  <c r="R143"/>
  <c r="BY143" s="1"/>
  <c r="B143"/>
  <c r="U143"/>
  <c r="BP143" s="1"/>
  <c r="V143"/>
  <c r="BX143" s="1"/>
  <c r="F143"/>
  <c r="BC143" s="1"/>
  <c r="X143"/>
  <c r="BV143" s="1"/>
  <c r="O143"/>
  <c r="BU143" s="1"/>
  <c r="J143"/>
  <c r="BF143" s="1"/>
  <c r="Y143"/>
  <c r="BT143" s="1"/>
  <c r="S143"/>
  <c r="BW143" s="1"/>
  <c r="C143"/>
  <c r="BE143" s="1"/>
  <c r="P143"/>
  <c r="BS143" s="1"/>
  <c r="G143"/>
  <c r="BK143" s="1"/>
  <c r="D143"/>
  <c r="BG143" s="1"/>
  <c r="T143"/>
  <c r="BZ143" s="1"/>
  <c r="K143"/>
  <c r="BL143" s="1"/>
  <c r="H143"/>
  <c r="BD143" s="1"/>
  <c r="W9"/>
  <c r="BW9" s="1"/>
  <c r="T9"/>
  <c r="BO9" s="1"/>
  <c r="G9"/>
  <c r="BC9" s="1"/>
  <c r="Q9"/>
  <c r="BR9" s="1"/>
  <c r="K9"/>
  <c r="BE9" s="1"/>
  <c r="E9"/>
  <c r="BH9" s="1"/>
  <c r="U9"/>
  <c r="BZ9" s="1"/>
  <c r="D9"/>
  <c r="BF9" s="1"/>
  <c r="I9"/>
  <c r="BN9" s="1"/>
  <c r="X9"/>
  <c r="BS9" s="1"/>
  <c r="H9"/>
  <c r="BM9" s="1"/>
  <c r="B9"/>
  <c r="N9"/>
  <c r="BP9" s="1"/>
  <c r="L9"/>
  <c r="BI9" s="1"/>
  <c r="F9"/>
  <c r="BJ9" s="1"/>
  <c r="R9"/>
  <c r="BV9" s="1"/>
  <c r="O9"/>
  <c r="BX9" s="1"/>
  <c r="J9"/>
  <c r="BK9" s="1"/>
  <c r="V9"/>
  <c r="BQ9" s="1"/>
  <c r="S9"/>
  <c r="BY9" s="1"/>
  <c r="M9"/>
  <c r="BG9" s="1"/>
  <c r="Y9"/>
  <c r="BU9" s="1"/>
  <c r="P9"/>
  <c r="BT9" s="1"/>
  <c r="C9"/>
  <c r="BD9" s="1"/>
  <c r="W92"/>
  <c r="BX92" s="1"/>
  <c r="I92"/>
  <c r="BG92" s="1"/>
  <c r="C92"/>
  <c r="BH92" s="1"/>
  <c r="Q92"/>
  <c r="BR92" s="1"/>
  <c r="B92"/>
  <c r="G92"/>
  <c r="BD92" s="1"/>
  <c r="U92"/>
  <c r="BO92" s="1"/>
  <c r="F92"/>
  <c r="BF92" s="1"/>
  <c r="K92"/>
  <c r="BM92" s="1"/>
  <c r="R92"/>
  <c r="BU92" s="1"/>
  <c r="J92"/>
  <c r="BK92" s="1"/>
  <c r="D92"/>
  <c r="BJ92" s="1"/>
  <c r="V92"/>
  <c r="BW92" s="1"/>
  <c r="M92"/>
  <c r="BN92" s="1"/>
  <c r="H92"/>
  <c r="BC92" s="1"/>
  <c r="S92"/>
  <c r="BP92" s="1"/>
  <c r="O92"/>
  <c r="BV92" s="1"/>
  <c r="N92"/>
  <c r="BQ92" s="1"/>
  <c r="X92"/>
  <c r="BY92" s="1"/>
  <c r="P92"/>
  <c r="BT92" s="1"/>
  <c r="L92"/>
  <c r="BL92" s="1"/>
  <c r="Y92"/>
  <c r="BZ92" s="1"/>
  <c r="T92"/>
  <c r="BS92" s="1"/>
  <c r="E92"/>
  <c r="BI92" s="1"/>
  <c r="Y117"/>
  <c r="BV117" s="1"/>
  <c r="V117"/>
  <c r="BZ117" s="1"/>
  <c r="B117"/>
  <c r="O117"/>
  <c r="BR117" s="1"/>
  <c r="F117"/>
  <c r="BG117" s="1"/>
  <c r="C117"/>
  <c r="BI117" s="1"/>
  <c r="S117"/>
  <c r="BO117" s="1"/>
  <c r="J117"/>
  <c r="BH117" s="1"/>
  <c r="G117"/>
  <c r="BM117" s="1"/>
  <c r="L117"/>
  <c r="BJ117" s="1"/>
  <c r="M117"/>
  <c r="BL117" s="1"/>
  <c r="K117"/>
  <c r="BN117" s="1"/>
  <c r="P117"/>
  <c r="BP117" s="1"/>
  <c r="Q117"/>
  <c r="BQ117" s="1"/>
  <c r="D117"/>
  <c r="BE117" s="1"/>
  <c r="T117"/>
  <c r="BY117" s="1"/>
  <c r="U117"/>
  <c r="BW117" s="1"/>
  <c r="H117"/>
  <c r="BC117" s="1"/>
  <c r="W117"/>
  <c r="BT117" s="1"/>
  <c r="N117"/>
  <c r="BU117" s="1"/>
  <c r="E117"/>
  <c r="BD117" s="1"/>
  <c r="X117"/>
  <c r="BX117" s="1"/>
  <c r="R117"/>
  <c r="BS117" s="1"/>
  <c r="I117"/>
  <c r="BK117" s="1"/>
  <c r="W49"/>
  <c r="BQ49" s="1"/>
  <c r="P49"/>
  <c r="BZ49" s="1"/>
  <c r="G49"/>
  <c r="BL49" s="1"/>
  <c r="T49"/>
  <c r="BV49" s="1"/>
  <c r="K49"/>
  <c r="BH49" s="1"/>
  <c r="E49"/>
  <c r="BM49" s="1"/>
  <c r="Q49"/>
  <c r="BY49" s="1"/>
  <c r="L49"/>
  <c r="BD49" s="1"/>
  <c r="I49"/>
  <c r="BJ49" s="1"/>
  <c r="U49"/>
  <c r="BS49" s="1"/>
  <c r="D49"/>
  <c r="BC49" s="1"/>
  <c r="B49"/>
  <c r="N49"/>
  <c r="BW49" s="1"/>
  <c r="H49"/>
  <c r="BG49" s="1"/>
  <c r="F49"/>
  <c r="BI49" s="1"/>
  <c r="R49"/>
  <c r="BX49" s="1"/>
  <c r="O49"/>
  <c r="BO49" s="1"/>
  <c r="J49"/>
  <c r="BE49" s="1"/>
  <c r="V49"/>
  <c r="BT49" s="1"/>
  <c r="S49"/>
  <c r="BU49" s="1"/>
  <c r="M49"/>
  <c r="BF49" s="1"/>
  <c r="Y49"/>
  <c r="BP49" s="1"/>
  <c r="X49"/>
  <c r="BR49" s="1"/>
  <c r="C49"/>
  <c r="BN49" s="1"/>
  <c r="S48"/>
  <c r="BU48" s="1"/>
  <c r="G48"/>
  <c r="BJ48" s="1"/>
  <c r="E48"/>
  <c r="BM48" s="1"/>
  <c r="X48"/>
  <c r="BR48" s="1"/>
  <c r="K48"/>
  <c r="BF48" s="1"/>
  <c r="I48"/>
  <c r="BH48" s="1"/>
  <c r="P48"/>
  <c r="BY48" s="1"/>
  <c r="L48"/>
  <c r="BE48" s="1"/>
  <c r="N48"/>
  <c r="BZ48" s="1"/>
  <c r="T48"/>
  <c r="BV48" s="1"/>
  <c r="O48"/>
  <c r="BW48" s="1"/>
  <c r="B48"/>
  <c r="Q48"/>
  <c r="BO48" s="1"/>
  <c r="D48"/>
  <c r="BC48" s="1"/>
  <c r="F48"/>
  <c r="BL48" s="1"/>
  <c r="U48"/>
  <c r="BS48" s="1"/>
  <c r="H48"/>
  <c r="BI48" s="1"/>
  <c r="J48"/>
  <c r="BG48" s="1"/>
  <c r="Y48"/>
  <c r="BP48" s="1"/>
  <c r="R48"/>
  <c r="BX48" s="1"/>
  <c r="M48"/>
  <c r="BD48" s="1"/>
  <c r="W48"/>
  <c r="BQ48" s="1"/>
  <c r="V48"/>
  <c r="BT48" s="1"/>
  <c r="C48"/>
  <c r="BK48" s="1"/>
  <c r="W89"/>
  <c r="BO89" s="1"/>
  <c r="P89"/>
  <c r="BP89" s="1"/>
  <c r="G89"/>
  <c r="BM89" s="1"/>
  <c r="T89"/>
  <c r="BS89" s="1"/>
  <c r="K89"/>
  <c r="BN89" s="1"/>
  <c r="E89"/>
  <c r="BD89" s="1"/>
  <c r="Q89"/>
  <c r="BQ89" s="1"/>
  <c r="D89"/>
  <c r="BE89" s="1"/>
  <c r="I89"/>
  <c r="BG89" s="1"/>
  <c r="U89"/>
  <c r="BR89" s="1"/>
  <c r="H89"/>
  <c r="BF89" s="1"/>
  <c r="B89"/>
  <c r="N89"/>
  <c r="BU89" s="1"/>
  <c r="L89"/>
  <c r="BC89" s="1"/>
  <c r="M89"/>
  <c r="BL89" s="1"/>
  <c r="R89"/>
  <c r="BY89" s="1"/>
  <c r="X89"/>
  <c r="BZ89" s="1"/>
  <c r="F89"/>
  <c r="BJ89" s="1"/>
  <c r="V89"/>
  <c r="BW89" s="1"/>
  <c r="O89"/>
  <c r="BT89" s="1"/>
  <c r="J89"/>
  <c r="BK89" s="1"/>
  <c r="Y89"/>
  <c r="BX89" s="1"/>
  <c r="S89"/>
  <c r="BV89" s="1"/>
  <c r="C89"/>
  <c r="BI89" s="1"/>
  <c r="T114"/>
  <c r="BX114" s="1"/>
  <c r="M114"/>
  <c r="BJ114" s="1"/>
  <c r="B114"/>
  <c r="Q114"/>
  <c r="BR114" s="1"/>
  <c r="D114"/>
  <c r="BI114" s="1"/>
  <c r="N114"/>
  <c r="BP114" s="1"/>
  <c r="U114"/>
  <c r="BW114" s="1"/>
  <c r="H114"/>
  <c r="BE114" s="1"/>
  <c r="F114"/>
  <c r="BF114" s="1"/>
  <c r="W114"/>
  <c r="BO114" s="1"/>
  <c r="E114"/>
  <c r="BG114" s="1"/>
  <c r="J114"/>
  <c r="BC114" s="1"/>
  <c r="R114"/>
  <c r="BS114" s="1"/>
  <c r="I114"/>
  <c r="BK114" s="1"/>
  <c r="C114"/>
  <c r="BM114" s="1"/>
  <c r="V114"/>
  <c r="BZ114" s="1"/>
  <c r="O114"/>
  <c r="BU114" s="1"/>
  <c r="G114"/>
  <c r="BL114" s="1"/>
  <c r="Y114"/>
  <c r="BT114" s="1"/>
  <c r="S114"/>
  <c r="BQ114" s="1"/>
  <c r="K114"/>
  <c r="BN114" s="1"/>
  <c r="X114"/>
  <c r="BV114" s="1"/>
  <c r="P114"/>
  <c r="BY114" s="1"/>
  <c r="L114"/>
  <c r="BH114" s="1"/>
  <c r="W138"/>
  <c r="BO138" s="1"/>
  <c r="B138"/>
  <c r="E138"/>
  <c r="BK138" s="1"/>
  <c r="J138"/>
  <c r="BC138" s="1"/>
  <c r="P138"/>
  <c r="BX138" s="1"/>
  <c r="H138"/>
  <c r="BI138" s="1"/>
  <c r="F138"/>
  <c r="BE138" s="1"/>
  <c r="T138"/>
  <c r="BT138" s="1"/>
  <c r="Q138"/>
  <c r="BQ138" s="1"/>
  <c r="I138"/>
  <c r="BN138" s="1"/>
  <c r="L138"/>
  <c r="BD138" s="1"/>
  <c r="M138"/>
  <c r="BF138" s="1"/>
  <c r="C138"/>
  <c r="BL138" s="1"/>
  <c r="U138"/>
  <c r="BZ138" s="1"/>
  <c r="R138"/>
  <c r="BW138" s="1"/>
  <c r="O138"/>
  <c r="BY138" s="1"/>
  <c r="G138"/>
  <c r="BH138" s="1"/>
  <c r="V138"/>
  <c r="BV138" s="1"/>
  <c r="S138"/>
  <c r="BU138" s="1"/>
  <c r="K138"/>
  <c r="BJ138" s="1"/>
  <c r="X138"/>
  <c r="BR138" s="1"/>
  <c r="Y138"/>
  <c r="BP138" s="1"/>
  <c r="N138"/>
  <c r="BS138" s="1"/>
  <c r="D138"/>
  <c r="BM138" s="1"/>
  <c r="S24"/>
  <c r="BQ24" s="1"/>
  <c r="C24"/>
  <c r="BG24" s="1"/>
  <c r="E24"/>
  <c r="BI24" s="1"/>
  <c r="P24"/>
  <c r="BU24" s="1"/>
  <c r="G24"/>
  <c r="BN24" s="1"/>
  <c r="I24"/>
  <c r="BL24" s="1"/>
  <c r="T24"/>
  <c r="BZ24" s="1"/>
  <c r="K24"/>
  <c r="BJ24" s="1"/>
  <c r="B24"/>
  <c r="Q24"/>
  <c r="BO24" s="1"/>
  <c r="N24"/>
  <c r="BW24" s="1"/>
  <c r="L24"/>
  <c r="BF24" s="1"/>
  <c r="U24"/>
  <c r="BP24" s="1"/>
  <c r="D24"/>
  <c r="BC24" s="1"/>
  <c r="M24"/>
  <c r="BH24" s="1"/>
  <c r="X24"/>
  <c r="BV24" s="1"/>
  <c r="H24"/>
  <c r="BE24" s="1"/>
  <c r="O24"/>
  <c r="BS24" s="1"/>
  <c r="Y24"/>
  <c r="BT24" s="1"/>
  <c r="R24"/>
  <c r="BY24" s="1"/>
  <c r="F24"/>
  <c r="BM24" s="1"/>
  <c r="W24"/>
  <c r="BR24" s="1"/>
  <c r="V24"/>
  <c r="BX24" s="1"/>
  <c r="J24"/>
  <c r="BD24" s="1"/>
  <c r="Y29"/>
  <c r="BX29" s="1"/>
  <c r="V29"/>
  <c r="BY29" s="1"/>
  <c r="B29"/>
  <c r="O29"/>
  <c r="BP29" s="1"/>
  <c r="F29"/>
  <c r="BF29" s="1"/>
  <c r="C29"/>
  <c r="BC29" s="1"/>
  <c r="S29"/>
  <c r="BR29" s="1"/>
  <c r="J29"/>
  <c r="BJ29" s="1"/>
  <c r="G29"/>
  <c r="BI29" s="1"/>
  <c r="L29"/>
  <c r="BL29" s="1"/>
  <c r="M29"/>
  <c r="BN29" s="1"/>
  <c r="K29"/>
  <c r="BM29" s="1"/>
  <c r="P29"/>
  <c r="BO29" s="1"/>
  <c r="Q29"/>
  <c r="BQ29" s="1"/>
  <c r="D29"/>
  <c r="BD29" s="1"/>
  <c r="T29"/>
  <c r="BW29" s="1"/>
  <c r="U29"/>
  <c r="BT29" s="1"/>
  <c r="H29"/>
  <c r="BH29" s="1"/>
  <c r="W29"/>
  <c r="BV29" s="1"/>
  <c r="N29"/>
  <c r="BS29" s="1"/>
  <c r="E29"/>
  <c r="BE29" s="1"/>
  <c r="X29"/>
  <c r="BZ29" s="1"/>
  <c r="R29"/>
  <c r="BU29" s="1"/>
  <c r="I29"/>
  <c r="BK29" s="1"/>
  <c r="W97"/>
  <c r="BY97" s="1"/>
  <c r="T97"/>
  <c r="BQ97" s="1"/>
  <c r="G97"/>
  <c r="BD97" s="1"/>
  <c r="Q97"/>
  <c r="BT97" s="1"/>
  <c r="K97"/>
  <c r="BG97" s="1"/>
  <c r="E97"/>
  <c r="BH97" s="1"/>
  <c r="U97"/>
  <c r="BZ97" s="1"/>
  <c r="M97"/>
  <c r="BI97" s="1"/>
  <c r="I97"/>
  <c r="BE97" s="1"/>
  <c r="X97"/>
  <c r="BU97" s="1"/>
  <c r="D97"/>
  <c r="BC97" s="1"/>
  <c r="L97"/>
  <c r="BK97" s="1"/>
  <c r="N97"/>
  <c r="BV97" s="1"/>
  <c r="H97"/>
  <c r="BN97" s="1"/>
  <c r="B97"/>
  <c r="R97"/>
  <c r="BP97" s="1"/>
  <c r="O97"/>
  <c r="BO97" s="1"/>
  <c r="F97"/>
  <c r="BL97" s="1"/>
  <c r="V97"/>
  <c r="BS97" s="1"/>
  <c r="S97"/>
  <c r="BX97" s="1"/>
  <c r="J97"/>
  <c r="BM97" s="1"/>
  <c r="Y97"/>
  <c r="BW97" s="1"/>
  <c r="P97"/>
  <c r="BR97" s="1"/>
  <c r="C97"/>
  <c r="BF97" s="1"/>
  <c r="P122"/>
  <c r="BP122" s="1"/>
  <c r="H122"/>
  <c r="BJ122" s="1"/>
  <c r="B122"/>
  <c r="J122"/>
  <c r="BL122" s="1"/>
  <c r="T122"/>
  <c r="BS122" s="1"/>
  <c r="L122"/>
  <c r="BN122" s="1"/>
  <c r="F122"/>
  <c r="BH122" s="1"/>
  <c r="Q122"/>
  <c r="BT122" s="1"/>
  <c r="E122"/>
  <c r="BE122" s="1"/>
  <c r="U122"/>
  <c r="BX122" s="1"/>
  <c r="I122"/>
  <c r="BI122" s="1"/>
  <c r="C122"/>
  <c r="BF122" s="1"/>
  <c r="Y122"/>
  <c r="BY122" s="1"/>
  <c r="M122"/>
  <c r="BM122" s="1"/>
  <c r="G122"/>
  <c r="BG122" s="1"/>
  <c r="R122"/>
  <c r="BQ122" s="1"/>
  <c r="O122"/>
  <c r="BO122" s="1"/>
  <c r="K122"/>
  <c r="BK122" s="1"/>
  <c r="V122"/>
  <c r="BU122" s="1"/>
  <c r="S122"/>
  <c r="BV122" s="1"/>
  <c r="N122"/>
  <c r="BR122" s="1"/>
  <c r="X122"/>
  <c r="BW122" s="1"/>
  <c r="W122"/>
  <c r="BZ122" s="1"/>
  <c r="D122"/>
  <c r="BD122" s="1"/>
  <c r="W18"/>
  <c r="BO18" s="1"/>
  <c r="D18"/>
  <c r="BN18" s="1"/>
  <c r="B18"/>
  <c r="T18"/>
  <c r="BR18" s="1"/>
  <c r="H18"/>
  <c r="BK18" s="1"/>
  <c r="N18"/>
  <c r="BU18" s="1"/>
  <c r="Q18"/>
  <c r="BS18" s="1"/>
  <c r="M18"/>
  <c r="BD18" s="1"/>
  <c r="F18"/>
  <c r="BG18" s="1"/>
  <c r="U18"/>
  <c r="BX18" s="1"/>
  <c r="O18"/>
  <c r="BZ18" s="1"/>
  <c r="J18"/>
  <c r="BC18" s="1"/>
  <c r="R18"/>
  <c r="BY18" s="1"/>
  <c r="E18"/>
  <c r="BM18" s="1"/>
  <c r="C18"/>
  <c r="BJ18" s="1"/>
  <c r="V18"/>
  <c r="BT18" s="1"/>
  <c r="I18"/>
  <c r="BL18" s="1"/>
  <c r="G18"/>
  <c r="BF18" s="1"/>
  <c r="Y18"/>
  <c r="BQ18" s="1"/>
  <c r="L18"/>
  <c r="BE18" s="1"/>
  <c r="K18"/>
  <c r="BH18" s="1"/>
  <c r="X18"/>
  <c r="BP18" s="1"/>
  <c r="S18"/>
  <c r="BW18" s="1"/>
  <c r="P18"/>
  <c r="BV18" s="1"/>
  <c r="Y10"/>
  <c r="BS10" s="1"/>
  <c r="N10"/>
  <c r="BX10" s="1"/>
  <c r="B10"/>
  <c r="T10"/>
  <c r="BO10" s="1"/>
  <c r="D10"/>
  <c r="BF10" s="1"/>
  <c r="F10"/>
  <c r="BM10" s="1"/>
  <c r="Q10"/>
  <c r="BY10" s="1"/>
  <c r="H10"/>
  <c r="BN10" s="1"/>
  <c r="J10"/>
  <c r="BK10" s="1"/>
  <c r="U10"/>
  <c r="BZ10" s="1"/>
  <c r="L10"/>
  <c r="BI10" s="1"/>
  <c r="O10"/>
  <c r="BR10" s="1"/>
  <c r="W10"/>
  <c r="BU10" s="1"/>
  <c r="P10"/>
  <c r="BP10" s="1"/>
  <c r="M10"/>
  <c r="BG10" s="1"/>
  <c r="R10"/>
  <c r="BT10" s="1"/>
  <c r="E10"/>
  <c r="BH10" s="1"/>
  <c r="C10"/>
  <c r="BD10" s="1"/>
  <c r="V10"/>
  <c r="BW10" s="1"/>
  <c r="I10"/>
  <c r="BC10" s="1"/>
  <c r="G10"/>
  <c r="BJ10" s="1"/>
  <c r="X10"/>
  <c r="BQ10" s="1"/>
  <c r="S10"/>
  <c r="BV10" s="1"/>
  <c r="K10"/>
  <c r="BE10" s="1"/>
  <c r="W42"/>
  <c r="BO42" s="1"/>
  <c r="N42"/>
  <c r="BY42" s="1"/>
  <c r="B42"/>
  <c r="P42"/>
  <c r="BR42" s="1"/>
  <c r="D42"/>
  <c r="BJ42" s="1"/>
  <c r="F42"/>
  <c r="BK42" s="1"/>
  <c r="T42"/>
  <c r="BQ42" s="1"/>
  <c r="H42"/>
  <c r="BN42" s="1"/>
  <c r="J42"/>
  <c r="BC42" s="1"/>
  <c r="Q42"/>
  <c r="BW42" s="1"/>
  <c r="M42"/>
  <c r="BG42" s="1"/>
  <c r="O42"/>
  <c r="BV42" s="1"/>
  <c r="U42"/>
  <c r="BT42" s="1"/>
  <c r="E42"/>
  <c r="BL42" s="1"/>
  <c r="L42"/>
  <c r="BI42" s="1"/>
  <c r="R42"/>
  <c r="BX42" s="1"/>
  <c r="I42"/>
  <c r="BH42" s="1"/>
  <c r="C42"/>
  <c r="BF42" s="1"/>
  <c r="V42"/>
  <c r="BP42" s="1"/>
  <c r="S42"/>
  <c r="BZ42" s="1"/>
  <c r="G42"/>
  <c r="BE42" s="1"/>
  <c r="X42"/>
  <c r="BS42" s="1"/>
  <c r="Y42"/>
  <c r="BU42" s="1"/>
  <c r="K42"/>
  <c r="BD42" s="1"/>
  <c r="R91"/>
  <c r="BP91" s="1"/>
  <c r="L91"/>
  <c r="BL91" s="1"/>
  <c r="C91"/>
  <c r="BH91" s="1"/>
  <c r="V91"/>
  <c r="BY91" s="1"/>
  <c r="P91"/>
  <c r="BU91" s="1"/>
  <c r="G91"/>
  <c r="BD91" s="1"/>
  <c r="O91"/>
  <c r="BQ91" s="1"/>
  <c r="T91"/>
  <c r="BS91" s="1"/>
  <c r="K91"/>
  <c r="BK91" s="1"/>
  <c r="S91"/>
  <c r="BR91" s="1"/>
  <c r="M91"/>
  <c r="BN91" s="1"/>
  <c r="D91"/>
  <c r="BJ91" s="1"/>
  <c r="W91"/>
  <c r="BW91" s="1"/>
  <c r="Q91"/>
  <c r="BV91" s="1"/>
  <c r="H91"/>
  <c r="BG91" s="1"/>
  <c r="X91"/>
  <c r="BZ91" s="1"/>
  <c r="U91"/>
  <c r="BO91" s="1"/>
  <c r="E91"/>
  <c r="BI91" s="1"/>
  <c r="Y91"/>
  <c r="BX91" s="1"/>
  <c r="I91"/>
  <c r="BM91" s="1"/>
  <c r="F91"/>
  <c r="BF91" s="1"/>
  <c r="N91"/>
  <c r="BT91" s="1"/>
  <c r="B91"/>
  <c r="J91"/>
  <c r="BC91" s="1"/>
  <c r="T119"/>
  <c r="BW119" s="1"/>
  <c r="K119"/>
  <c r="BM119" s="1"/>
  <c r="L119"/>
  <c r="BL119" s="1"/>
  <c r="M119"/>
  <c r="BN119" s="1"/>
  <c r="N119"/>
  <c r="BR119" s="1"/>
  <c r="E119"/>
  <c r="BI119" s="1"/>
  <c r="Q119"/>
  <c r="BO119" s="1"/>
  <c r="R119"/>
  <c r="BU119" s="1"/>
  <c r="I119"/>
  <c r="BK119" s="1"/>
  <c r="U119"/>
  <c r="BT119" s="1"/>
  <c r="V119"/>
  <c r="BY119" s="1"/>
  <c r="B119"/>
  <c r="X119"/>
  <c r="BZ119" s="1"/>
  <c r="W119"/>
  <c r="BV119" s="1"/>
  <c r="F119"/>
  <c r="BC119" s="1"/>
  <c r="Y119"/>
  <c r="BX119" s="1"/>
  <c r="O119"/>
  <c r="BQ119" s="1"/>
  <c r="J119"/>
  <c r="BJ119" s="1"/>
  <c r="S119"/>
  <c r="BS119" s="1"/>
  <c r="C119"/>
  <c r="BF119" s="1"/>
  <c r="D119"/>
  <c r="BD119" s="1"/>
  <c r="P119"/>
  <c r="BP119" s="1"/>
  <c r="G119"/>
  <c r="BG119" s="1"/>
  <c r="H119"/>
  <c r="BH119" s="1"/>
  <c r="Q116"/>
  <c r="BQ116" s="1"/>
  <c r="E116"/>
  <c r="BM116" s="1"/>
  <c r="C116"/>
  <c r="BD116" s="1"/>
  <c r="U116"/>
  <c r="BO116" s="1"/>
  <c r="I116"/>
  <c r="BK116" s="1"/>
  <c r="G116"/>
  <c r="BG116" s="1"/>
  <c r="R116"/>
  <c r="BY116" s="1"/>
  <c r="B116"/>
  <c r="K116"/>
  <c r="BL116" s="1"/>
  <c r="V116"/>
  <c r="BZ116" s="1"/>
  <c r="F116"/>
  <c r="BE116" s="1"/>
  <c r="O116"/>
  <c r="BR116" s="1"/>
  <c r="W116"/>
  <c r="BT116" s="1"/>
  <c r="J116"/>
  <c r="BN116" s="1"/>
  <c r="L116"/>
  <c r="BH116" s="1"/>
  <c r="S116"/>
  <c r="BS116" s="1"/>
  <c r="N116"/>
  <c r="BU116" s="1"/>
  <c r="M116"/>
  <c r="BJ116" s="1"/>
  <c r="X116"/>
  <c r="BX116" s="1"/>
  <c r="P116"/>
  <c r="BP116" s="1"/>
  <c r="D116"/>
  <c r="BF116" s="1"/>
  <c r="Y116"/>
  <c r="BV116" s="1"/>
  <c r="T116"/>
  <c r="BW116" s="1"/>
  <c r="H116"/>
  <c r="BC116" s="1"/>
  <c r="S144"/>
  <c r="BP144" s="1"/>
  <c r="C144"/>
  <c r="BE144" s="1"/>
  <c r="E144"/>
  <c r="BG144" s="1"/>
  <c r="P144"/>
  <c r="BS144" s="1"/>
  <c r="G144"/>
  <c r="BM144" s="1"/>
  <c r="I144"/>
  <c r="BN144" s="1"/>
  <c r="T144"/>
  <c r="BY144" s="1"/>
  <c r="K144"/>
  <c r="BL144" s="1"/>
  <c r="N144"/>
  <c r="BU144" s="1"/>
  <c r="X144"/>
  <c r="BX144" s="1"/>
  <c r="L144"/>
  <c r="BH144" s="1"/>
  <c r="B144"/>
  <c r="Q144"/>
  <c r="BO144" s="1"/>
  <c r="D144"/>
  <c r="BC144" s="1"/>
  <c r="O144"/>
  <c r="BQ144" s="1"/>
  <c r="U144"/>
  <c r="BR144" s="1"/>
  <c r="H144"/>
  <c r="BD144" s="1"/>
  <c r="F144"/>
  <c r="BK144" s="1"/>
  <c r="Y144"/>
  <c r="BV144" s="1"/>
  <c r="R144"/>
  <c r="BW144" s="1"/>
  <c r="J144"/>
  <c r="BF144" s="1"/>
  <c r="W144"/>
  <c r="BT144" s="1"/>
  <c r="V144"/>
  <c r="BZ144" s="1"/>
  <c r="M144"/>
  <c r="BJ144" s="1"/>
  <c r="X68"/>
  <c r="BU68" s="1"/>
  <c r="L68"/>
  <c r="BM68" s="1"/>
  <c r="C68"/>
  <c r="BL68" s="1"/>
  <c r="Q68"/>
  <c r="BV68" s="1"/>
  <c r="M68"/>
  <c r="BK68" s="1"/>
  <c r="G68"/>
  <c r="BH68" s="1"/>
  <c r="U68"/>
  <c r="BO68" s="1"/>
  <c r="F68"/>
  <c r="BJ68" s="1"/>
  <c r="K68"/>
  <c r="BI68" s="1"/>
  <c r="R68"/>
  <c r="BQ68" s="1"/>
  <c r="J68"/>
  <c r="BG68" s="1"/>
  <c r="D68"/>
  <c r="BN68" s="1"/>
  <c r="V68"/>
  <c r="BS68" s="1"/>
  <c r="N68"/>
  <c r="BR68" s="1"/>
  <c r="H68"/>
  <c r="BC68" s="1"/>
  <c r="W68"/>
  <c r="BY68" s="1"/>
  <c r="O68"/>
  <c r="BZ68" s="1"/>
  <c r="E68"/>
  <c r="BE68" s="1"/>
  <c r="S68"/>
  <c r="BT68" s="1"/>
  <c r="P68"/>
  <c r="BX68" s="1"/>
  <c r="I68"/>
  <c r="BD68" s="1"/>
  <c r="Y68"/>
  <c r="BW68" s="1"/>
  <c r="T68"/>
  <c r="BP68" s="1"/>
  <c r="B68"/>
  <c r="AC151" i="118"/>
  <c r="AC150"/>
  <c r="W4" i="119"/>
  <c r="I4"/>
  <c r="C4"/>
  <c r="X4"/>
  <c r="B4"/>
  <c r="G4"/>
  <c r="Q4"/>
  <c r="M4"/>
  <c r="K4"/>
  <c r="U4"/>
  <c r="F4"/>
  <c r="D4"/>
  <c r="R4"/>
  <c r="J4"/>
  <c r="H4"/>
  <c r="V4"/>
  <c r="N4"/>
  <c r="L4"/>
  <c r="S4"/>
  <c r="P4"/>
  <c r="O4"/>
  <c r="Y4"/>
  <c r="T4"/>
  <c r="E4"/>
  <c r="Y13"/>
  <c r="BQ13" s="1"/>
  <c r="V13"/>
  <c r="BW13" s="1"/>
  <c r="B13"/>
  <c r="O13"/>
  <c r="BY13" s="1"/>
  <c r="F13"/>
  <c r="BI13" s="1"/>
  <c r="C13"/>
  <c r="BF13" s="1"/>
  <c r="S13"/>
  <c r="BU13" s="1"/>
  <c r="J13"/>
  <c r="BK13" s="1"/>
  <c r="G13"/>
  <c r="BD13" s="1"/>
  <c r="L13"/>
  <c r="BG13" s="1"/>
  <c r="M13"/>
  <c r="BE13" s="1"/>
  <c r="K13"/>
  <c r="BC13" s="1"/>
  <c r="P13"/>
  <c r="BX13" s="1"/>
  <c r="Q13"/>
  <c r="BV13" s="1"/>
  <c r="D13"/>
  <c r="BJ13" s="1"/>
  <c r="T13"/>
  <c r="BT13" s="1"/>
  <c r="U13"/>
  <c r="BZ13" s="1"/>
  <c r="H13"/>
  <c r="BN13" s="1"/>
  <c r="W13"/>
  <c r="BS13" s="1"/>
  <c r="N13"/>
  <c r="BR13" s="1"/>
  <c r="E13"/>
  <c r="BL13" s="1"/>
  <c r="X13"/>
  <c r="BO13" s="1"/>
  <c r="R13"/>
  <c r="BP13" s="1"/>
  <c r="I13"/>
  <c r="BH13" s="1"/>
  <c r="Q132"/>
  <c r="BX132" s="1"/>
  <c r="O132"/>
  <c r="BW132" s="1"/>
  <c r="C132"/>
  <c r="BN132" s="1"/>
  <c r="U132"/>
  <c r="BY132" s="1"/>
  <c r="B132"/>
  <c r="G132"/>
  <c r="BJ132" s="1"/>
  <c r="R132"/>
  <c r="BR132" s="1"/>
  <c r="L132"/>
  <c r="BE132" s="1"/>
  <c r="K132"/>
  <c r="BC132" s="1"/>
  <c r="V132"/>
  <c r="BO132" s="1"/>
  <c r="F132"/>
  <c r="BL132" s="1"/>
  <c r="M132"/>
  <c r="BD132" s="1"/>
  <c r="W132"/>
  <c r="BU132" s="1"/>
  <c r="J132"/>
  <c r="BI132" s="1"/>
  <c r="D132"/>
  <c r="BK132" s="1"/>
  <c r="S132"/>
  <c r="BS132" s="1"/>
  <c r="N132"/>
  <c r="BT132" s="1"/>
  <c r="H132"/>
  <c r="BG132" s="1"/>
  <c r="X132"/>
  <c r="BP132" s="1"/>
  <c r="P132"/>
  <c r="BZ132" s="1"/>
  <c r="E132"/>
  <c r="BF132" s="1"/>
  <c r="Y132"/>
  <c r="BQ132" s="1"/>
  <c r="T132"/>
  <c r="BV132" s="1"/>
  <c r="I132"/>
  <c r="BM132" s="1"/>
  <c r="W140"/>
  <c r="BP140" s="1"/>
  <c r="E140"/>
  <c r="BL140" s="1"/>
  <c r="L140"/>
  <c r="BD140" s="1"/>
  <c r="Q140"/>
  <c r="BU140" s="1"/>
  <c r="I140"/>
  <c r="BN140" s="1"/>
  <c r="C140"/>
  <c r="BG140" s="1"/>
  <c r="U140"/>
  <c r="BO140" s="1"/>
  <c r="B140"/>
  <c r="G140"/>
  <c r="BK140" s="1"/>
  <c r="R140"/>
  <c r="BX140" s="1"/>
  <c r="M140"/>
  <c r="BF140" s="1"/>
  <c r="K140"/>
  <c r="BH140" s="1"/>
  <c r="V140"/>
  <c r="BV140" s="1"/>
  <c r="F140"/>
  <c r="BI140" s="1"/>
  <c r="D140"/>
  <c r="BE140" s="1"/>
  <c r="S140"/>
  <c r="BW140" s="1"/>
  <c r="J140"/>
  <c r="BJ140" s="1"/>
  <c r="H140"/>
  <c r="BC140" s="1"/>
  <c r="X140"/>
  <c r="BT140" s="1"/>
  <c r="P140"/>
  <c r="BS140" s="1"/>
  <c r="N140"/>
  <c r="BY140" s="1"/>
  <c r="Y140"/>
  <c r="BR140" s="1"/>
  <c r="T140"/>
  <c r="BZ140" s="1"/>
  <c r="O140"/>
  <c r="BQ140" s="1"/>
  <c r="S104"/>
  <c r="BY104" s="1"/>
  <c r="C104"/>
  <c r="BN104" s="1"/>
  <c r="M104"/>
  <c r="BD104" s="1"/>
  <c r="X104"/>
  <c r="BR104" s="1"/>
  <c r="G104"/>
  <c r="BC104" s="1"/>
  <c r="E104"/>
  <c r="BL104" s="1"/>
  <c r="P104"/>
  <c r="BZ104" s="1"/>
  <c r="K104"/>
  <c r="BF104" s="1"/>
  <c r="I104"/>
  <c r="BH104" s="1"/>
  <c r="T104"/>
  <c r="BU104" s="1"/>
  <c r="N104"/>
  <c r="BV104" s="1"/>
  <c r="B104"/>
  <c r="Q104"/>
  <c r="BX104" s="1"/>
  <c r="D104"/>
  <c r="BK104" s="1"/>
  <c r="F104"/>
  <c r="BM104" s="1"/>
  <c r="U104"/>
  <c r="BS104" s="1"/>
  <c r="H104"/>
  <c r="BI104" s="1"/>
  <c r="J104"/>
  <c r="BG104" s="1"/>
  <c r="Y104"/>
  <c r="BP104" s="1"/>
  <c r="R104"/>
  <c r="BO104" s="1"/>
  <c r="L104"/>
  <c r="BE104" s="1"/>
  <c r="W104"/>
  <c r="BQ104" s="1"/>
  <c r="V104"/>
  <c r="BT104" s="1"/>
  <c r="O104"/>
  <c r="BW104" s="1"/>
  <c r="Y109"/>
  <c r="BT109" s="1"/>
  <c r="V109"/>
  <c r="BQ109" s="1"/>
  <c r="B109"/>
  <c r="O109"/>
  <c r="BS109" s="1"/>
  <c r="F109"/>
  <c r="BD109" s="1"/>
  <c r="C109"/>
  <c r="BL109" s="1"/>
  <c r="S109"/>
  <c r="BP109" s="1"/>
  <c r="J109"/>
  <c r="BE109" s="1"/>
  <c r="G109"/>
  <c r="BJ109" s="1"/>
  <c r="L109"/>
  <c r="BF109" s="1"/>
  <c r="M109"/>
  <c r="BH109" s="1"/>
  <c r="K109"/>
  <c r="BC109" s="1"/>
  <c r="P109"/>
  <c r="BW109" s="1"/>
  <c r="Q109"/>
  <c r="BY109" s="1"/>
  <c r="D109"/>
  <c r="BM109" s="1"/>
  <c r="T109"/>
  <c r="BZ109" s="1"/>
  <c r="U109"/>
  <c r="BU109" s="1"/>
  <c r="H109"/>
  <c r="BI109" s="1"/>
  <c r="W109"/>
  <c r="BR109" s="1"/>
  <c r="N109"/>
  <c r="BX109" s="1"/>
  <c r="E109"/>
  <c r="BK109" s="1"/>
  <c r="X109"/>
  <c r="BO109" s="1"/>
  <c r="R109"/>
  <c r="BV109" s="1"/>
  <c r="I109"/>
  <c r="BN109" s="1"/>
  <c r="S40"/>
  <c r="BW40" s="1"/>
  <c r="C40"/>
  <c r="BL40" s="1"/>
  <c r="M40"/>
  <c r="BI40" s="1"/>
  <c r="P40"/>
  <c r="BX40" s="1"/>
  <c r="G40"/>
  <c r="BH40" s="1"/>
  <c r="E40"/>
  <c r="BE40" s="1"/>
  <c r="T40"/>
  <c r="BT40" s="1"/>
  <c r="K40"/>
  <c r="BD40" s="1"/>
  <c r="I40"/>
  <c r="BG40" s="1"/>
  <c r="Q40"/>
  <c r="BV40" s="1"/>
  <c r="N40"/>
  <c r="BR40" s="1"/>
  <c r="B40"/>
  <c r="U40"/>
  <c r="BZ40" s="1"/>
  <c r="D40"/>
  <c r="BM40" s="1"/>
  <c r="O40"/>
  <c r="BY40" s="1"/>
  <c r="X40"/>
  <c r="BU40" s="1"/>
  <c r="H40"/>
  <c r="BK40" s="1"/>
  <c r="F40"/>
  <c r="BJ40" s="1"/>
  <c r="Y40"/>
  <c r="BO40" s="1"/>
  <c r="R40"/>
  <c r="BQ40" s="1"/>
  <c r="J40"/>
  <c r="BN40" s="1"/>
  <c r="W40"/>
  <c r="BS40" s="1"/>
  <c r="V40"/>
  <c r="BP40" s="1"/>
  <c r="L40"/>
  <c r="BC40" s="1"/>
  <c r="T71"/>
  <c r="BP71" s="1"/>
  <c r="K71"/>
  <c r="BE71" s="1"/>
  <c r="E71"/>
  <c r="BF71" s="1"/>
  <c r="M71"/>
  <c r="BG71" s="1"/>
  <c r="N71"/>
  <c r="BZ71" s="1"/>
  <c r="I71"/>
  <c r="BD71" s="1"/>
  <c r="Q71"/>
  <c r="BO71" s="1"/>
  <c r="R71"/>
  <c r="BR71" s="1"/>
  <c r="B71"/>
  <c r="U71"/>
  <c r="BY71" s="1"/>
  <c r="V71"/>
  <c r="BQ71" s="1"/>
  <c r="F71"/>
  <c r="BC71" s="1"/>
  <c r="X71"/>
  <c r="BS71" s="1"/>
  <c r="W71"/>
  <c r="BW71" s="1"/>
  <c r="J71"/>
  <c r="BK71" s="1"/>
  <c r="Y71"/>
  <c r="BU71" s="1"/>
  <c r="O71"/>
  <c r="BV71" s="1"/>
  <c r="L71"/>
  <c r="BI71" s="1"/>
  <c r="S71"/>
  <c r="BT71" s="1"/>
  <c r="C71"/>
  <c r="BN71" s="1"/>
  <c r="D71"/>
  <c r="BL71" s="1"/>
  <c r="P71"/>
  <c r="BX71" s="1"/>
  <c r="G71"/>
  <c r="BH71" s="1"/>
  <c r="H71"/>
  <c r="BM71" s="1"/>
  <c r="M31"/>
  <c r="BM31" s="1"/>
  <c r="K31"/>
  <c r="BK31" s="1"/>
  <c r="E31"/>
  <c r="BC31" s="1"/>
  <c r="Q31"/>
  <c r="BT31" s="1"/>
  <c r="N31"/>
  <c r="BP31" s="1"/>
  <c r="I31"/>
  <c r="BI31" s="1"/>
  <c r="U31"/>
  <c r="BV31" s="1"/>
  <c r="R31"/>
  <c r="BO31" s="1"/>
  <c r="B31"/>
  <c r="W31"/>
  <c r="BX31" s="1"/>
  <c r="V31"/>
  <c r="BW31" s="1"/>
  <c r="F31"/>
  <c r="BH31" s="1"/>
  <c r="X31"/>
  <c r="BY31" s="1"/>
  <c r="O31"/>
  <c r="BS31" s="1"/>
  <c r="J31"/>
  <c r="BL31" s="1"/>
  <c r="Y31"/>
  <c r="BZ31" s="1"/>
  <c r="S31"/>
  <c r="BR31" s="1"/>
  <c r="L31"/>
  <c r="BN31" s="1"/>
  <c r="P31"/>
  <c r="BQ31" s="1"/>
  <c r="C31"/>
  <c r="BD31" s="1"/>
  <c r="D31"/>
  <c r="BE31" s="1"/>
  <c r="T31"/>
  <c r="BU31" s="1"/>
  <c r="G31"/>
  <c r="BF31" s="1"/>
  <c r="H31"/>
  <c r="BJ31" s="1"/>
  <c r="T34"/>
  <c r="BO34" s="1"/>
  <c r="K34"/>
  <c r="BI34" s="1"/>
  <c r="B34"/>
  <c r="Y34"/>
  <c r="BW34" s="1"/>
  <c r="M34"/>
  <c r="BK34" s="1"/>
  <c r="N34"/>
  <c r="BT34" s="1"/>
  <c r="Q34"/>
  <c r="BX34" s="1"/>
  <c r="D34"/>
  <c r="BE34" s="1"/>
  <c r="P34"/>
  <c r="BS34" s="1"/>
  <c r="U34"/>
  <c r="BV34" s="1"/>
  <c r="H34"/>
  <c r="BJ34" s="1"/>
  <c r="F34"/>
  <c r="BL34" s="1"/>
  <c r="R34"/>
  <c r="BP34" s="1"/>
  <c r="O34"/>
  <c r="BQ34" s="1"/>
  <c r="J34"/>
  <c r="BN34" s="1"/>
  <c r="V34"/>
  <c r="BZ34" s="1"/>
  <c r="E34"/>
  <c r="BD34" s="1"/>
  <c r="L34"/>
  <c r="BM34" s="1"/>
  <c r="W34"/>
  <c r="BY34" s="1"/>
  <c r="I34"/>
  <c r="BC34" s="1"/>
  <c r="C34"/>
  <c r="BG34" s="1"/>
  <c r="X34"/>
  <c r="BU34" s="1"/>
  <c r="S34"/>
  <c r="BR34" s="1"/>
  <c r="G34"/>
  <c r="BF34" s="1"/>
  <c r="Q84"/>
  <c r="BU84" s="1"/>
  <c r="E84"/>
  <c r="BN84" s="1"/>
  <c r="C84"/>
  <c r="BG84" s="1"/>
  <c r="U84"/>
  <c r="BQ84" s="1"/>
  <c r="I84"/>
  <c r="BE84" s="1"/>
  <c r="G84"/>
  <c r="BK84" s="1"/>
  <c r="R84"/>
  <c r="BZ84" s="1"/>
  <c r="B84"/>
  <c r="K84"/>
  <c r="BC84" s="1"/>
  <c r="V84"/>
  <c r="BO84" s="1"/>
  <c r="F84"/>
  <c r="BI84" s="1"/>
  <c r="O84"/>
  <c r="BP84" s="1"/>
  <c r="W84"/>
  <c r="BR84" s="1"/>
  <c r="J84"/>
  <c r="BF84" s="1"/>
  <c r="L84"/>
  <c r="BJ84" s="1"/>
  <c r="S84"/>
  <c r="BT84" s="1"/>
  <c r="N84"/>
  <c r="BY84" s="1"/>
  <c r="D84"/>
  <c r="BD84" s="1"/>
  <c r="X84"/>
  <c r="BX84" s="1"/>
  <c r="P84"/>
  <c r="BS84" s="1"/>
  <c r="H84"/>
  <c r="BH84" s="1"/>
  <c r="Y84"/>
  <c r="BV84" s="1"/>
  <c r="T84"/>
  <c r="BW84" s="1"/>
  <c r="M84"/>
  <c r="BL84" s="1"/>
  <c r="S8"/>
  <c r="BV8" s="1"/>
  <c r="C8"/>
  <c r="BH8" s="1"/>
  <c r="L8"/>
  <c r="BK8" s="1"/>
  <c r="P8"/>
  <c r="BT8" s="1"/>
  <c r="G8"/>
  <c r="BC8" s="1"/>
  <c r="E8"/>
  <c r="BF8" s="1"/>
  <c r="T8"/>
  <c r="BZ8" s="1"/>
  <c r="K8"/>
  <c r="BG8" s="1"/>
  <c r="I8"/>
  <c r="BE8" s="1"/>
  <c r="Q8"/>
  <c r="BR8" s="1"/>
  <c r="N8"/>
  <c r="BP8" s="1"/>
  <c r="B8"/>
  <c r="U8"/>
  <c r="BY8" s="1"/>
  <c r="D8"/>
  <c r="BL8" s="1"/>
  <c r="O8"/>
  <c r="BX8" s="1"/>
  <c r="X8"/>
  <c r="BS8" s="1"/>
  <c r="H8"/>
  <c r="BN8" s="1"/>
  <c r="F8"/>
  <c r="BJ8" s="1"/>
  <c r="Y8"/>
  <c r="BU8" s="1"/>
  <c r="R8"/>
  <c r="BO8" s="1"/>
  <c r="J8"/>
  <c r="BM8" s="1"/>
  <c r="W8"/>
  <c r="BW8" s="1"/>
  <c r="V8"/>
  <c r="BQ8" s="1"/>
  <c r="M8"/>
  <c r="BI8" s="1"/>
  <c r="V94"/>
  <c r="BU94" s="1"/>
  <c r="J94"/>
  <c r="BL94" s="1"/>
  <c r="D94"/>
  <c r="BF94" s="1"/>
  <c r="O94"/>
  <c r="BR94" s="1"/>
  <c r="M94"/>
  <c r="BM94" s="1"/>
  <c r="H94"/>
  <c r="BG94" s="1"/>
  <c r="S94"/>
  <c r="BO94" s="1"/>
  <c r="C94"/>
  <c r="BE94" s="1"/>
  <c r="N94"/>
  <c r="BV94" s="1"/>
  <c r="P94"/>
  <c r="BQ94" s="1"/>
  <c r="G94"/>
  <c r="BD94" s="1"/>
  <c r="E94"/>
  <c r="BH94" s="1"/>
  <c r="T94"/>
  <c r="BS94" s="1"/>
  <c r="K94"/>
  <c r="BK94" s="1"/>
  <c r="I94"/>
  <c r="BI94" s="1"/>
  <c r="W94"/>
  <c r="BZ94" s="1"/>
  <c r="Q94"/>
  <c r="BT94" s="1"/>
  <c r="L94"/>
  <c r="BN94" s="1"/>
  <c r="X94"/>
  <c r="BW94" s="1"/>
  <c r="U94"/>
  <c r="BX94" s="1"/>
  <c r="B94"/>
  <c r="Y94"/>
  <c r="BY94" s="1"/>
  <c r="R94"/>
  <c r="BP94" s="1"/>
  <c r="F94"/>
  <c r="BC94" s="1"/>
  <c r="R62"/>
  <c r="BP62" s="1"/>
  <c r="B62"/>
  <c r="D62"/>
  <c r="BE62" s="1"/>
  <c r="V62"/>
  <c r="BS62" s="1"/>
  <c r="F62"/>
  <c r="BL62" s="1"/>
  <c r="H62"/>
  <c r="BF62" s="1"/>
  <c r="S62"/>
  <c r="BR62" s="1"/>
  <c r="J62"/>
  <c r="BN62" s="1"/>
  <c r="O62"/>
  <c r="BQ62" s="1"/>
  <c r="X62"/>
  <c r="BO62" s="1"/>
  <c r="C62"/>
  <c r="BI62" s="1"/>
  <c r="M62"/>
  <c r="BC62" s="1"/>
  <c r="P62"/>
  <c r="BU62" s="1"/>
  <c r="G62"/>
  <c r="BK62" s="1"/>
  <c r="N62"/>
  <c r="BT62" s="1"/>
  <c r="T62"/>
  <c r="BW62" s="1"/>
  <c r="K62"/>
  <c r="BJ62" s="1"/>
  <c r="E62"/>
  <c r="BD62" s="1"/>
  <c r="W62"/>
  <c r="BV62" s="1"/>
  <c r="Q62"/>
  <c r="BX62" s="1"/>
  <c r="I62"/>
  <c r="BG62" s="1"/>
  <c r="Y62"/>
  <c r="BY62" s="1"/>
  <c r="U62"/>
  <c r="BZ62" s="1"/>
  <c r="L62"/>
  <c r="BM62" s="1"/>
  <c r="W47"/>
  <c r="BS47" s="1"/>
  <c r="L47"/>
  <c r="BE47" s="1"/>
  <c r="E47"/>
  <c r="BJ47" s="1"/>
  <c r="M47"/>
  <c r="BD47" s="1"/>
  <c r="N47"/>
  <c r="BW47" s="1"/>
  <c r="I47"/>
  <c r="BH47" s="1"/>
  <c r="Q47"/>
  <c r="BO47" s="1"/>
  <c r="R47"/>
  <c r="BV47" s="1"/>
  <c r="B47"/>
  <c r="U47"/>
  <c r="BU47" s="1"/>
  <c r="V47"/>
  <c r="BR47" s="1"/>
  <c r="F47"/>
  <c r="BC47" s="1"/>
  <c r="X47"/>
  <c r="BP47" s="1"/>
  <c r="O47"/>
  <c r="BZ47" s="1"/>
  <c r="J47"/>
  <c r="BG47" s="1"/>
  <c r="Y47"/>
  <c r="BQ47" s="1"/>
  <c r="S47"/>
  <c r="BX47" s="1"/>
  <c r="C47"/>
  <c r="BK47" s="1"/>
  <c r="P47"/>
  <c r="BY47" s="1"/>
  <c r="G47"/>
  <c r="BL47" s="1"/>
  <c r="D47"/>
  <c r="BM47" s="1"/>
  <c r="T47"/>
  <c r="BT47" s="1"/>
  <c r="K47"/>
  <c r="BF47" s="1"/>
  <c r="H47"/>
  <c r="BI47" s="1"/>
  <c r="S15"/>
  <c r="BZ15" s="1"/>
  <c r="C15"/>
  <c r="BM15" s="1"/>
  <c r="D15"/>
  <c r="BI15" s="1"/>
  <c r="P15"/>
  <c r="BR15" s="1"/>
  <c r="G15"/>
  <c r="BL15" s="1"/>
  <c r="H15"/>
  <c r="BG15" s="1"/>
  <c r="T15"/>
  <c r="BP15" s="1"/>
  <c r="K15"/>
  <c r="BH15" s="1"/>
  <c r="E15"/>
  <c r="BF15" s="1"/>
  <c r="M15"/>
  <c r="BC15" s="1"/>
  <c r="N15"/>
  <c r="BY15" s="1"/>
  <c r="I15"/>
  <c r="BD15" s="1"/>
  <c r="Q15"/>
  <c r="BU15" s="1"/>
  <c r="R15"/>
  <c r="BX15" s="1"/>
  <c r="L15"/>
  <c r="BE15" s="1"/>
  <c r="U15"/>
  <c r="BS15" s="1"/>
  <c r="V15"/>
  <c r="BT15" s="1"/>
  <c r="B15"/>
  <c r="X15"/>
  <c r="BQ15" s="1"/>
  <c r="W15"/>
  <c r="BW15" s="1"/>
  <c r="F15"/>
  <c r="BN15" s="1"/>
  <c r="Y15"/>
  <c r="BO15" s="1"/>
  <c r="O15"/>
  <c r="BV15" s="1"/>
  <c r="J15"/>
  <c r="BK15" s="1"/>
  <c r="P90"/>
  <c r="BU90" s="1"/>
  <c r="D90"/>
  <c r="BE90" s="1"/>
  <c r="B90"/>
  <c r="T90"/>
  <c r="BY90" s="1"/>
  <c r="H90"/>
  <c r="BF90" s="1"/>
  <c r="M90"/>
  <c r="BN90" s="1"/>
  <c r="Q90"/>
  <c r="BV90" s="1"/>
  <c r="L90"/>
  <c r="BL90" s="1"/>
  <c r="F90"/>
  <c r="BJ90" s="1"/>
  <c r="U90"/>
  <c r="BS90" s="1"/>
  <c r="E90"/>
  <c r="BD90" s="1"/>
  <c r="J90"/>
  <c r="BC90" s="1"/>
  <c r="Y90"/>
  <c r="BX90" s="1"/>
  <c r="I90"/>
  <c r="BG90" s="1"/>
  <c r="C90"/>
  <c r="BI90" s="1"/>
  <c r="R90"/>
  <c r="BP90" s="1"/>
  <c r="O90"/>
  <c r="BQ90" s="1"/>
  <c r="G90"/>
  <c r="BM90" s="1"/>
  <c r="V90"/>
  <c r="BW90" s="1"/>
  <c r="S90"/>
  <c r="BR90" s="1"/>
  <c r="K90"/>
  <c r="BK90" s="1"/>
  <c r="X90"/>
  <c r="BZ90" s="1"/>
  <c r="W90"/>
  <c r="BO90" s="1"/>
  <c r="N90"/>
  <c r="BT90" s="1"/>
  <c r="V43"/>
  <c r="BQ43" s="1"/>
  <c r="B43"/>
  <c r="L43"/>
  <c r="BI43" s="1"/>
  <c r="O43"/>
  <c r="BV43" s="1"/>
  <c r="P43"/>
  <c r="BR43" s="1"/>
  <c r="C43"/>
  <c r="BM43" s="1"/>
  <c r="S43"/>
  <c r="BZ43" s="1"/>
  <c r="T43"/>
  <c r="BT43" s="1"/>
  <c r="G43"/>
  <c r="BL43" s="1"/>
  <c r="Y43"/>
  <c r="BU43" s="1"/>
  <c r="M43"/>
  <c r="BG43" s="1"/>
  <c r="K43"/>
  <c r="BD43" s="1"/>
  <c r="W43"/>
  <c r="BP43" s="1"/>
  <c r="Q43"/>
  <c r="BW43" s="1"/>
  <c r="D43"/>
  <c r="BK43" s="1"/>
  <c r="X43"/>
  <c r="BS43" s="1"/>
  <c r="U43"/>
  <c r="BO43" s="1"/>
  <c r="H43"/>
  <c r="BH43" s="1"/>
  <c r="N43"/>
  <c r="BY43" s="1"/>
  <c r="E43"/>
  <c r="BF43" s="1"/>
  <c r="F43"/>
  <c r="BN43" s="1"/>
  <c r="R43"/>
  <c r="BX43" s="1"/>
  <c r="I43"/>
  <c r="BE43" s="1"/>
  <c r="J43"/>
  <c r="BC43" s="1"/>
  <c r="V118"/>
  <c r="BY118" s="1"/>
  <c r="J118"/>
  <c r="BH118" s="1"/>
  <c r="D118"/>
  <c r="BE118" s="1"/>
  <c r="W118"/>
  <c r="BV118" s="1"/>
  <c r="N118"/>
  <c r="BR118" s="1"/>
  <c r="H118"/>
  <c r="BK118" s="1"/>
  <c r="O118"/>
  <c r="BQ118" s="1"/>
  <c r="C118"/>
  <c r="BI118" s="1"/>
  <c r="L118"/>
  <c r="BJ118" s="1"/>
  <c r="S118"/>
  <c r="BO118" s="1"/>
  <c r="G118"/>
  <c r="BG118" s="1"/>
  <c r="M118"/>
  <c r="BL118" s="1"/>
  <c r="P118"/>
  <c r="BU118" s="1"/>
  <c r="K118"/>
  <c r="BN118" s="1"/>
  <c r="E118"/>
  <c r="BD118" s="1"/>
  <c r="T118"/>
  <c r="BW118" s="1"/>
  <c r="Q118"/>
  <c r="BP118" s="1"/>
  <c r="I118"/>
  <c r="BM118" s="1"/>
  <c r="X118"/>
  <c r="BZ118" s="1"/>
  <c r="U118"/>
  <c r="BT118" s="1"/>
  <c r="B118"/>
  <c r="Y118"/>
  <c r="BX118" s="1"/>
  <c r="R118"/>
  <c r="BS118" s="1"/>
  <c r="F118"/>
  <c r="BC118" s="1"/>
  <c r="U6"/>
  <c r="BZ6" s="1"/>
  <c r="J6"/>
  <c r="BN6" s="1"/>
  <c r="D6"/>
  <c r="BF6" s="1"/>
  <c r="X6"/>
  <c r="BU6" s="1"/>
  <c r="M6"/>
  <c r="BK6" s="1"/>
  <c r="H6"/>
  <c r="BL6" s="1"/>
  <c r="R6"/>
  <c r="BV6" s="1"/>
  <c r="N6"/>
  <c r="BT6" s="1"/>
  <c r="L6"/>
  <c r="BM6" s="1"/>
  <c r="V6"/>
  <c r="BS6" s="1"/>
  <c r="C6"/>
  <c r="BD6" s="1"/>
  <c r="E6"/>
  <c r="BC6" s="1"/>
  <c r="S6"/>
  <c r="BX6" s="1"/>
  <c r="G6"/>
  <c r="BE6" s="1"/>
  <c r="I6"/>
  <c r="BG6" s="1"/>
  <c r="T6"/>
  <c r="BQ6" s="1"/>
  <c r="K6"/>
  <c r="BI6" s="1"/>
  <c r="O6"/>
  <c r="BP6" s="1"/>
  <c r="W6"/>
  <c r="BY6" s="1"/>
  <c r="P6"/>
  <c r="BO6" s="1"/>
  <c r="B6"/>
  <c r="Y6"/>
  <c r="BW6" s="1"/>
  <c r="Q6"/>
  <c r="BR6" s="1"/>
  <c r="F6"/>
  <c r="BJ6" s="1"/>
  <c r="R59"/>
  <c r="BS59" s="1"/>
  <c r="L59"/>
  <c r="BN59" s="1"/>
  <c r="C59"/>
  <c r="BD59" s="1"/>
  <c r="V59"/>
  <c r="BO59" s="1"/>
  <c r="P59"/>
  <c r="BW59" s="1"/>
  <c r="G59"/>
  <c r="BG59" s="1"/>
  <c r="O59"/>
  <c r="BU59" s="1"/>
  <c r="T59"/>
  <c r="BR59" s="1"/>
  <c r="K59"/>
  <c r="BJ59" s="1"/>
  <c r="S59"/>
  <c r="BQ59" s="1"/>
  <c r="M59"/>
  <c r="BM59" s="1"/>
  <c r="D59"/>
  <c r="BH59" s="1"/>
  <c r="W59"/>
  <c r="BV59" s="1"/>
  <c r="Q59"/>
  <c r="BT59" s="1"/>
  <c r="H59"/>
  <c r="BF59" s="1"/>
  <c r="X59"/>
  <c r="BY59" s="1"/>
  <c r="U59"/>
  <c r="BX59" s="1"/>
  <c r="E59"/>
  <c r="BK59" s="1"/>
  <c r="Y59"/>
  <c r="BZ59" s="1"/>
  <c r="I59"/>
  <c r="BC59" s="1"/>
  <c r="F59"/>
  <c r="BE59" s="1"/>
  <c r="N59"/>
  <c r="BP59" s="1"/>
  <c r="B59"/>
  <c r="J59"/>
  <c r="BL59" s="1"/>
  <c r="R134"/>
  <c r="BZ134" s="1"/>
  <c r="L134"/>
  <c r="BD134" s="1"/>
  <c r="C134"/>
  <c r="BH134" s="1"/>
  <c r="M134"/>
  <c r="BC134" s="1"/>
  <c r="V134"/>
  <c r="BV134" s="1"/>
  <c r="N134"/>
  <c r="BW134" s="1"/>
  <c r="H134"/>
  <c r="BM134" s="1"/>
  <c r="W134"/>
  <c r="BU134" s="1"/>
  <c r="O134"/>
  <c r="BX134" s="1"/>
  <c r="G134"/>
  <c r="BF134" s="1"/>
  <c r="E134"/>
  <c r="BN134" s="1"/>
  <c r="K134"/>
  <c r="BI134" s="1"/>
  <c r="I134"/>
  <c r="BJ134" s="1"/>
  <c r="B134"/>
  <c r="S134"/>
  <c r="BY134" s="1"/>
  <c r="P134"/>
  <c r="BT134" s="1"/>
  <c r="Q134"/>
  <c r="BS134" s="1"/>
  <c r="T134"/>
  <c r="BR134" s="1"/>
  <c r="U134"/>
  <c r="BQ134" s="1"/>
  <c r="F134"/>
  <c r="BG134" s="1"/>
  <c r="Y134"/>
  <c r="BP134" s="1"/>
  <c r="X134"/>
  <c r="BO134" s="1"/>
  <c r="J134"/>
  <c r="BE134" s="1"/>
  <c r="D134"/>
  <c r="BL134" s="1"/>
  <c r="T87"/>
  <c r="BZ87" s="1"/>
  <c r="K87"/>
  <c r="BK87" s="1"/>
  <c r="L87"/>
  <c r="BL87" s="1"/>
  <c r="M87"/>
  <c r="BC87" s="1"/>
  <c r="N87"/>
  <c r="BP87" s="1"/>
  <c r="E87"/>
  <c r="BM87" s="1"/>
  <c r="Q87"/>
  <c r="BT87" s="1"/>
  <c r="R87"/>
  <c r="BS87" s="1"/>
  <c r="I87"/>
  <c r="BN87" s="1"/>
  <c r="U87"/>
  <c r="BV87" s="1"/>
  <c r="V87"/>
  <c r="BW87" s="1"/>
  <c r="B87"/>
  <c r="X87"/>
  <c r="BX87" s="1"/>
  <c r="W87"/>
  <c r="BR87" s="1"/>
  <c r="F87"/>
  <c r="BE87" s="1"/>
  <c r="Y87"/>
  <c r="BO87" s="1"/>
  <c r="O87"/>
  <c r="BU87" s="1"/>
  <c r="J87"/>
  <c r="BF87" s="1"/>
  <c r="S87"/>
  <c r="BQ87" s="1"/>
  <c r="C87"/>
  <c r="BD87" s="1"/>
  <c r="D87"/>
  <c r="BH87" s="1"/>
  <c r="P87"/>
  <c r="BY87" s="1"/>
  <c r="G87"/>
  <c r="BG87" s="1"/>
  <c r="H87"/>
  <c r="BJ87" s="1"/>
  <c r="T135"/>
  <c r="BR135" s="1"/>
  <c r="K135"/>
  <c r="BJ135" s="1"/>
  <c r="E135"/>
  <c r="BH135" s="1"/>
  <c r="M135"/>
  <c r="BC135" s="1"/>
  <c r="N135"/>
  <c r="BW135" s="1"/>
  <c r="I135"/>
  <c r="BF135" s="1"/>
  <c r="Q135"/>
  <c r="BS135" s="1"/>
  <c r="R135"/>
  <c r="BZ135" s="1"/>
  <c r="B135"/>
  <c r="U135"/>
  <c r="BQ135" s="1"/>
  <c r="V135"/>
  <c r="BV135" s="1"/>
  <c r="F135"/>
  <c r="BM135" s="1"/>
  <c r="X135"/>
  <c r="BP135" s="1"/>
  <c r="W135"/>
  <c r="BU135" s="1"/>
  <c r="J135"/>
  <c r="BI135" s="1"/>
  <c r="Y135"/>
  <c r="BO135" s="1"/>
  <c r="O135"/>
  <c r="BX135" s="1"/>
  <c r="L135"/>
  <c r="BD135" s="1"/>
  <c r="S135"/>
  <c r="BY135" s="1"/>
  <c r="C135"/>
  <c r="BK135" s="1"/>
  <c r="D135"/>
  <c r="BG135" s="1"/>
  <c r="P135"/>
  <c r="BT135" s="1"/>
  <c r="G135"/>
  <c r="BN135" s="1"/>
  <c r="H135"/>
  <c r="BE135" s="1"/>
  <c r="S72"/>
  <c r="BY72" s="1"/>
  <c r="G72"/>
  <c r="BF72" s="1"/>
  <c r="E72"/>
  <c r="BL72" s="1"/>
  <c r="P72"/>
  <c r="BX72" s="1"/>
  <c r="K72"/>
  <c r="BE72" s="1"/>
  <c r="I72"/>
  <c r="BD72" s="1"/>
  <c r="T72"/>
  <c r="BR72" s="1"/>
  <c r="N72"/>
  <c r="BV72" s="1"/>
  <c r="B72"/>
  <c r="Q72"/>
  <c r="BO72" s="1"/>
  <c r="O72"/>
  <c r="BZ72" s="1"/>
  <c r="F72"/>
  <c r="BH72" s="1"/>
  <c r="U72"/>
  <c r="BW72" s="1"/>
  <c r="D72"/>
  <c r="BC72" s="1"/>
  <c r="J72"/>
  <c r="BK72" s="1"/>
  <c r="X72"/>
  <c r="BQ72" s="1"/>
  <c r="H72"/>
  <c r="BM72" s="1"/>
  <c r="L72"/>
  <c r="BI72" s="1"/>
  <c r="Y72"/>
  <c r="BS72" s="1"/>
  <c r="R72"/>
  <c r="BT72" s="1"/>
  <c r="M72"/>
  <c r="BG72" s="1"/>
  <c r="W72"/>
  <c r="BU72" s="1"/>
  <c r="V72"/>
  <c r="BP72" s="1"/>
  <c r="C72"/>
  <c r="BN72" s="1"/>
  <c r="Q12"/>
  <c r="BV12" s="1"/>
  <c r="L12"/>
  <c r="BG12" s="1"/>
  <c r="O12"/>
  <c r="BY12" s="1"/>
  <c r="U12"/>
  <c r="BZ12" s="1"/>
  <c r="E12"/>
  <c r="BD12" s="1"/>
  <c r="C12"/>
  <c r="BL12" s="1"/>
  <c r="W12"/>
  <c r="BW12" s="1"/>
  <c r="I12"/>
  <c r="BN12" s="1"/>
  <c r="G12"/>
  <c r="BH12" s="1"/>
  <c r="R12"/>
  <c r="BP12" s="1"/>
  <c r="B12"/>
  <c r="K12"/>
  <c r="BC12" s="1"/>
  <c r="V12"/>
  <c r="BO12" s="1"/>
  <c r="F12"/>
  <c r="BJ12" s="1"/>
  <c r="M12"/>
  <c r="BE12" s="1"/>
  <c r="X12"/>
  <c r="BQ12" s="1"/>
  <c r="J12"/>
  <c r="BK12" s="1"/>
  <c r="D12"/>
  <c r="BM12" s="1"/>
  <c r="S12"/>
  <c r="BU12" s="1"/>
  <c r="P12"/>
  <c r="BX12" s="1"/>
  <c r="H12"/>
  <c r="BI12" s="1"/>
  <c r="Y12"/>
  <c r="BS12" s="1"/>
  <c r="T12"/>
  <c r="BT12" s="1"/>
  <c r="N12"/>
  <c r="BR12" s="1"/>
  <c r="X20"/>
  <c r="BR20" s="1"/>
  <c r="I20"/>
  <c r="BL20" s="1"/>
  <c r="C20"/>
  <c r="BI20" s="1"/>
  <c r="Q20"/>
  <c r="BW20" s="1"/>
  <c r="L20"/>
  <c r="BE20" s="1"/>
  <c r="G20"/>
  <c r="BM20" s="1"/>
  <c r="U20"/>
  <c r="BO20" s="1"/>
  <c r="B20"/>
  <c r="K20"/>
  <c r="BF20" s="1"/>
  <c r="R20"/>
  <c r="BV20" s="1"/>
  <c r="F20"/>
  <c r="BK20" s="1"/>
  <c r="D20"/>
  <c r="BG20" s="1"/>
  <c r="V20"/>
  <c r="BT20" s="1"/>
  <c r="J20"/>
  <c r="BH20" s="1"/>
  <c r="H20"/>
  <c r="BC20" s="1"/>
  <c r="S20"/>
  <c r="BY20" s="1"/>
  <c r="N20"/>
  <c r="BZ20" s="1"/>
  <c r="M20"/>
  <c r="BD20" s="1"/>
  <c r="W20"/>
  <c r="BQ20" s="1"/>
  <c r="P20"/>
  <c r="BU20" s="1"/>
  <c r="O20"/>
  <c r="BS20" s="1"/>
  <c r="Y20"/>
  <c r="BP20" s="1"/>
  <c r="T20"/>
  <c r="BX20" s="1"/>
  <c r="E20"/>
  <c r="BJ20" s="1"/>
  <c r="W44"/>
  <c r="BU44" s="1"/>
  <c r="E44"/>
  <c r="BF44" s="1"/>
  <c r="L44"/>
  <c r="BI44" s="1"/>
  <c r="Q44"/>
  <c r="BZ44" s="1"/>
  <c r="I44"/>
  <c r="BH44" s="1"/>
  <c r="O44"/>
  <c r="BW44" s="1"/>
  <c r="U44"/>
  <c r="BO44" s="1"/>
  <c r="M44"/>
  <c r="BG44" s="1"/>
  <c r="C44"/>
  <c r="BM44" s="1"/>
  <c r="R44"/>
  <c r="BR44" s="1"/>
  <c r="B44"/>
  <c r="G44"/>
  <c r="BL44" s="1"/>
  <c r="V44"/>
  <c r="BP44" s="1"/>
  <c r="F44"/>
  <c r="BN44" s="1"/>
  <c r="K44"/>
  <c r="BE44" s="1"/>
  <c r="X44"/>
  <c r="BQ44" s="1"/>
  <c r="J44"/>
  <c r="BD44" s="1"/>
  <c r="D44"/>
  <c r="BK44" s="1"/>
  <c r="S44"/>
  <c r="BX44" s="1"/>
  <c r="P44"/>
  <c r="BY44" s="1"/>
  <c r="H44"/>
  <c r="BC44" s="1"/>
  <c r="Y44"/>
  <c r="BS44" s="1"/>
  <c r="T44"/>
  <c r="BT44" s="1"/>
  <c r="N44"/>
  <c r="BV44" s="1"/>
  <c r="Y37"/>
  <c r="BU37" s="1"/>
  <c r="V37"/>
  <c r="BZ37" s="1"/>
  <c r="B37"/>
  <c r="O37"/>
  <c r="BX37" s="1"/>
  <c r="F37"/>
  <c r="BM37" s="1"/>
  <c r="C37"/>
  <c r="BE37" s="1"/>
  <c r="S37"/>
  <c r="BY37" s="1"/>
  <c r="J37"/>
  <c r="BN37" s="1"/>
  <c r="G37"/>
  <c r="BG37" s="1"/>
  <c r="L37"/>
  <c r="BK37" s="1"/>
  <c r="M37"/>
  <c r="BI37" s="1"/>
  <c r="K37"/>
  <c r="BC37" s="1"/>
  <c r="P37"/>
  <c r="BT37" s="1"/>
  <c r="Q37"/>
  <c r="BR37" s="1"/>
  <c r="D37"/>
  <c r="BF37" s="1"/>
  <c r="T37"/>
  <c r="BP37" s="1"/>
  <c r="U37"/>
  <c r="BV37" s="1"/>
  <c r="H37"/>
  <c r="BJ37" s="1"/>
  <c r="W37"/>
  <c r="BW37" s="1"/>
  <c r="N37"/>
  <c r="BQ37" s="1"/>
  <c r="E37"/>
  <c r="BH37" s="1"/>
  <c r="X37"/>
  <c r="BO37" s="1"/>
  <c r="R37"/>
  <c r="BS37" s="1"/>
  <c r="I37"/>
  <c r="BD37" s="1"/>
  <c r="X36"/>
  <c r="BU36" s="1"/>
  <c r="I36"/>
  <c r="BJ36" s="1"/>
  <c r="C36"/>
  <c r="BH36" s="1"/>
  <c r="Q36"/>
  <c r="BR36" s="1"/>
  <c r="B36"/>
  <c r="G36"/>
  <c r="BD36" s="1"/>
  <c r="U36"/>
  <c r="BV36" s="1"/>
  <c r="F36"/>
  <c r="BF36" s="1"/>
  <c r="K36"/>
  <c r="BC36" s="1"/>
  <c r="R36"/>
  <c r="BS36" s="1"/>
  <c r="J36"/>
  <c r="BN36" s="1"/>
  <c r="M36"/>
  <c r="BI36" s="1"/>
  <c r="V36"/>
  <c r="BO36" s="1"/>
  <c r="L36"/>
  <c r="BK36" s="1"/>
  <c r="D36"/>
  <c r="BL36" s="1"/>
  <c r="W36"/>
  <c r="BZ36" s="1"/>
  <c r="N36"/>
  <c r="BQ36" s="1"/>
  <c r="H36"/>
  <c r="BM36" s="1"/>
  <c r="S36"/>
  <c r="BY36" s="1"/>
  <c r="P36"/>
  <c r="BT36" s="1"/>
  <c r="O36"/>
  <c r="BX36" s="1"/>
  <c r="Y36"/>
  <c r="BW36" s="1"/>
  <c r="T36"/>
  <c r="BP36" s="1"/>
  <c r="E36"/>
  <c r="BG36" s="1"/>
  <c r="W73"/>
  <c r="BU73" s="1"/>
  <c r="T73"/>
  <c r="BR73" s="1"/>
  <c r="C73"/>
  <c r="BJ73" s="1"/>
  <c r="Q73"/>
  <c r="BX73" s="1"/>
  <c r="G73"/>
  <c r="BH73" s="1"/>
  <c r="E73"/>
  <c r="BL73" s="1"/>
  <c r="U73"/>
  <c r="BW73" s="1"/>
  <c r="K73"/>
  <c r="BD73" s="1"/>
  <c r="I73"/>
  <c r="BF73" s="1"/>
  <c r="X73"/>
  <c r="BQ73" s="1"/>
  <c r="D73"/>
  <c r="BC73" s="1"/>
  <c r="B73"/>
  <c r="N73"/>
  <c r="BZ73" s="1"/>
  <c r="H73"/>
  <c r="BK73" s="1"/>
  <c r="F73"/>
  <c r="BM73" s="1"/>
  <c r="R73"/>
  <c r="BT73" s="1"/>
  <c r="O73"/>
  <c r="BO73" s="1"/>
  <c r="J73"/>
  <c r="BI73" s="1"/>
  <c r="V73"/>
  <c r="BP73" s="1"/>
  <c r="S73"/>
  <c r="BY73" s="1"/>
  <c r="L73"/>
  <c r="BG73" s="1"/>
  <c r="Y73"/>
  <c r="BS73" s="1"/>
  <c r="P73"/>
  <c r="BV73" s="1"/>
  <c r="M73"/>
  <c r="BE73" s="1"/>
  <c r="X52"/>
  <c r="BV52" s="1"/>
  <c r="I52"/>
  <c r="BL52" s="1"/>
  <c r="M52"/>
  <c r="BH52" s="1"/>
  <c r="Q52"/>
  <c r="BS52" s="1"/>
  <c r="O52"/>
  <c r="BW52" s="1"/>
  <c r="C52"/>
  <c r="BC52" s="1"/>
  <c r="U52"/>
  <c r="BP52" s="1"/>
  <c r="B52"/>
  <c r="G52"/>
  <c r="BN52" s="1"/>
  <c r="R52"/>
  <c r="BY52" s="1"/>
  <c r="F52"/>
  <c r="BG52" s="1"/>
  <c r="K52"/>
  <c r="BJ52" s="1"/>
  <c r="V52"/>
  <c r="BX52" s="1"/>
  <c r="J52"/>
  <c r="BD52" s="1"/>
  <c r="L52"/>
  <c r="BF52" s="1"/>
  <c r="W52"/>
  <c r="BR52" s="1"/>
  <c r="N52"/>
  <c r="BO52" s="1"/>
  <c r="D52"/>
  <c r="BI52" s="1"/>
  <c r="S52"/>
  <c r="BQ52" s="1"/>
  <c r="P52"/>
  <c r="BU52" s="1"/>
  <c r="H52"/>
  <c r="BE52" s="1"/>
  <c r="Y52"/>
  <c r="BT52" s="1"/>
  <c r="T52"/>
  <c r="BZ52" s="1"/>
  <c r="E52"/>
  <c r="BM52" s="1"/>
  <c r="V126"/>
  <c r="BQ126" s="1"/>
  <c r="J126"/>
  <c r="BM126" s="1"/>
  <c r="D126"/>
  <c r="BH126" s="1"/>
  <c r="X126"/>
  <c r="BS126" s="1"/>
  <c r="M126"/>
  <c r="BI126" s="1"/>
  <c r="H126"/>
  <c r="BN126" s="1"/>
  <c r="O126"/>
  <c r="BR126" s="1"/>
  <c r="C126"/>
  <c r="BF126" s="1"/>
  <c r="N126"/>
  <c r="BV126" s="1"/>
  <c r="S126"/>
  <c r="BZ126" s="1"/>
  <c r="G126"/>
  <c r="BD126" s="1"/>
  <c r="E126"/>
  <c r="BC126" s="1"/>
  <c r="K126"/>
  <c r="BG126" s="1"/>
  <c r="P126"/>
  <c r="BO126" s="1"/>
  <c r="I126"/>
  <c r="BE126" s="1"/>
  <c r="T126"/>
  <c r="BP126" s="1"/>
  <c r="Q126"/>
  <c r="BT126" s="1"/>
  <c r="L126"/>
  <c r="BK126" s="1"/>
  <c r="W126"/>
  <c r="BW126" s="1"/>
  <c r="U126"/>
  <c r="BY126" s="1"/>
  <c r="B126"/>
  <c r="Y126"/>
  <c r="BU126" s="1"/>
  <c r="R126"/>
  <c r="BX126" s="1"/>
  <c r="F126"/>
  <c r="BL126" s="1"/>
  <c r="W17"/>
  <c r="BO17" s="1"/>
  <c r="P17"/>
  <c r="BY17" s="1"/>
  <c r="G17"/>
  <c r="BF17" s="1"/>
  <c r="T17"/>
  <c r="BX17" s="1"/>
  <c r="K17"/>
  <c r="BD17" s="1"/>
  <c r="E17"/>
  <c r="BM17" s="1"/>
  <c r="Q17"/>
  <c r="BZ17" s="1"/>
  <c r="D17"/>
  <c r="BN17" s="1"/>
  <c r="I17"/>
  <c r="BL17" s="1"/>
  <c r="U17"/>
  <c r="BW17" s="1"/>
  <c r="H17"/>
  <c r="BK17" s="1"/>
  <c r="L17"/>
  <c r="BC17" s="1"/>
  <c r="N17"/>
  <c r="BV17" s="1"/>
  <c r="M17"/>
  <c r="BE17" s="1"/>
  <c r="B17"/>
  <c r="R17"/>
  <c r="BR17" s="1"/>
  <c r="O17"/>
  <c r="BU17" s="1"/>
  <c r="F17"/>
  <c r="BG17" s="1"/>
  <c r="V17"/>
  <c r="BT17" s="1"/>
  <c r="S17"/>
  <c r="BS17" s="1"/>
  <c r="J17"/>
  <c r="BH17" s="1"/>
  <c r="Y17"/>
  <c r="BQ17" s="1"/>
  <c r="X17"/>
  <c r="BP17" s="1"/>
  <c r="C17"/>
  <c r="BJ17" s="1"/>
  <c r="W111"/>
  <c r="BQ111" s="1"/>
  <c r="L111"/>
  <c r="BH111" s="1"/>
  <c r="E111"/>
  <c r="BL111" s="1"/>
  <c r="M111"/>
  <c r="BC111" s="1"/>
  <c r="N111"/>
  <c r="BS111" s="1"/>
  <c r="I111"/>
  <c r="BJ111" s="1"/>
  <c r="Q111"/>
  <c r="BP111" s="1"/>
  <c r="R111"/>
  <c r="BW111" s="1"/>
  <c r="B111"/>
  <c r="U111"/>
  <c r="BR111" s="1"/>
  <c r="V111"/>
  <c r="BZ111" s="1"/>
  <c r="F111"/>
  <c r="BI111" s="1"/>
  <c r="X111"/>
  <c r="BT111" s="1"/>
  <c r="O111"/>
  <c r="BY111" s="1"/>
  <c r="J111"/>
  <c r="BE111" s="1"/>
  <c r="Y111"/>
  <c r="BO111" s="1"/>
  <c r="S111"/>
  <c r="BU111" s="1"/>
  <c r="C111"/>
  <c r="BG111" s="1"/>
  <c r="P111"/>
  <c r="BX111" s="1"/>
  <c r="G111"/>
  <c r="BK111" s="1"/>
  <c r="D111"/>
  <c r="BD111" s="1"/>
  <c r="T111"/>
  <c r="BV111" s="1"/>
  <c r="K111"/>
  <c r="BN111" s="1"/>
  <c r="H111"/>
  <c r="BF111" s="1"/>
  <c r="V107"/>
  <c r="BO107" s="1"/>
  <c r="L107"/>
  <c r="BF107" s="1"/>
  <c r="C107"/>
  <c r="BK107" s="1"/>
  <c r="O107"/>
  <c r="BX107" s="1"/>
  <c r="P107"/>
  <c r="BV107" s="1"/>
  <c r="G107"/>
  <c r="BN107" s="1"/>
  <c r="S107"/>
  <c r="BY107" s="1"/>
  <c r="T107"/>
  <c r="BU107" s="1"/>
  <c r="K107"/>
  <c r="BE107" s="1"/>
  <c r="Y107"/>
  <c r="BR107" s="1"/>
  <c r="M107"/>
  <c r="BH107" s="1"/>
  <c r="D107"/>
  <c r="BG107" s="1"/>
  <c r="W107"/>
  <c r="BQ107" s="1"/>
  <c r="Q107"/>
  <c r="BS107" s="1"/>
  <c r="H107"/>
  <c r="BI107" s="1"/>
  <c r="X107"/>
  <c r="BT107" s="1"/>
  <c r="U107"/>
  <c r="BP107" s="1"/>
  <c r="E107"/>
  <c r="BJ107" s="1"/>
  <c r="N107"/>
  <c r="BW107" s="1"/>
  <c r="I107"/>
  <c r="BC107" s="1"/>
  <c r="F107"/>
  <c r="BM107" s="1"/>
  <c r="R107"/>
  <c r="BZ107" s="1"/>
  <c r="B107"/>
  <c r="J107"/>
  <c r="BD107" s="1"/>
  <c r="P58"/>
  <c r="BW58" s="1"/>
  <c r="D58"/>
  <c r="BI58" s="1"/>
  <c r="B58"/>
  <c r="T58"/>
  <c r="BO58" s="1"/>
  <c r="H58"/>
  <c r="BF58" s="1"/>
  <c r="F58"/>
  <c r="BH58" s="1"/>
  <c r="Q58"/>
  <c r="BT58" s="1"/>
  <c r="L58"/>
  <c r="BL58" s="1"/>
  <c r="J58"/>
  <c r="BJ58" s="1"/>
  <c r="U58"/>
  <c r="BR58" s="1"/>
  <c r="E58"/>
  <c r="BG58" s="1"/>
  <c r="C58"/>
  <c r="BK58" s="1"/>
  <c r="Y58"/>
  <c r="BZ58" s="1"/>
  <c r="I58"/>
  <c r="BC58" s="1"/>
  <c r="G58"/>
  <c r="BE58" s="1"/>
  <c r="R58"/>
  <c r="BS58" s="1"/>
  <c r="O58"/>
  <c r="BU58" s="1"/>
  <c r="K58"/>
  <c r="BM58" s="1"/>
  <c r="V58"/>
  <c r="BV58" s="1"/>
  <c r="S58"/>
  <c r="BQ58" s="1"/>
  <c r="M58"/>
  <c r="BN58" s="1"/>
  <c r="X58"/>
  <c r="BY58" s="1"/>
  <c r="W58"/>
  <c r="BX58" s="1"/>
  <c r="N58"/>
  <c r="BP58" s="1"/>
  <c r="R11"/>
  <c r="BT11" s="1"/>
  <c r="B11"/>
  <c r="C11"/>
  <c r="BL11" s="1"/>
  <c r="V11"/>
  <c r="BO11" s="1"/>
  <c r="P11"/>
  <c r="BP11" s="1"/>
  <c r="G11"/>
  <c r="BH11" s="1"/>
  <c r="O11"/>
  <c r="BR11" s="1"/>
  <c r="T11"/>
  <c r="BZ11" s="1"/>
  <c r="K11"/>
  <c r="BK11" s="1"/>
  <c r="S11"/>
  <c r="BV11" s="1"/>
  <c r="M11"/>
  <c r="BE11" s="1"/>
  <c r="D11"/>
  <c r="BM11" s="1"/>
  <c r="Y11"/>
  <c r="BS11" s="1"/>
  <c r="Q11"/>
  <c r="BY11" s="1"/>
  <c r="H11"/>
  <c r="BN11" s="1"/>
  <c r="X11"/>
  <c r="BQ11" s="1"/>
  <c r="U11"/>
  <c r="BU11" s="1"/>
  <c r="L11"/>
  <c r="BG11" s="1"/>
  <c r="W11"/>
  <c r="BW11" s="1"/>
  <c r="E11"/>
  <c r="BD11" s="1"/>
  <c r="F11"/>
  <c r="BJ11" s="1"/>
  <c r="N11"/>
  <c r="BX11" s="1"/>
  <c r="I11"/>
  <c r="BC11" s="1"/>
  <c r="J11"/>
  <c r="BI11" s="1"/>
  <c r="V86"/>
  <c r="BW86" s="1"/>
  <c r="J86"/>
  <c r="BJ86" s="1"/>
  <c r="D86"/>
  <c r="BI86" s="1"/>
  <c r="X86"/>
  <c r="BO86" s="1"/>
  <c r="N86"/>
  <c r="BP86" s="1"/>
  <c r="H86"/>
  <c r="BE86" s="1"/>
  <c r="W86"/>
  <c r="BR86" s="1"/>
  <c r="C86"/>
  <c r="BM86" s="1"/>
  <c r="L86"/>
  <c r="BL86" s="1"/>
  <c r="O86"/>
  <c r="BU86" s="1"/>
  <c r="G86"/>
  <c r="BN86" s="1"/>
  <c r="E86"/>
  <c r="BG86" s="1"/>
  <c r="S86"/>
  <c r="BQ86" s="1"/>
  <c r="K86"/>
  <c r="BF86" s="1"/>
  <c r="I86"/>
  <c r="BK86" s="1"/>
  <c r="P86"/>
  <c r="BY86" s="1"/>
  <c r="Q86"/>
  <c r="BT86" s="1"/>
  <c r="M86"/>
  <c r="BC86" s="1"/>
  <c r="T86"/>
  <c r="BZ86" s="1"/>
  <c r="U86"/>
  <c r="BV86" s="1"/>
  <c r="B86"/>
  <c r="Y86"/>
  <c r="BX86" s="1"/>
  <c r="R86"/>
  <c r="BS86" s="1"/>
  <c r="F86"/>
  <c r="BH86" s="1"/>
  <c r="N27"/>
  <c r="BO27" s="1"/>
  <c r="L27"/>
  <c r="BJ27" s="1"/>
  <c r="C27"/>
  <c r="BG27" s="1"/>
  <c r="R27"/>
  <c r="BW27" s="1"/>
  <c r="P27"/>
  <c r="BU27" s="1"/>
  <c r="G27"/>
  <c r="BK27" s="1"/>
  <c r="V27"/>
  <c r="BZ27" s="1"/>
  <c r="T27"/>
  <c r="BY27" s="1"/>
  <c r="K27"/>
  <c r="BN27" s="1"/>
  <c r="O27"/>
  <c r="BS27" s="1"/>
  <c r="W27"/>
  <c r="BT27" s="1"/>
  <c r="D27"/>
  <c r="BE27" s="1"/>
  <c r="S27"/>
  <c r="BP27" s="1"/>
  <c r="M27"/>
  <c r="BL27" s="1"/>
  <c r="H27"/>
  <c r="BF27" s="1"/>
  <c r="X27"/>
  <c r="BX27" s="1"/>
  <c r="Q27"/>
  <c r="BQ27" s="1"/>
  <c r="E27"/>
  <c r="BI27" s="1"/>
  <c r="U27"/>
  <c r="BR27" s="1"/>
  <c r="I27"/>
  <c r="BM27" s="1"/>
  <c r="F27"/>
  <c r="BD27" s="1"/>
  <c r="Y27"/>
  <c r="BV27" s="1"/>
  <c r="B27"/>
  <c r="J27"/>
  <c r="BH27" s="1"/>
  <c r="V102"/>
  <c r="BR102" s="1"/>
  <c r="L102"/>
  <c r="BG102" s="1"/>
  <c r="D102"/>
  <c r="BL102" s="1"/>
  <c r="W102"/>
  <c r="BS102" s="1"/>
  <c r="N102"/>
  <c r="BZ102" s="1"/>
  <c r="H102"/>
  <c r="BK102" s="1"/>
  <c r="O102"/>
  <c r="BV102" s="1"/>
  <c r="C102"/>
  <c r="BJ102" s="1"/>
  <c r="M102"/>
  <c r="BE102" s="1"/>
  <c r="S102"/>
  <c r="BW102" s="1"/>
  <c r="G102"/>
  <c r="BH102" s="1"/>
  <c r="E102"/>
  <c r="BC102" s="1"/>
  <c r="X102"/>
  <c r="BP102" s="1"/>
  <c r="K102"/>
  <c r="BD102" s="1"/>
  <c r="I102"/>
  <c r="BF102" s="1"/>
  <c r="P102"/>
  <c r="BO102" s="1"/>
  <c r="Q102"/>
  <c r="BX102" s="1"/>
  <c r="B102"/>
  <c r="T102"/>
  <c r="BT102" s="1"/>
  <c r="U102"/>
  <c r="BU102" s="1"/>
  <c r="F102"/>
  <c r="BM102" s="1"/>
  <c r="Y102"/>
  <c r="BQ102" s="1"/>
  <c r="R102"/>
  <c r="BY102" s="1"/>
  <c r="J102"/>
  <c r="BI102" s="1"/>
  <c r="T55"/>
  <c r="BY55" s="1"/>
  <c r="K55"/>
  <c r="BN55" s="1"/>
  <c r="L55"/>
  <c r="BJ55" s="1"/>
  <c r="M55"/>
  <c r="BL55" s="1"/>
  <c r="N55"/>
  <c r="BS55" s="1"/>
  <c r="E55"/>
  <c r="BC55" s="1"/>
  <c r="Q55"/>
  <c r="BP55" s="1"/>
  <c r="R55"/>
  <c r="BO55" s="1"/>
  <c r="I55"/>
  <c r="BM55" s="1"/>
  <c r="U55"/>
  <c r="BR55" s="1"/>
  <c r="V55"/>
  <c r="BZ55" s="1"/>
  <c r="B55"/>
  <c r="X55"/>
  <c r="BX55" s="1"/>
  <c r="W55"/>
  <c r="BT55" s="1"/>
  <c r="F55"/>
  <c r="BD55" s="1"/>
  <c r="Y55"/>
  <c r="BV55" s="1"/>
  <c r="O55"/>
  <c r="BW55" s="1"/>
  <c r="J55"/>
  <c r="BH55" s="1"/>
  <c r="S55"/>
  <c r="BQ55" s="1"/>
  <c r="C55"/>
  <c r="BG55" s="1"/>
  <c r="D55"/>
  <c r="BI55" s="1"/>
  <c r="P55"/>
  <c r="BU55" s="1"/>
  <c r="G55"/>
  <c r="BE55" s="1"/>
  <c r="H55"/>
  <c r="BF55" s="1"/>
  <c r="T130"/>
  <c r="BO130" s="1"/>
  <c r="D130"/>
  <c r="BH130" s="1"/>
  <c r="Q130"/>
  <c r="BW130" s="1"/>
  <c r="F130"/>
  <c r="BK130" s="1"/>
  <c r="Y130"/>
  <c r="BQ130" s="1"/>
  <c r="H130"/>
  <c r="BM130" s="1"/>
  <c r="N130"/>
  <c r="BZ130" s="1"/>
  <c r="E130"/>
  <c r="BJ130" s="1"/>
  <c r="U130"/>
  <c r="BY130" s="1"/>
  <c r="I130"/>
  <c r="BC130" s="1"/>
  <c r="J130"/>
  <c r="BI130" s="1"/>
  <c r="W130"/>
  <c r="BS130" s="1"/>
  <c r="C130"/>
  <c r="BF130" s="1"/>
  <c r="L130"/>
  <c r="BG130" s="1"/>
  <c r="R130"/>
  <c r="BV130" s="1"/>
  <c r="O130"/>
  <c r="BT130" s="1"/>
  <c r="G130"/>
  <c r="BL130" s="1"/>
  <c r="V130"/>
  <c r="BU130" s="1"/>
  <c r="S130"/>
  <c r="BX130" s="1"/>
  <c r="K130"/>
  <c r="BD130" s="1"/>
  <c r="X130"/>
  <c r="BP130" s="1"/>
  <c r="P130"/>
  <c r="BR130" s="1"/>
  <c r="M130"/>
  <c r="BE130" s="1"/>
  <c r="B130"/>
  <c r="M129"/>
  <c r="BE129" s="1"/>
  <c r="K129"/>
  <c r="BD129" s="1"/>
  <c r="I129"/>
  <c r="BM129" s="1"/>
  <c r="Q129"/>
  <c r="BT129" s="1"/>
  <c r="D129"/>
  <c r="BH129" s="1"/>
  <c r="L129"/>
  <c r="BG129" s="1"/>
  <c r="U129"/>
  <c r="BY129" s="1"/>
  <c r="H129"/>
  <c r="BK129" s="1"/>
  <c r="B129"/>
  <c r="N129"/>
  <c r="BR129" s="1"/>
  <c r="O129"/>
  <c r="BZ129" s="1"/>
  <c r="F129"/>
  <c r="BL129" s="1"/>
  <c r="R129"/>
  <c r="BX129" s="1"/>
  <c r="S129"/>
  <c r="BW129" s="1"/>
  <c r="J129"/>
  <c r="BI129" s="1"/>
  <c r="V129"/>
  <c r="BP129" s="1"/>
  <c r="X129"/>
  <c r="BQ129" s="1"/>
  <c r="Y129"/>
  <c r="BS129" s="1"/>
  <c r="P129"/>
  <c r="BV129" s="1"/>
  <c r="C129"/>
  <c r="BF129" s="1"/>
  <c r="W129"/>
  <c r="BU129" s="1"/>
  <c r="T129"/>
  <c r="BO129" s="1"/>
  <c r="G129"/>
  <c r="BC129" s="1"/>
  <c r="E129"/>
  <c r="BJ129" s="1"/>
  <c r="W121"/>
  <c r="BX121" s="1"/>
  <c r="X121"/>
  <c r="BY121" s="1"/>
  <c r="K121"/>
  <c r="BK121" s="1"/>
  <c r="M121"/>
  <c r="BM121" s="1"/>
  <c r="D121"/>
  <c r="BC121" s="1"/>
  <c r="E121"/>
  <c r="BD121" s="1"/>
  <c r="Q121"/>
  <c r="BP121" s="1"/>
  <c r="H121"/>
  <c r="BJ121" s="1"/>
  <c r="I121"/>
  <c r="BI121" s="1"/>
  <c r="U121"/>
  <c r="BV121" s="1"/>
  <c r="L121"/>
  <c r="BN121" s="1"/>
  <c r="B121"/>
  <c r="N121"/>
  <c r="BR121" s="1"/>
  <c r="O121"/>
  <c r="BO121" s="1"/>
  <c r="F121"/>
  <c r="BH121" s="1"/>
  <c r="R121"/>
  <c r="BS121" s="1"/>
  <c r="S121"/>
  <c r="BT121" s="1"/>
  <c r="J121"/>
  <c r="BL121" s="1"/>
  <c r="V121"/>
  <c r="BW121" s="1"/>
  <c r="P121"/>
  <c r="BQ121" s="1"/>
  <c r="C121"/>
  <c r="BE121" s="1"/>
  <c r="Y121"/>
  <c r="BZ121" s="1"/>
  <c r="T121"/>
  <c r="BU121" s="1"/>
  <c r="G121"/>
  <c r="BG121" s="1"/>
  <c r="W81"/>
  <c r="BR81" s="1"/>
  <c r="T81"/>
  <c r="BO81" s="1"/>
  <c r="K81"/>
  <c r="BL81" s="1"/>
  <c r="X81"/>
  <c r="BV81" s="1"/>
  <c r="L81"/>
  <c r="BH81" s="1"/>
  <c r="E81"/>
  <c r="BK81" s="1"/>
  <c r="Q81"/>
  <c r="BY81" s="1"/>
  <c r="D81"/>
  <c r="BM81" s="1"/>
  <c r="I81"/>
  <c r="BE81" s="1"/>
  <c r="U81"/>
  <c r="BQ81" s="1"/>
  <c r="H81"/>
  <c r="BD81" s="1"/>
  <c r="B81"/>
  <c r="N81"/>
  <c r="BZ81" s="1"/>
  <c r="M81"/>
  <c r="BJ81" s="1"/>
  <c r="F81"/>
  <c r="BI81" s="1"/>
  <c r="R81"/>
  <c r="BU81" s="1"/>
  <c r="O81"/>
  <c r="BS81" s="1"/>
  <c r="J81"/>
  <c r="BF81" s="1"/>
  <c r="V81"/>
  <c r="BX81" s="1"/>
  <c r="S81"/>
  <c r="BP81" s="1"/>
  <c r="C81"/>
  <c r="BN81" s="1"/>
  <c r="Y81"/>
  <c r="BT81" s="1"/>
  <c r="P81"/>
  <c r="BW81" s="1"/>
  <c r="G81"/>
  <c r="BC81" s="1"/>
  <c r="X137"/>
  <c r="BR137" s="1"/>
  <c r="H137"/>
  <c r="BI137" s="1"/>
  <c r="F137"/>
  <c r="BE137" s="1"/>
  <c r="N137"/>
  <c r="BX137" s="1"/>
  <c r="O137"/>
  <c r="BS137" s="1"/>
  <c r="J137"/>
  <c r="BJ137" s="1"/>
  <c r="R137"/>
  <c r="BT137" s="1"/>
  <c r="S137"/>
  <c r="BQ137" s="1"/>
  <c r="L137"/>
  <c r="BC137" s="1"/>
  <c r="V137"/>
  <c r="BV137" s="1"/>
  <c r="P137"/>
  <c r="BW137" s="1"/>
  <c r="Y137"/>
  <c r="BP137" s="1"/>
  <c r="T137"/>
  <c r="BZ137" s="1"/>
  <c r="C137"/>
  <c r="BL137" s="1"/>
  <c r="W137"/>
  <c r="BO137" s="1"/>
  <c r="M137"/>
  <c r="BD137" s="1"/>
  <c r="G137"/>
  <c r="BH137" s="1"/>
  <c r="E137"/>
  <c r="BK137" s="1"/>
  <c r="Q137"/>
  <c r="BY137" s="1"/>
  <c r="K137"/>
  <c r="BF137" s="1"/>
  <c r="I137"/>
  <c r="BN137" s="1"/>
  <c r="U137"/>
  <c r="BU137" s="1"/>
  <c r="D137"/>
  <c r="BM137" s="1"/>
  <c r="B137"/>
  <c r="X112"/>
  <c r="BT112" s="1"/>
  <c r="C112"/>
  <c r="BG112" s="1"/>
  <c r="E112"/>
  <c r="BL112" s="1"/>
  <c r="S112"/>
  <c r="BR112" s="1"/>
  <c r="G112"/>
  <c r="BK112" s="1"/>
  <c r="I112"/>
  <c r="BJ112" s="1"/>
  <c r="P112"/>
  <c r="BS112" s="1"/>
  <c r="K112"/>
  <c r="BN112" s="1"/>
  <c r="N112"/>
  <c r="BY112" s="1"/>
  <c r="T112"/>
  <c r="BW112" s="1"/>
  <c r="L112"/>
  <c r="BC112" s="1"/>
  <c r="B112"/>
  <c r="Q112"/>
  <c r="BU112" s="1"/>
  <c r="D112"/>
  <c r="BD112" s="1"/>
  <c r="O112"/>
  <c r="BP112" s="1"/>
  <c r="U112"/>
  <c r="BQ112" s="1"/>
  <c r="H112"/>
  <c r="BF112" s="1"/>
  <c r="F112"/>
  <c r="BI112" s="1"/>
  <c r="Y112"/>
  <c r="BO112" s="1"/>
  <c r="R112"/>
  <c r="BX112" s="1"/>
  <c r="J112"/>
  <c r="BE112" s="1"/>
  <c r="W112"/>
  <c r="BZ112" s="1"/>
  <c r="V112"/>
  <c r="BV112" s="1"/>
  <c r="M112"/>
  <c r="BH112" s="1"/>
  <c r="Y125"/>
  <c r="BW125" s="1"/>
  <c r="V125"/>
  <c r="BS125" s="1"/>
  <c r="B125"/>
  <c r="C125"/>
  <c r="BC125" s="1"/>
  <c r="O125"/>
  <c r="BV125" s="1"/>
  <c r="F125"/>
  <c r="BL125" s="1"/>
  <c r="G125"/>
  <c r="BD125" s="1"/>
  <c r="S125"/>
  <c r="BX125" s="1"/>
  <c r="J125"/>
  <c r="BM125" s="1"/>
  <c r="K125"/>
  <c r="BG125" s="1"/>
  <c r="L125"/>
  <c r="BK125" s="1"/>
  <c r="M125"/>
  <c r="BI125" s="1"/>
  <c r="D125"/>
  <c r="BJ125" s="1"/>
  <c r="P125"/>
  <c r="BO125" s="1"/>
  <c r="Q125"/>
  <c r="BT125" s="1"/>
  <c r="H125"/>
  <c r="BN125" s="1"/>
  <c r="T125"/>
  <c r="BQ125" s="1"/>
  <c r="U125"/>
  <c r="BZ125" s="1"/>
  <c r="W125"/>
  <c r="BY125" s="1"/>
  <c r="N125"/>
  <c r="BR125" s="1"/>
  <c r="E125"/>
  <c r="BH125" s="1"/>
  <c r="X125"/>
  <c r="BU125" s="1"/>
  <c r="R125"/>
  <c r="BP125" s="1"/>
  <c r="I125"/>
  <c r="BE125" s="1"/>
  <c r="W28"/>
  <c r="BV28" s="1"/>
  <c r="I28"/>
  <c r="BM28" s="1"/>
  <c r="O28"/>
  <c r="BS28" s="1"/>
  <c r="Q28"/>
  <c r="BP28" s="1"/>
  <c r="B28"/>
  <c r="C28"/>
  <c r="BC28" s="1"/>
  <c r="U28"/>
  <c r="BT28" s="1"/>
  <c r="L28"/>
  <c r="BJ28" s="1"/>
  <c r="G28"/>
  <c r="BK28" s="1"/>
  <c r="R28"/>
  <c r="BU28" s="1"/>
  <c r="F28"/>
  <c r="BD28" s="1"/>
  <c r="K28"/>
  <c r="BN28" s="1"/>
  <c r="V28"/>
  <c r="BY28" s="1"/>
  <c r="J28"/>
  <c r="BH28" s="1"/>
  <c r="D28"/>
  <c r="BE28" s="1"/>
  <c r="X28"/>
  <c r="BZ28" s="1"/>
  <c r="M28"/>
  <c r="BL28" s="1"/>
  <c r="H28"/>
  <c r="BF28" s="1"/>
  <c r="S28"/>
  <c r="BR28" s="1"/>
  <c r="P28"/>
  <c r="BQ28" s="1"/>
  <c r="N28"/>
  <c r="BO28" s="1"/>
  <c r="Y28"/>
  <c r="BX28" s="1"/>
  <c r="T28"/>
  <c r="BW28" s="1"/>
  <c r="E28"/>
  <c r="BI28" s="1"/>
  <c r="S64"/>
  <c r="BZ64" s="1"/>
  <c r="J64"/>
  <c r="BJ64" s="1"/>
  <c r="O64"/>
  <c r="BX64" s="1"/>
  <c r="X64"/>
  <c r="BY64" s="1"/>
  <c r="C64"/>
  <c r="BH64" s="1"/>
  <c r="E64"/>
  <c r="BI64" s="1"/>
  <c r="P64"/>
  <c r="BT64" s="1"/>
  <c r="G64"/>
  <c r="BD64" s="1"/>
  <c r="I64"/>
  <c r="BK64" s="1"/>
  <c r="T64"/>
  <c r="BP64" s="1"/>
  <c r="K64"/>
  <c r="BG64" s="1"/>
  <c r="L64"/>
  <c r="BC64" s="1"/>
  <c r="Q64"/>
  <c r="BR64" s="1"/>
  <c r="D64"/>
  <c r="BL64" s="1"/>
  <c r="M64"/>
  <c r="BM64" s="1"/>
  <c r="U64"/>
  <c r="BV64" s="1"/>
  <c r="H64"/>
  <c r="BN64" s="1"/>
  <c r="N64"/>
  <c r="BQ64" s="1"/>
  <c r="Y64"/>
  <c r="BO64" s="1"/>
  <c r="R64"/>
  <c r="BU64" s="1"/>
  <c r="B64"/>
  <c r="W64"/>
  <c r="BS64" s="1"/>
  <c r="V64"/>
  <c r="BW64" s="1"/>
  <c r="F64"/>
  <c r="BF64" s="1"/>
  <c r="W108"/>
  <c r="BQ108" s="1"/>
  <c r="E108"/>
  <c r="BJ108" s="1"/>
  <c r="L108"/>
  <c r="BF108" s="1"/>
  <c r="Q108"/>
  <c r="BY108" s="1"/>
  <c r="I108"/>
  <c r="BI108" s="1"/>
  <c r="C108"/>
  <c r="BK108" s="1"/>
  <c r="U108"/>
  <c r="BU108" s="1"/>
  <c r="B108"/>
  <c r="G108"/>
  <c r="BN108" s="1"/>
  <c r="R108"/>
  <c r="BV108" s="1"/>
  <c r="M108"/>
  <c r="BH108" s="1"/>
  <c r="K108"/>
  <c r="BC108" s="1"/>
  <c r="V108"/>
  <c r="BO108" s="1"/>
  <c r="F108"/>
  <c r="BM108" s="1"/>
  <c r="D108"/>
  <c r="BG108" s="1"/>
  <c r="S108"/>
  <c r="BP108" s="1"/>
  <c r="J108"/>
  <c r="BE108" s="1"/>
  <c r="H108"/>
  <c r="BD108" s="1"/>
  <c r="X108"/>
  <c r="BT108" s="1"/>
  <c r="P108"/>
  <c r="BW108" s="1"/>
  <c r="N108"/>
  <c r="BX108" s="1"/>
  <c r="Y108"/>
  <c r="BR108" s="1"/>
  <c r="T108"/>
  <c r="BZ108" s="1"/>
  <c r="O108"/>
  <c r="BS108" s="1"/>
  <c r="R67"/>
  <c r="BT67" s="1"/>
  <c r="L67"/>
  <c r="BM67" s="1"/>
  <c r="C67"/>
  <c r="BL67" s="1"/>
  <c r="V67"/>
  <c r="BU67" s="1"/>
  <c r="P67"/>
  <c r="BQ67" s="1"/>
  <c r="G67"/>
  <c r="BH67" s="1"/>
  <c r="O67"/>
  <c r="BR67" s="1"/>
  <c r="T67"/>
  <c r="BP67" s="1"/>
  <c r="K67"/>
  <c r="BG67" s="1"/>
  <c r="S67"/>
  <c r="BV67" s="1"/>
  <c r="Y67"/>
  <c r="BY67" s="1"/>
  <c r="D67"/>
  <c r="BN67" s="1"/>
  <c r="W67"/>
  <c r="BS67" s="1"/>
  <c r="M67"/>
  <c r="BK67" s="1"/>
  <c r="H67"/>
  <c r="BD67" s="1"/>
  <c r="X67"/>
  <c r="BW67" s="1"/>
  <c r="Q67"/>
  <c r="BZ67" s="1"/>
  <c r="E67"/>
  <c r="BE67" s="1"/>
  <c r="U67"/>
  <c r="BO67" s="1"/>
  <c r="I67"/>
  <c r="BI67" s="1"/>
  <c r="F67"/>
  <c r="BJ67" s="1"/>
  <c r="N67"/>
  <c r="BX67" s="1"/>
  <c r="B67"/>
  <c r="J67"/>
  <c r="BC67" s="1"/>
  <c r="W113"/>
  <c r="BO113" s="1"/>
  <c r="M113"/>
  <c r="BH113" s="1"/>
  <c r="K113"/>
  <c r="BJ113" s="1"/>
  <c r="Q113"/>
  <c r="BU113" s="1"/>
  <c r="L113"/>
  <c r="BC113" s="1"/>
  <c r="E113"/>
  <c r="BG113" s="1"/>
  <c r="U113"/>
  <c r="BQ113" s="1"/>
  <c r="D113"/>
  <c r="BI113" s="1"/>
  <c r="I113"/>
  <c r="BK113" s="1"/>
  <c r="N113"/>
  <c r="BY113" s="1"/>
  <c r="H113"/>
  <c r="BE113" s="1"/>
  <c r="B113"/>
  <c r="R113"/>
  <c r="BX113" s="1"/>
  <c r="O113"/>
  <c r="BP113" s="1"/>
  <c r="F113"/>
  <c r="BF113" s="1"/>
  <c r="V113"/>
  <c r="BZ113" s="1"/>
  <c r="S113"/>
  <c r="BR113" s="1"/>
  <c r="J113"/>
  <c r="BN113" s="1"/>
  <c r="X113"/>
  <c r="BV113" s="1"/>
  <c r="P113"/>
  <c r="BS113" s="1"/>
  <c r="C113"/>
  <c r="BM113" s="1"/>
  <c r="Y113"/>
  <c r="BT113" s="1"/>
  <c r="T113"/>
  <c r="BW113" s="1"/>
  <c r="G113"/>
  <c r="BL113" s="1"/>
  <c r="W60"/>
  <c r="BV60" s="1"/>
  <c r="L60"/>
  <c r="BN60" s="1"/>
  <c r="C60"/>
  <c r="BD60" s="1"/>
  <c r="Q60"/>
  <c r="BQ60" s="1"/>
  <c r="E60"/>
  <c r="BK60" s="1"/>
  <c r="G60"/>
  <c r="BG60" s="1"/>
  <c r="U60"/>
  <c r="BR60" s="1"/>
  <c r="I60"/>
  <c r="BF60" s="1"/>
  <c r="K60"/>
  <c r="BC60" s="1"/>
  <c r="R60"/>
  <c r="BW60" s="1"/>
  <c r="B60"/>
  <c r="O60"/>
  <c r="BT60" s="1"/>
  <c r="V60"/>
  <c r="BO60" s="1"/>
  <c r="F60"/>
  <c r="BE60" s="1"/>
  <c r="D60"/>
  <c r="BH60" s="1"/>
  <c r="X60"/>
  <c r="BY60" s="1"/>
  <c r="J60"/>
  <c r="BJ60" s="1"/>
  <c r="H60"/>
  <c r="BL60" s="1"/>
  <c r="S60"/>
  <c r="BX60" s="1"/>
  <c r="P60"/>
  <c r="BP60" s="1"/>
  <c r="M60"/>
  <c r="BM60" s="1"/>
  <c r="Y60"/>
  <c r="BZ60" s="1"/>
  <c r="T60"/>
  <c r="BS60" s="1"/>
  <c r="N60"/>
  <c r="BU60" s="1"/>
  <c r="V19"/>
  <c r="BR19" s="1"/>
  <c r="B19"/>
  <c r="C19"/>
  <c r="BI19" s="1"/>
  <c r="Y19"/>
  <c r="BQ19" s="1"/>
  <c r="P19"/>
  <c r="BV19" s="1"/>
  <c r="G19"/>
  <c r="BM19" s="1"/>
  <c r="O19"/>
  <c r="BZ19" s="1"/>
  <c r="T19"/>
  <c r="BX19" s="1"/>
  <c r="K19"/>
  <c r="BH19" s="1"/>
  <c r="S19"/>
  <c r="BW19" s="1"/>
  <c r="M19"/>
  <c r="BD19" s="1"/>
  <c r="D19"/>
  <c r="BG19" s="1"/>
  <c r="W19"/>
  <c r="BT19" s="1"/>
  <c r="Q19"/>
  <c r="BS19" s="1"/>
  <c r="H19"/>
  <c r="BL19" s="1"/>
  <c r="X19"/>
  <c r="BP19" s="1"/>
  <c r="U19"/>
  <c r="BO19" s="1"/>
  <c r="E19"/>
  <c r="BJ19" s="1"/>
  <c r="N19"/>
  <c r="BU19" s="1"/>
  <c r="I19"/>
  <c r="BF19" s="1"/>
  <c r="F19"/>
  <c r="BK19" s="1"/>
  <c r="R19"/>
  <c r="BY19" s="1"/>
  <c r="L19"/>
  <c r="BE19" s="1"/>
  <c r="J19"/>
  <c r="BC19" s="1"/>
  <c r="W79"/>
  <c r="BP79" s="1"/>
  <c r="L79"/>
  <c r="BF79" s="1"/>
  <c r="E79"/>
  <c r="BC79" s="1"/>
  <c r="M79"/>
  <c r="BH79" s="1"/>
  <c r="N79"/>
  <c r="BW79" s="1"/>
  <c r="I79"/>
  <c r="BL79" s="1"/>
  <c r="Q79"/>
  <c r="BS79" s="1"/>
  <c r="R79"/>
  <c r="BO79" s="1"/>
  <c r="B79"/>
  <c r="U79"/>
  <c r="BQ79" s="1"/>
  <c r="V79"/>
  <c r="BV79" s="1"/>
  <c r="F79"/>
  <c r="BG79" s="1"/>
  <c r="X79"/>
  <c r="BT79" s="1"/>
  <c r="O79"/>
  <c r="BZ79" s="1"/>
  <c r="J79"/>
  <c r="BD79" s="1"/>
  <c r="Y79"/>
  <c r="BR79" s="1"/>
  <c r="S79"/>
  <c r="BU79" s="1"/>
  <c r="C79"/>
  <c r="BK79" s="1"/>
  <c r="P79"/>
  <c r="BY79" s="1"/>
  <c r="G79"/>
  <c r="BI79" s="1"/>
  <c r="D79"/>
  <c r="BM79" s="1"/>
  <c r="T79"/>
  <c r="BX79" s="1"/>
  <c r="K79"/>
  <c r="BJ79" s="1"/>
  <c r="H79"/>
  <c r="BE79" s="1"/>
  <c r="Y5"/>
  <c r="BY5" s="1"/>
  <c r="V5"/>
  <c r="BU5" s="1"/>
  <c r="B5"/>
  <c r="O5"/>
  <c r="BT5" s="1"/>
  <c r="F5"/>
  <c r="BJ5" s="1"/>
  <c r="C5"/>
  <c r="BC5" s="1"/>
  <c r="S5"/>
  <c r="BV5" s="1"/>
  <c r="J5"/>
  <c r="BN5" s="1"/>
  <c r="G5"/>
  <c r="BE5" s="1"/>
  <c r="L5"/>
  <c r="BM5" s="1"/>
  <c r="M5"/>
  <c r="BK5" s="1"/>
  <c r="K5"/>
  <c r="BI5" s="1"/>
  <c r="P5"/>
  <c r="BO5" s="1"/>
  <c r="Q5"/>
  <c r="BR5" s="1"/>
  <c r="D5"/>
  <c r="BH5" s="1"/>
  <c r="T5"/>
  <c r="BS5" s="1"/>
  <c r="U5"/>
  <c r="BX5" s="1"/>
  <c r="H5"/>
  <c r="BL5" s="1"/>
  <c r="W5"/>
  <c r="BZ5" s="1"/>
  <c r="N5"/>
  <c r="BP5" s="1"/>
  <c r="E5"/>
  <c r="BF5" s="1"/>
  <c r="X5"/>
  <c r="BW5" s="1"/>
  <c r="R5"/>
  <c r="BQ5" s="1"/>
  <c r="I5"/>
  <c r="BG5" s="1"/>
  <c r="S16"/>
  <c r="BS16" s="1"/>
  <c r="G16"/>
  <c r="BL16" s="1"/>
  <c r="E16"/>
  <c r="BF16" s="1"/>
  <c r="X16"/>
  <c r="BQ16" s="1"/>
  <c r="K16"/>
  <c r="BH16" s="1"/>
  <c r="I16"/>
  <c r="BD16" s="1"/>
  <c r="P16"/>
  <c r="BY16" s="1"/>
  <c r="O16"/>
  <c r="BU16" s="1"/>
  <c r="L16"/>
  <c r="BC16" s="1"/>
  <c r="T16"/>
  <c r="BX16" s="1"/>
  <c r="D16"/>
  <c r="BI16" s="1"/>
  <c r="N16"/>
  <c r="BV16" s="1"/>
  <c r="Q16"/>
  <c r="BZ16" s="1"/>
  <c r="H16"/>
  <c r="BG16" s="1"/>
  <c r="B16"/>
  <c r="U16"/>
  <c r="BW16" s="1"/>
  <c r="M16"/>
  <c r="BE16" s="1"/>
  <c r="F16"/>
  <c r="BN16" s="1"/>
  <c r="Y16"/>
  <c r="BO16" s="1"/>
  <c r="R16"/>
  <c r="BR16" s="1"/>
  <c r="J16"/>
  <c r="BK16" s="1"/>
  <c r="W16"/>
  <c r="BT16" s="1"/>
  <c r="V16"/>
  <c r="BP16" s="1"/>
  <c r="C16"/>
  <c r="BM16" s="1"/>
  <c r="T26"/>
  <c r="BY26" s="1"/>
  <c r="G26"/>
  <c r="BM26" s="1"/>
  <c r="B26"/>
  <c r="W26"/>
  <c r="BT26" s="1"/>
  <c r="K26"/>
  <c r="BL26" s="1"/>
  <c r="L26"/>
  <c r="BH26" s="1"/>
  <c r="Q26"/>
  <c r="BQ26" s="1"/>
  <c r="N26"/>
  <c r="BS26" s="1"/>
  <c r="M26"/>
  <c r="BJ26" s="1"/>
  <c r="U26"/>
  <c r="BR26" s="1"/>
  <c r="D26"/>
  <c r="BI26" s="1"/>
  <c r="F26"/>
  <c r="BE26" s="1"/>
  <c r="Y26"/>
  <c r="BV26" s="1"/>
  <c r="H26"/>
  <c r="BD26" s="1"/>
  <c r="J26"/>
  <c r="BF26" s="1"/>
  <c r="R26"/>
  <c r="BW26" s="1"/>
  <c r="E26"/>
  <c r="BK26" s="1"/>
  <c r="O26"/>
  <c r="BO26" s="1"/>
  <c r="V26"/>
  <c r="BZ26" s="1"/>
  <c r="I26"/>
  <c r="BN26" s="1"/>
  <c r="P26"/>
  <c r="BU26" s="1"/>
  <c r="X26"/>
  <c r="BX26" s="1"/>
  <c r="S26"/>
  <c r="BP26" s="1"/>
  <c r="C26"/>
  <c r="BG26" s="1"/>
  <c r="X54"/>
  <c r="BX54" s="1"/>
  <c r="J54"/>
  <c r="BF54" s="1"/>
  <c r="D54"/>
  <c r="BI54" s="1"/>
  <c r="R54"/>
  <c r="BQ54" s="1"/>
  <c r="N54"/>
  <c r="BS54" s="1"/>
  <c r="H54"/>
  <c r="BD54" s="1"/>
  <c r="V54"/>
  <c r="BZ54" s="1"/>
  <c r="C54"/>
  <c r="BK54" s="1"/>
  <c r="L54"/>
  <c r="BH54" s="1"/>
  <c r="W54"/>
  <c r="BT54" s="1"/>
  <c r="G54"/>
  <c r="BM54" s="1"/>
  <c r="E54"/>
  <c r="BC54" s="1"/>
  <c r="S54"/>
  <c r="BP54" s="1"/>
  <c r="K54"/>
  <c r="BL54" s="1"/>
  <c r="I54"/>
  <c r="BN54" s="1"/>
  <c r="P54"/>
  <c r="BO54" s="1"/>
  <c r="M54"/>
  <c r="BJ54" s="1"/>
  <c r="B54"/>
  <c r="T54"/>
  <c r="BY54" s="1"/>
  <c r="Q54"/>
  <c r="BU54" s="1"/>
  <c r="O54"/>
  <c r="BW54" s="1"/>
  <c r="Y54"/>
  <c r="BV54" s="1"/>
  <c r="U54"/>
  <c r="BR54" s="1"/>
  <c r="F54"/>
  <c r="BE54" s="1"/>
  <c r="AE150" i="118"/>
  <c r="AE151"/>
  <c r="AB150" i="119" s="1"/>
  <c r="W95"/>
  <c r="BZ95" s="1"/>
  <c r="K95"/>
  <c r="BI95" s="1"/>
  <c r="E95"/>
  <c r="BE95" s="1"/>
  <c r="M95"/>
  <c r="BK95" s="1"/>
  <c r="N95"/>
  <c r="BV95" s="1"/>
  <c r="I95"/>
  <c r="BG95" s="1"/>
  <c r="Q95"/>
  <c r="BO95" s="1"/>
  <c r="R95"/>
  <c r="BQ95" s="1"/>
  <c r="L95"/>
  <c r="BM95" s="1"/>
  <c r="U95"/>
  <c r="BX95" s="1"/>
  <c r="V95"/>
  <c r="BU95" s="1"/>
  <c r="B95"/>
  <c r="X95"/>
  <c r="BW95" s="1"/>
  <c r="O95"/>
  <c r="BR95" s="1"/>
  <c r="F95"/>
  <c r="BC95" s="1"/>
  <c r="Y95"/>
  <c r="BY95" s="1"/>
  <c r="S95"/>
  <c r="BP95" s="1"/>
  <c r="J95"/>
  <c r="BN95" s="1"/>
  <c r="P95"/>
  <c r="BT95" s="1"/>
  <c r="C95"/>
  <c r="BJ95" s="1"/>
  <c r="D95"/>
  <c r="BH95" s="1"/>
  <c r="T95"/>
  <c r="BS95" s="1"/>
  <c r="G95"/>
  <c r="BD95" s="1"/>
  <c r="H95"/>
  <c r="BL95" s="1"/>
  <c r="W57"/>
  <c r="BV57" s="1"/>
  <c r="T57"/>
  <c r="BO57" s="1"/>
  <c r="K57"/>
  <c r="BM57" s="1"/>
  <c r="Q57"/>
  <c r="BU57" s="1"/>
  <c r="M57"/>
  <c r="BN57" s="1"/>
  <c r="E57"/>
  <c r="BG57" s="1"/>
  <c r="U57"/>
  <c r="BR57" s="1"/>
  <c r="D57"/>
  <c r="BI57" s="1"/>
  <c r="I57"/>
  <c r="BF57" s="1"/>
  <c r="X57"/>
  <c r="BZ57" s="1"/>
  <c r="H57"/>
  <c r="BH57" s="1"/>
  <c r="B57"/>
  <c r="N57"/>
  <c r="BW57" s="1"/>
  <c r="L57"/>
  <c r="BL57" s="1"/>
  <c r="F57"/>
  <c r="BE57" s="1"/>
  <c r="R57"/>
  <c r="BQ57" s="1"/>
  <c r="O57"/>
  <c r="BP57" s="1"/>
  <c r="J57"/>
  <c r="BJ57" s="1"/>
  <c r="V57"/>
  <c r="BY57" s="1"/>
  <c r="S57"/>
  <c r="BT57" s="1"/>
  <c r="C57"/>
  <c r="BK57" s="1"/>
  <c r="Y57"/>
  <c r="BX57" s="1"/>
  <c r="P57"/>
  <c r="BS57" s="1"/>
  <c r="G57"/>
  <c r="BC57" s="1"/>
  <c r="X70"/>
  <c r="BS70" s="1"/>
  <c r="M70"/>
  <c r="BI70" s="1"/>
  <c r="D70"/>
  <c r="BJ70" s="1"/>
  <c r="R70"/>
  <c r="BT70" s="1"/>
  <c r="N70"/>
  <c r="BZ70" s="1"/>
  <c r="H70"/>
  <c r="BD70" s="1"/>
  <c r="V70"/>
  <c r="BQ70" s="1"/>
  <c r="O70"/>
  <c r="BV70" s="1"/>
  <c r="E70"/>
  <c r="BL70" s="1"/>
  <c r="W70"/>
  <c r="BW70" s="1"/>
  <c r="C70"/>
  <c r="BF70" s="1"/>
  <c r="I70"/>
  <c r="BE70" s="1"/>
  <c r="S70"/>
  <c r="BO70" s="1"/>
  <c r="G70"/>
  <c r="BH70" s="1"/>
  <c r="B70"/>
  <c r="P70"/>
  <c r="BR70" s="1"/>
  <c r="K70"/>
  <c r="BG70" s="1"/>
  <c r="F70"/>
  <c r="BC70" s="1"/>
  <c r="T70"/>
  <c r="BP70" s="1"/>
  <c r="Q70"/>
  <c r="BX70" s="1"/>
  <c r="J70"/>
  <c r="BM70" s="1"/>
  <c r="Y70"/>
  <c r="BU70" s="1"/>
  <c r="U70"/>
  <c r="BY70" s="1"/>
  <c r="L70"/>
  <c r="BK70" s="1"/>
  <c r="T23"/>
  <c r="BX23" s="1"/>
  <c r="K23"/>
  <c r="BJ23" s="1"/>
  <c r="E23"/>
  <c r="BN23" s="1"/>
  <c r="M23"/>
  <c r="BH23" s="1"/>
  <c r="N23"/>
  <c r="BS23" s="1"/>
  <c r="I23"/>
  <c r="BL23" s="1"/>
  <c r="Q23"/>
  <c r="BO23" s="1"/>
  <c r="R23"/>
  <c r="BZ23" s="1"/>
  <c r="B23"/>
  <c r="U23"/>
  <c r="BQ23" s="1"/>
  <c r="V23"/>
  <c r="BV23" s="1"/>
  <c r="L23"/>
  <c r="BF23" s="1"/>
  <c r="X23"/>
  <c r="BT23" s="1"/>
  <c r="O23"/>
  <c r="BW23" s="1"/>
  <c r="F23"/>
  <c r="BC23" s="1"/>
  <c r="Y23"/>
  <c r="BR23" s="1"/>
  <c r="S23"/>
  <c r="BY23" s="1"/>
  <c r="J23"/>
  <c r="BD23" s="1"/>
  <c r="W23"/>
  <c r="BP23" s="1"/>
  <c r="C23"/>
  <c r="BG23" s="1"/>
  <c r="D23"/>
  <c r="BI23" s="1"/>
  <c r="P23"/>
  <c r="BU23" s="1"/>
  <c r="G23"/>
  <c r="BM23" s="1"/>
  <c r="H23"/>
  <c r="BE23" s="1"/>
  <c r="T98"/>
  <c r="BP98" s="1"/>
  <c r="D98"/>
  <c r="BH98" s="1"/>
  <c r="B98"/>
  <c r="Y98"/>
  <c r="BU98" s="1"/>
  <c r="H98"/>
  <c r="BN98" s="1"/>
  <c r="N98"/>
  <c r="BV98" s="1"/>
  <c r="Q98"/>
  <c r="BX98" s="1"/>
  <c r="E98"/>
  <c r="BF98" s="1"/>
  <c r="F98"/>
  <c r="BL98" s="1"/>
  <c r="U98"/>
  <c r="BY98" s="1"/>
  <c r="I98"/>
  <c r="BE98" s="1"/>
  <c r="J98"/>
  <c r="BM98" s="1"/>
  <c r="W98"/>
  <c r="BW98" s="1"/>
  <c r="L98"/>
  <c r="BK98" s="1"/>
  <c r="C98"/>
  <c r="BJ98" s="1"/>
  <c r="R98"/>
  <c r="BR98" s="1"/>
  <c r="O98"/>
  <c r="BO98" s="1"/>
  <c r="G98"/>
  <c r="BD98" s="1"/>
  <c r="V98"/>
  <c r="BQ98" s="1"/>
  <c r="S98"/>
  <c r="BZ98" s="1"/>
  <c r="K98"/>
  <c r="BG98" s="1"/>
  <c r="X98"/>
  <c r="BS98" s="1"/>
  <c r="P98"/>
  <c r="BT98" s="1"/>
  <c r="M98"/>
  <c r="BI98" s="1"/>
  <c r="W105"/>
  <c r="BQ105" s="1"/>
  <c r="T105"/>
  <c r="BO105" s="1"/>
  <c r="G105"/>
  <c r="BC105" s="1"/>
  <c r="M105"/>
  <c r="BF105" s="1"/>
  <c r="K105"/>
  <c r="BH105" s="1"/>
  <c r="E105"/>
  <c r="BN105" s="1"/>
  <c r="Q105"/>
  <c r="BX105" s="1"/>
  <c r="D105"/>
  <c r="BL105" s="1"/>
  <c r="I105"/>
  <c r="BI105" s="1"/>
  <c r="U105"/>
  <c r="BU105" s="1"/>
  <c r="H105"/>
  <c r="BG105" s="1"/>
  <c r="B105"/>
  <c r="N105"/>
  <c r="BV105" s="1"/>
  <c r="O105"/>
  <c r="BW105" s="1"/>
  <c r="F105"/>
  <c r="BM105" s="1"/>
  <c r="R105"/>
  <c r="BY105" s="1"/>
  <c r="S105"/>
  <c r="BS105" s="1"/>
  <c r="J105"/>
  <c r="BE105" s="1"/>
  <c r="V105"/>
  <c r="BT105" s="1"/>
  <c r="X105"/>
  <c r="BR105" s="1"/>
  <c r="L105"/>
  <c r="BD105" s="1"/>
  <c r="Y105"/>
  <c r="BP105" s="1"/>
  <c r="P105"/>
  <c r="BZ105" s="1"/>
  <c r="C105"/>
  <c r="BJ105" s="1"/>
  <c r="Y61"/>
  <c r="BY61" s="1"/>
  <c r="V61"/>
  <c r="BV61" s="1"/>
  <c r="B61"/>
  <c r="O61"/>
  <c r="BT61" s="1"/>
  <c r="F61"/>
  <c r="BL61" s="1"/>
  <c r="C61"/>
  <c r="BI61" s="1"/>
  <c r="S61"/>
  <c r="BX61" s="1"/>
  <c r="J61"/>
  <c r="BJ61" s="1"/>
  <c r="G61"/>
  <c r="BK61" s="1"/>
  <c r="L61"/>
  <c r="BN61" s="1"/>
  <c r="M61"/>
  <c r="BM61" s="1"/>
  <c r="K61"/>
  <c r="BC61" s="1"/>
  <c r="P61"/>
  <c r="BP61" s="1"/>
  <c r="Q61"/>
  <c r="BQ61" s="1"/>
  <c r="D61"/>
  <c r="BE61" s="1"/>
  <c r="T61"/>
  <c r="BS61" s="1"/>
  <c r="U61"/>
  <c r="BR61" s="1"/>
  <c r="H61"/>
  <c r="BF61" s="1"/>
  <c r="W61"/>
  <c r="BZ61" s="1"/>
  <c r="N61"/>
  <c r="BU61" s="1"/>
  <c r="E61"/>
  <c r="BD61" s="1"/>
  <c r="X61"/>
  <c r="BO61" s="1"/>
  <c r="R61"/>
  <c r="BW61" s="1"/>
  <c r="I61"/>
  <c r="BG61" s="1"/>
  <c r="S128"/>
  <c r="BX128" s="1"/>
  <c r="C128"/>
  <c r="BJ128" s="1"/>
  <c r="E128"/>
  <c r="BH128" s="1"/>
  <c r="X128"/>
  <c r="BQ128" s="1"/>
  <c r="G128"/>
  <c r="BC128" s="1"/>
  <c r="I128"/>
  <c r="BD128" s="1"/>
  <c r="P128"/>
  <c r="BV128" s="1"/>
  <c r="K128"/>
  <c r="BE128" s="1"/>
  <c r="L128"/>
  <c r="BI128" s="1"/>
  <c r="T128"/>
  <c r="BY128" s="1"/>
  <c r="O128"/>
  <c r="BZ128" s="1"/>
  <c r="N128"/>
  <c r="BR128" s="1"/>
  <c r="Q128"/>
  <c r="BT128" s="1"/>
  <c r="D128"/>
  <c r="BN128" s="1"/>
  <c r="B128"/>
  <c r="U128"/>
  <c r="BW128" s="1"/>
  <c r="H128"/>
  <c r="BM128" s="1"/>
  <c r="F128"/>
  <c r="BL128" s="1"/>
  <c r="Y128"/>
  <c r="BS128" s="1"/>
  <c r="R128"/>
  <c r="BO128" s="1"/>
  <c r="J128"/>
  <c r="BK128" s="1"/>
  <c r="W128"/>
  <c r="BU128" s="1"/>
  <c r="V128"/>
  <c r="BP128" s="1"/>
  <c r="M128"/>
  <c r="BG128" s="1"/>
  <c r="R123"/>
  <c r="BQ123" s="1"/>
  <c r="L123"/>
  <c r="BM123" s="1"/>
  <c r="C123"/>
  <c r="BF123" s="1"/>
  <c r="V123"/>
  <c r="BU123" s="1"/>
  <c r="P123"/>
  <c r="BP123" s="1"/>
  <c r="G123"/>
  <c r="BE123" s="1"/>
  <c r="O123"/>
  <c r="BR123" s="1"/>
  <c r="T123"/>
  <c r="BS123" s="1"/>
  <c r="K123"/>
  <c r="BI123" s="1"/>
  <c r="S123"/>
  <c r="BV123" s="1"/>
  <c r="M123"/>
  <c r="BK123" s="1"/>
  <c r="D123"/>
  <c r="BH123" s="1"/>
  <c r="W123"/>
  <c r="BZ123" s="1"/>
  <c r="Q123"/>
  <c r="BT123" s="1"/>
  <c r="H123"/>
  <c r="BL123" s="1"/>
  <c r="X123"/>
  <c r="BW123" s="1"/>
  <c r="U123"/>
  <c r="BX123" s="1"/>
  <c r="E123"/>
  <c r="BD123" s="1"/>
  <c r="Y123"/>
  <c r="BY123" s="1"/>
  <c r="I123"/>
  <c r="BG123" s="1"/>
  <c r="F123"/>
  <c r="BJ123" s="1"/>
  <c r="N123"/>
  <c r="BO123" s="1"/>
  <c r="B123"/>
  <c r="J123"/>
  <c r="BN123" s="1"/>
  <c r="R131"/>
  <c r="BV131" s="1"/>
  <c r="L131"/>
  <c r="BE131" s="1"/>
  <c r="C131"/>
  <c r="BN131" s="1"/>
  <c r="V131"/>
  <c r="BO131" s="1"/>
  <c r="P131"/>
  <c r="BR131" s="1"/>
  <c r="G131"/>
  <c r="BJ131" s="1"/>
  <c r="O131"/>
  <c r="BT131" s="1"/>
  <c r="T131"/>
  <c r="BY131" s="1"/>
  <c r="K131"/>
  <c r="BI131" s="1"/>
  <c r="S131"/>
  <c r="BX131" s="1"/>
  <c r="Y131"/>
  <c r="BQ131" s="1"/>
  <c r="D131"/>
  <c r="BK131" s="1"/>
  <c r="W131"/>
  <c r="BU131" s="1"/>
  <c r="M131"/>
  <c r="BD131" s="1"/>
  <c r="H131"/>
  <c r="BM131" s="1"/>
  <c r="X131"/>
  <c r="BP131" s="1"/>
  <c r="Q131"/>
  <c r="BW131" s="1"/>
  <c r="E131"/>
  <c r="BF131" s="1"/>
  <c r="U131"/>
  <c r="BS131" s="1"/>
  <c r="I131"/>
  <c r="BC131" s="1"/>
  <c r="F131"/>
  <c r="BL131" s="1"/>
  <c r="N131"/>
  <c r="BZ131" s="1"/>
  <c r="B131"/>
  <c r="J131"/>
  <c r="BG131" s="1"/>
  <c r="Y93"/>
  <c r="BZ93" s="1"/>
  <c r="V93"/>
  <c r="BW93" s="1"/>
  <c r="B93"/>
  <c r="O93"/>
  <c r="BV93" s="1"/>
  <c r="F93"/>
  <c r="BD93" s="1"/>
  <c r="C93"/>
  <c r="BE93" s="1"/>
  <c r="S93"/>
  <c r="BO93" s="1"/>
  <c r="J93"/>
  <c r="BL93" s="1"/>
  <c r="G93"/>
  <c r="BI93" s="1"/>
  <c r="L93"/>
  <c r="BN93" s="1"/>
  <c r="M93"/>
  <c r="BM93" s="1"/>
  <c r="K93"/>
  <c r="BK93" s="1"/>
  <c r="P93"/>
  <c r="BT93" s="1"/>
  <c r="Q93"/>
  <c r="BR93" s="1"/>
  <c r="D93"/>
  <c r="BF93" s="1"/>
  <c r="T93"/>
  <c r="BU93" s="1"/>
  <c r="U93"/>
  <c r="BS93" s="1"/>
  <c r="H93"/>
  <c r="BC93" s="1"/>
  <c r="W93"/>
  <c r="BX93" s="1"/>
  <c r="N93"/>
  <c r="BQ93" s="1"/>
  <c r="E93"/>
  <c r="BH93" s="1"/>
  <c r="X93"/>
  <c r="BY93" s="1"/>
  <c r="R93"/>
  <c r="BP93" s="1"/>
  <c r="I93"/>
  <c r="BG93" s="1"/>
  <c r="S133"/>
  <c r="BS133" s="1"/>
  <c r="J133"/>
  <c r="BI133" s="1"/>
  <c r="K133"/>
  <c r="BC133" s="1"/>
  <c r="L133"/>
  <c r="BE133" s="1"/>
  <c r="M133"/>
  <c r="BD133" s="1"/>
  <c r="D133"/>
  <c r="BL133" s="1"/>
  <c r="P133"/>
  <c r="BZ133" s="1"/>
  <c r="Q133"/>
  <c r="BX133" s="1"/>
  <c r="H133"/>
  <c r="BM133" s="1"/>
  <c r="T133"/>
  <c r="BV133" s="1"/>
  <c r="U133"/>
  <c r="BY133" s="1"/>
  <c r="W133"/>
  <c r="BQ133" s="1"/>
  <c r="N133"/>
  <c r="BT133" s="1"/>
  <c r="E133"/>
  <c r="BN133" s="1"/>
  <c r="X133"/>
  <c r="BO133" s="1"/>
  <c r="R133"/>
  <c r="BR133" s="1"/>
  <c r="I133"/>
  <c r="BJ133" s="1"/>
  <c r="Y133"/>
  <c r="BP133" s="1"/>
  <c r="V133"/>
  <c r="BU133" s="1"/>
  <c r="B133"/>
  <c r="C133"/>
  <c r="BH133" s="1"/>
  <c r="O133"/>
  <c r="BW133" s="1"/>
  <c r="F133"/>
  <c r="BG133" s="1"/>
  <c r="G133"/>
  <c r="BF133" s="1"/>
  <c r="W65"/>
  <c r="BO65" s="1"/>
  <c r="P65"/>
  <c r="BT65" s="1"/>
  <c r="C65"/>
  <c r="BE65" s="1"/>
  <c r="T65"/>
  <c r="BP65" s="1"/>
  <c r="G65"/>
  <c r="BI65" s="1"/>
  <c r="E65"/>
  <c r="BH65" s="1"/>
  <c r="Q65"/>
  <c r="BR65" s="1"/>
  <c r="K65"/>
  <c r="BK65" s="1"/>
  <c r="I65"/>
  <c r="BD65" s="1"/>
  <c r="U65"/>
  <c r="BV65" s="1"/>
  <c r="D65"/>
  <c r="BF65" s="1"/>
  <c r="L65"/>
  <c r="BC65" s="1"/>
  <c r="N65"/>
  <c r="BQ65" s="1"/>
  <c r="H65"/>
  <c r="BJ65" s="1"/>
  <c r="M65"/>
  <c r="BM65" s="1"/>
  <c r="R65"/>
  <c r="BU65" s="1"/>
  <c r="O65"/>
  <c r="BX65" s="1"/>
  <c r="B65"/>
  <c r="V65"/>
  <c r="BS65" s="1"/>
  <c r="S65"/>
  <c r="BZ65" s="1"/>
  <c r="F65"/>
  <c r="BN65" s="1"/>
  <c r="Y65"/>
  <c r="BY65" s="1"/>
  <c r="X65"/>
  <c r="BW65" s="1"/>
  <c r="J65"/>
  <c r="BG65" s="1"/>
  <c r="S32"/>
  <c r="BR32" s="1"/>
  <c r="G32"/>
  <c r="BC32" s="1"/>
  <c r="E32"/>
  <c r="BE32" s="1"/>
  <c r="X32"/>
  <c r="BW32" s="1"/>
  <c r="K32"/>
  <c r="BK32" s="1"/>
  <c r="I32"/>
  <c r="BI32" s="1"/>
  <c r="P32"/>
  <c r="BP32" s="1"/>
  <c r="M32"/>
  <c r="BM32" s="1"/>
  <c r="N32"/>
  <c r="BS32" s="1"/>
  <c r="T32"/>
  <c r="BV32" s="1"/>
  <c r="O32"/>
  <c r="BT32" s="1"/>
  <c r="B32"/>
  <c r="Q32"/>
  <c r="BQ32" s="1"/>
  <c r="D32"/>
  <c r="BH32" s="1"/>
  <c r="F32"/>
  <c r="BF32" s="1"/>
  <c r="U32"/>
  <c r="BX32" s="1"/>
  <c r="H32"/>
  <c r="BJ32" s="1"/>
  <c r="J32"/>
  <c r="BL32" s="1"/>
  <c r="Y32"/>
  <c r="BY32" s="1"/>
  <c r="R32"/>
  <c r="BO32" s="1"/>
  <c r="L32"/>
  <c r="BN32" s="1"/>
  <c r="W32"/>
  <c r="BZ32" s="1"/>
  <c r="V32"/>
  <c r="BU32" s="1"/>
  <c r="C32"/>
  <c r="BD32" s="1"/>
  <c r="R110"/>
  <c r="BW110" s="1"/>
  <c r="M110"/>
  <c r="BC110" s="1"/>
  <c r="D110"/>
  <c r="BM110" s="1"/>
  <c r="V110"/>
  <c r="BZ110" s="1"/>
  <c r="C110"/>
  <c r="BL110" s="1"/>
  <c r="H110"/>
  <c r="BI110" s="1"/>
  <c r="O110"/>
  <c r="BY110" s="1"/>
  <c r="G110"/>
  <c r="BJ110" s="1"/>
  <c r="N110"/>
  <c r="BS110" s="1"/>
  <c r="S110"/>
  <c r="BU110" s="1"/>
  <c r="K110"/>
  <c r="BE110" s="1"/>
  <c r="E110"/>
  <c r="BK110" s="1"/>
  <c r="P110"/>
  <c r="BX110" s="1"/>
  <c r="L110"/>
  <c r="BH110" s="1"/>
  <c r="I110"/>
  <c r="BN110" s="1"/>
  <c r="T110"/>
  <c r="BV110" s="1"/>
  <c r="Q110"/>
  <c r="BP110" s="1"/>
  <c r="B110"/>
  <c r="W110"/>
  <c r="BQ110" s="1"/>
  <c r="U110"/>
  <c r="BR110" s="1"/>
  <c r="F110"/>
  <c r="BD110" s="1"/>
  <c r="Y110"/>
  <c r="BT110" s="1"/>
  <c r="X110"/>
  <c r="BO110" s="1"/>
  <c r="J110"/>
  <c r="BF110" s="1"/>
  <c r="S96"/>
  <c r="BX96" s="1"/>
  <c r="G96"/>
  <c r="BE96" s="1"/>
  <c r="E96"/>
  <c r="BH96" s="1"/>
  <c r="P96"/>
  <c r="BT96" s="1"/>
  <c r="K96"/>
  <c r="BI96" s="1"/>
  <c r="I96"/>
  <c r="BG96" s="1"/>
  <c r="T96"/>
  <c r="BQ96" s="1"/>
  <c r="M96"/>
  <c r="BK96" s="1"/>
  <c r="L96"/>
  <c r="BM96" s="1"/>
  <c r="Q96"/>
  <c r="BO96" s="1"/>
  <c r="O96"/>
  <c r="BV96" s="1"/>
  <c r="N96"/>
  <c r="BR96" s="1"/>
  <c r="U96"/>
  <c r="BZ96" s="1"/>
  <c r="D96"/>
  <c r="BC96" s="1"/>
  <c r="B96"/>
  <c r="X96"/>
  <c r="BU96" s="1"/>
  <c r="H96"/>
  <c r="BL96" s="1"/>
  <c r="F96"/>
  <c r="BD96" s="1"/>
  <c r="Y96"/>
  <c r="BW96" s="1"/>
  <c r="R96"/>
  <c r="BP96" s="1"/>
  <c r="J96"/>
  <c r="BN96" s="1"/>
  <c r="W96"/>
  <c r="BY96" s="1"/>
  <c r="V96"/>
  <c r="BS96" s="1"/>
  <c r="C96"/>
  <c r="BJ96" s="1"/>
  <c r="Y21"/>
  <c r="BP21" s="1"/>
  <c r="V21"/>
  <c r="BT21" s="1"/>
  <c r="B21"/>
  <c r="O21"/>
  <c r="BS21" s="1"/>
  <c r="F21"/>
  <c r="BM21" s="1"/>
  <c r="C21"/>
  <c r="BN21" s="1"/>
  <c r="S21"/>
  <c r="BO21" s="1"/>
  <c r="J21"/>
  <c r="BE21" s="1"/>
  <c r="G21"/>
  <c r="BJ21" s="1"/>
  <c r="L21"/>
  <c r="BD21" s="1"/>
  <c r="M21"/>
  <c r="BF21" s="1"/>
  <c r="K21"/>
  <c r="BH21" s="1"/>
  <c r="P21"/>
  <c r="BU21" s="1"/>
  <c r="Q21"/>
  <c r="BW21" s="1"/>
  <c r="D21"/>
  <c r="BK21" s="1"/>
  <c r="T21"/>
  <c r="BV21" s="1"/>
  <c r="U21"/>
  <c r="BX21" s="1"/>
  <c r="H21"/>
  <c r="BC21" s="1"/>
  <c r="W21"/>
  <c r="BQ21" s="1"/>
  <c r="N21"/>
  <c r="BZ21" s="1"/>
  <c r="E21"/>
  <c r="BI21" s="1"/>
  <c r="X21"/>
  <c r="BR21" s="1"/>
  <c r="R21"/>
  <c r="BY21" s="1"/>
  <c r="I21"/>
  <c r="BL21" s="1"/>
  <c r="V51"/>
  <c r="BV51" s="1"/>
  <c r="L51"/>
  <c r="BF51" s="1"/>
  <c r="C51"/>
  <c r="BK51" s="1"/>
  <c r="Y51"/>
  <c r="BR51" s="1"/>
  <c r="P51"/>
  <c r="BY51" s="1"/>
  <c r="G51"/>
  <c r="BN51" s="1"/>
  <c r="O51"/>
  <c r="BW51" s="1"/>
  <c r="T51"/>
  <c r="BX51" s="1"/>
  <c r="K51"/>
  <c r="BJ51" s="1"/>
  <c r="S51"/>
  <c r="BS51" s="1"/>
  <c r="M51"/>
  <c r="BH51" s="1"/>
  <c r="D51"/>
  <c r="BI51" s="1"/>
  <c r="W51"/>
  <c r="BP51" s="1"/>
  <c r="Q51"/>
  <c r="BU51" s="1"/>
  <c r="H51"/>
  <c r="BE51" s="1"/>
  <c r="X51"/>
  <c r="BT51" s="1"/>
  <c r="U51"/>
  <c r="BQ51" s="1"/>
  <c r="E51"/>
  <c r="BM51" s="1"/>
  <c r="N51"/>
  <c r="BO51" s="1"/>
  <c r="I51"/>
  <c r="BL51" s="1"/>
  <c r="F51"/>
  <c r="BG51" s="1"/>
  <c r="R51"/>
  <c r="BZ51" s="1"/>
  <c r="B51"/>
  <c r="J51"/>
  <c r="BD51" s="1"/>
  <c r="U30"/>
  <c r="BV30" s="1"/>
  <c r="J30"/>
  <c r="BJ30" s="1"/>
  <c r="D30"/>
  <c r="BE30" s="1"/>
  <c r="W30"/>
  <c r="BX30" s="1"/>
  <c r="L30"/>
  <c r="BL30" s="1"/>
  <c r="H30"/>
  <c r="BH30" s="1"/>
  <c r="R30"/>
  <c r="BR30" s="1"/>
  <c r="M30"/>
  <c r="BN30" s="1"/>
  <c r="P30"/>
  <c r="BO30" s="1"/>
  <c r="V30"/>
  <c r="BW30" s="1"/>
  <c r="C30"/>
  <c r="BG30" s="1"/>
  <c r="N30"/>
  <c r="BP30" s="1"/>
  <c r="S30"/>
  <c r="BT30" s="1"/>
  <c r="G30"/>
  <c r="BI30" s="1"/>
  <c r="E30"/>
  <c r="BC30" s="1"/>
  <c r="X30"/>
  <c r="BY30" s="1"/>
  <c r="K30"/>
  <c r="BM30" s="1"/>
  <c r="I30"/>
  <c r="BK30" s="1"/>
  <c r="T30"/>
  <c r="BU30" s="1"/>
  <c r="O30"/>
  <c r="BS30" s="1"/>
  <c r="B30"/>
  <c r="Y30"/>
  <c r="BZ30" s="1"/>
  <c r="Q30"/>
  <c r="BQ30" s="1"/>
  <c r="F30"/>
  <c r="BF30" s="1"/>
  <c r="V75"/>
  <c r="BR75" s="1"/>
  <c r="L75"/>
  <c r="BE75" s="1"/>
  <c r="C75"/>
  <c r="BN75" s="1"/>
  <c r="O75"/>
  <c r="BZ75" s="1"/>
  <c r="P75"/>
  <c r="BX75" s="1"/>
  <c r="G75"/>
  <c r="BJ75" s="1"/>
  <c r="S75"/>
  <c r="BW75" s="1"/>
  <c r="T75"/>
  <c r="BT75" s="1"/>
  <c r="K75"/>
  <c r="BF75" s="1"/>
  <c r="Y75"/>
  <c r="BQ75" s="1"/>
  <c r="M75"/>
  <c r="BD75" s="1"/>
  <c r="D75"/>
  <c r="BM75" s="1"/>
  <c r="W75"/>
  <c r="BS75" s="1"/>
  <c r="Q75"/>
  <c r="BY75" s="1"/>
  <c r="H75"/>
  <c r="BI75" s="1"/>
  <c r="X75"/>
  <c r="BP75" s="1"/>
  <c r="U75"/>
  <c r="BU75" s="1"/>
  <c r="E75"/>
  <c r="BL75" s="1"/>
  <c r="N75"/>
  <c r="BO75" s="1"/>
  <c r="I75"/>
  <c r="BH75" s="1"/>
  <c r="F75"/>
  <c r="BK75" s="1"/>
  <c r="R75"/>
  <c r="BV75" s="1"/>
  <c r="B75"/>
  <c r="J75"/>
  <c r="BG75" s="1"/>
  <c r="V115"/>
  <c r="BX115" s="1"/>
  <c r="L115"/>
  <c r="BH115" s="1"/>
  <c r="C115"/>
  <c r="BD115" s="1"/>
  <c r="Y115"/>
  <c r="BT115" s="1"/>
  <c r="P115"/>
  <c r="BY115" s="1"/>
  <c r="G115"/>
  <c r="BG115" s="1"/>
  <c r="O115"/>
  <c r="BU115" s="1"/>
  <c r="T115"/>
  <c r="BW115" s="1"/>
  <c r="K115"/>
  <c r="BN115" s="1"/>
  <c r="S115"/>
  <c r="BQ115" s="1"/>
  <c r="M115"/>
  <c r="BJ115" s="1"/>
  <c r="D115"/>
  <c r="BF115" s="1"/>
  <c r="W115"/>
  <c r="BZ115" s="1"/>
  <c r="Q115"/>
  <c r="BR115" s="1"/>
  <c r="H115"/>
  <c r="BK115" s="1"/>
  <c r="X115"/>
  <c r="BV115" s="1"/>
  <c r="U115"/>
  <c r="BO115" s="1"/>
  <c r="E115"/>
  <c r="BM115" s="1"/>
  <c r="N115"/>
  <c r="BP115" s="1"/>
  <c r="I115"/>
  <c r="BL115" s="1"/>
  <c r="F115"/>
  <c r="BE115" s="1"/>
  <c r="R115"/>
  <c r="BS115" s="1"/>
  <c r="B115"/>
  <c r="J115"/>
  <c r="BC115" s="1"/>
  <c r="U22"/>
  <c r="BQ22" s="1"/>
  <c r="L22"/>
  <c r="BD22" s="1"/>
  <c r="D22"/>
  <c r="BK22" s="1"/>
  <c r="X22"/>
  <c r="BT22" s="1"/>
  <c r="F22"/>
  <c r="BC22" s="1"/>
  <c r="H22"/>
  <c r="BL22" s="1"/>
  <c r="R22"/>
  <c r="BY22" s="1"/>
  <c r="J22"/>
  <c r="BE22" s="1"/>
  <c r="E22"/>
  <c r="BI22" s="1"/>
  <c r="V22"/>
  <c r="BV22" s="1"/>
  <c r="N22"/>
  <c r="BS22" s="1"/>
  <c r="I22"/>
  <c r="BJ22" s="1"/>
  <c r="S22"/>
  <c r="BO22" s="1"/>
  <c r="C22"/>
  <c r="BN22" s="1"/>
  <c r="M22"/>
  <c r="BF22" s="1"/>
  <c r="W22"/>
  <c r="BP22" s="1"/>
  <c r="G22"/>
  <c r="BM22" s="1"/>
  <c r="O22"/>
  <c r="BW22" s="1"/>
  <c r="T22"/>
  <c r="BX22" s="1"/>
  <c r="K22"/>
  <c r="BH22" s="1"/>
  <c r="P22"/>
  <c r="BZ22" s="1"/>
  <c r="Y22"/>
  <c r="BR22" s="1"/>
  <c r="Q22"/>
  <c r="BU22" s="1"/>
  <c r="B22"/>
  <c r="T103"/>
  <c r="BT103" s="1"/>
  <c r="K103"/>
  <c r="BF103" s="1"/>
  <c r="E103"/>
  <c r="BC103" s="1"/>
  <c r="M103"/>
  <c r="BD103" s="1"/>
  <c r="N103"/>
  <c r="BZ103" s="1"/>
  <c r="I103"/>
  <c r="BH103" s="1"/>
  <c r="Q103"/>
  <c r="BW103" s="1"/>
  <c r="R103"/>
  <c r="BO103" s="1"/>
  <c r="B103"/>
  <c r="U103"/>
  <c r="BU103" s="1"/>
  <c r="V103"/>
  <c r="BR103" s="1"/>
  <c r="F103"/>
  <c r="BK103" s="1"/>
  <c r="X103"/>
  <c r="BP103" s="1"/>
  <c r="W103"/>
  <c r="BS103" s="1"/>
  <c r="J103"/>
  <c r="BG103" s="1"/>
  <c r="Y103"/>
  <c r="BQ103" s="1"/>
  <c r="O103"/>
  <c r="BV103" s="1"/>
  <c r="L103"/>
  <c r="BE103" s="1"/>
  <c r="S103"/>
  <c r="BY103" s="1"/>
  <c r="C103"/>
  <c r="BN103" s="1"/>
  <c r="D103"/>
  <c r="BL103" s="1"/>
  <c r="P103"/>
  <c r="BX103" s="1"/>
  <c r="G103"/>
  <c r="BM103" s="1"/>
  <c r="H103"/>
  <c r="BI103" s="1"/>
  <c r="M146"/>
  <c r="BL146" s="1"/>
  <c r="H146"/>
  <c r="BF146" s="1"/>
  <c r="F146"/>
  <c r="BD146" s="1"/>
  <c r="Q146"/>
  <c r="BP146" s="1"/>
  <c r="D146"/>
  <c r="BG146" s="1"/>
  <c r="N146"/>
  <c r="BQ146" s="1"/>
  <c r="U146"/>
  <c r="BT146" s="1"/>
  <c r="W146"/>
  <c r="BV146" s="1"/>
  <c r="E146"/>
  <c r="BI146" s="1"/>
  <c r="J146"/>
  <c r="BH146" s="1"/>
  <c r="I146"/>
  <c r="BM146" s="1"/>
  <c r="C146"/>
  <c r="BE146" s="1"/>
  <c r="O146"/>
  <c r="BO146" s="1"/>
  <c r="R146"/>
  <c r="BU146" s="1"/>
  <c r="V146"/>
  <c r="BY146" s="1"/>
  <c r="G146"/>
  <c r="BK146" s="1"/>
  <c r="Y146"/>
  <c r="BX146" s="1"/>
  <c r="S146"/>
  <c r="BR146" s="1"/>
  <c r="K146"/>
  <c r="BN146" s="1"/>
  <c r="X146"/>
  <c r="BZ146" s="1"/>
  <c r="P146"/>
  <c r="BS146" s="1"/>
  <c r="L146"/>
  <c r="BJ146" s="1"/>
  <c r="T146"/>
  <c r="BW146" s="1"/>
  <c r="B146"/>
  <c r="R99"/>
  <c r="BR99" s="1"/>
  <c r="L99"/>
  <c r="BI99" s="1"/>
  <c r="C99"/>
  <c r="BJ99" s="1"/>
  <c r="V99"/>
  <c r="BQ99" s="1"/>
  <c r="P99"/>
  <c r="BT99" s="1"/>
  <c r="G99"/>
  <c r="BF99" s="1"/>
  <c r="O99"/>
  <c r="BV99" s="1"/>
  <c r="T99"/>
  <c r="BP99" s="1"/>
  <c r="K99"/>
  <c r="BE99" s="1"/>
  <c r="S99"/>
  <c r="BZ99" s="1"/>
  <c r="Y99"/>
  <c r="BU99" s="1"/>
  <c r="D99"/>
  <c r="BL99" s="1"/>
  <c r="W99"/>
  <c r="BW99" s="1"/>
  <c r="M99"/>
  <c r="BG99" s="1"/>
  <c r="H99"/>
  <c r="BM99" s="1"/>
  <c r="X99"/>
  <c r="BS99" s="1"/>
  <c r="Q99"/>
  <c r="BX99" s="1"/>
  <c r="E99"/>
  <c r="BH99" s="1"/>
  <c r="U99"/>
  <c r="BY99" s="1"/>
  <c r="I99"/>
  <c r="BD99" s="1"/>
  <c r="F99"/>
  <c r="BN99" s="1"/>
  <c r="N99"/>
  <c r="BO99" s="1"/>
  <c r="B99"/>
  <c r="J99"/>
  <c r="BK99" s="1"/>
  <c r="M142"/>
  <c r="BH142" s="1"/>
  <c r="G142"/>
  <c r="BK142" s="1"/>
  <c r="N142"/>
  <c r="BQ142" s="1"/>
  <c r="O142"/>
  <c r="BU142" s="1"/>
  <c r="C142"/>
  <c r="BM142" s="1"/>
  <c r="H142"/>
  <c r="BN142" s="1"/>
  <c r="S142"/>
  <c r="BO142" s="1"/>
  <c r="X142"/>
  <c r="BV142" s="1"/>
  <c r="K142"/>
  <c r="BJ142" s="1"/>
  <c r="E142"/>
  <c r="BG142" s="1"/>
  <c r="L142"/>
  <c r="BF142" s="1"/>
  <c r="I142"/>
  <c r="BL142" s="1"/>
  <c r="T142"/>
  <c r="BZ142" s="1"/>
  <c r="B142"/>
  <c r="P142"/>
  <c r="BY142" s="1"/>
  <c r="Q142"/>
  <c r="BS142" s="1"/>
  <c r="W142"/>
  <c r="BR142" s="1"/>
  <c r="U142"/>
  <c r="BP142" s="1"/>
  <c r="F142"/>
  <c r="BC142" s="1"/>
  <c r="Y142"/>
  <c r="BT142" s="1"/>
  <c r="R142"/>
  <c r="BW142" s="1"/>
  <c r="J142"/>
  <c r="BD142" s="1"/>
  <c r="V142"/>
  <c r="BX142" s="1"/>
  <c r="D142"/>
  <c r="BI142" s="1"/>
  <c r="W63"/>
  <c r="BV63" s="1"/>
  <c r="K63"/>
  <c r="BG63" s="1"/>
  <c r="E63"/>
  <c r="BI63" s="1"/>
  <c r="M63"/>
  <c r="BC63" s="1"/>
  <c r="N63"/>
  <c r="BT63" s="1"/>
  <c r="I63"/>
  <c r="BK63" s="1"/>
  <c r="Q63"/>
  <c r="BX63" s="1"/>
  <c r="R63"/>
  <c r="BP63" s="1"/>
  <c r="L63"/>
  <c r="BM63" s="1"/>
  <c r="U63"/>
  <c r="BZ63" s="1"/>
  <c r="V63"/>
  <c r="BS63" s="1"/>
  <c r="B63"/>
  <c r="X63"/>
  <c r="BY63" s="1"/>
  <c r="O63"/>
  <c r="BQ63" s="1"/>
  <c r="F63"/>
  <c r="BF63" s="1"/>
  <c r="Y63"/>
  <c r="BO63" s="1"/>
  <c r="S63"/>
  <c r="BR63" s="1"/>
  <c r="J63"/>
  <c r="BJ63" s="1"/>
  <c r="P63"/>
  <c r="BU63" s="1"/>
  <c r="C63"/>
  <c r="BH63" s="1"/>
  <c r="D63"/>
  <c r="BL63" s="1"/>
  <c r="T63"/>
  <c r="BW63" s="1"/>
  <c r="G63"/>
  <c r="BD63" s="1"/>
  <c r="H63"/>
  <c r="BN63" s="1"/>
  <c r="X38"/>
  <c r="BO38" s="1"/>
  <c r="J38"/>
  <c r="BK38" s="1"/>
  <c r="D38"/>
  <c r="BF38" s="1"/>
  <c r="R38"/>
  <c r="BT38" s="1"/>
  <c r="L38"/>
  <c r="BI38" s="1"/>
  <c r="H38"/>
  <c r="BJ38" s="1"/>
  <c r="V38"/>
  <c r="BP38" s="1"/>
  <c r="N38"/>
  <c r="BX38" s="1"/>
  <c r="M38"/>
  <c r="BC38" s="1"/>
  <c r="W38"/>
  <c r="BZ38" s="1"/>
  <c r="C38"/>
  <c r="BE38" s="1"/>
  <c r="E38"/>
  <c r="BH38" s="1"/>
  <c r="S38"/>
  <c r="BV38" s="1"/>
  <c r="G38"/>
  <c r="BG38" s="1"/>
  <c r="I38"/>
  <c r="BD38" s="1"/>
  <c r="P38"/>
  <c r="BQ38" s="1"/>
  <c r="K38"/>
  <c r="BN38" s="1"/>
  <c r="O38"/>
  <c r="BR38" s="1"/>
  <c r="T38"/>
  <c r="BS38" s="1"/>
  <c r="Q38"/>
  <c r="BY38" s="1"/>
  <c r="B38"/>
  <c r="Y38"/>
  <c r="BU38" s="1"/>
  <c r="U38"/>
  <c r="BW38" s="1"/>
  <c r="F38"/>
  <c r="BM38" s="1"/>
  <c r="T66"/>
  <c r="BU66" s="1"/>
  <c r="H66"/>
  <c r="BJ66" s="1"/>
  <c r="B66"/>
  <c r="Y66"/>
  <c r="BY66" s="1"/>
  <c r="E66"/>
  <c r="BH66" s="1"/>
  <c r="N66"/>
  <c r="BX66" s="1"/>
  <c r="Q66"/>
  <c r="BZ66" s="1"/>
  <c r="I66"/>
  <c r="BD66" s="1"/>
  <c r="F66"/>
  <c r="BN66" s="1"/>
  <c r="U66"/>
  <c r="BP66" s="1"/>
  <c r="L66"/>
  <c r="BM66" s="1"/>
  <c r="J66"/>
  <c r="BC66" s="1"/>
  <c r="W66"/>
  <c r="BO66" s="1"/>
  <c r="M66"/>
  <c r="BK66" s="1"/>
  <c r="C66"/>
  <c r="BE66" s="1"/>
  <c r="R66"/>
  <c r="BT66" s="1"/>
  <c r="O66"/>
  <c r="BR66" s="1"/>
  <c r="G66"/>
  <c r="BI66" s="1"/>
  <c r="V66"/>
  <c r="BS66" s="1"/>
  <c r="S66"/>
  <c r="BV66" s="1"/>
  <c r="K66"/>
  <c r="BG66" s="1"/>
  <c r="X66"/>
  <c r="BW66" s="1"/>
  <c r="P66"/>
  <c r="BQ66" s="1"/>
  <c r="D66"/>
  <c r="BF66" s="1"/>
  <c r="V147"/>
  <c r="BW147" s="1"/>
  <c r="L147"/>
  <c r="BL147" s="1"/>
  <c r="C147"/>
  <c r="BE147" s="1"/>
  <c r="Y147"/>
  <c r="BZ147" s="1"/>
  <c r="P147"/>
  <c r="BQ147" s="1"/>
  <c r="G147"/>
  <c r="BI147" s="1"/>
  <c r="O147"/>
  <c r="BP147" s="1"/>
  <c r="T147"/>
  <c r="BU147" s="1"/>
  <c r="K147"/>
  <c r="BM147" s="1"/>
  <c r="S147"/>
  <c r="BT147" s="1"/>
  <c r="M147"/>
  <c r="BN147" s="1"/>
  <c r="D147"/>
  <c r="BD147" s="1"/>
  <c r="W147"/>
  <c r="BX147" s="1"/>
  <c r="Q147"/>
  <c r="BR147" s="1"/>
  <c r="H147"/>
  <c r="BH147" s="1"/>
  <c r="X147"/>
  <c r="BY147" s="1"/>
  <c r="U147"/>
  <c r="BV147" s="1"/>
  <c r="E147"/>
  <c r="BG147" s="1"/>
  <c r="N147"/>
  <c r="BO147" s="1"/>
  <c r="I147"/>
  <c r="BK147" s="1"/>
  <c r="F147"/>
  <c r="BF147" s="1"/>
  <c r="R147"/>
  <c r="BS147" s="1"/>
  <c r="B147"/>
  <c r="J147"/>
  <c r="BJ147" s="1"/>
  <c r="W76"/>
  <c r="BQ76" s="1"/>
  <c r="O76"/>
  <c r="BZ76" s="1"/>
  <c r="L76"/>
  <c r="BE76" s="1"/>
  <c r="Q76"/>
  <c r="BW76" s="1"/>
  <c r="E76"/>
  <c r="BL76" s="1"/>
  <c r="C76"/>
  <c r="BC76" s="1"/>
  <c r="U76"/>
  <c r="BS76" s="1"/>
  <c r="I76"/>
  <c r="BH76" s="1"/>
  <c r="G76"/>
  <c r="BJ76" s="1"/>
  <c r="R76"/>
  <c r="BX76" s="1"/>
  <c r="B76"/>
  <c r="K76"/>
  <c r="BF76" s="1"/>
  <c r="V76"/>
  <c r="BT76" s="1"/>
  <c r="F76"/>
  <c r="BK76" s="1"/>
  <c r="M76"/>
  <c r="BD76" s="1"/>
  <c r="S76"/>
  <c r="BU76" s="1"/>
  <c r="J76"/>
  <c r="BG76" s="1"/>
  <c r="D76"/>
  <c r="BM76" s="1"/>
  <c r="X76"/>
  <c r="BR76" s="1"/>
  <c r="P76"/>
  <c r="BY76" s="1"/>
  <c r="H76"/>
  <c r="BI76" s="1"/>
  <c r="Y76"/>
  <c r="BP76" s="1"/>
  <c r="T76"/>
  <c r="BV76" s="1"/>
  <c r="N76"/>
  <c r="BO76" s="1"/>
  <c r="W33"/>
  <c r="BZ33" s="1"/>
  <c r="P33"/>
  <c r="BP33" s="1"/>
  <c r="G33"/>
  <c r="BC33" s="1"/>
  <c r="T33"/>
  <c r="BO33" s="1"/>
  <c r="K33"/>
  <c r="BI33" s="1"/>
  <c r="E33"/>
  <c r="BD33" s="1"/>
  <c r="Q33"/>
  <c r="BQ33" s="1"/>
  <c r="M33"/>
  <c r="BK33" s="1"/>
  <c r="I33"/>
  <c r="BJ33" s="1"/>
  <c r="U33"/>
  <c r="BV33" s="1"/>
  <c r="D33"/>
  <c r="BE33" s="1"/>
  <c r="B33"/>
  <c r="N33"/>
  <c r="BS33" s="1"/>
  <c r="H33"/>
  <c r="BL33" s="1"/>
  <c r="F33"/>
  <c r="BF33" s="1"/>
  <c r="R33"/>
  <c r="BR33" s="1"/>
  <c r="O33"/>
  <c r="BT33" s="1"/>
  <c r="J33"/>
  <c r="BN33" s="1"/>
  <c r="V33"/>
  <c r="BU33" s="1"/>
  <c r="S33"/>
  <c r="BX33" s="1"/>
  <c r="L33"/>
  <c r="BM33" s="1"/>
  <c r="Y33"/>
  <c r="BY33" s="1"/>
  <c r="X33"/>
  <c r="BW33" s="1"/>
  <c r="C33"/>
  <c r="BG33" s="1"/>
  <c r="Y101"/>
  <c r="BS101" s="1"/>
  <c r="V101"/>
  <c r="BP101" s="1"/>
  <c r="B101"/>
  <c r="O101"/>
  <c r="BZ101" s="1"/>
  <c r="F101"/>
  <c r="BM101" s="1"/>
  <c r="C101"/>
  <c r="BC101" s="1"/>
  <c r="S101"/>
  <c r="BY101" s="1"/>
  <c r="J101"/>
  <c r="BI101" s="1"/>
  <c r="G101"/>
  <c r="BH101" s="1"/>
  <c r="L101"/>
  <c r="BG101" s="1"/>
  <c r="M101"/>
  <c r="BE101" s="1"/>
  <c r="K101"/>
  <c r="BD101" s="1"/>
  <c r="P101"/>
  <c r="BO101" s="1"/>
  <c r="Q101"/>
  <c r="BX101" s="1"/>
  <c r="D101"/>
  <c r="BN101" s="1"/>
  <c r="T101"/>
  <c r="BR101" s="1"/>
  <c r="U101"/>
  <c r="BW101" s="1"/>
  <c r="H101"/>
  <c r="BK101" s="1"/>
  <c r="W101"/>
  <c r="BU101" s="1"/>
  <c r="N101"/>
  <c r="BV101" s="1"/>
  <c r="E101"/>
  <c r="BL101" s="1"/>
  <c r="X101"/>
  <c r="BQ101" s="1"/>
  <c r="R101"/>
  <c r="BT101" s="1"/>
  <c r="I101"/>
  <c r="BF101" s="1"/>
  <c r="U14"/>
  <c r="BS14" s="1"/>
  <c r="F14"/>
  <c r="BI14" s="1"/>
  <c r="M14"/>
  <c r="BC14" s="1"/>
  <c r="R14"/>
  <c r="BX14" s="1"/>
  <c r="J14"/>
  <c r="BG14" s="1"/>
  <c r="D14"/>
  <c r="BJ14" s="1"/>
  <c r="V14"/>
  <c r="BT14" s="1"/>
  <c r="P14"/>
  <c r="BR14" s="1"/>
  <c r="H14"/>
  <c r="BN14" s="1"/>
  <c r="W14"/>
  <c r="BW14" s="1"/>
  <c r="C14"/>
  <c r="BF14" s="1"/>
  <c r="N14"/>
  <c r="BY14" s="1"/>
  <c r="S14"/>
  <c r="BZ14" s="1"/>
  <c r="G14"/>
  <c r="BD14" s="1"/>
  <c r="E14"/>
  <c r="BL14" s="1"/>
  <c r="X14"/>
  <c r="BO14" s="1"/>
  <c r="K14"/>
  <c r="BK14" s="1"/>
  <c r="I14"/>
  <c r="BH14" s="1"/>
  <c r="T14"/>
  <c r="BP14" s="1"/>
  <c r="O14"/>
  <c r="BV14" s="1"/>
  <c r="L14"/>
  <c r="BE14" s="1"/>
  <c r="Y14"/>
  <c r="BQ14" s="1"/>
  <c r="Q14"/>
  <c r="BU14" s="1"/>
  <c r="B14"/>
  <c r="S56"/>
  <c r="BQ56" s="1"/>
  <c r="K56"/>
  <c r="BN56" s="1"/>
  <c r="E56"/>
  <c r="BI56" s="1"/>
  <c r="P56"/>
  <c r="BS56" s="1"/>
  <c r="N56"/>
  <c r="BW56" s="1"/>
  <c r="I56"/>
  <c r="BM56" s="1"/>
  <c r="T56"/>
  <c r="BR56" s="1"/>
  <c r="M56"/>
  <c r="BL56" s="1"/>
  <c r="B56"/>
  <c r="Q56"/>
  <c r="BU56" s="1"/>
  <c r="D56"/>
  <c r="BD56" s="1"/>
  <c r="F56"/>
  <c r="BE56" s="1"/>
  <c r="U56"/>
  <c r="BT56" s="1"/>
  <c r="H56"/>
  <c r="BF56" s="1"/>
  <c r="J56"/>
  <c r="BH56" s="1"/>
  <c r="X56"/>
  <c r="BZ56" s="1"/>
  <c r="L56"/>
  <c r="BJ56" s="1"/>
  <c r="O56"/>
  <c r="BP56" s="1"/>
  <c r="Y56"/>
  <c r="BX56" s="1"/>
  <c r="R56"/>
  <c r="BO56" s="1"/>
  <c r="C56"/>
  <c r="BG56" s="1"/>
  <c r="W56"/>
  <c r="BV56" s="1"/>
  <c r="V56"/>
  <c r="BY56" s="1"/>
  <c r="G56"/>
  <c r="BC56" s="1"/>
  <c r="W41"/>
  <c r="BO41" s="1"/>
  <c r="T41"/>
  <c r="BT41" s="1"/>
  <c r="G41"/>
  <c r="BE41" s="1"/>
  <c r="Q41"/>
  <c r="BV41" s="1"/>
  <c r="K41"/>
  <c r="BG41" s="1"/>
  <c r="E41"/>
  <c r="BL41" s="1"/>
  <c r="U41"/>
  <c r="BZ41" s="1"/>
  <c r="D41"/>
  <c r="BJ41" s="1"/>
  <c r="I41"/>
  <c r="BH41" s="1"/>
  <c r="X41"/>
  <c r="BS41" s="1"/>
  <c r="H41"/>
  <c r="BN41" s="1"/>
  <c r="B41"/>
  <c r="N41"/>
  <c r="BR41" s="1"/>
  <c r="M41"/>
  <c r="BI41" s="1"/>
  <c r="F41"/>
  <c r="BK41" s="1"/>
  <c r="R41"/>
  <c r="BQ41" s="1"/>
  <c r="O41"/>
  <c r="BY41" s="1"/>
  <c r="J41"/>
  <c r="BD41" s="1"/>
  <c r="V41"/>
  <c r="BP41" s="1"/>
  <c r="S41"/>
  <c r="BW41" s="1"/>
  <c r="L41"/>
  <c r="BC41" s="1"/>
  <c r="Y41"/>
  <c r="BU41" s="1"/>
  <c r="P41"/>
  <c r="BX41" s="1"/>
  <c r="C41"/>
  <c r="BF41" s="1"/>
  <c r="W127"/>
  <c r="BW127" s="1"/>
  <c r="K127"/>
  <c r="BE127" s="1"/>
  <c r="E127"/>
  <c r="BC127" s="1"/>
  <c r="M127"/>
  <c r="BG127" s="1"/>
  <c r="N127"/>
  <c r="BV127" s="1"/>
  <c r="I127"/>
  <c r="BD127" s="1"/>
  <c r="Q127"/>
  <c r="BZ127" s="1"/>
  <c r="R127"/>
  <c r="BO127" s="1"/>
  <c r="L127"/>
  <c r="BI127" s="1"/>
  <c r="U127"/>
  <c r="BY127" s="1"/>
  <c r="V127"/>
  <c r="BQ127" s="1"/>
  <c r="B127"/>
  <c r="X127"/>
  <c r="BS127" s="1"/>
  <c r="O127"/>
  <c r="BR127" s="1"/>
  <c r="F127"/>
  <c r="BN127" s="1"/>
  <c r="Y127"/>
  <c r="BU127" s="1"/>
  <c r="S127"/>
  <c r="BX127" s="1"/>
  <c r="J127"/>
  <c r="BK127" s="1"/>
  <c r="P127"/>
  <c r="BT127" s="1"/>
  <c r="C127"/>
  <c r="BJ127" s="1"/>
  <c r="D127"/>
  <c r="BH127" s="1"/>
  <c r="T127"/>
  <c r="BP127" s="1"/>
  <c r="G127"/>
  <c r="BL127" s="1"/>
  <c r="H127"/>
  <c r="BM127" s="1"/>
  <c r="Y69"/>
  <c r="BW69" s="1"/>
  <c r="V69"/>
  <c r="BS69" s="1"/>
  <c r="B69"/>
  <c r="O69"/>
  <c r="BZ69" s="1"/>
  <c r="F69"/>
  <c r="BH69" s="1"/>
  <c r="C69"/>
  <c r="BF69" s="1"/>
  <c r="S69"/>
  <c r="BO69" s="1"/>
  <c r="J69"/>
  <c r="BM69" s="1"/>
  <c r="G69"/>
  <c r="BE69" s="1"/>
  <c r="L69"/>
  <c r="BK69" s="1"/>
  <c r="M69"/>
  <c r="BI69" s="1"/>
  <c r="K69"/>
  <c r="BG69" s="1"/>
  <c r="P69"/>
  <c r="BX69" s="1"/>
  <c r="Q69"/>
  <c r="BV69" s="1"/>
  <c r="D69"/>
  <c r="BJ69" s="1"/>
  <c r="T69"/>
  <c r="BQ69" s="1"/>
  <c r="U69"/>
  <c r="BP69" s="1"/>
  <c r="H69"/>
  <c r="BC69" s="1"/>
  <c r="W69"/>
  <c r="BY69" s="1"/>
  <c r="N69"/>
  <c r="BR69" s="1"/>
  <c r="E69"/>
  <c r="BL69" s="1"/>
  <c r="X69"/>
  <c r="BU69" s="1"/>
  <c r="R69"/>
  <c r="BT69" s="1"/>
  <c r="I69"/>
  <c r="BD69" s="1"/>
  <c r="CE101" l="1"/>
  <c r="CF101"/>
  <c r="CE66"/>
  <c r="CF66"/>
  <c r="CE146"/>
  <c r="CF146"/>
  <c r="CE22"/>
  <c r="CF22"/>
  <c r="CE70"/>
  <c r="CF70"/>
  <c r="CE137"/>
  <c r="CF137"/>
  <c r="CE44"/>
  <c r="CF44"/>
  <c r="CE20"/>
  <c r="CF20"/>
  <c r="CE90"/>
  <c r="CF90"/>
  <c r="CE47"/>
  <c r="CF47"/>
  <c r="CE94"/>
  <c r="CF94"/>
  <c r="CE71"/>
  <c r="CF71"/>
  <c r="CE140"/>
  <c r="CF140"/>
  <c r="CE91"/>
  <c r="CF91"/>
  <c r="CE42"/>
  <c r="CF42"/>
  <c r="CE18"/>
  <c r="CF18"/>
  <c r="CE122"/>
  <c r="CF122"/>
  <c r="CE97"/>
  <c r="CF97"/>
  <c r="CE138"/>
  <c r="CF138"/>
  <c r="CE89"/>
  <c r="CF89"/>
  <c r="CE49"/>
  <c r="CF49"/>
  <c r="CE25"/>
  <c r="CF25"/>
  <c r="CE74"/>
  <c r="CF74"/>
  <c r="CE50"/>
  <c r="CF50"/>
  <c r="CE83"/>
  <c r="CF83"/>
  <c r="CE100"/>
  <c r="CF100"/>
  <c r="CE139"/>
  <c r="CF139"/>
  <c r="CE82"/>
  <c r="CF82"/>
  <c r="CE99"/>
  <c r="CF99"/>
  <c r="CE123"/>
  <c r="CF123"/>
  <c r="CE61"/>
  <c r="CF61"/>
  <c r="CE54"/>
  <c r="CF54"/>
  <c r="CE79"/>
  <c r="CF79"/>
  <c r="CE55"/>
  <c r="CF55"/>
  <c r="CE102"/>
  <c r="CF102"/>
  <c r="CE111"/>
  <c r="CF111"/>
  <c r="CE135"/>
  <c r="CF135"/>
  <c r="CE87"/>
  <c r="CF87"/>
  <c r="CE31"/>
  <c r="CF31"/>
  <c r="CF24"/>
  <c r="CE24"/>
  <c r="CE114"/>
  <c r="CF114"/>
  <c r="CE9"/>
  <c r="CF9"/>
  <c r="CE124"/>
  <c r="CF124"/>
  <c r="CE69"/>
  <c r="CF69"/>
  <c r="CE142"/>
  <c r="CF142"/>
  <c r="CE21"/>
  <c r="CF21"/>
  <c r="CE110"/>
  <c r="CF110"/>
  <c r="CE133"/>
  <c r="CF133"/>
  <c r="CE93"/>
  <c r="CF93"/>
  <c r="CE23"/>
  <c r="CF23"/>
  <c r="CE95"/>
  <c r="CF95"/>
  <c r="CE19"/>
  <c r="CF19"/>
  <c r="CE113"/>
  <c r="CF113"/>
  <c r="CE130"/>
  <c r="CF130"/>
  <c r="CE27"/>
  <c r="CF27"/>
  <c r="CE107"/>
  <c r="CF107"/>
  <c r="CE17"/>
  <c r="CF17"/>
  <c r="CE52"/>
  <c r="CF52"/>
  <c r="CE73"/>
  <c r="CF73"/>
  <c r="CE43"/>
  <c r="CF43"/>
  <c r="CE34"/>
  <c r="CF34"/>
  <c r="CF136"/>
  <c r="CE136"/>
  <c r="CE141"/>
  <c r="CF141"/>
  <c r="CF88"/>
  <c r="CE88"/>
  <c r="CE127"/>
  <c r="CF127"/>
  <c r="CE14"/>
  <c r="CF14"/>
  <c r="CE76"/>
  <c r="CF76"/>
  <c r="CE63"/>
  <c r="CF63"/>
  <c r="CE103"/>
  <c r="CF103"/>
  <c r="CE26"/>
  <c r="CF26"/>
  <c r="CE81"/>
  <c r="CF81"/>
  <c r="CF72"/>
  <c r="CE72"/>
  <c r="CE118"/>
  <c r="CF118"/>
  <c r="CE62"/>
  <c r="CF62"/>
  <c r="CE84"/>
  <c r="CF84"/>
  <c r="CE132"/>
  <c r="CF132"/>
  <c r="CE116"/>
  <c r="CF116"/>
  <c r="CE10"/>
  <c r="CF10"/>
  <c r="CF80"/>
  <c r="CE80"/>
  <c r="CE35"/>
  <c r="CF35"/>
  <c r="CE41"/>
  <c r="CF41"/>
  <c r="CE38"/>
  <c r="CF38"/>
  <c r="CE115"/>
  <c r="CF115"/>
  <c r="CE30"/>
  <c r="CF30"/>
  <c r="CE65"/>
  <c r="CF65"/>
  <c r="CE98"/>
  <c r="CF98"/>
  <c r="CF16"/>
  <c r="CE16"/>
  <c r="CE67"/>
  <c r="CF67"/>
  <c r="CF64"/>
  <c r="CE64"/>
  <c r="CF112"/>
  <c r="CE112"/>
  <c r="CF40"/>
  <c r="CE40"/>
  <c r="CF144"/>
  <c r="CE144"/>
  <c r="CE29"/>
  <c r="CF29"/>
  <c r="CF48"/>
  <c r="CE48"/>
  <c r="CF120"/>
  <c r="CE120"/>
  <c r="CE77"/>
  <c r="CF77"/>
  <c r="CE53"/>
  <c r="CF53"/>
  <c r="CE78"/>
  <c r="CF78"/>
  <c r="CF96"/>
  <c r="CE96"/>
  <c r="CE105"/>
  <c r="CF105"/>
  <c r="CE57"/>
  <c r="CF57"/>
  <c r="CE86"/>
  <c r="CF86"/>
  <c r="CE11"/>
  <c r="CF11"/>
  <c r="CE58"/>
  <c r="CF58"/>
  <c r="CE59"/>
  <c r="CF59"/>
  <c r="CE6"/>
  <c r="CF6"/>
  <c r="CF8"/>
  <c r="CE8"/>
  <c r="CF104"/>
  <c r="CE104"/>
  <c r="CE85"/>
  <c r="CF85"/>
  <c r="CE147"/>
  <c r="CF147"/>
  <c r="CE75"/>
  <c r="CF75"/>
  <c r="CE51"/>
  <c r="CF51"/>
  <c r="CE5"/>
  <c r="CF5"/>
  <c r="CE60"/>
  <c r="CF60"/>
  <c r="CE108"/>
  <c r="CF108"/>
  <c r="CE28"/>
  <c r="CF28"/>
  <c r="CE36"/>
  <c r="CF36"/>
  <c r="CE12"/>
  <c r="CF12"/>
  <c r="CE68"/>
  <c r="CF68"/>
  <c r="CE119"/>
  <c r="CF119"/>
  <c r="CE117"/>
  <c r="CF117"/>
  <c r="CE92"/>
  <c r="CF92"/>
  <c r="CE143"/>
  <c r="CF143"/>
  <c r="CE145"/>
  <c r="CF145"/>
  <c r="CE46"/>
  <c r="CF46"/>
  <c r="CE45"/>
  <c r="CF45"/>
  <c r="CE106"/>
  <c r="CF106"/>
  <c r="CF56"/>
  <c r="CE56"/>
  <c r="CE33"/>
  <c r="CF33"/>
  <c r="CF32"/>
  <c r="CE32"/>
  <c r="CE131"/>
  <c r="CF131"/>
  <c r="CF128"/>
  <c r="CE128"/>
  <c r="CE125"/>
  <c r="CF125"/>
  <c r="CE121"/>
  <c r="CF121"/>
  <c r="CE129"/>
  <c r="CF129"/>
  <c r="CE126"/>
  <c r="CF126"/>
  <c r="CE37"/>
  <c r="CF37"/>
  <c r="CE134"/>
  <c r="CF134"/>
  <c r="CE15"/>
  <c r="CF15"/>
  <c r="CE109"/>
  <c r="CF109"/>
  <c r="CE13"/>
  <c r="CF13"/>
  <c r="CE7"/>
  <c r="CF7"/>
  <c r="CE39"/>
  <c r="CF39"/>
  <c r="BF127"/>
  <c r="CD127" s="1"/>
  <c r="AB127"/>
  <c r="AB38"/>
  <c r="BL38"/>
  <c r="CD38" s="1"/>
  <c r="AB30"/>
  <c r="BD30"/>
  <c r="CD30" s="1"/>
  <c r="BJ16"/>
  <c r="CD16" s="1"/>
  <c r="AB16"/>
  <c r="BF67"/>
  <c r="CD67" s="1"/>
  <c r="AB67"/>
  <c r="BC27"/>
  <c r="AB27"/>
  <c r="BL107"/>
  <c r="CD107" s="1"/>
  <c r="AB107"/>
  <c r="BI17"/>
  <c r="CD17" s="1"/>
  <c r="AB17"/>
  <c r="BI59"/>
  <c r="CD59" s="1"/>
  <c r="AB59"/>
  <c r="BS4"/>
  <c r="T150"/>
  <c r="T154"/>
  <c r="T156" s="1"/>
  <c r="T155"/>
  <c r="U151"/>
  <c r="T149"/>
  <c r="BJ4"/>
  <c r="H155"/>
  <c r="I151"/>
  <c r="H149"/>
  <c r="H150"/>
  <c r="H154"/>
  <c r="H156" s="1"/>
  <c r="Q154"/>
  <c r="Q156" s="1"/>
  <c r="Q155"/>
  <c r="BT4"/>
  <c r="R151"/>
  <c r="Q149"/>
  <c r="Q150"/>
  <c r="BK24"/>
  <c r="CD24" s="1"/>
  <c r="AB24"/>
  <c r="BI143"/>
  <c r="CD143" s="1"/>
  <c r="AB143"/>
  <c r="BF39"/>
  <c r="CD39" s="1"/>
  <c r="AB39"/>
  <c r="BE142"/>
  <c r="CD142" s="1"/>
  <c r="AB142"/>
  <c r="BL108"/>
  <c r="CD108" s="1"/>
  <c r="AB108"/>
  <c r="BG137"/>
  <c r="CD137" s="1"/>
  <c r="AB137"/>
  <c r="BN130"/>
  <c r="CC130" s="1"/>
  <c r="AB130"/>
  <c r="AB52"/>
  <c r="BK52"/>
  <c r="CD52" s="1"/>
  <c r="AB20"/>
  <c r="BN20"/>
  <c r="CD20" s="1"/>
  <c r="BM84"/>
  <c r="CD84" s="1"/>
  <c r="AB84"/>
  <c r="BM140"/>
  <c r="CD140" s="1"/>
  <c r="AB140"/>
  <c r="BE4"/>
  <c r="F151"/>
  <c r="E149"/>
  <c r="E150"/>
  <c r="E154"/>
  <c r="E156" s="1"/>
  <c r="E155"/>
  <c r="BU4"/>
  <c r="V154"/>
  <c r="V156" s="1"/>
  <c r="V149"/>
  <c r="W151"/>
  <c r="V150"/>
  <c r="V155"/>
  <c r="BM4"/>
  <c r="M154"/>
  <c r="M150"/>
  <c r="N151"/>
  <c r="M149"/>
  <c r="M155"/>
  <c r="BG138"/>
  <c r="CC138" s="1"/>
  <c r="AB138"/>
  <c r="BE145"/>
  <c r="CD145" s="1"/>
  <c r="AB145"/>
  <c r="AB46"/>
  <c r="BK46"/>
  <c r="CD46" s="1"/>
  <c r="BE35"/>
  <c r="CD35" s="1"/>
  <c r="AB35"/>
  <c r="BC147"/>
  <c r="AB147"/>
  <c r="BC99"/>
  <c r="AB99"/>
  <c r="BI115"/>
  <c r="CD115" s="1"/>
  <c r="AB115"/>
  <c r="BC75"/>
  <c r="AB75"/>
  <c r="BC51"/>
  <c r="AB51"/>
  <c r="BF96"/>
  <c r="CD96" s="1"/>
  <c r="AB96"/>
  <c r="BH131"/>
  <c r="CD131" s="1"/>
  <c r="AB131"/>
  <c r="BC123"/>
  <c r="AB123"/>
  <c r="BF128"/>
  <c r="CD128" s="1"/>
  <c r="AB128"/>
  <c r="BN70"/>
  <c r="CD70" s="1"/>
  <c r="AB70"/>
  <c r="BN79"/>
  <c r="CD79" s="1"/>
  <c r="AB79"/>
  <c r="BN129"/>
  <c r="CD129" s="1"/>
  <c r="AB129"/>
  <c r="BM111"/>
  <c r="CD111" s="1"/>
  <c r="AB111"/>
  <c r="BJ72"/>
  <c r="CD72" s="1"/>
  <c r="AB72"/>
  <c r="BL135"/>
  <c r="CD135" s="1"/>
  <c r="AB135"/>
  <c r="BN47"/>
  <c r="CD47" s="1"/>
  <c r="AB47"/>
  <c r="AB31"/>
  <c r="BG31"/>
  <c r="CD31" s="1"/>
  <c r="BJ71"/>
  <c r="CD71" s="1"/>
  <c r="AB71"/>
  <c r="BO4"/>
  <c r="O151"/>
  <c r="N150"/>
  <c r="N154"/>
  <c r="N156" s="1"/>
  <c r="N149"/>
  <c r="N155"/>
  <c r="BK4"/>
  <c r="K154"/>
  <c r="K156" s="1"/>
  <c r="K155"/>
  <c r="L151"/>
  <c r="K149"/>
  <c r="K150"/>
  <c r="W155"/>
  <c r="BZ4"/>
  <c r="X151"/>
  <c r="W150"/>
  <c r="W149"/>
  <c r="W154"/>
  <c r="W156" s="1"/>
  <c r="BM42"/>
  <c r="CC42" s="1"/>
  <c r="AB42"/>
  <c r="BL10"/>
  <c r="CC10" s="1"/>
  <c r="AB10"/>
  <c r="BI18"/>
  <c r="CC18" s="1"/>
  <c r="AB18"/>
  <c r="BC122"/>
  <c r="AB122"/>
  <c r="AB29"/>
  <c r="BG29"/>
  <c r="CD29" s="1"/>
  <c r="BD114"/>
  <c r="CC114" s="1"/>
  <c r="AB114"/>
  <c r="BF117"/>
  <c r="CD117" s="1"/>
  <c r="AB117"/>
  <c r="BC74"/>
  <c r="AB74"/>
  <c r="BC50"/>
  <c r="AB50"/>
  <c r="BN77"/>
  <c r="CD77" s="1"/>
  <c r="AB77"/>
  <c r="AB45"/>
  <c r="BK45"/>
  <c r="CD45" s="1"/>
  <c r="BD85"/>
  <c r="CD85" s="1"/>
  <c r="AB85"/>
  <c r="AB53"/>
  <c r="BK53"/>
  <c r="CD53" s="1"/>
  <c r="BK106"/>
  <c r="CC106" s="1"/>
  <c r="AB106"/>
  <c r="BG82"/>
  <c r="CC82" s="1"/>
  <c r="AB82"/>
  <c r="BM14"/>
  <c r="CD14" s="1"/>
  <c r="AB14"/>
  <c r="BC146"/>
  <c r="AB146"/>
  <c r="AB22"/>
  <c r="BG22"/>
  <c r="CD22" s="1"/>
  <c r="AB54"/>
  <c r="BG54"/>
  <c r="CD54" s="1"/>
  <c r="BN19"/>
  <c r="CD19" s="1"/>
  <c r="AB19"/>
  <c r="BN102"/>
  <c r="CD102" s="1"/>
  <c r="AB102"/>
  <c r="BF11"/>
  <c r="CD11" s="1"/>
  <c r="AB11"/>
  <c r="BJ43"/>
  <c r="CD43" s="1"/>
  <c r="AB43"/>
  <c r="BJ15"/>
  <c r="CD15" s="1"/>
  <c r="AB15"/>
  <c r="AB62"/>
  <c r="BH62"/>
  <c r="CD62" s="1"/>
  <c r="BN4"/>
  <c r="L150"/>
  <c r="L155"/>
  <c r="L149"/>
  <c r="M151"/>
  <c r="L154"/>
  <c r="L156" s="1"/>
  <c r="V151"/>
  <c r="U154"/>
  <c r="U156" s="1"/>
  <c r="U155"/>
  <c r="U149"/>
  <c r="BX4"/>
  <c r="U150"/>
  <c r="BI4"/>
  <c r="J151"/>
  <c r="I149"/>
  <c r="I150"/>
  <c r="I154"/>
  <c r="I155"/>
  <c r="BI144"/>
  <c r="CD144" s="1"/>
  <c r="AB144"/>
  <c r="BE119"/>
  <c r="CD119" s="1"/>
  <c r="AB119"/>
  <c r="BH89"/>
  <c r="CD89" s="1"/>
  <c r="AB89"/>
  <c r="BN48"/>
  <c r="CD48" s="1"/>
  <c r="AB48"/>
  <c r="BK49"/>
  <c r="CD49" s="1"/>
  <c r="AB49"/>
  <c r="AB9"/>
  <c r="BL9"/>
  <c r="CD9" s="1"/>
  <c r="BG25"/>
  <c r="CD25" s="1"/>
  <c r="AB25"/>
  <c r="BL136"/>
  <c r="CD136" s="1"/>
  <c r="AB136"/>
  <c r="AB7"/>
  <c r="BD7"/>
  <c r="CD7" s="1"/>
  <c r="BI88"/>
  <c r="CD88" s="1"/>
  <c r="AB88"/>
  <c r="BK80"/>
  <c r="CD80" s="1"/>
  <c r="AB80"/>
  <c r="BK56"/>
  <c r="CD56" s="1"/>
  <c r="AB56"/>
  <c r="BJ103"/>
  <c r="CD103" s="1"/>
  <c r="AB103"/>
  <c r="AB23"/>
  <c r="BK23"/>
  <c r="CD23" s="1"/>
  <c r="BC26"/>
  <c r="AB26"/>
  <c r="AB5"/>
  <c r="BD5"/>
  <c r="CD5" s="1"/>
  <c r="BI60"/>
  <c r="CD60" s="1"/>
  <c r="AB60"/>
  <c r="BF125"/>
  <c r="CD125" s="1"/>
  <c r="AB125"/>
  <c r="BD58"/>
  <c r="CC58" s="1"/>
  <c r="AB58"/>
  <c r="AB37"/>
  <c r="BL37"/>
  <c r="CD37" s="1"/>
  <c r="AB44"/>
  <c r="BJ44"/>
  <c r="CD44" s="1"/>
  <c r="AB12"/>
  <c r="BF12"/>
  <c r="CD12" s="1"/>
  <c r="BH90"/>
  <c r="CC90" s="1"/>
  <c r="AB90"/>
  <c r="BH34"/>
  <c r="CC34" s="1"/>
  <c r="AB34"/>
  <c r="BG109"/>
  <c r="CD109" s="1"/>
  <c r="AB109"/>
  <c r="BM13"/>
  <c r="CD13" s="1"/>
  <c r="AB13"/>
  <c r="BV4"/>
  <c r="T151"/>
  <c r="S149"/>
  <c r="S150"/>
  <c r="S154"/>
  <c r="S156" s="1"/>
  <c r="S155"/>
  <c r="BH4"/>
  <c r="G151"/>
  <c r="F149"/>
  <c r="F150"/>
  <c r="F154"/>
  <c r="F155"/>
  <c r="BC4"/>
  <c r="C154"/>
  <c r="C156" s="1"/>
  <c r="C155"/>
  <c r="D151"/>
  <c r="C149"/>
  <c r="C150"/>
  <c r="BE92"/>
  <c r="CD92" s="1"/>
  <c r="AB92"/>
  <c r="BJ100"/>
  <c r="CD100" s="1"/>
  <c r="AB100"/>
  <c r="BF124"/>
  <c r="CD124" s="1"/>
  <c r="AB124"/>
  <c r="BG110"/>
  <c r="CD110" s="1"/>
  <c r="AB110"/>
  <c r="BL65"/>
  <c r="CD65" s="1"/>
  <c r="AB65"/>
  <c r="BD113"/>
  <c r="CD113" s="1"/>
  <c r="AB113"/>
  <c r="BM112"/>
  <c r="CD112" s="1"/>
  <c r="AB112"/>
  <c r="BG81"/>
  <c r="CD81" s="1"/>
  <c r="AB81"/>
  <c r="BF121"/>
  <c r="CD121" s="1"/>
  <c r="AB121"/>
  <c r="AB55"/>
  <c r="BK55"/>
  <c r="CC55" s="1"/>
  <c r="BN73"/>
  <c r="CD73" s="1"/>
  <c r="AB73"/>
  <c r="BI87"/>
  <c r="CD87" s="1"/>
  <c r="AB87"/>
  <c r="AB8"/>
  <c r="BD8"/>
  <c r="CD8" s="1"/>
  <c r="BF40"/>
  <c r="CD40" s="1"/>
  <c r="AB40"/>
  <c r="BJ104"/>
  <c r="CD104" s="1"/>
  <c r="AB104"/>
  <c r="BR4"/>
  <c r="P150"/>
  <c r="P154"/>
  <c r="P155"/>
  <c r="Q151"/>
  <c r="P149"/>
  <c r="BF4"/>
  <c r="D155"/>
  <c r="E151"/>
  <c r="D149"/>
  <c r="D150"/>
  <c r="D154"/>
  <c r="Y151"/>
  <c r="X149"/>
  <c r="X150"/>
  <c r="BW4"/>
  <c r="X154"/>
  <c r="X155"/>
  <c r="BE141"/>
  <c r="CD141" s="1"/>
  <c r="AB141"/>
  <c r="BN69"/>
  <c r="CD69" s="1"/>
  <c r="AB69"/>
  <c r="BJ101"/>
  <c r="CD101" s="1"/>
  <c r="AB101"/>
  <c r="BN76"/>
  <c r="CD76" s="1"/>
  <c r="AB76"/>
  <c r="BL66"/>
  <c r="CC66" s="1"/>
  <c r="AB66"/>
  <c r="AB21"/>
  <c r="BG21"/>
  <c r="CD21" s="1"/>
  <c r="BJ93"/>
  <c r="CD93" s="1"/>
  <c r="AB93"/>
  <c r="AB61"/>
  <c r="BH61"/>
  <c r="CD61" s="1"/>
  <c r="BC98"/>
  <c r="AB98"/>
  <c r="BE64"/>
  <c r="CD64" s="1"/>
  <c r="AB64"/>
  <c r="AB28"/>
  <c r="BG28"/>
  <c r="CD28" s="1"/>
  <c r="BD86"/>
  <c r="CD86" s="1"/>
  <c r="AB86"/>
  <c r="BJ126"/>
  <c r="CD126" s="1"/>
  <c r="AB126"/>
  <c r="BE36"/>
  <c r="CD36" s="1"/>
  <c r="AB36"/>
  <c r="AB6"/>
  <c r="BH6"/>
  <c r="CD6" s="1"/>
  <c r="BF118"/>
  <c r="CD118" s="1"/>
  <c r="AB118"/>
  <c r="BJ94"/>
  <c r="CD94" s="1"/>
  <c r="AB94"/>
  <c r="BH132"/>
  <c r="CD132" s="1"/>
  <c r="AB132"/>
  <c r="P151"/>
  <c r="BP4"/>
  <c r="O150"/>
  <c r="O154"/>
  <c r="O156" s="1"/>
  <c r="O149"/>
  <c r="O155"/>
  <c r="BQ4"/>
  <c r="S151"/>
  <c r="R149"/>
  <c r="R150"/>
  <c r="R154"/>
  <c r="R155"/>
  <c r="AB4"/>
  <c r="BD4"/>
  <c r="AA150"/>
  <c r="AA151"/>
  <c r="C151"/>
  <c r="B149"/>
  <c r="B150"/>
  <c r="B154"/>
  <c r="B156" s="1"/>
  <c r="B155"/>
  <c r="BE91"/>
  <c r="CD91" s="1"/>
  <c r="AB91"/>
  <c r="BJ97"/>
  <c r="CD97" s="1"/>
  <c r="AB97"/>
  <c r="BM83"/>
  <c r="CD83" s="1"/>
  <c r="AB83"/>
  <c r="BE120"/>
  <c r="CD120" s="1"/>
  <c r="AB120"/>
  <c r="BM139"/>
  <c r="CD139" s="1"/>
  <c r="AB139"/>
  <c r="BM41"/>
  <c r="CD41" s="1"/>
  <c r="AB41"/>
  <c r="AB33"/>
  <c r="BH33"/>
  <c r="CD33" s="1"/>
  <c r="BE63"/>
  <c r="CD63" s="1"/>
  <c r="AB63"/>
  <c r="BG32"/>
  <c r="CD32" s="1"/>
  <c r="AB32"/>
  <c r="BK133"/>
  <c r="CD133" s="1"/>
  <c r="AB133"/>
  <c r="BK105"/>
  <c r="CD105" s="1"/>
  <c r="AB105"/>
  <c r="AB57"/>
  <c r="BD57"/>
  <c r="CD57" s="1"/>
  <c r="BF95"/>
  <c r="CD95" s="1"/>
  <c r="AB95"/>
  <c r="BK134"/>
  <c r="CD134" s="1"/>
  <c r="AB134"/>
  <c r="Y149"/>
  <c r="BY4"/>
  <c r="Y150"/>
  <c r="Y154"/>
  <c r="Y155"/>
  <c r="BL4"/>
  <c r="K151"/>
  <c r="J149"/>
  <c r="J150"/>
  <c r="J154"/>
  <c r="J155"/>
  <c r="BG4"/>
  <c r="G154"/>
  <c r="G155"/>
  <c r="H151"/>
  <c r="G149"/>
  <c r="G150"/>
  <c r="BF68"/>
  <c r="CD68" s="1"/>
  <c r="AB68"/>
  <c r="BI116"/>
  <c r="CD116" s="1"/>
  <c r="AB116"/>
  <c r="BK78"/>
  <c r="CD78" s="1"/>
  <c r="AB78"/>
  <c r="CC72" l="1"/>
  <c r="CD55"/>
  <c r="BY149"/>
  <c r="BY150"/>
  <c r="BY154"/>
  <c r="BY155"/>
  <c r="CC123"/>
  <c r="CD123"/>
  <c r="BG149"/>
  <c r="BG150"/>
  <c r="BG154"/>
  <c r="BG155"/>
  <c r="CD98"/>
  <c r="CC98"/>
  <c r="BN150"/>
  <c r="BN154"/>
  <c r="BN155"/>
  <c r="BN149"/>
  <c r="CC51"/>
  <c r="CD51"/>
  <c r="CC147"/>
  <c r="CD147"/>
  <c r="CC139"/>
  <c r="CC116"/>
  <c r="CC61"/>
  <c r="CC65"/>
  <c r="CC104"/>
  <c r="CC113"/>
  <c r="CC133"/>
  <c r="CC142"/>
  <c r="CC127"/>
  <c r="CC77"/>
  <c r="CC24"/>
  <c r="CC6"/>
  <c r="CC134"/>
  <c r="CC37"/>
  <c r="CC107"/>
  <c r="CC102"/>
  <c r="CC54"/>
  <c r="CC93"/>
  <c r="CC21"/>
  <c r="CC73"/>
  <c r="CC38"/>
  <c r="CD114"/>
  <c r="CD10"/>
  <c r="CC141"/>
  <c r="CC97"/>
  <c r="CC137"/>
  <c r="CC16"/>
  <c r="CC23"/>
  <c r="CC80"/>
  <c r="CC117"/>
  <c r="CC96"/>
  <c r="CD42"/>
  <c r="CC20"/>
  <c r="CC41"/>
  <c r="BD155"/>
  <c r="BD149"/>
  <c r="BD150"/>
  <c r="BD154"/>
  <c r="BZ149"/>
  <c r="BZ150"/>
  <c r="BZ154"/>
  <c r="BZ155"/>
  <c r="BC149"/>
  <c r="BC150"/>
  <c r="CC4"/>
  <c r="BC154"/>
  <c r="BC156" s="1"/>
  <c r="CD4"/>
  <c r="BC155"/>
  <c r="BX149"/>
  <c r="BX150"/>
  <c r="BX154"/>
  <c r="BX156" s="1"/>
  <c r="BX155"/>
  <c r="BK149"/>
  <c r="BK150"/>
  <c r="BK154"/>
  <c r="BK155"/>
  <c r="BM149"/>
  <c r="BM150"/>
  <c r="BY151" s="1"/>
  <c r="BM154"/>
  <c r="BM156" s="1"/>
  <c r="BM155"/>
  <c r="CC52"/>
  <c r="CC5"/>
  <c r="CC131"/>
  <c r="CD66"/>
  <c r="CC78"/>
  <c r="CC68"/>
  <c r="CC44"/>
  <c r="CC105"/>
  <c r="CC103"/>
  <c r="CC14"/>
  <c r="CC89"/>
  <c r="CC13"/>
  <c r="CD34"/>
  <c r="CD90"/>
  <c r="CC59"/>
  <c r="CC12"/>
  <c r="CC111"/>
  <c r="CC108"/>
  <c r="CC31"/>
  <c r="CC143"/>
  <c r="CC140"/>
  <c r="CC56"/>
  <c r="CC124"/>
  <c r="CC120"/>
  <c r="CC49"/>
  <c r="CC84"/>
  <c r="CC40"/>
  <c r="CC118"/>
  <c r="CC19"/>
  <c r="CC101"/>
  <c r="CC145"/>
  <c r="CC129"/>
  <c r="CC22"/>
  <c r="CD26"/>
  <c r="CC26"/>
  <c r="CD50"/>
  <c r="CC50"/>
  <c r="CC99"/>
  <c r="CD99"/>
  <c r="CC91"/>
  <c r="BL155"/>
  <c r="BL149"/>
  <c r="BL150"/>
  <c r="BX151" s="1"/>
  <c r="BL154"/>
  <c r="BL156" s="1"/>
  <c r="BF150"/>
  <c r="BF154"/>
  <c r="BF155"/>
  <c r="BF149"/>
  <c r="BH149"/>
  <c r="BH150"/>
  <c r="BH154"/>
  <c r="BH155"/>
  <c r="BI154"/>
  <c r="BI155"/>
  <c r="BI149"/>
  <c r="BI150"/>
  <c r="CD74"/>
  <c r="CC74"/>
  <c r="CD122"/>
  <c r="CC122"/>
  <c r="CE4"/>
  <c r="CE149" s="1"/>
  <c r="B16" i="120" s="1"/>
  <c r="BO149" i="119"/>
  <c r="CF4"/>
  <c r="CF149" s="1"/>
  <c r="B17" i="120" s="1"/>
  <c r="BO150" i="119"/>
  <c r="BO154"/>
  <c r="BO155"/>
  <c r="BU154"/>
  <c r="BU155"/>
  <c r="BU149"/>
  <c r="BU150"/>
  <c r="BT150"/>
  <c r="BT154"/>
  <c r="BT155"/>
  <c r="BT149"/>
  <c r="BJ149"/>
  <c r="BJ150"/>
  <c r="BJ154"/>
  <c r="BJ155"/>
  <c r="CC46"/>
  <c r="CC28"/>
  <c r="CC63"/>
  <c r="CC35"/>
  <c r="CC92"/>
  <c r="CC33"/>
  <c r="CC53"/>
  <c r="CC48"/>
  <c r="CC144"/>
  <c r="CC71"/>
  <c r="CC47"/>
  <c r="CC135"/>
  <c r="CC17"/>
  <c r="CC64"/>
  <c r="CC70"/>
  <c r="CC110"/>
  <c r="CC136"/>
  <c r="CC39"/>
  <c r="CC83"/>
  <c r="CD18"/>
  <c r="CC15"/>
  <c r="CD130"/>
  <c r="CC115"/>
  <c r="CC100"/>
  <c r="CC9"/>
  <c r="CC60"/>
  <c r="CC95"/>
  <c r="CC43"/>
  <c r="CC67"/>
  <c r="CC76"/>
  <c r="CC11"/>
  <c r="CC128"/>
  <c r="BR149"/>
  <c r="BR150"/>
  <c r="BR154"/>
  <c r="BR155"/>
  <c r="CC27"/>
  <c r="CD27"/>
  <c r="BQ149"/>
  <c r="BQ150"/>
  <c r="BQ154"/>
  <c r="BQ156" s="1"/>
  <c r="BQ155"/>
  <c r="BP149"/>
  <c r="BP150"/>
  <c r="BP154"/>
  <c r="BP155"/>
  <c r="BW149"/>
  <c r="BW150"/>
  <c r="BW154"/>
  <c r="BW156" s="1"/>
  <c r="BW155"/>
  <c r="CC119"/>
  <c r="CC8"/>
  <c r="CC121"/>
  <c r="CD82"/>
  <c r="CC7"/>
  <c r="CC29"/>
  <c r="CC109"/>
  <c r="CC62"/>
  <c r="CC87"/>
  <c r="CC126"/>
  <c r="CC125"/>
  <c r="CC32"/>
  <c r="CC69"/>
  <c r="CC112"/>
  <c r="CC79"/>
  <c r="CC85"/>
  <c r="CD138"/>
  <c r="CC86"/>
  <c r="CC57"/>
  <c r="CD106"/>
  <c r="CC25"/>
  <c r="CC132"/>
  <c r="CC36"/>
  <c r="CC30"/>
  <c r="CC45"/>
  <c r="CC94"/>
  <c r="CC81"/>
  <c r="CC88"/>
  <c r="BV155"/>
  <c r="BV149"/>
  <c r="BV150"/>
  <c r="BV154"/>
  <c r="BV156" s="1"/>
  <c r="CD146"/>
  <c r="CC146"/>
  <c r="CC75"/>
  <c r="CD75"/>
  <c r="BE149"/>
  <c r="BE150"/>
  <c r="BQ151" s="1"/>
  <c r="BE154"/>
  <c r="BE156" s="1"/>
  <c r="BQ157" s="1"/>
  <c r="BE155"/>
  <c r="BS149"/>
  <c r="BS150"/>
  <c r="BS154"/>
  <c r="BS155"/>
  <c r="CD58"/>
  <c r="J156"/>
  <c r="R156"/>
  <c r="X156"/>
  <c r="Y156"/>
  <c r="P156"/>
  <c r="F156"/>
  <c r="I156"/>
  <c r="G156"/>
  <c r="D156"/>
  <c r="AB149"/>
  <c r="M156"/>
  <c r="BD156" l="1"/>
  <c r="BX157"/>
  <c r="BY156"/>
  <c r="BY157" s="1"/>
  <c r="BN156"/>
  <c r="BR156"/>
  <c r="BO156"/>
  <c r="BO157" s="1"/>
  <c r="CC149"/>
  <c r="B14" i="120" s="1"/>
  <c r="BP151" i="119"/>
  <c r="BG156"/>
  <c r="BT151"/>
  <c r="BW151"/>
  <c r="BS156"/>
  <c r="BP156"/>
  <c r="BU156"/>
  <c r="BH156"/>
  <c r="BK156"/>
  <c r="BW157" s="1"/>
  <c r="CD149"/>
  <c r="B15" i="120" s="1"/>
  <c r="BV151" i="119"/>
  <c r="BJ156"/>
  <c r="BV157" s="1"/>
  <c r="BI156"/>
  <c r="BR151"/>
  <c r="BZ156"/>
  <c r="BZ151"/>
  <c r="BF156"/>
  <c r="BZ157"/>
  <c r="BT156"/>
  <c r="BU151"/>
  <c r="BO151"/>
  <c r="BS151"/>
  <c r="AB151"/>
  <c r="AB152" s="1"/>
  <c r="B7" i="120" s="1"/>
  <c r="B8" s="1"/>
  <c r="B9" s="1"/>
  <c r="BU157" i="119" l="1"/>
  <c r="BP157"/>
  <c r="BR157"/>
  <c r="B18" i="120"/>
  <c r="BT157" i="119"/>
  <c r="BS157"/>
</calcChain>
</file>

<file path=xl/comments1.xml><?xml version="1.0" encoding="utf-8"?>
<comments xmlns="http://schemas.openxmlformats.org/spreadsheetml/2006/main">
  <authors>
    <author>IBM_USER</author>
  </authors>
  <commentList>
    <comment ref="B17" authorId="0">
      <text>
        <r>
          <rPr>
            <b/>
            <sz val="8"/>
            <color indexed="81"/>
            <rFont val="Tahoma"/>
            <family val="2"/>
          </rPr>
          <t>The touchfile contains the rows ending in rounds, but starting after rounds</t>
        </r>
      </text>
    </comment>
    <comment ref="B18" authorId="0">
      <text>
        <r>
          <rPr>
            <b/>
            <sz val="8"/>
            <color indexed="81"/>
            <rFont val="Tahoma"/>
            <family val="2"/>
          </rPr>
          <t>or put in the length of the touch if you do not wish to compare to a touchfile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<sst xmlns="http://schemas.openxmlformats.org/spreadsheetml/2006/main" count="1017" uniqueCount="105">
  <si>
    <t>Strike File 1</t>
  </si>
  <si>
    <t>Strike File 2</t>
  </si>
  <si>
    <t>Strike File 3</t>
  </si>
  <si>
    <t>Strike File 4</t>
  </si>
  <si>
    <t>Strike File 5</t>
  </si>
  <si>
    <t>Strike File 6</t>
  </si>
  <si>
    <t>Strike File 7</t>
  </si>
  <si>
    <t>Strike File 8</t>
  </si>
  <si>
    <t>Strike File 9</t>
  </si>
  <si>
    <t>Strike File 10</t>
  </si>
  <si>
    <t>Teamname</t>
  </si>
  <si>
    <t>Filename</t>
  </si>
  <si>
    <t>Touch File</t>
  </si>
  <si>
    <t>Fill in the above fields and then press the Load button ---&gt;</t>
  </si>
  <si>
    <t>or length</t>
  </si>
  <si>
    <t>Analyse (Y/N)</t>
  </si>
  <si>
    <t>Soundfile</t>
  </si>
  <si>
    <t xml:space="preserve"> </t>
  </si>
  <si>
    <t>Fault (%)</t>
  </si>
  <si>
    <t>y</t>
  </si>
  <si>
    <t>Bell</t>
  </si>
  <si>
    <t>Bell Adjustments</t>
  </si>
  <si>
    <t>Handstroke</t>
  </si>
  <si>
    <t>Backstroke</t>
  </si>
  <si>
    <t>The percentage of an interbell gap that is required to trigger a countable error.</t>
  </si>
  <si>
    <t>Presentation Mode</t>
  </si>
  <si>
    <t>General</t>
  </si>
  <si>
    <t>Developer options</t>
  </si>
  <si>
    <t>Programmatic settings</t>
  </si>
  <si>
    <t>12-bell practice feedback</t>
  </si>
  <si>
    <t>12-bell judging</t>
  </si>
  <si>
    <t>Analysis settings</t>
  </si>
  <si>
    <t>Quick handstroke (%)</t>
  </si>
  <si>
    <t>Display settings</t>
  </si>
  <si>
    <t>Created by</t>
  </si>
  <si>
    <t>Programmatic sheet</t>
  </si>
  <si>
    <t>Strike file base dir</t>
  </si>
  <si>
    <t>Touch 1</t>
  </si>
  <si>
    <t>a.txt</t>
  </si>
  <si>
    <t>Contest feedback</t>
  </si>
  <si>
    <t>RWP Model</t>
  </si>
  <si>
    <t>Flockton output base dir</t>
  </si>
  <si>
    <t>E:\Users\David\Strikeometer\LiverpoolPierHead\sjfanalyses</t>
  </si>
  <si>
    <t>E:\Users\David\Strikeometer\LiverpoolPierHead\transcriptions</t>
  </si>
  <si>
    <t>O</t>
  </si>
  <si>
    <t>E</t>
  </si>
  <si>
    <t>T</t>
  </si>
  <si>
    <t>1H</t>
  </si>
  <si>
    <t>MEAN</t>
  </si>
  <si>
    <t>WP AVERAGE</t>
  </si>
  <si>
    <t>INTERVAL</t>
  </si>
  <si>
    <t>WP ACTUAL</t>
  </si>
  <si>
    <t>ACTUAL</t>
  </si>
  <si>
    <t>LEAD</t>
  </si>
  <si>
    <t>1-2</t>
  </si>
  <si>
    <t>2-3</t>
  </si>
  <si>
    <t>3-4</t>
  </si>
  <si>
    <t>4-5</t>
  </si>
  <si>
    <t>5-6</t>
  </si>
  <si>
    <t>6-7</t>
  </si>
  <si>
    <t>7-8</t>
  </si>
  <si>
    <t>8-9</t>
  </si>
  <si>
    <t>9-O</t>
  </si>
  <si>
    <t>O-E</t>
  </si>
  <si>
    <t>E-T</t>
  </si>
  <si>
    <t>T-1</t>
  </si>
  <si>
    <t>SD</t>
  </si>
  <si>
    <t>CORREL</t>
  </si>
  <si>
    <t>ERRORS</t>
  </si>
  <si>
    <t>FAST</t>
  </si>
  <si>
    <t>SLOW</t>
  </si>
  <si>
    <t>COMB.</t>
  </si>
  <si>
    <t>OVERALL</t>
  </si>
  <si>
    <t>QHL</t>
  </si>
  <si>
    <t>QH</t>
  </si>
  <si>
    <t>SH</t>
  </si>
  <si>
    <t>QB</t>
  </si>
  <si>
    <t>SB</t>
  </si>
  <si>
    <t>AVERAGE INTERVAL (ms)</t>
  </si>
  <si>
    <t>AVERAGE H/S LEAD INTERVAL (ms)</t>
  </si>
  <si>
    <t>PEAL SPEED (5040)</t>
  </si>
  <si>
    <t>OVERALL SD</t>
  </si>
  <si>
    <t>RATING (SD as % of Interval)</t>
  </si>
  <si>
    <t>PERCENTAGE for Presentation</t>
  </si>
  <si>
    <t>QUICK HANDSTROKES</t>
  </si>
  <si>
    <t>SLOW HANDSTROKES</t>
  </si>
  <si>
    <t>QUICK BACKSTROKES</t>
  </si>
  <si>
    <t>SLOW BACKSTROKES</t>
  </si>
  <si>
    <t>TOTAL</t>
  </si>
  <si>
    <t>Touch 1 Charts</t>
  </si>
  <si>
    <t>TeamCharts</t>
  </si>
  <si>
    <t>Average Deviation</t>
  </si>
  <si>
    <t>Touch 1 AD Chart</t>
  </si>
  <si>
    <t>Standard Deviation</t>
  </si>
  <si>
    <t>Touch 1 SD Chart</t>
  </si>
  <si>
    <t>Accumulated error</t>
  </si>
  <si>
    <t>Touch 1 AE Chart</t>
  </si>
  <si>
    <t>Faults &gt;53ms</t>
  </si>
  <si>
    <t>Quick</t>
  </si>
  <si>
    <t>Slow</t>
  </si>
  <si>
    <t>Touch 1 Fault Chart</t>
  </si>
  <si>
    <t xml:space="preserve">
--------------------------------------------------------------------------
            Test piece = a
--------------------------------------------------------------------------
  Length of touch                                 = 288 changes
  Average inter-bell interval                     = 210 ms
  Average handstroke lead interval                = 431 ms
  Peal speed (5040 changes)                       = 3 hours 41 minutes.
  Test piece time                                 = 12 minutes 35 seconds
--------------------------------------------------------------------------
  Overall standard deviation of change row errors = 42.8 ms
  Ditto as % of mean spacing                      = 20.4 %
--------------------------------------------------------------------------
     Rows          Peal speed         Standard deviation
     1- 24   3 hours 41 minutes         53.9 ms
    25- 48   3 hours 41 minutes         42.2 ms
    49- 72   3 hours 41 minutes         43.0 ms
    73- 96   3 hours 41 minutes         46.0 ms
    97-120   3 hours 41 minutes         38.9 ms
   121-144   3 hours 41 minutes         38.9 ms
   145-168   3 hours 41 minutes         44.0 ms
   169-192   3 hours 40 minutes         45.6 ms
   193-216   3 hours 41 minutes         35.3 ms
   217-240   3 hours 42 minutes         42.0 ms
   241-264   3 hours 42 minutes         38.8 ms
   265-288   3 hours 43 minutes         42.6 ms
--------------------------------------------------------------------------
</t>
  </si>
  <si>
    <t>Flockton output for Touch 1</t>
  </si>
  <si>
    <t>Flockton Touch 1</t>
  </si>
  <si>
    <t>Flockton</t>
  </si>
</sst>
</file>

<file path=xl/styles.xml><?xml version="1.0" encoding="utf-8"?>
<styleSheet xmlns="http://schemas.openxmlformats.org/spreadsheetml/2006/main">
  <numFmts count="2">
    <numFmt numFmtId="164" formatCode="0.0"/>
    <numFmt numFmtId="165" formatCode="0.0%"/>
  </numFmts>
  <fonts count="10">
    <font>
      <sz val="10"/>
      <name val="Arial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0"/>
      <name val="Arial"/>
      <family val="2"/>
    </font>
    <font>
      <sz val="10"/>
      <name val="Arial"/>
      <family val="2"/>
    </font>
    <font>
      <b/>
      <sz val="16"/>
      <color rgb="FF009999"/>
      <name val="Tahoma"/>
      <family val="2"/>
    </font>
    <font>
      <b/>
      <i/>
      <sz val="14"/>
      <color rgb="FF399999"/>
      <name val="Arial"/>
      <family val="2"/>
    </font>
    <font>
      <b/>
      <sz val="10"/>
      <name val="Arial"/>
      <family val="2"/>
    </font>
    <font>
      <sz val="10"/>
      <name val="Consolas"/>
      <family val="3"/>
    </font>
    <font>
      <sz val="12"/>
      <name val="Adobe Gothic Std B"/>
      <family val="2"/>
      <charset val="128"/>
    </font>
  </fonts>
  <fills count="5">
    <fill>
      <patternFill patternType="none"/>
    </fill>
    <fill>
      <patternFill patternType="gray125"/>
    </fill>
    <fill>
      <patternFill patternType="solid">
        <fgColor indexed="1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7">
    <xf numFmtId="0" fontId="0" fillId="0" borderId="0" xfId="0"/>
    <xf numFmtId="1" fontId="0" fillId="0" borderId="0" xfId="0" applyNumberFormat="1"/>
    <xf numFmtId="1" fontId="0" fillId="0" borderId="0" xfId="0" applyNumberFormat="1" applyAlignment="1"/>
    <xf numFmtId="1" fontId="4" fillId="0" borderId="0" xfId="0" applyNumberFormat="1" applyFont="1"/>
    <xf numFmtId="1" fontId="3" fillId="0" borderId="0" xfId="0" applyNumberFormat="1" applyFont="1"/>
    <xf numFmtId="1" fontId="0" fillId="0" borderId="0" xfId="0" applyNumberFormat="1" applyAlignment="1">
      <alignment horizontal="center"/>
    </xf>
    <xf numFmtId="164" fontId="0" fillId="0" borderId="0" xfId="0" applyNumberFormat="1"/>
    <xf numFmtId="0" fontId="3" fillId="0" borderId="0" xfId="0" applyFont="1"/>
    <xf numFmtId="0" fontId="5" fillId="0" borderId="0" xfId="0" applyFont="1"/>
    <xf numFmtId="9" fontId="0" fillId="0" borderId="0" xfId="0" applyNumberFormat="1"/>
    <xf numFmtId="10" fontId="0" fillId="0" borderId="0" xfId="0" applyNumberFormat="1"/>
    <xf numFmtId="1" fontId="0" fillId="2" borderId="0" xfId="0" applyNumberFormat="1" applyFill="1" applyAlignment="1">
      <alignment horizontal="center"/>
    </xf>
    <xf numFmtId="1" fontId="0" fillId="3" borderId="0" xfId="0" applyNumberFormat="1" applyFill="1" applyAlignment="1">
      <alignment horizontal="center"/>
    </xf>
    <xf numFmtId="1" fontId="0" fillId="0" borderId="0" xfId="0" applyNumberFormat="1" applyAlignment="1">
      <alignment horizontal="center" wrapText="1"/>
    </xf>
    <xf numFmtId="164" fontId="0" fillId="0" borderId="0" xfId="0" applyNumberFormat="1" applyAlignment="1">
      <alignment horizontal="center"/>
    </xf>
    <xf numFmtId="1" fontId="0" fillId="0" borderId="0" xfId="0" quotePrefix="1" applyNumberFormat="1" applyAlignment="1">
      <alignment horizontal="center"/>
    </xf>
    <xf numFmtId="2" fontId="0" fillId="0" borderId="0" xfId="0" applyNumberFormat="1" applyAlignment="1">
      <alignment horizontal="center"/>
    </xf>
    <xf numFmtId="1" fontId="0" fillId="4" borderId="0" xfId="0" applyNumberFormat="1" applyFill="1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6" fillId="0" borderId="0" xfId="0" applyFont="1" applyAlignment="1">
      <alignment horizontal="center"/>
    </xf>
    <xf numFmtId="0" fontId="7" fillId="0" borderId="0" xfId="0" applyFont="1"/>
    <xf numFmtId="164" fontId="7" fillId="0" borderId="0" xfId="0" applyNumberFormat="1" applyFont="1"/>
    <xf numFmtId="1" fontId="7" fillId="0" borderId="0" xfId="0" applyNumberFormat="1" applyFont="1"/>
    <xf numFmtId="0" fontId="8" fillId="0" borderId="0" xfId="0" applyFont="1"/>
    <xf numFmtId="0" fontId="8" fillId="0" borderId="0" xfId="0" applyFont="1" applyAlignment="1">
      <alignment wrapText="1"/>
    </xf>
    <xf numFmtId="0" fontId="9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009999"/>
      <color rgb="FF0099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openxmlformats.org/officeDocument/2006/relationships/theme" Target="theme/theme1.xml"/><Relationship Id="rId18" Type="http://schemas.microsoft.com/office/2006/relationships/attachedToolbars" Target="attachedToolbars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8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hartsheet" Target="chartsheets/sheet4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chartsheet" Target="chartsheets/sheet3.xml"/><Relationship Id="rId4" Type="http://schemas.openxmlformats.org/officeDocument/2006/relationships/worksheet" Target="worksheets/sheet4.xml"/><Relationship Id="rId9" Type="http://schemas.openxmlformats.org/officeDocument/2006/relationships/chartsheet" Target="chartsheets/sheet2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title>
      <c:tx>
        <c:rich>
          <a:bodyPr/>
          <a:lstStyle/>
          <a:p>
            <a:pPr>
              <a:defRPr/>
            </a:pPr>
            <a:r>
              <a:rPr lang="en-GB"/>
              <a:t>Touch 1 - Average Deviation</a:t>
            </a:r>
            <a:endParaRPr/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'Touch 1 Charts'!$B$3</c:f>
              <c:strCache>
                <c:ptCount val="1"/>
                <c:pt idx="0">
                  <c:v>Handstroke</c:v>
                </c:pt>
              </c:strCache>
            </c:strRef>
          </c:tx>
          <c:val>
            <c:numRef>
              <c:f>'Touch 1 Charts'!$B$4:$B$15</c:f>
              <c:numCache>
                <c:formatCode>0.0</c:formatCode>
                <c:ptCount val="12"/>
                <c:pt idx="0">
                  <c:v>15.271905066202432</c:v>
                </c:pt>
                <c:pt idx="1">
                  <c:v>7.1485445506506489</c:v>
                </c:pt>
                <c:pt idx="2">
                  <c:v>30.457237026002556</c:v>
                </c:pt>
                <c:pt idx="3">
                  <c:v>20.002862331551917</c:v>
                </c:pt>
                <c:pt idx="4">
                  <c:v>-17.333484514784175</c:v>
                </c:pt>
                <c:pt idx="5">
                  <c:v>8.9087569569326703</c:v>
                </c:pt>
                <c:pt idx="6">
                  <c:v>-0.45857318022172205</c:v>
                </c:pt>
                <c:pt idx="7">
                  <c:v>11.73970113643488</c:v>
                </c:pt>
                <c:pt idx="8">
                  <c:v>-28.252300661170821</c:v>
                </c:pt>
                <c:pt idx="9">
                  <c:v>-34.880185097293243</c:v>
                </c:pt>
                <c:pt idx="10">
                  <c:v>30.416258346401062</c:v>
                </c:pt>
                <c:pt idx="11">
                  <c:v>-36.93956818728298</c:v>
                </c:pt>
              </c:numCache>
            </c:numRef>
          </c:val>
        </c:ser>
        <c:ser>
          <c:idx val="1"/>
          <c:order val="1"/>
          <c:tx>
            <c:strRef>
              <c:f>'Touch 1 Charts'!$C$3</c:f>
              <c:strCache>
                <c:ptCount val="1"/>
                <c:pt idx="0">
                  <c:v>Backstroke</c:v>
                </c:pt>
              </c:strCache>
            </c:strRef>
          </c:tx>
          <c:val>
            <c:numRef>
              <c:f>'Touch 1 Charts'!$C$4:$C$15</c:f>
              <c:numCache>
                <c:formatCode>0.0</c:formatCode>
                <c:ptCount val="12"/>
                <c:pt idx="0">
                  <c:v>37.39742815767795</c:v>
                </c:pt>
                <c:pt idx="1">
                  <c:v>12.499668093621576</c:v>
                </c:pt>
                <c:pt idx="2">
                  <c:v>16.441429682306964</c:v>
                </c:pt>
                <c:pt idx="3">
                  <c:v>14.490061092999055</c:v>
                </c:pt>
                <c:pt idx="4">
                  <c:v>-33.456032664851591</c:v>
                </c:pt>
                <c:pt idx="5">
                  <c:v>6.052367415935298</c:v>
                </c:pt>
                <c:pt idx="6">
                  <c:v>-23.77579175180604</c:v>
                </c:pt>
                <c:pt idx="7">
                  <c:v>-6.1848129928347131</c:v>
                </c:pt>
                <c:pt idx="8">
                  <c:v>7.3613139882519825</c:v>
                </c:pt>
                <c:pt idx="9">
                  <c:v>-22.233893769269272</c:v>
                </c:pt>
                <c:pt idx="10">
                  <c:v>12.280428843411554</c:v>
                </c:pt>
                <c:pt idx="11">
                  <c:v>-26.953319868770645</c:v>
                </c:pt>
              </c:numCache>
            </c:numRef>
          </c:val>
        </c:ser>
        <c:axId val="167971456"/>
        <c:axId val="180884992"/>
      </c:barChart>
      <c:catAx>
        <c:axId val="167971456"/>
        <c:scaling>
          <c:orientation val="minMax"/>
        </c:scaling>
        <c:axPos val="b"/>
        <c:tickLblPos val="nextTo"/>
        <c:crossAx val="180884992"/>
        <c:crosses val="autoZero"/>
        <c:auto val="1"/>
        <c:lblAlgn val="ctr"/>
        <c:lblOffset val="100"/>
      </c:catAx>
      <c:valAx>
        <c:axId val="180884992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Early --- ms --- Late</a:t>
                </a:r>
                <a:endParaRPr/>
              </a:p>
            </c:rich>
          </c:tx>
          <c:layout/>
        </c:title>
        <c:numFmt formatCode="0.0" sourceLinked="1"/>
        <c:tickLblPos val="nextTo"/>
        <c:crossAx val="167971456"/>
        <c:crosses val="autoZero"/>
        <c:crossBetween val="between"/>
      </c:valAx>
    </c:plotArea>
    <c:legend>
      <c:legendPos val="r"/>
      <c:layout/>
    </c:legend>
    <c:plotVisOnly val="1"/>
  </c:char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title>
      <c:tx>
        <c:rich>
          <a:bodyPr/>
          <a:lstStyle/>
          <a:p>
            <a:pPr>
              <a:defRPr/>
            </a:pPr>
            <a:r>
              <a:rPr lang="en-GB"/>
              <a:t>Touch 1 - Standard Deviation</a:t>
            </a:r>
            <a:endParaRPr/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'Touch 1 Charts'!$B$23</c:f>
              <c:strCache>
                <c:ptCount val="1"/>
                <c:pt idx="0">
                  <c:v>Handstroke</c:v>
                </c:pt>
              </c:strCache>
            </c:strRef>
          </c:tx>
          <c:val>
            <c:numRef>
              <c:f>'Touch 1 Charts'!$B$24:$B$35</c:f>
              <c:numCache>
                <c:formatCode>0.0</c:formatCode>
                <c:ptCount val="12"/>
                <c:pt idx="0">
                  <c:v>38.764393719082783</c:v>
                </c:pt>
                <c:pt idx="1">
                  <c:v>29.459466346930174</c:v>
                </c:pt>
                <c:pt idx="2">
                  <c:v>30.997850701959013</c:v>
                </c:pt>
                <c:pt idx="3">
                  <c:v>34.59956399780647</c:v>
                </c:pt>
                <c:pt idx="4">
                  <c:v>39.126376202354066</c:v>
                </c:pt>
                <c:pt idx="5">
                  <c:v>38.220452877025323</c:v>
                </c:pt>
                <c:pt idx="6">
                  <c:v>46.26970394896405</c:v>
                </c:pt>
                <c:pt idx="7">
                  <c:v>33.277940733323852</c:v>
                </c:pt>
                <c:pt idx="8">
                  <c:v>38.603618862555223</c:v>
                </c:pt>
                <c:pt idx="9">
                  <c:v>34.894284244257982</c:v>
                </c:pt>
                <c:pt idx="10">
                  <c:v>40.296874775619195</c:v>
                </c:pt>
                <c:pt idx="11">
                  <c:v>35.594130110924674</c:v>
                </c:pt>
              </c:numCache>
            </c:numRef>
          </c:val>
        </c:ser>
        <c:ser>
          <c:idx val="1"/>
          <c:order val="1"/>
          <c:tx>
            <c:strRef>
              <c:f>'Touch 1 Charts'!$C$23</c:f>
              <c:strCache>
                <c:ptCount val="1"/>
                <c:pt idx="0">
                  <c:v>Backstroke</c:v>
                </c:pt>
              </c:strCache>
            </c:strRef>
          </c:tx>
          <c:val>
            <c:numRef>
              <c:f>'Touch 1 Charts'!$C$24:$C$35</c:f>
              <c:numCache>
                <c:formatCode>0.0</c:formatCode>
                <c:ptCount val="12"/>
                <c:pt idx="0">
                  <c:v>38.021794926163551</c:v>
                </c:pt>
                <c:pt idx="1">
                  <c:v>46.408713108986255</c:v>
                </c:pt>
                <c:pt idx="2">
                  <c:v>29.964359951602443</c:v>
                </c:pt>
                <c:pt idx="3">
                  <c:v>27.060528251027222</c:v>
                </c:pt>
                <c:pt idx="4">
                  <c:v>53.842882992612061</c:v>
                </c:pt>
                <c:pt idx="5">
                  <c:v>37.606762859649358</c:v>
                </c:pt>
                <c:pt idx="6">
                  <c:v>48.462825525306712</c:v>
                </c:pt>
                <c:pt idx="7">
                  <c:v>31.411307977837296</c:v>
                </c:pt>
                <c:pt idx="8">
                  <c:v>35.975116338194496</c:v>
                </c:pt>
                <c:pt idx="9">
                  <c:v>37.918727047558534</c:v>
                </c:pt>
                <c:pt idx="10">
                  <c:v>40.35627554882992</c:v>
                </c:pt>
                <c:pt idx="11">
                  <c:v>30.875925061373671</c:v>
                </c:pt>
              </c:numCache>
            </c:numRef>
          </c:val>
        </c:ser>
        <c:axId val="180746496"/>
        <c:axId val="180886528"/>
      </c:barChart>
      <c:catAx>
        <c:axId val="180746496"/>
        <c:scaling>
          <c:orientation val="minMax"/>
        </c:scaling>
        <c:axPos val="b"/>
        <c:tickLblPos val="nextTo"/>
        <c:crossAx val="180886528"/>
        <c:crosses val="autoZero"/>
        <c:auto val="1"/>
        <c:lblAlgn val="ctr"/>
        <c:lblOffset val="100"/>
      </c:catAx>
      <c:valAx>
        <c:axId val="180886528"/>
        <c:scaling>
          <c:orientation val="minMax"/>
          <c:min val="15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ms</a:t>
                </a:r>
                <a:endParaRPr/>
              </a:p>
            </c:rich>
          </c:tx>
          <c:layout/>
        </c:title>
        <c:numFmt formatCode="0.0" sourceLinked="1"/>
        <c:tickLblPos val="nextTo"/>
        <c:crossAx val="180746496"/>
        <c:crosses val="autoZero"/>
        <c:crossBetween val="between"/>
      </c:valAx>
    </c:plotArea>
    <c:legend>
      <c:legendPos val="r"/>
      <c:layout/>
    </c:legend>
    <c:plotVisOnly val="1"/>
  </c:char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title>
      <c:tx>
        <c:rich>
          <a:bodyPr/>
          <a:lstStyle/>
          <a:p>
            <a:pPr>
              <a:defRPr/>
            </a:pPr>
            <a:r>
              <a:rPr lang="en-GB"/>
              <a:t>Touch 1 - Accumulated Error</a:t>
            </a:r>
            <a:endParaRPr/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'Touch 1 Charts'!$H$3</c:f>
              <c:strCache>
                <c:ptCount val="1"/>
                <c:pt idx="0">
                  <c:v>Handstroke</c:v>
                </c:pt>
              </c:strCache>
            </c:strRef>
          </c:tx>
          <c:val>
            <c:numRef>
              <c:f>'Touch 1 Charts'!$H$4:$H$15</c:f>
              <c:numCache>
                <c:formatCode>0</c:formatCode>
                <c:ptCount val="12"/>
                <c:pt idx="0">
                  <c:v>4794.2811233211578</c:v>
                </c:pt>
                <c:pt idx="1">
                  <c:v>3474.1558913177641</c:v>
                </c:pt>
                <c:pt idx="2">
                  <c:v>5024.1076038490964</c:v>
                </c:pt>
                <c:pt idx="3">
                  <c:v>4363.2845521975578</c:v>
                </c:pt>
                <c:pt idx="4">
                  <c:v>5009.1995068155047</c:v>
                </c:pt>
                <c:pt idx="5">
                  <c:v>4519.8531481063756</c:v>
                </c:pt>
                <c:pt idx="6">
                  <c:v>5303.034312737389</c:v>
                </c:pt>
                <c:pt idx="7">
                  <c:v>3963.0398025868813</c:v>
                </c:pt>
                <c:pt idx="8">
                  <c:v>5438.8731236108169</c:v>
                </c:pt>
                <c:pt idx="9">
                  <c:v>5772.2363724953684</c:v>
                </c:pt>
                <c:pt idx="10">
                  <c:v>5720.4814885748456</c:v>
                </c:pt>
                <c:pt idx="11">
                  <c:v>6216.8798518226395</c:v>
                </c:pt>
              </c:numCache>
            </c:numRef>
          </c:val>
        </c:ser>
        <c:ser>
          <c:idx val="1"/>
          <c:order val="1"/>
          <c:tx>
            <c:strRef>
              <c:f>'Touch 1 Charts'!$I$3</c:f>
              <c:strCache>
                <c:ptCount val="1"/>
                <c:pt idx="0">
                  <c:v>Backstroke</c:v>
                </c:pt>
              </c:strCache>
            </c:strRef>
          </c:tx>
          <c:val>
            <c:numRef>
              <c:f>'Touch 1 Charts'!$I$4:$I$15</c:f>
              <c:numCache>
                <c:formatCode>0</c:formatCode>
                <c:ptCount val="12"/>
                <c:pt idx="0">
                  <c:v>6251.7678646993973</c:v>
                </c:pt>
                <c:pt idx="1">
                  <c:v>5118.3689746337714</c:v>
                </c:pt>
                <c:pt idx="2">
                  <c:v>4003.2760415503453</c:v>
                </c:pt>
                <c:pt idx="3">
                  <c:v>3549.689055750423</c:v>
                </c:pt>
                <c:pt idx="4">
                  <c:v>6952.8367169892736</c:v>
                </c:pt>
                <c:pt idx="5">
                  <c:v>4359.6006997521308</c:v>
                </c:pt>
                <c:pt idx="6">
                  <c:v>5942.3596843243249</c:v>
                </c:pt>
                <c:pt idx="7">
                  <c:v>3633.2324712241852</c:v>
                </c:pt>
                <c:pt idx="8">
                  <c:v>4135.854828103913</c:v>
                </c:pt>
                <c:pt idx="9">
                  <c:v>5064.9984116850101</c:v>
                </c:pt>
                <c:pt idx="10">
                  <c:v>4665.7080939210955</c:v>
                </c:pt>
                <c:pt idx="11">
                  <c:v>4885.137869089438</c:v>
                </c:pt>
              </c:numCache>
            </c:numRef>
          </c:val>
        </c:ser>
        <c:axId val="180811264"/>
        <c:axId val="180813184"/>
      </c:barChart>
      <c:catAx>
        <c:axId val="180811264"/>
        <c:scaling>
          <c:orientation val="minMax"/>
        </c:scaling>
        <c:axPos val="b"/>
        <c:tickLblPos val="nextTo"/>
        <c:crossAx val="180813184"/>
        <c:crosses val="autoZero"/>
        <c:auto val="1"/>
        <c:lblAlgn val="ctr"/>
        <c:lblOffset val="100"/>
      </c:catAx>
      <c:valAx>
        <c:axId val="180813184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ms</a:t>
                </a:r>
                <a:endParaRPr/>
              </a:p>
            </c:rich>
          </c:tx>
          <c:layout/>
        </c:title>
        <c:numFmt formatCode="0" sourceLinked="1"/>
        <c:tickLblPos val="nextTo"/>
        <c:crossAx val="180811264"/>
        <c:crosses val="autoZero"/>
        <c:crossBetween val="between"/>
      </c:valAx>
    </c:plotArea>
    <c:legend>
      <c:legendPos val="r"/>
      <c:layout/>
    </c:legend>
    <c:plotVisOnly val="1"/>
  </c:char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title>
      <c:tx>
        <c:rich>
          <a:bodyPr/>
          <a:lstStyle/>
          <a:p>
            <a:pPr>
              <a:defRPr/>
            </a:pPr>
            <a:r>
              <a:rPr lang="en-GB"/>
              <a:t>Touch 1 - Errors &gt; 53 ms</a:t>
            </a:r>
            <a:endParaRPr/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'Touch 1 Charts'!$H$23</c:f>
              <c:strCache>
                <c:ptCount val="1"/>
                <c:pt idx="0">
                  <c:v>Quick</c:v>
                </c:pt>
              </c:strCache>
            </c:strRef>
          </c:tx>
          <c:val>
            <c:numRef>
              <c:f>'Touch 1 Charts'!$H$24:$H$35</c:f>
              <c:numCache>
                <c:formatCode>0</c:formatCode>
                <c:ptCount val="12"/>
                <c:pt idx="0">
                  <c:v>7</c:v>
                </c:pt>
                <c:pt idx="1">
                  <c:v>13</c:v>
                </c:pt>
                <c:pt idx="2">
                  <c:v>2</c:v>
                </c:pt>
                <c:pt idx="3">
                  <c:v>1</c:v>
                </c:pt>
                <c:pt idx="4">
                  <c:v>78</c:v>
                </c:pt>
                <c:pt idx="5">
                  <c:v>18</c:v>
                </c:pt>
                <c:pt idx="6">
                  <c:v>61</c:v>
                </c:pt>
                <c:pt idx="7">
                  <c:v>16</c:v>
                </c:pt>
                <c:pt idx="8">
                  <c:v>40</c:v>
                </c:pt>
                <c:pt idx="9">
                  <c:v>80</c:v>
                </c:pt>
                <c:pt idx="10">
                  <c:v>9</c:v>
                </c:pt>
                <c:pt idx="11">
                  <c:v>68</c:v>
                </c:pt>
              </c:numCache>
            </c:numRef>
          </c:val>
        </c:ser>
        <c:ser>
          <c:idx val="1"/>
          <c:order val="1"/>
          <c:tx>
            <c:strRef>
              <c:f>'Touch 1 Charts'!$I$23</c:f>
              <c:strCache>
                <c:ptCount val="1"/>
                <c:pt idx="0">
                  <c:v>Slow</c:v>
                </c:pt>
              </c:strCache>
            </c:strRef>
          </c:tx>
          <c:val>
            <c:numRef>
              <c:f>'Touch 1 Charts'!$I$24:$I$35</c:f>
              <c:numCache>
                <c:formatCode>0</c:formatCode>
                <c:ptCount val="12"/>
                <c:pt idx="0">
                  <c:v>74</c:v>
                </c:pt>
                <c:pt idx="1">
                  <c:v>25</c:v>
                </c:pt>
                <c:pt idx="2">
                  <c:v>53</c:v>
                </c:pt>
                <c:pt idx="3">
                  <c:v>30</c:v>
                </c:pt>
                <c:pt idx="4">
                  <c:v>11</c:v>
                </c:pt>
                <c:pt idx="5">
                  <c:v>33</c:v>
                </c:pt>
                <c:pt idx="6">
                  <c:v>24</c:v>
                </c:pt>
                <c:pt idx="7">
                  <c:v>16</c:v>
                </c:pt>
                <c:pt idx="8">
                  <c:v>13</c:v>
                </c:pt>
                <c:pt idx="9">
                  <c:v>4</c:v>
                </c:pt>
                <c:pt idx="10">
                  <c:v>57</c:v>
                </c:pt>
                <c:pt idx="11">
                  <c:v>2</c:v>
                </c:pt>
              </c:numCache>
            </c:numRef>
          </c:val>
        </c:ser>
        <c:axId val="212200448"/>
        <c:axId val="180896512"/>
      </c:barChart>
      <c:catAx>
        <c:axId val="212200448"/>
        <c:scaling>
          <c:orientation val="minMax"/>
        </c:scaling>
        <c:axPos val="b"/>
        <c:tickLblPos val="nextTo"/>
        <c:crossAx val="180896512"/>
        <c:crosses val="autoZero"/>
        <c:auto val="1"/>
        <c:lblAlgn val="ctr"/>
        <c:lblOffset val="100"/>
      </c:catAx>
      <c:valAx>
        <c:axId val="180896512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Count</a:t>
                </a:r>
                <a:endParaRPr/>
              </a:p>
            </c:rich>
          </c:tx>
          <c:layout/>
        </c:title>
        <c:numFmt formatCode="0" sourceLinked="1"/>
        <c:tickLblPos val="nextTo"/>
        <c:crossAx val="212200448"/>
        <c:crosses val="autoZero"/>
        <c:crossBetween val="between"/>
      </c:valAx>
    </c:plotArea>
    <c:legend>
      <c:legendPos val="r"/>
      <c:layout/>
    </c:legend>
    <c:plotVisOnly val="1"/>
  </c:chart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chart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chart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chart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58"/>
  <sheetViews>
    <sheetView zoomScale="94" workbookViewId="0" zoomToFit="1"/>
  </sheetViews>
  <pageMargins left="0.7" right="0.7" top="0.75" bottom="0.75" header="0.3" footer="0.3"/>
  <pageSetup paperSize="9" orientation="landscape" r:id="rId1"/>
  <drawing r:id="rId2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Chart59"/>
  <sheetViews>
    <sheetView zoomScale="94" workbookViewId="0" zoomToFit="1"/>
  </sheetViews>
  <pageMargins left="0.7" right="0.7" top="0.75" bottom="0.75" header="0.3" footer="0.3"/>
  <pageSetup paperSize="9" orientation="landscape" r:id="rId1"/>
  <drawing r:id="rId2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Chart60"/>
  <sheetViews>
    <sheetView zoomScale="94" workbookViewId="0" zoomToFit="1"/>
  </sheetViews>
  <pageMargins left="0.7" right="0.7" top="0.75" bottom="0.75" header="0.3" footer="0.3"/>
  <pageSetup paperSize="9" orientation="landscape" r:id="rId1"/>
  <drawing r:id="rId2"/>
</chartsheet>
</file>

<file path=xl/chartsheets/sheet4.xml><?xml version="1.0" encoding="utf-8"?>
<chartsheet xmlns="http://schemas.openxmlformats.org/spreadsheetml/2006/main" xmlns:r="http://schemas.openxmlformats.org/officeDocument/2006/relationships">
  <sheetPr codeName="Chart61"/>
  <sheetViews>
    <sheetView zoomScale="94" workbookViewId="0" zoomToFit="1"/>
  </sheetViews>
  <pageMargins left="0.7" right="0.7" top="0.75" bottom="0.75" header="0.3" footer="0.3"/>
  <pageSetup paperSize="9" orientation="landscape" r:id="rId1"/>
  <drawing r:id="rId2"/>
</chartsheet>
</file>

<file path=xl/ctrlProps/ctrlProp1.xml><?xml version="1.0" encoding="utf-8"?>
<formControlPr xmlns="http://schemas.microsoft.com/office/spreadsheetml/2009/9/main" objectType="CheckBox" fmlaLink="$G$17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18" Type="http://schemas.openxmlformats.org/officeDocument/2006/relationships/image" Target="../media/image18.emf"/><Relationship Id="rId3" Type="http://schemas.openxmlformats.org/officeDocument/2006/relationships/image" Target="../media/image3.emf"/><Relationship Id="rId21" Type="http://schemas.openxmlformats.org/officeDocument/2006/relationships/image" Target="../media/image21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17" Type="http://schemas.openxmlformats.org/officeDocument/2006/relationships/image" Target="../media/image17.emf"/><Relationship Id="rId2" Type="http://schemas.openxmlformats.org/officeDocument/2006/relationships/image" Target="../media/image2.emf"/><Relationship Id="rId16" Type="http://schemas.openxmlformats.org/officeDocument/2006/relationships/image" Target="../media/image16.emf"/><Relationship Id="rId20" Type="http://schemas.openxmlformats.org/officeDocument/2006/relationships/image" Target="../media/image20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5" Type="http://schemas.openxmlformats.org/officeDocument/2006/relationships/image" Target="../media/image15.emf"/><Relationship Id="rId10" Type="http://schemas.openxmlformats.org/officeDocument/2006/relationships/image" Target="../media/image10.emf"/><Relationship Id="rId19" Type="http://schemas.openxmlformats.org/officeDocument/2006/relationships/image" Target="../media/image19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Relationship Id="rId22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81809" cy="6049388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81809" cy="6049388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281809" cy="6049388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281809" cy="6049388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18" Type="http://schemas.openxmlformats.org/officeDocument/2006/relationships/control" Target="../activeX/activeX16.xml"/><Relationship Id="rId3" Type="http://schemas.openxmlformats.org/officeDocument/2006/relationships/control" Target="../activeX/activeX1.xml"/><Relationship Id="rId21" Type="http://schemas.openxmlformats.org/officeDocument/2006/relationships/control" Target="../activeX/activeX19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control" Target="../activeX/activeX15.xml"/><Relationship Id="rId25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6" Type="http://schemas.openxmlformats.org/officeDocument/2006/relationships/control" Target="../activeX/activeX14.xml"/><Relationship Id="rId20" Type="http://schemas.openxmlformats.org/officeDocument/2006/relationships/control" Target="../activeX/activeX18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24" Type="http://schemas.openxmlformats.org/officeDocument/2006/relationships/control" Target="../activeX/activeX22.xml"/><Relationship Id="rId5" Type="http://schemas.openxmlformats.org/officeDocument/2006/relationships/control" Target="../activeX/activeX3.xml"/><Relationship Id="rId15" Type="http://schemas.openxmlformats.org/officeDocument/2006/relationships/control" Target="../activeX/activeX13.xml"/><Relationship Id="rId23" Type="http://schemas.openxmlformats.org/officeDocument/2006/relationships/control" Target="../activeX/activeX21.xml"/><Relationship Id="rId10" Type="http://schemas.openxmlformats.org/officeDocument/2006/relationships/control" Target="../activeX/activeX8.xml"/><Relationship Id="rId19" Type="http://schemas.openxmlformats.org/officeDocument/2006/relationships/control" Target="../activeX/activeX17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control" Target="../activeX/activeX12.xml"/><Relationship Id="rId22" Type="http://schemas.openxmlformats.org/officeDocument/2006/relationships/control" Target="../activeX/activeX20.xml"/><Relationship Id="rId48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H43"/>
  <sheetViews>
    <sheetView zoomScaleNormal="100" workbookViewId="0"/>
  </sheetViews>
  <sheetFormatPr defaultColWidth="28.28515625" defaultRowHeight="15" customHeight="1"/>
  <cols>
    <col min="1" max="1" width="16.42578125" style="1" customWidth="1"/>
    <col min="2" max="2" width="21.5703125" style="1" customWidth="1"/>
    <col min="3" max="3" width="28.28515625" style="1" customWidth="1"/>
    <col min="4" max="4" width="4.140625" style="1" customWidth="1"/>
    <col min="5" max="5" width="19.85546875" style="1" customWidth="1"/>
    <col min="6" max="6" width="4.28515625" style="1" customWidth="1"/>
    <col min="7" max="7" width="7.28515625" style="1" customWidth="1"/>
    <col min="8" max="8" width="11.7109375" style="1" customWidth="1"/>
    <col min="9" max="16384" width="28.28515625" style="1"/>
  </cols>
  <sheetData>
    <row r="1" spans="1:8" ht="15" customHeight="1">
      <c r="A1" s="4" t="s">
        <v>40</v>
      </c>
      <c r="D1" s="3" t="s">
        <v>17</v>
      </c>
    </row>
    <row r="3" spans="1:8" ht="15" customHeight="1">
      <c r="B3" s="1" t="s">
        <v>10</v>
      </c>
      <c r="C3" s="1" t="s">
        <v>11</v>
      </c>
      <c r="E3" s="1" t="s">
        <v>16</v>
      </c>
      <c r="H3" s="1" t="s">
        <v>15</v>
      </c>
    </row>
    <row r="4" spans="1:8" ht="15" customHeight="1">
      <c r="A4" s="1" t="s">
        <v>0</v>
      </c>
      <c r="B4" s="4" t="s">
        <v>37</v>
      </c>
      <c r="C4" s="4" t="s">
        <v>38</v>
      </c>
      <c r="D4" s="4"/>
      <c r="E4" s="4"/>
      <c r="F4" s="4"/>
      <c r="H4" s="4" t="s">
        <v>19</v>
      </c>
    </row>
    <row r="5" spans="1:8" ht="15" customHeight="1">
      <c r="A5" s="1" t="s">
        <v>1</v>
      </c>
      <c r="B5" s="4"/>
      <c r="C5" s="4"/>
      <c r="D5" s="4"/>
      <c r="E5" s="4"/>
      <c r="F5" s="4"/>
      <c r="H5" s="4"/>
    </row>
    <row r="6" spans="1:8" ht="15" customHeight="1">
      <c r="A6" s="1" t="s">
        <v>2</v>
      </c>
      <c r="B6" s="4"/>
      <c r="C6" s="4"/>
      <c r="D6" s="4"/>
      <c r="E6" s="4"/>
      <c r="F6" s="4"/>
      <c r="H6" s="4"/>
    </row>
    <row r="7" spans="1:8" ht="15" customHeight="1">
      <c r="A7" s="1" t="s">
        <v>3</v>
      </c>
      <c r="B7" s="4"/>
      <c r="C7" s="4"/>
      <c r="H7" s="4"/>
    </row>
    <row r="8" spans="1:8" ht="15" customHeight="1">
      <c r="A8" s="1" t="s">
        <v>4</v>
      </c>
      <c r="B8" s="4"/>
      <c r="C8" s="4"/>
      <c r="H8" s="4"/>
    </row>
    <row r="9" spans="1:8" ht="15" customHeight="1">
      <c r="A9" s="1" t="s">
        <v>5</v>
      </c>
      <c r="B9" s="4"/>
      <c r="C9" s="4"/>
      <c r="D9" s="4"/>
      <c r="E9" s="4"/>
      <c r="F9" s="4"/>
      <c r="H9" s="4"/>
    </row>
    <row r="10" spans="1:8" ht="15" customHeight="1">
      <c r="A10" s="1" t="s">
        <v>6</v>
      </c>
      <c r="B10" s="4"/>
      <c r="C10" s="4"/>
      <c r="D10" s="4"/>
      <c r="E10" s="4"/>
      <c r="F10" s="4"/>
      <c r="H10" s="4"/>
    </row>
    <row r="11" spans="1:8" ht="15" customHeight="1">
      <c r="A11" s="1" t="s">
        <v>7</v>
      </c>
      <c r="B11" s="4"/>
      <c r="C11" s="4"/>
      <c r="D11" s="3"/>
      <c r="E11" s="3"/>
      <c r="F11" s="3"/>
      <c r="H11" s="4"/>
    </row>
    <row r="12" spans="1:8" ht="15" customHeight="1">
      <c r="A12" s="1" t="s">
        <v>8</v>
      </c>
      <c r="B12" s="4"/>
      <c r="C12" s="4"/>
      <c r="D12" s="3"/>
      <c r="E12" s="3"/>
      <c r="F12" s="3"/>
      <c r="H12" s="4"/>
    </row>
    <row r="13" spans="1:8" ht="15" customHeight="1">
      <c r="A13" s="1" t="s">
        <v>9</v>
      </c>
      <c r="B13" s="4"/>
      <c r="C13" s="4"/>
      <c r="D13" s="3"/>
      <c r="F13" s="3"/>
      <c r="H13" s="4"/>
    </row>
    <row r="14" spans="1:8" ht="15" customHeight="1">
      <c r="B14" s="4"/>
      <c r="C14" s="4"/>
      <c r="D14" s="3"/>
      <c r="F14" s="3"/>
      <c r="H14" s="4"/>
    </row>
    <row r="15" spans="1:8" ht="15" customHeight="1">
      <c r="A15" s="4" t="s">
        <v>36</v>
      </c>
      <c r="B15" s="4" t="s">
        <v>43</v>
      </c>
    </row>
    <row r="16" spans="1:8" ht="15" customHeight="1">
      <c r="A16" s="4" t="s">
        <v>41</v>
      </c>
      <c r="B16" s="4" t="s">
        <v>42</v>
      </c>
    </row>
    <row r="17" spans="1:8" ht="15" customHeight="1">
      <c r="A17" s="1" t="s">
        <v>12</v>
      </c>
      <c r="B17" s="4"/>
      <c r="C17" s="2"/>
    </row>
    <row r="18" spans="1:8" ht="15" customHeight="1">
      <c r="A18" s="1" t="s">
        <v>14</v>
      </c>
      <c r="B18" s="1">
        <v>288</v>
      </c>
      <c r="D18" s="2"/>
      <c r="E18" s="2"/>
    </row>
    <row r="19" spans="1:8" ht="15" customHeight="1">
      <c r="H19" s="5"/>
    </row>
    <row r="20" spans="1:8" ht="15" customHeight="1">
      <c r="H20" s="5"/>
    </row>
    <row r="21" spans="1:8" ht="15" customHeight="1">
      <c r="E21" s="5"/>
      <c r="F21" s="5"/>
      <c r="G21" s="5"/>
      <c r="H21" s="5"/>
    </row>
    <row r="22" spans="1:8" ht="15" customHeight="1">
      <c r="A22" s="1" t="s">
        <v>13</v>
      </c>
      <c r="E22" s="5"/>
      <c r="F22" s="5"/>
      <c r="G22" s="5"/>
      <c r="H22" s="5"/>
    </row>
    <row r="23" spans="1:8" ht="15" customHeight="1">
      <c r="E23" s="5"/>
      <c r="F23" s="5"/>
      <c r="G23" s="5"/>
      <c r="H23" s="5"/>
    </row>
    <row r="24" spans="1:8" ht="15" customHeight="1">
      <c r="E24" s="5"/>
      <c r="F24" s="5"/>
      <c r="G24" s="5"/>
      <c r="H24" s="5"/>
    </row>
    <row r="26" spans="1:8" ht="15" customHeight="1">
      <c r="A26" s="4" t="s">
        <v>21</v>
      </c>
    </row>
    <row r="27" spans="1:8" ht="15" customHeight="1">
      <c r="A27" s="4" t="s">
        <v>20</v>
      </c>
      <c r="B27" s="4" t="s">
        <v>22</v>
      </c>
      <c r="C27" s="4" t="s">
        <v>23</v>
      </c>
    </row>
    <row r="28" spans="1:8" ht="15" customHeight="1">
      <c r="A28" s="1">
        <v>1</v>
      </c>
      <c r="B28" s="6">
        <v>0</v>
      </c>
      <c r="C28" s="6">
        <v>0</v>
      </c>
    </row>
    <row r="29" spans="1:8" ht="15" customHeight="1">
      <c r="A29" s="1">
        <v>2</v>
      </c>
      <c r="B29" s="6">
        <v>0</v>
      </c>
      <c r="C29" s="6">
        <v>0</v>
      </c>
    </row>
    <row r="30" spans="1:8" ht="15" customHeight="1">
      <c r="A30" s="1">
        <v>3</v>
      </c>
      <c r="B30" s="6">
        <v>0</v>
      </c>
      <c r="C30" s="6">
        <v>0</v>
      </c>
    </row>
    <row r="31" spans="1:8" ht="15" customHeight="1">
      <c r="A31" s="1">
        <v>4</v>
      </c>
      <c r="B31" s="6">
        <v>0</v>
      </c>
      <c r="C31" s="6">
        <v>0</v>
      </c>
    </row>
    <row r="32" spans="1:8" ht="15" customHeight="1">
      <c r="A32" s="1">
        <v>5</v>
      </c>
      <c r="B32" s="6">
        <v>0</v>
      </c>
      <c r="C32" s="6">
        <v>0</v>
      </c>
    </row>
    <row r="33" spans="1:3" ht="15" customHeight="1">
      <c r="A33" s="1">
        <v>6</v>
      </c>
      <c r="B33" s="6">
        <v>0</v>
      </c>
      <c r="C33" s="6">
        <v>0</v>
      </c>
    </row>
    <row r="34" spans="1:3" ht="15" customHeight="1">
      <c r="A34" s="1">
        <v>7</v>
      </c>
      <c r="B34" s="6">
        <v>0</v>
      </c>
      <c r="C34" s="6">
        <v>0</v>
      </c>
    </row>
    <row r="35" spans="1:3" ht="15" customHeight="1">
      <c r="A35" s="1">
        <v>8</v>
      </c>
      <c r="B35" s="6">
        <v>0</v>
      </c>
      <c r="C35" s="6">
        <v>0</v>
      </c>
    </row>
    <row r="36" spans="1:3" ht="15" customHeight="1">
      <c r="A36" s="1">
        <v>9</v>
      </c>
      <c r="B36" s="6">
        <v>0</v>
      </c>
      <c r="C36" s="6">
        <v>0</v>
      </c>
    </row>
    <row r="37" spans="1:3" ht="15" customHeight="1">
      <c r="A37" s="1">
        <v>10</v>
      </c>
      <c r="B37" s="6">
        <v>0</v>
      </c>
      <c r="C37" s="6">
        <v>0</v>
      </c>
    </row>
    <row r="38" spans="1:3" ht="15" customHeight="1">
      <c r="A38" s="1">
        <v>11</v>
      </c>
      <c r="B38" s="6">
        <v>0</v>
      </c>
      <c r="C38" s="6">
        <v>0</v>
      </c>
    </row>
    <row r="39" spans="1:3" ht="15" customHeight="1">
      <c r="A39" s="1">
        <v>12</v>
      </c>
      <c r="B39" s="6">
        <v>0</v>
      </c>
      <c r="C39" s="6">
        <v>0</v>
      </c>
    </row>
    <row r="40" spans="1:3" ht="15" customHeight="1">
      <c r="A40" s="1">
        <v>13</v>
      </c>
      <c r="B40" s="6">
        <v>0</v>
      </c>
      <c r="C40" s="6">
        <v>0</v>
      </c>
    </row>
    <row r="41" spans="1:3" ht="15" customHeight="1">
      <c r="A41" s="1">
        <v>14</v>
      </c>
      <c r="B41" s="6">
        <v>0</v>
      </c>
      <c r="C41" s="6">
        <v>0</v>
      </c>
    </row>
    <row r="42" spans="1:3" ht="15" customHeight="1">
      <c r="A42" s="1">
        <v>15</v>
      </c>
      <c r="B42" s="6">
        <v>0</v>
      </c>
      <c r="C42" s="6">
        <v>0</v>
      </c>
    </row>
    <row r="43" spans="1:3" ht="15" customHeight="1">
      <c r="A43" s="1">
        <v>16</v>
      </c>
      <c r="B43" s="6">
        <v>0</v>
      </c>
      <c r="C43" s="6">
        <v>0</v>
      </c>
    </row>
  </sheetData>
  <phoneticPr fontId="0" type="noConversion"/>
  <pageMargins left="0.75" right="0.75" top="1" bottom="1" header="0.5" footer="0.5"/>
  <pageSetup paperSize="9" orientation="portrait" r:id="rId1"/>
  <headerFooter alignWithMargins="0"/>
  <legacyDrawing r:id="rId2"/>
  <controls>
    <control shapeId="1033" r:id="rId3" name="Browse1"/>
    <control shapeId="1034" r:id="rId4" name="Load"/>
    <control shapeId="1035" r:id="rId5" name="BrowseTouch"/>
    <control shapeId="1036" r:id="rId6" name="Browse2"/>
    <control shapeId="1037" r:id="rId7" name="Browse3"/>
    <control shapeId="1038" r:id="rId8" name="Browse4"/>
    <control shapeId="1039" r:id="rId9" name="Browse5"/>
    <control shapeId="1040" r:id="rId10" name="Browse6"/>
    <control shapeId="1041" r:id="rId11" name="Browse7"/>
    <control shapeId="1042" r:id="rId12" name="Browse8"/>
    <control shapeId="1043" r:id="rId13" name="Browse9"/>
    <control shapeId="1044" r:id="rId14" name="Browse10"/>
    <control shapeId="1059" r:id="rId15" name="BrowseSound1"/>
    <control shapeId="1060" r:id="rId16" name="BrowseSound2"/>
    <control shapeId="1061" r:id="rId17" name="BrowseSound3"/>
    <control shapeId="1062" r:id="rId18" name="BrowseSound4"/>
    <control shapeId="1063" r:id="rId19" name="BrowseSound5"/>
    <control shapeId="1064" r:id="rId20" name="BrowseSound6"/>
    <control shapeId="1065" r:id="rId21" name="BrowseSound7"/>
    <control shapeId="1066" r:id="rId22" name="BrowseSound8"/>
    <control shapeId="1067" r:id="rId23" name="BrowseSound9"/>
    <control shapeId="1068" r:id="rId24" name="BrowseSound10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I19"/>
  <sheetViews>
    <sheetView workbookViewId="0">
      <selection activeCell="J1" sqref="F1:J1048576"/>
    </sheetView>
  </sheetViews>
  <sheetFormatPr defaultRowHeight="12.75"/>
  <cols>
    <col min="2" max="2" width="3" bestFit="1" customWidth="1"/>
    <col min="7" max="9" width="9.140625" hidden="1" customWidth="1"/>
  </cols>
  <sheetData>
    <row r="1" spans="1:9">
      <c r="G1" s="7" t="s">
        <v>28</v>
      </c>
    </row>
    <row r="3" spans="1:9" ht="19.5">
      <c r="A3" s="8" t="s">
        <v>25</v>
      </c>
      <c r="B3" s="1"/>
      <c r="C3" s="1"/>
      <c r="D3" s="1"/>
      <c r="E3" s="5"/>
      <c r="F3" s="5"/>
    </row>
    <row r="4" spans="1:9">
      <c r="C4" s="4"/>
      <c r="D4" s="1"/>
      <c r="E4" s="5"/>
      <c r="F4" s="5"/>
      <c r="G4">
        <v>4</v>
      </c>
      <c r="I4" s="7" t="s">
        <v>26</v>
      </c>
    </row>
    <row r="5" spans="1:9">
      <c r="I5" s="7" t="s">
        <v>29</v>
      </c>
    </row>
    <row r="6" spans="1:9">
      <c r="I6" s="7" t="s">
        <v>30</v>
      </c>
    </row>
    <row r="7" spans="1:9">
      <c r="I7" s="7" t="s">
        <v>39</v>
      </c>
    </row>
    <row r="8" spans="1:9" ht="19.5">
      <c r="A8" s="8" t="s">
        <v>31</v>
      </c>
    </row>
    <row r="9" spans="1:9">
      <c r="G9" t="b">
        <v>0</v>
      </c>
    </row>
    <row r="10" spans="1:9">
      <c r="B10" s="1">
        <v>25</v>
      </c>
      <c r="C10" s="4" t="s">
        <v>18</v>
      </c>
      <c r="F10" s="7" t="s">
        <v>24</v>
      </c>
      <c r="G10" s="10">
        <f>B10/100</f>
        <v>0.25</v>
      </c>
    </row>
    <row r="11" spans="1:9">
      <c r="B11" s="1">
        <f>B10*SQRT(2)</f>
        <v>35.355339059327378</v>
      </c>
      <c r="C11" s="4" t="s">
        <v>32</v>
      </c>
      <c r="F11" s="7" t="s">
        <v>24</v>
      </c>
      <c r="G11" s="10">
        <f>B11/100</f>
        <v>0.35355339059327379</v>
      </c>
    </row>
    <row r="12" spans="1:9">
      <c r="B12" s="1"/>
      <c r="C12" s="4"/>
      <c r="F12" s="7"/>
      <c r="G12" s="9"/>
    </row>
    <row r="13" spans="1:9">
      <c r="B13" s="1"/>
      <c r="C13" s="4"/>
      <c r="F13" s="7"/>
      <c r="G13" s="9"/>
    </row>
    <row r="14" spans="1:9" ht="19.5">
      <c r="A14" s="8" t="s">
        <v>33</v>
      </c>
      <c r="G14" s="7"/>
    </row>
    <row r="15" spans="1:9">
      <c r="G15" t="b">
        <v>1</v>
      </c>
    </row>
    <row r="16" spans="1:9">
      <c r="B16" s="1"/>
      <c r="C16" s="4"/>
      <c r="F16" s="7"/>
      <c r="G16" s="9" t="b">
        <v>0</v>
      </c>
    </row>
    <row r="18" spans="1:7" ht="19.5">
      <c r="A18" s="8" t="s">
        <v>27</v>
      </c>
    </row>
    <row r="19" spans="1:7">
      <c r="G19" t="b">
        <v>0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2"/>
  <dimension ref="A1:B7"/>
  <sheetViews>
    <sheetView workbookViewId="0">
      <selection activeCell="A25" sqref="A25"/>
    </sheetView>
  </sheetViews>
  <sheetFormatPr defaultRowHeight="12.75"/>
  <cols>
    <col min="1" max="1" width="28.85546875" bestFit="1" customWidth="1"/>
    <col min="2" max="2" width="10.42578125" customWidth="1"/>
  </cols>
  <sheetData>
    <row r="1" spans="1:2">
      <c r="A1" t="s">
        <v>35</v>
      </c>
      <c r="B1" t="s">
        <v>34</v>
      </c>
    </row>
    <row r="2" spans="1:2">
      <c r="A2" t="s">
        <v>89</v>
      </c>
      <c r="B2" t="s">
        <v>90</v>
      </c>
    </row>
    <row r="3" spans="1:2">
      <c r="A3" t="s">
        <v>92</v>
      </c>
      <c r="B3" t="s">
        <v>90</v>
      </c>
    </row>
    <row r="4" spans="1:2">
      <c r="A4" t="s">
        <v>94</v>
      </c>
      <c r="B4" t="s">
        <v>90</v>
      </c>
    </row>
    <row r="5" spans="1:2">
      <c r="A5" t="s">
        <v>96</v>
      </c>
      <c r="B5" t="s">
        <v>90</v>
      </c>
    </row>
    <row r="6" spans="1:2">
      <c r="A6" t="s">
        <v>100</v>
      </c>
      <c r="B6" t="s">
        <v>90</v>
      </c>
    </row>
    <row r="7" spans="1:2">
      <c r="A7" t="s">
        <v>103</v>
      </c>
      <c r="B7" t="s">
        <v>104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4"/>
  <dimension ref="A1:BF153"/>
  <sheetViews>
    <sheetView workbookViewId="0">
      <pane xSplit="1" ySplit="2" topLeftCell="B3" activePane="bottomRight" state="frozenSplit"/>
      <selection pane="topRight" activeCell="B1" sqref="B1"/>
      <selection pane="bottomLeft" activeCell="A3" sqref="A3"/>
      <selection pane="bottomRight"/>
    </sheetView>
  </sheetViews>
  <sheetFormatPr defaultRowHeight="12.75"/>
  <cols>
    <col min="1" max="1" width="4" style="1" bestFit="1" customWidth="1"/>
    <col min="2" max="26" width="7" style="1" bestFit="1" customWidth="1"/>
    <col min="27" max="28" width="10.7109375" style="5" customWidth="1"/>
    <col min="29" max="29" width="10.7109375" style="14" customWidth="1"/>
    <col min="30" max="30" width="10.7109375" style="5" customWidth="1"/>
    <col min="31" max="31" width="3.5703125" style="1" bestFit="1" customWidth="1"/>
    <col min="32" max="32" width="3.28515625" style="5" customWidth="1"/>
    <col min="33" max="33" width="10.7109375" style="5" customWidth="1"/>
    <col min="34" max="34" width="3.28515625" style="5" customWidth="1"/>
    <col min="35" max="43" width="4" style="1" bestFit="1" customWidth="1"/>
    <col min="44" max="44" width="4.28515625" style="1" bestFit="1" customWidth="1"/>
    <col min="45" max="55" width="4" style="1" bestFit="1" customWidth="1"/>
    <col min="56" max="56" width="4.28515625" style="1" bestFit="1" customWidth="1"/>
    <col min="57" max="58" width="4" style="1" bestFit="1" customWidth="1"/>
    <col min="59" max="16384" width="9.140625" style="1"/>
  </cols>
  <sheetData>
    <row r="1" spans="1:58" s="5" customFormat="1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1">
        <v>12</v>
      </c>
      <c r="N1" s="12">
        <v>1</v>
      </c>
      <c r="O1" s="12">
        <v>2</v>
      </c>
      <c r="P1" s="12">
        <v>3</v>
      </c>
      <c r="Q1" s="12">
        <v>4</v>
      </c>
      <c r="R1" s="12">
        <v>5</v>
      </c>
      <c r="S1" s="12">
        <v>6</v>
      </c>
      <c r="T1" s="12">
        <v>7</v>
      </c>
      <c r="U1" s="12">
        <v>8</v>
      </c>
      <c r="V1" s="12">
        <v>9</v>
      </c>
      <c r="W1" s="12">
        <v>10</v>
      </c>
      <c r="X1" s="12">
        <v>11</v>
      </c>
      <c r="Y1" s="12">
        <v>12</v>
      </c>
      <c r="Z1" s="5" t="s">
        <v>47</v>
      </c>
      <c r="AA1" s="5" t="s">
        <v>48</v>
      </c>
      <c r="AB1" s="13" t="s">
        <v>49</v>
      </c>
      <c r="AC1" s="14" t="s">
        <v>50</v>
      </c>
      <c r="AD1" s="13" t="s">
        <v>51</v>
      </c>
      <c r="AG1" s="5" t="s">
        <v>52</v>
      </c>
    </row>
    <row r="2" spans="1:58" s="5" customFormat="1">
      <c r="B2" s="5">
        <v>1</v>
      </c>
      <c r="C2" s="5">
        <v>2</v>
      </c>
      <c r="D2" s="5">
        <v>3</v>
      </c>
      <c r="E2" s="5">
        <v>4</v>
      </c>
      <c r="F2" s="5">
        <v>5</v>
      </c>
      <c r="G2" s="5">
        <v>6</v>
      </c>
      <c r="H2" s="5">
        <v>7</v>
      </c>
      <c r="I2" s="5">
        <v>8</v>
      </c>
      <c r="J2" s="5">
        <v>9</v>
      </c>
      <c r="K2" s="5">
        <v>10</v>
      </c>
      <c r="L2" s="5">
        <v>11</v>
      </c>
      <c r="M2" s="5">
        <v>12</v>
      </c>
      <c r="N2" s="5">
        <v>13</v>
      </c>
      <c r="O2" s="5">
        <v>14</v>
      </c>
      <c r="P2" s="5">
        <v>15</v>
      </c>
      <c r="Q2" s="5">
        <v>16</v>
      </c>
      <c r="R2" s="5">
        <v>17</v>
      </c>
      <c r="S2" s="5">
        <v>18</v>
      </c>
      <c r="T2" s="5">
        <v>19</v>
      </c>
      <c r="U2" s="5">
        <v>20</v>
      </c>
      <c r="V2" s="5">
        <v>21</v>
      </c>
      <c r="W2" s="5">
        <v>22</v>
      </c>
      <c r="X2" s="5">
        <v>23</v>
      </c>
      <c r="Y2" s="5">
        <v>24</v>
      </c>
      <c r="AB2" s="13"/>
      <c r="AC2" s="14"/>
      <c r="AD2" s="13"/>
      <c r="AG2" s="5" t="s">
        <v>53</v>
      </c>
      <c r="AI2" s="15" t="s">
        <v>54</v>
      </c>
      <c r="AJ2" s="15" t="s">
        <v>55</v>
      </c>
      <c r="AK2" s="15" t="s">
        <v>56</v>
      </c>
      <c r="AL2" s="15" t="s">
        <v>57</v>
      </c>
      <c r="AM2" s="15" t="s">
        <v>58</v>
      </c>
      <c r="AN2" s="15" t="s">
        <v>59</v>
      </c>
      <c r="AO2" s="15" t="s">
        <v>60</v>
      </c>
      <c r="AP2" s="15" t="s">
        <v>61</v>
      </c>
      <c r="AQ2" s="15" t="s">
        <v>62</v>
      </c>
      <c r="AR2" s="15" t="s">
        <v>63</v>
      </c>
      <c r="AS2" s="15" t="s">
        <v>64</v>
      </c>
      <c r="AT2" s="15" t="s">
        <v>65</v>
      </c>
      <c r="AU2" s="15" t="s">
        <v>54</v>
      </c>
      <c r="AV2" s="15" t="s">
        <v>55</v>
      </c>
      <c r="AW2" s="15" t="s">
        <v>56</v>
      </c>
      <c r="AX2" s="15" t="s">
        <v>57</v>
      </c>
      <c r="AY2" s="15" t="s">
        <v>58</v>
      </c>
      <c r="AZ2" s="15" t="s">
        <v>59</v>
      </c>
      <c r="BA2" s="15" t="s">
        <v>60</v>
      </c>
      <c r="BB2" s="15" t="s">
        <v>61</v>
      </c>
      <c r="BC2" s="15" t="s">
        <v>62</v>
      </c>
      <c r="BD2" s="15" t="s">
        <v>63</v>
      </c>
      <c r="BE2" s="15" t="s">
        <v>64</v>
      </c>
      <c r="BF2" s="15" t="s">
        <v>65</v>
      </c>
    </row>
    <row r="3" spans="1:58">
      <c r="A3" s="1">
        <v>1</v>
      </c>
      <c r="B3" s="1">
        <v>58470</v>
      </c>
      <c r="C3" s="1">
        <v>58680</v>
      </c>
      <c r="D3" s="1">
        <v>58920</v>
      </c>
      <c r="E3" s="1">
        <v>59140</v>
      </c>
      <c r="F3" s="1">
        <v>59340</v>
      </c>
      <c r="G3" s="1">
        <v>59550</v>
      </c>
      <c r="H3" s="1">
        <v>59700</v>
      </c>
      <c r="I3" s="1">
        <v>59930</v>
      </c>
      <c r="J3" s="1">
        <v>60050</v>
      </c>
      <c r="K3" s="1">
        <v>60240</v>
      </c>
      <c r="L3" s="1">
        <v>60520</v>
      </c>
      <c r="M3" s="1">
        <v>60720</v>
      </c>
      <c r="N3" s="1">
        <v>60990</v>
      </c>
      <c r="O3" s="1">
        <v>61170</v>
      </c>
      <c r="P3" s="1">
        <v>61420</v>
      </c>
      <c r="Q3" s="1">
        <v>61630</v>
      </c>
      <c r="R3" s="1">
        <v>61820</v>
      </c>
      <c r="S3" s="1">
        <v>62050</v>
      </c>
      <c r="T3" s="1">
        <v>62200</v>
      </c>
      <c r="U3" s="1">
        <v>62430</v>
      </c>
      <c r="V3" s="1">
        <v>62650</v>
      </c>
      <c r="W3" s="1">
        <v>62860</v>
      </c>
      <c r="X3" s="1">
        <v>63090</v>
      </c>
      <c r="Y3" s="1">
        <v>63330</v>
      </c>
      <c r="Z3" s="1">
        <v>63800</v>
      </c>
      <c r="AA3" s="5">
        <f>AVERAGE(B3:Y3)</f>
        <v>60870.833333333336</v>
      </c>
      <c r="AG3" s="5" t="s">
        <v>50</v>
      </c>
      <c r="AI3" s="1">
        <f>C3-B3</f>
        <v>210</v>
      </c>
      <c r="AJ3" s="1">
        <f>D3-C3</f>
        <v>240</v>
      </c>
      <c r="AK3" s="1">
        <f>E3-D3</f>
        <v>220</v>
      </c>
      <c r="AL3" s="1">
        <f>F3-E3</f>
        <v>200</v>
      </c>
      <c r="AM3" s="1">
        <f>G3-F3</f>
        <v>210</v>
      </c>
      <c r="AN3" s="1">
        <f>H3-G3</f>
        <v>150</v>
      </c>
      <c r="AO3" s="1">
        <f>I3-H3</f>
        <v>230</v>
      </c>
      <c r="AP3" s="1">
        <f>J3-I3</f>
        <v>120</v>
      </c>
      <c r="AQ3" s="1">
        <f>K3-J3</f>
        <v>190</v>
      </c>
      <c r="AR3" s="1">
        <f>L3-K3</f>
        <v>280</v>
      </c>
      <c r="AS3" s="1">
        <f>M3-L3</f>
        <v>200</v>
      </c>
      <c r="AT3" s="1">
        <f>N3-M3</f>
        <v>270</v>
      </c>
      <c r="AU3" s="1">
        <f>O3-N3</f>
        <v>180</v>
      </c>
      <c r="AV3" s="1">
        <f>P3-O3</f>
        <v>250</v>
      </c>
      <c r="AW3" s="1">
        <f>Q3-P3</f>
        <v>210</v>
      </c>
      <c r="AX3" s="1">
        <f>R3-Q3</f>
        <v>190</v>
      </c>
      <c r="AY3" s="1">
        <f>S3-R3</f>
        <v>230</v>
      </c>
      <c r="AZ3" s="1">
        <f>T3-S3</f>
        <v>150</v>
      </c>
      <c r="BA3" s="1">
        <f>U3-T3</f>
        <v>230</v>
      </c>
      <c r="BB3" s="1">
        <f>V3-U3</f>
        <v>220</v>
      </c>
      <c r="BC3" s="1">
        <f>W3-V3</f>
        <v>210</v>
      </c>
      <c r="BD3" s="1">
        <f>X3-W3</f>
        <v>230</v>
      </c>
      <c r="BE3" s="1">
        <f>Y3-X3</f>
        <v>240</v>
      </c>
      <c r="BF3" s="1">
        <f>Z3-Y3</f>
        <v>470</v>
      </c>
    </row>
    <row r="4" spans="1:58">
      <c r="A4" s="1">
        <v>2</v>
      </c>
      <c r="B4" s="1">
        <v>63800</v>
      </c>
      <c r="C4" s="1">
        <v>64030</v>
      </c>
      <c r="D4" s="1">
        <v>64240</v>
      </c>
      <c r="E4" s="1">
        <v>64480</v>
      </c>
      <c r="F4" s="1">
        <v>64620</v>
      </c>
      <c r="G4" s="1">
        <v>64810</v>
      </c>
      <c r="H4" s="1">
        <v>65070</v>
      </c>
      <c r="I4" s="1">
        <v>65290</v>
      </c>
      <c r="J4" s="1">
        <v>65380</v>
      </c>
      <c r="K4" s="1">
        <v>65550</v>
      </c>
      <c r="L4" s="1">
        <v>65860</v>
      </c>
      <c r="M4" s="1">
        <v>66120</v>
      </c>
      <c r="N4" s="1">
        <v>66320</v>
      </c>
      <c r="O4" s="1">
        <v>66480</v>
      </c>
      <c r="P4" s="1">
        <v>66750</v>
      </c>
      <c r="Q4" s="1">
        <v>66930</v>
      </c>
      <c r="R4" s="1">
        <v>67200</v>
      </c>
      <c r="S4" s="1">
        <v>67370</v>
      </c>
      <c r="T4" s="1">
        <v>67420</v>
      </c>
      <c r="U4" s="1">
        <v>67770</v>
      </c>
      <c r="V4" s="1">
        <v>67870</v>
      </c>
      <c r="W4" s="1">
        <v>68170</v>
      </c>
      <c r="X4" s="1">
        <v>68350</v>
      </c>
      <c r="Y4" s="1">
        <v>68680</v>
      </c>
      <c r="Z4" s="1">
        <v>69100</v>
      </c>
      <c r="AA4" s="5">
        <f>AVERAGE(B4:Y4)</f>
        <v>66190</v>
      </c>
      <c r="AB4" s="5">
        <f>(AA5-AA3)/2</f>
        <v>5289.9999999999964</v>
      </c>
      <c r="AC4" s="14">
        <f>AB4/(23+AB151)</f>
        <v>211.92092035304816</v>
      </c>
      <c r="AD4" s="5">
        <f>AA4-AA3</f>
        <v>5319.1666666666642</v>
      </c>
      <c r="AG4" s="5">
        <f>Z4-Y4</f>
        <v>420</v>
      </c>
      <c r="AI4" s="1">
        <f>C4-B4</f>
        <v>230</v>
      </c>
      <c r="AJ4" s="1">
        <f>D4-C4</f>
        <v>210</v>
      </c>
      <c r="AK4" s="1">
        <f>E4-D4</f>
        <v>240</v>
      </c>
      <c r="AL4" s="1">
        <f>F4-E4</f>
        <v>140</v>
      </c>
      <c r="AM4" s="1">
        <f>G4-F4</f>
        <v>190</v>
      </c>
      <c r="AN4" s="1">
        <f>H4-G4</f>
        <v>260</v>
      </c>
      <c r="AO4" s="1">
        <f>I4-H4</f>
        <v>220</v>
      </c>
      <c r="AP4" s="1">
        <f>J4-I4</f>
        <v>90</v>
      </c>
      <c r="AQ4" s="1">
        <f>K4-J4</f>
        <v>170</v>
      </c>
      <c r="AR4" s="1">
        <f>L4-K4</f>
        <v>310</v>
      </c>
      <c r="AS4" s="1">
        <f>M4-L4</f>
        <v>260</v>
      </c>
      <c r="AT4" s="1">
        <f>N4-M4</f>
        <v>200</v>
      </c>
      <c r="AU4" s="1">
        <f>O4-N4</f>
        <v>160</v>
      </c>
      <c r="AV4" s="1">
        <f>P4-O4</f>
        <v>270</v>
      </c>
      <c r="AW4" s="1">
        <f>Q4-P4</f>
        <v>180</v>
      </c>
      <c r="AX4" s="1">
        <f>R4-Q4</f>
        <v>270</v>
      </c>
      <c r="AY4" s="1">
        <f>S4-R4</f>
        <v>170</v>
      </c>
      <c r="AZ4" s="1">
        <f>T4-S4</f>
        <v>50</v>
      </c>
      <c r="BA4" s="1">
        <f>U4-T4</f>
        <v>350</v>
      </c>
      <c r="BB4" s="1">
        <f>V4-U4</f>
        <v>100</v>
      </c>
      <c r="BC4" s="1">
        <f>W4-V4</f>
        <v>300</v>
      </c>
      <c r="BD4" s="1">
        <f>X4-W4</f>
        <v>180</v>
      </c>
      <c r="BE4" s="1">
        <f>Y4-X4</f>
        <v>330</v>
      </c>
      <c r="BF4" s="1">
        <f>Z4-Y4</f>
        <v>420</v>
      </c>
    </row>
    <row r="5" spans="1:58">
      <c r="A5" s="1">
        <v>3</v>
      </c>
      <c r="B5" s="1">
        <v>69100</v>
      </c>
      <c r="C5" s="1">
        <v>69280</v>
      </c>
      <c r="D5" s="1">
        <v>69480</v>
      </c>
      <c r="E5" s="1">
        <v>69730</v>
      </c>
      <c r="F5" s="1">
        <v>69920</v>
      </c>
      <c r="G5" s="1">
        <v>70150</v>
      </c>
      <c r="H5" s="1">
        <v>70220</v>
      </c>
      <c r="I5" s="1">
        <v>70460</v>
      </c>
      <c r="J5" s="1">
        <v>70690</v>
      </c>
      <c r="K5" s="1">
        <v>70840</v>
      </c>
      <c r="L5" s="1">
        <v>71160</v>
      </c>
      <c r="M5" s="1">
        <v>71370</v>
      </c>
      <c r="N5" s="1">
        <v>71640</v>
      </c>
      <c r="O5" s="1">
        <v>71810</v>
      </c>
      <c r="P5" s="1">
        <v>72030</v>
      </c>
      <c r="Q5" s="1">
        <v>72230</v>
      </c>
      <c r="R5" s="1">
        <v>72430</v>
      </c>
      <c r="S5" s="1">
        <v>72550</v>
      </c>
      <c r="T5" s="1">
        <v>72770</v>
      </c>
      <c r="U5" s="1">
        <v>72910</v>
      </c>
      <c r="V5" s="1">
        <v>73040</v>
      </c>
      <c r="W5" s="1">
        <v>73340</v>
      </c>
      <c r="X5" s="1">
        <v>73700</v>
      </c>
      <c r="Y5" s="1">
        <v>73970</v>
      </c>
      <c r="Z5" s="1">
        <v>74350</v>
      </c>
      <c r="AA5" s="5">
        <f>AVERAGE(B5:Y5)</f>
        <v>71450.833333333328</v>
      </c>
      <c r="AB5" s="5">
        <f>(AA6-AA4)/2</f>
        <v>5247.2916666666642</v>
      </c>
      <c r="AC5" s="14">
        <f>AB5/(23+AB151)</f>
        <v>210.20999609846507</v>
      </c>
      <c r="AD5" s="5">
        <f>AA5-AA4</f>
        <v>5260.8333333333285</v>
      </c>
      <c r="AE5" s="1">
        <f>AD5-AD4</f>
        <v>-58.333333333335759</v>
      </c>
      <c r="AG5" s="5">
        <f>Z5-Y5</f>
        <v>380</v>
      </c>
      <c r="AI5" s="1">
        <f>C5-B5</f>
        <v>180</v>
      </c>
      <c r="AJ5" s="1">
        <f>D5-C5</f>
        <v>200</v>
      </c>
      <c r="AK5" s="1">
        <f>E5-D5</f>
        <v>250</v>
      </c>
      <c r="AL5" s="1">
        <f>F5-E5</f>
        <v>190</v>
      </c>
      <c r="AM5" s="1">
        <f>G5-F5</f>
        <v>230</v>
      </c>
      <c r="AN5" s="1">
        <f>H5-G5</f>
        <v>70</v>
      </c>
      <c r="AO5" s="1">
        <f>I5-H5</f>
        <v>240</v>
      </c>
      <c r="AP5" s="1">
        <f>J5-I5</f>
        <v>230</v>
      </c>
      <c r="AQ5" s="1">
        <f>K5-J5</f>
        <v>150</v>
      </c>
      <c r="AR5" s="1">
        <f>L5-K5</f>
        <v>320</v>
      </c>
      <c r="AS5" s="1">
        <f>M5-L5</f>
        <v>210</v>
      </c>
      <c r="AT5" s="1">
        <f>N5-M5</f>
        <v>270</v>
      </c>
      <c r="AU5" s="1">
        <f>O5-N5</f>
        <v>170</v>
      </c>
      <c r="AV5" s="1">
        <f>P5-O5</f>
        <v>220</v>
      </c>
      <c r="AW5" s="1">
        <f>Q5-P5</f>
        <v>200</v>
      </c>
      <c r="AX5" s="1">
        <f>R5-Q5</f>
        <v>200</v>
      </c>
      <c r="AY5" s="1">
        <f>S5-R5</f>
        <v>120</v>
      </c>
      <c r="AZ5" s="1">
        <f>T5-S5</f>
        <v>220</v>
      </c>
      <c r="BA5" s="1">
        <f>U5-T5</f>
        <v>140</v>
      </c>
      <c r="BB5" s="1">
        <f>V5-U5</f>
        <v>130</v>
      </c>
      <c r="BC5" s="1">
        <f>W5-V5</f>
        <v>300</v>
      </c>
      <c r="BD5" s="1">
        <f>X5-W5</f>
        <v>360</v>
      </c>
      <c r="BE5" s="1">
        <f>Y5-X5</f>
        <v>270</v>
      </c>
      <c r="BF5" s="1">
        <f>Z5-Y5</f>
        <v>380</v>
      </c>
    </row>
    <row r="6" spans="1:58">
      <c r="A6" s="1">
        <v>4</v>
      </c>
      <c r="B6" s="1">
        <v>74350</v>
      </c>
      <c r="C6" s="1">
        <v>74550</v>
      </c>
      <c r="D6" s="1">
        <v>74740</v>
      </c>
      <c r="E6" s="1">
        <v>74970</v>
      </c>
      <c r="F6" s="1">
        <v>75100</v>
      </c>
      <c r="G6" s="1">
        <v>75350</v>
      </c>
      <c r="H6" s="1">
        <v>75510</v>
      </c>
      <c r="I6" s="1">
        <v>75690</v>
      </c>
      <c r="J6" s="1">
        <v>75860</v>
      </c>
      <c r="K6" s="1">
        <v>76100</v>
      </c>
      <c r="L6" s="1">
        <v>76380</v>
      </c>
      <c r="M6" s="1">
        <v>76510</v>
      </c>
      <c r="N6" s="1">
        <v>76800</v>
      </c>
      <c r="O6" s="1">
        <v>77000</v>
      </c>
      <c r="P6" s="1">
        <v>77300</v>
      </c>
      <c r="Q6" s="1">
        <v>77520</v>
      </c>
      <c r="R6" s="1">
        <v>77650</v>
      </c>
      <c r="S6" s="1">
        <v>77860</v>
      </c>
      <c r="T6" s="1">
        <v>78070</v>
      </c>
      <c r="U6" s="1">
        <v>78190</v>
      </c>
      <c r="V6" s="1">
        <v>78340</v>
      </c>
      <c r="W6" s="1">
        <v>78740</v>
      </c>
      <c r="X6" s="1">
        <v>78800</v>
      </c>
      <c r="Y6" s="1">
        <v>79050</v>
      </c>
      <c r="Z6" s="1">
        <v>79520</v>
      </c>
      <c r="AA6" s="5">
        <f>AVERAGE(B6:Y6)</f>
        <v>76684.583333333328</v>
      </c>
      <c r="AB6" s="5">
        <f>(AA7-AA5)/2</f>
        <v>5256.4583333333358</v>
      </c>
      <c r="AC6" s="14">
        <f>AB6/(23+AB151)</f>
        <v>210.57721886530263</v>
      </c>
      <c r="AD6" s="5">
        <f>AA6-AA5</f>
        <v>5233.75</v>
      </c>
      <c r="AE6" s="1">
        <f>AD6-AD5</f>
        <v>-27.083333333328483</v>
      </c>
      <c r="AG6" s="5">
        <f>Z6-Y6</f>
        <v>470</v>
      </c>
      <c r="AI6" s="1">
        <f>C6-B6</f>
        <v>200</v>
      </c>
      <c r="AJ6" s="1">
        <f>D6-C6</f>
        <v>190</v>
      </c>
      <c r="AK6" s="1">
        <f>E6-D6</f>
        <v>230</v>
      </c>
      <c r="AL6" s="1">
        <f>F6-E6</f>
        <v>130</v>
      </c>
      <c r="AM6" s="1">
        <f>G6-F6</f>
        <v>250</v>
      </c>
      <c r="AN6" s="1">
        <f>H6-G6</f>
        <v>160</v>
      </c>
      <c r="AO6" s="1">
        <f>I6-H6</f>
        <v>180</v>
      </c>
      <c r="AP6" s="1">
        <f>J6-I6</f>
        <v>170</v>
      </c>
      <c r="AQ6" s="1">
        <f>K6-J6</f>
        <v>240</v>
      </c>
      <c r="AR6" s="1">
        <f>L6-K6</f>
        <v>280</v>
      </c>
      <c r="AS6" s="1">
        <f>M6-L6</f>
        <v>130</v>
      </c>
      <c r="AT6" s="1">
        <f>N6-M6</f>
        <v>290</v>
      </c>
      <c r="AU6" s="1">
        <f>O6-N6</f>
        <v>200</v>
      </c>
      <c r="AV6" s="1">
        <f>P6-O6</f>
        <v>300</v>
      </c>
      <c r="AW6" s="1">
        <f>Q6-P6</f>
        <v>220</v>
      </c>
      <c r="AX6" s="1">
        <f>R6-Q6</f>
        <v>130</v>
      </c>
      <c r="AY6" s="1">
        <f>S6-R6</f>
        <v>210</v>
      </c>
      <c r="AZ6" s="1">
        <f>T6-S6</f>
        <v>210</v>
      </c>
      <c r="BA6" s="1">
        <f>U6-T6</f>
        <v>120</v>
      </c>
      <c r="BB6" s="1">
        <f>V6-U6</f>
        <v>150</v>
      </c>
      <c r="BC6" s="1">
        <f>W6-V6</f>
        <v>400</v>
      </c>
      <c r="BD6" s="1">
        <f>X6-W6</f>
        <v>60</v>
      </c>
      <c r="BE6" s="1">
        <f>Y6-X6</f>
        <v>250</v>
      </c>
      <c r="BF6" s="1">
        <f>Z6-Y6</f>
        <v>470</v>
      </c>
    </row>
    <row r="7" spans="1:58">
      <c r="A7" s="1">
        <v>5</v>
      </c>
      <c r="B7" s="1">
        <v>79520</v>
      </c>
      <c r="C7" s="1">
        <v>79740</v>
      </c>
      <c r="D7" s="1">
        <v>79980</v>
      </c>
      <c r="E7" s="1">
        <v>80230</v>
      </c>
      <c r="F7" s="1">
        <v>80390</v>
      </c>
      <c r="G7" s="1">
        <v>80570</v>
      </c>
      <c r="H7" s="1">
        <v>80800</v>
      </c>
      <c r="I7" s="1">
        <v>81010</v>
      </c>
      <c r="J7" s="1">
        <v>81260</v>
      </c>
      <c r="K7" s="1">
        <v>81460</v>
      </c>
      <c r="L7" s="1">
        <v>81650</v>
      </c>
      <c r="M7" s="1">
        <v>81830</v>
      </c>
      <c r="N7" s="1">
        <v>82040</v>
      </c>
      <c r="O7" s="1">
        <v>82230</v>
      </c>
      <c r="P7" s="1">
        <v>82490</v>
      </c>
      <c r="Q7" s="1">
        <v>82730</v>
      </c>
      <c r="R7" s="1">
        <v>82920</v>
      </c>
      <c r="S7" s="1">
        <v>83090</v>
      </c>
      <c r="T7" s="1">
        <v>83300</v>
      </c>
      <c r="U7" s="1">
        <v>83500</v>
      </c>
      <c r="V7" s="1">
        <v>83720</v>
      </c>
      <c r="W7" s="1">
        <v>84100</v>
      </c>
      <c r="X7" s="1">
        <v>84190</v>
      </c>
      <c r="Y7" s="1">
        <v>84380</v>
      </c>
      <c r="Z7" s="1">
        <v>84800</v>
      </c>
      <c r="AA7" s="5">
        <f>AVERAGE(B7:Y7)</f>
        <v>81963.75</v>
      </c>
      <c r="AB7" s="5">
        <f>(AA8-AA6)/2</f>
        <v>5260.2083333333358</v>
      </c>
      <c r="AC7" s="14">
        <f>AB7/(23+AB151)</f>
        <v>210.727446360827</v>
      </c>
      <c r="AD7" s="5">
        <f>AA7-AA6</f>
        <v>5279.1666666666715</v>
      </c>
      <c r="AE7" s="1">
        <f>AD7-AD6</f>
        <v>45.416666666671517</v>
      </c>
      <c r="AG7" s="5">
        <f>Z7-Y7</f>
        <v>420</v>
      </c>
      <c r="AI7" s="1">
        <f>C7-B7</f>
        <v>220</v>
      </c>
      <c r="AJ7" s="1">
        <f>D7-C7</f>
        <v>240</v>
      </c>
      <c r="AK7" s="1">
        <f>E7-D7</f>
        <v>250</v>
      </c>
      <c r="AL7" s="1">
        <f>F7-E7</f>
        <v>160</v>
      </c>
      <c r="AM7" s="1">
        <f>G7-F7</f>
        <v>180</v>
      </c>
      <c r="AN7" s="1">
        <f>H7-G7</f>
        <v>230</v>
      </c>
      <c r="AO7" s="1">
        <f>I7-H7</f>
        <v>210</v>
      </c>
      <c r="AP7" s="1">
        <f>J7-I7</f>
        <v>250</v>
      </c>
      <c r="AQ7" s="1">
        <f>K7-J7</f>
        <v>200</v>
      </c>
      <c r="AR7" s="1">
        <f>L7-K7</f>
        <v>190</v>
      </c>
      <c r="AS7" s="1">
        <f>M7-L7</f>
        <v>180</v>
      </c>
      <c r="AT7" s="1">
        <f>N7-M7</f>
        <v>210</v>
      </c>
      <c r="AU7" s="1">
        <f>O7-N7</f>
        <v>190</v>
      </c>
      <c r="AV7" s="1">
        <f>P7-O7</f>
        <v>260</v>
      </c>
      <c r="AW7" s="1">
        <f>Q7-P7</f>
        <v>240</v>
      </c>
      <c r="AX7" s="1">
        <f>R7-Q7</f>
        <v>190</v>
      </c>
      <c r="AY7" s="1">
        <f>S7-R7</f>
        <v>170</v>
      </c>
      <c r="AZ7" s="1">
        <f>T7-S7</f>
        <v>210</v>
      </c>
      <c r="BA7" s="1">
        <f>U7-T7</f>
        <v>200</v>
      </c>
      <c r="BB7" s="1">
        <f>V7-U7</f>
        <v>220</v>
      </c>
      <c r="BC7" s="1">
        <f>W7-V7</f>
        <v>380</v>
      </c>
      <c r="BD7" s="1">
        <f>X7-W7</f>
        <v>90</v>
      </c>
      <c r="BE7" s="1">
        <f>Y7-X7</f>
        <v>190</v>
      </c>
      <c r="BF7" s="1">
        <f>Z7-Y7</f>
        <v>420</v>
      </c>
    </row>
    <row r="8" spans="1:58">
      <c r="A8" s="1">
        <v>6</v>
      </c>
      <c r="B8" s="1">
        <v>84800</v>
      </c>
      <c r="C8" s="1">
        <v>84960</v>
      </c>
      <c r="D8" s="1">
        <v>85190</v>
      </c>
      <c r="E8" s="1">
        <v>85440</v>
      </c>
      <c r="F8" s="1">
        <v>85620</v>
      </c>
      <c r="G8" s="1">
        <v>85840</v>
      </c>
      <c r="H8" s="1">
        <v>86030</v>
      </c>
      <c r="I8" s="1">
        <v>86290</v>
      </c>
      <c r="J8" s="1">
        <v>86570</v>
      </c>
      <c r="K8" s="1">
        <v>86720</v>
      </c>
      <c r="L8" s="1">
        <v>86840</v>
      </c>
      <c r="M8" s="1">
        <v>87090</v>
      </c>
      <c r="N8" s="1">
        <v>87310</v>
      </c>
      <c r="O8" s="1">
        <v>87530</v>
      </c>
      <c r="P8" s="1">
        <v>87690</v>
      </c>
      <c r="Q8" s="1">
        <v>87970</v>
      </c>
      <c r="R8" s="1">
        <v>88180</v>
      </c>
      <c r="S8" s="1">
        <v>88310</v>
      </c>
      <c r="T8" s="1">
        <v>88520</v>
      </c>
      <c r="U8" s="1">
        <v>88830</v>
      </c>
      <c r="V8" s="1">
        <v>89030</v>
      </c>
      <c r="W8" s="1">
        <v>89220</v>
      </c>
      <c r="X8" s="1">
        <v>89320</v>
      </c>
      <c r="Y8" s="1">
        <v>89620</v>
      </c>
      <c r="Z8" s="1">
        <v>90040</v>
      </c>
      <c r="AA8" s="5">
        <f>AVERAGE(B8:Y8)</f>
        <v>87205</v>
      </c>
      <c r="AB8" s="5">
        <f>(AA9-AA7)/2</f>
        <v>5251.6666666666642</v>
      </c>
      <c r="AC8" s="14">
        <f>AB8/(23+AB151)</f>
        <v>210.38526150991018</v>
      </c>
      <c r="AD8" s="5">
        <f>AA8-AA7</f>
        <v>5241.25</v>
      </c>
      <c r="AE8" s="1">
        <f>AD8-AD7</f>
        <v>-37.916666666671517</v>
      </c>
      <c r="AG8" s="5">
        <f>Z8-Y8</f>
        <v>420</v>
      </c>
      <c r="AI8" s="1">
        <f>C8-B8</f>
        <v>160</v>
      </c>
      <c r="AJ8" s="1">
        <f>D8-C8</f>
        <v>230</v>
      </c>
      <c r="AK8" s="1">
        <f>E8-D8</f>
        <v>250</v>
      </c>
      <c r="AL8" s="1">
        <f>F8-E8</f>
        <v>180</v>
      </c>
      <c r="AM8" s="1">
        <f>G8-F8</f>
        <v>220</v>
      </c>
      <c r="AN8" s="1">
        <f>H8-G8</f>
        <v>190</v>
      </c>
      <c r="AO8" s="1">
        <f>I8-H8</f>
        <v>260</v>
      </c>
      <c r="AP8" s="1">
        <f>J8-I8</f>
        <v>280</v>
      </c>
      <c r="AQ8" s="1">
        <f>K8-J8</f>
        <v>150</v>
      </c>
      <c r="AR8" s="1">
        <f>L8-K8</f>
        <v>120</v>
      </c>
      <c r="AS8" s="1">
        <f>M8-L8</f>
        <v>250</v>
      </c>
      <c r="AT8" s="1">
        <f>N8-M8</f>
        <v>220</v>
      </c>
      <c r="AU8" s="1">
        <f>O8-N8</f>
        <v>220</v>
      </c>
      <c r="AV8" s="1">
        <f>P8-O8</f>
        <v>160</v>
      </c>
      <c r="AW8" s="1">
        <f>Q8-P8</f>
        <v>280</v>
      </c>
      <c r="AX8" s="1">
        <f>R8-Q8</f>
        <v>210</v>
      </c>
      <c r="AY8" s="1">
        <f>S8-R8</f>
        <v>130</v>
      </c>
      <c r="AZ8" s="1">
        <f>T8-S8</f>
        <v>210</v>
      </c>
      <c r="BA8" s="1">
        <f>U8-T8</f>
        <v>310</v>
      </c>
      <c r="BB8" s="1">
        <f>V8-U8</f>
        <v>200</v>
      </c>
      <c r="BC8" s="1">
        <f>W8-V8</f>
        <v>190</v>
      </c>
      <c r="BD8" s="1">
        <f>X8-W8</f>
        <v>100</v>
      </c>
      <c r="BE8" s="1">
        <f>Y8-X8</f>
        <v>300</v>
      </c>
      <c r="BF8" s="1">
        <f>Z8-Y8</f>
        <v>420</v>
      </c>
    </row>
    <row r="9" spans="1:58">
      <c r="A9" s="1">
        <v>7</v>
      </c>
      <c r="B9" s="1">
        <v>90040</v>
      </c>
      <c r="C9" s="1">
        <v>90250</v>
      </c>
      <c r="D9" s="1">
        <v>90530</v>
      </c>
      <c r="E9" s="1">
        <v>90670</v>
      </c>
      <c r="F9" s="1">
        <v>90920</v>
      </c>
      <c r="G9" s="1">
        <v>91140</v>
      </c>
      <c r="H9" s="1">
        <v>91310</v>
      </c>
      <c r="I9" s="1">
        <v>91470</v>
      </c>
      <c r="J9" s="1">
        <v>91710</v>
      </c>
      <c r="K9" s="1">
        <v>91960</v>
      </c>
      <c r="L9" s="1">
        <v>92090</v>
      </c>
      <c r="M9" s="1">
        <v>92380</v>
      </c>
      <c r="N9" s="1">
        <v>92600</v>
      </c>
      <c r="O9" s="1">
        <v>92700</v>
      </c>
      <c r="P9" s="1">
        <v>92930</v>
      </c>
      <c r="Q9" s="1">
        <v>93240</v>
      </c>
      <c r="R9" s="1">
        <v>93420</v>
      </c>
      <c r="S9" s="1">
        <v>93640</v>
      </c>
      <c r="T9" s="1">
        <v>93910</v>
      </c>
      <c r="U9" s="1">
        <v>94030</v>
      </c>
      <c r="V9" s="1">
        <v>94260</v>
      </c>
      <c r="W9" s="1">
        <v>94420</v>
      </c>
      <c r="X9" s="1">
        <v>94680</v>
      </c>
      <c r="Y9" s="1">
        <v>94910</v>
      </c>
      <c r="Z9" s="1">
        <v>95250</v>
      </c>
      <c r="AA9" s="5">
        <f>AVERAGE(B9:Y9)</f>
        <v>92467.083333333328</v>
      </c>
      <c r="AB9" s="5">
        <f>(AA10-AA8)/2</f>
        <v>5255.4166666666642</v>
      </c>
      <c r="AC9" s="14">
        <f>AB9/(23+AB151)</f>
        <v>210.53548900543456</v>
      </c>
      <c r="AD9" s="5">
        <f>AA9-AA8</f>
        <v>5262.0833333333285</v>
      </c>
      <c r="AE9" s="1">
        <f>AD9-AD8</f>
        <v>20.833333333328483</v>
      </c>
      <c r="AG9" s="5">
        <f>Z9-Y9</f>
        <v>340</v>
      </c>
      <c r="AI9" s="1">
        <f>C9-B9</f>
        <v>210</v>
      </c>
      <c r="AJ9" s="1">
        <f>D9-C9</f>
        <v>280</v>
      </c>
      <c r="AK9" s="1">
        <f>E9-D9</f>
        <v>140</v>
      </c>
      <c r="AL9" s="1">
        <f>F9-E9</f>
        <v>250</v>
      </c>
      <c r="AM9" s="1">
        <f>G9-F9</f>
        <v>220</v>
      </c>
      <c r="AN9" s="1">
        <f>H9-G9</f>
        <v>170</v>
      </c>
      <c r="AO9" s="1">
        <f>I9-H9</f>
        <v>160</v>
      </c>
      <c r="AP9" s="1">
        <f>J9-I9</f>
        <v>240</v>
      </c>
      <c r="AQ9" s="1">
        <f>K9-J9</f>
        <v>250</v>
      </c>
      <c r="AR9" s="1">
        <f>L9-K9</f>
        <v>130</v>
      </c>
      <c r="AS9" s="1">
        <f>M9-L9</f>
        <v>290</v>
      </c>
      <c r="AT9" s="1">
        <f>N9-M9</f>
        <v>220</v>
      </c>
      <c r="AU9" s="1">
        <f>O9-N9</f>
        <v>100</v>
      </c>
      <c r="AV9" s="1">
        <f>P9-O9</f>
        <v>230</v>
      </c>
      <c r="AW9" s="1">
        <f>Q9-P9</f>
        <v>310</v>
      </c>
      <c r="AX9" s="1">
        <f>R9-Q9</f>
        <v>180</v>
      </c>
      <c r="AY9" s="1">
        <f>S9-R9</f>
        <v>220</v>
      </c>
      <c r="AZ9" s="1">
        <f>T9-S9</f>
        <v>270</v>
      </c>
      <c r="BA9" s="1">
        <f>U9-T9</f>
        <v>120</v>
      </c>
      <c r="BB9" s="1">
        <f>V9-U9</f>
        <v>230</v>
      </c>
      <c r="BC9" s="1">
        <f>W9-V9</f>
        <v>160</v>
      </c>
      <c r="BD9" s="1">
        <f>X9-W9</f>
        <v>260</v>
      </c>
      <c r="BE9" s="1">
        <f>Y9-X9</f>
        <v>230</v>
      </c>
      <c r="BF9" s="1">
        <f>Z9-Y9</f>
        <v>340</v>
      </c>
    </row>
    <row r="10" spans="1:58">
      <c r="A10" s="1">
        <v>8</v>
      </c>
      <c r="B10" s="1">
        <v>95250</v>
      </c>
      <c r="C10" s="1">
        <v>95480</v>
      </c>
      <c r="D10" s="1">
        <v>95750</v>
      </c>
      <c r="E10" s="1">
        <v>95950</v>
      </c>
      <c r="F10" s="1">
        <v>96190</v>
      </c>
      <c r="G10" s="1">
        <v>96370</v>
      </c>
      <c r="H10" s="1">
        <v>96580</v>
      </c>
      <c r="I10" s="1">
        <v>96740</v>
      </c>
      <c r="J10" s="1">
        <v>96900</v>
      </c>
      <c r="K10" s="1">
        <v>97180</v>
      </c>
      <c r="L10" s="1">
        <v>97350</v>
      </c>
      <c r="M10" s="1">
        <v>97630</v>
      </c>
      <c r="N10" s="1">
        <v>97850</v>
      </c>
      <c r="O10" s="1">
        <v>98080</v>
      </c>
      <c r="P10" s="1">
        <v>98250</v>
      </c>
      <c r="Q10" s="1">
        <v>98520</v>
      </c>
      <c r="R10" s="1">
        <v>98670</v>
      </c>
      <c r="S10" s="1">
        <v>98880</v>
      </c>
      <c r="T10" s="1">
        <v>99060</v>
      </c>
      <c r="U10" s="1">
        <v>99310</v>
      </c>
      <c r="V10" s="1">
        <v>99520</v>
      </c>
      <c r="W10" s="1">
        <v>99680</v>
      </c>
      <c r="X10" s="1">
        <v>99910</v>
      </c>
      <c r="Y10" s="1">
        <v>100080</v>
      </c>
      <c r="Z10" s="1">
        <v>100540</v>
      </c>
      <c r="AA10" s="5">
        <f>AVERAGE(B10:Y10)</f>
        <v>97715.833333333328</v>
      </c>
      <c r="AB10" s="5">
        <f>(AA11-AA9)/2</f>
        <v>5249.7916666666715</v>
      </c>
      <c r="AC10" s="14">
        <f>AB10/(23+AB151)</f>
        <v>210.31014776214829</v>
      </c>
      <c r="AD10" s="5">
        <f>AA10-AA9</f>
        <v>5248.75</v>
      </c>
      <c r="AE10" s="1">
        <f>AD10-AD9</f>
        <v>-13.333333333328483</v>
      </c>
      <c r="AG10" s="5">
        <f>Z10-Y10</f>
        <v>460</v>
      </c>
      <c r="AI10" s="1">
        <f>C10-B10</f>
        <v>230</v>
      </c>
      <c r="AJ10" s="1">
        <f>D10-C10</f>
        <v>270</v>
      </c>
      <c r="AK10" s="1">
        <f>E10-D10</f>
        <v>200</v>
      </c>
      <c r="AL10" s="1">
        <f>F10-E10</f>
        <v>240</v>
      </c>
      <c r="AM10" s="1">
        <f>G10-F10</f>
        <v>180</v>
      </c>
      <c r="AN10" s="1">
        <f>H10-G10</f>
        <v>210</v>
      </c>
      <c r="AO10" s="1">
        <f>I10-H10</f>
        <v>160</v>
      </c>
      <c r="AP10" s="1">
        <f>J10-I10</f>
        <v>160</v>
      </c>
      <c r="AQ10" s="1">
        <f>K10-J10</f>
        <v>280</v>
      </c>
      <c r="AR10" s="1">
        <f>L10-K10</f>
        <v>170</v>
      </c>
      <c r="AS10" s="1">
        <f>M10-L10</f>
        <v>280</v>
      </c>
      <c r="AT10" s="1">
        <f>N10-M10</f>
        <v>220</v>
      </c>
      <c r="AU10" s="1">
        <f>O10-N10</f>
        <v>230</v>
      </c>
      <c r="AV10" s="1">
        <f>P10-O10</f>
        <v>170</v>
      </c>
      <c r="AW10" s="1">
        <f>Q10-P10</f>
        <v>270</v>
      </c>
      <c r="AX10" s="1">
        <f>R10-Q10</f>
        <v>150</v>
      </c>
      <c r="AY10" s="1">
        <f>S10-R10</f>
        <v>210</v>
      </c>
      <c r="AZ10" s="1">
        <f>T10-S10</f>
        <v>180</v>
      </c>
      <c r="BA10" s="1">
        <f>U10-T10</f>
        <v>250</v>
      </c>
      <c r="BB10" s="1">
        <f>V10-U10</f>
        <v>210</v>
      </c>
      <c r="BC10" s="1">
        <f>W10-V10</f>
        <v>160</v>
      </c>
      <c r="BD10" s="1">
        <f>X10-W10</f>
        <v>230</v>
      </c>
      <c r="BE10" s="1">
        <f>Y10-X10</f>
        <v>170</v>
      </c>
      <c r="BF10" s="1">
        <f>Z10-Y10</f>
        <v>460</v>
      </c>
    </row>
    <row r="11" spans="1:58">
      <c r="A11" s="1">
        <v>9</v>
      </c>
      <c r="B11" s="1">
        <v>100540</v>
      </c>
      <c r="C11" s="1">
        <v>100690</v>
      </c>
      <c r="D11" s="1">
        <v>101070</v>
      </c>
      <c r="E11" s="1">
        <v>101240</v>
      </c>
      <c r="F11" s="1">
        <v>101460</v>
      </c>
      <c r="G11" s="1">
        <v>101530</v>
      </c>
      <c r="H11" s="1">
        <v>101850</v>
      </c>
      <c r="I11" s="1">
        <v>102020</v>
      </c>
      <c r="J11" s="1">
        <v>102190</v>
      </c>
      <c r="K11" s="1">
        <v>102380</v>
      </c>
      <c r="L11" s="1">
        <v>102600</v>
      </c>
      <c r="M11" s="1">
        <v>102900</v>
      </c>
      <c r="N11" s="1">
        <v>103110</v>
      </c>
      <c r="O11" s="1">
        <v>103330</v>
      </c>
      <c r="P11" s="1">
        <v>103500</v>
      </c>
      <c r="Q11" s="1">
        <v>103740</v>
      </c>
      <c r="R11" s="1">
        <v>103920</v>
      </c>
      <c r="S11" s="1">
        <v>104080</v>
      </c>
      <c r="T11" s="1">
        <v>104330</v>
      </c>
      <c r="U11" s="1">
        <v>104460</v>
      </c>
      <c r="V11" s="1">
        <v>104710</v>
      </c>
      <c r="W11" s="1">
        <v>104940</v>
      </c>
      <c r="X11" s="1">
        <v>105170</v>
      </c>
      <c r="Y11" s="1">
        <v>105440</v>
      </c>
      <c r="Z11" s="1">
        <v>105850</v>
      </c>
      <c r="AA11" s="5">
        <f>AVERAGE(B11:Y11)</f>
        <v>102966.66666666667</v>
      </c>
      <c r="AB11" s="5">
        <f>(AA12-AA10)/2</f>
        <v>5245.8333333333358</v>
      </c>
      <c r="AC11" s="14">
        <f>AB11/(23+AB151)</f>
        <v>210.15157429465023</v>
      </c>
      <c r="AD11" s="5">
        <f>AA11-AA10</f>
        <v>5250.833333333343</v>
      </c>
      <c r="AE11" s="1">
        <f>AD11-AD10</f>
        <v>2.0833333333430346</v>
      </c>
      <c r="AG11" s="5">
        <f>Z11-Y11</f>
        <v>410</v>
      </c>
      <c r="AI11" s="1">
        <f>C11-B11</f>
        <v>150</v>
      </c>
      <c r="AJ11" s="1">
        <f>D11-C11</f>
        <v>380</v>
      </c>
      <c r="AK11" s="1">
        <f>E11-D11</f>
        <v>170</v>
      </c>
      <c r="AL11" s="1">
        <f>F11-E11</f>
        <v>220</v>
      </c>
      <c r="AM11" s="1">
        <f>G11-F11</f>
        <v>70</v>
      </c>
      <c r="AN11" s="1">
        <f>H11-G11</f>
        <v>320</v>
      </c>
      <c r="AO11" s="1">
        <f>I11-H11</f>
        <v>170</v>
      </c>
      <c r="AP11" s="1">
        <f>J11-I11</f>
        <v>170</v>
      </c>
      <c r="AQ11" s="1">
        <f>K11-J11</f>
        <v>190</v>
      </c>
      <c r="AR11" s="1">
        <f>L11-K11</f>
        <v>220</v>
      </c>
      <c r="AS11" s="1">
        <f>M11-L11</f>
        <v>300</v>
      </c>
      <c r="AT11" s="1">
        <f>N11-M11</f>
        <v>210</v>
      </c>
      <c r="AU11" s="1">
        <f>O11-N11</f>
        <v>220</v>
      </c>
      <c r="AV11" s="1">
        <f>P11-O11</f>
        <v>170</v>
      </c>
      <c r="AW11" s="1">
        <f>Q11-P11</f>
        <v>240</v>
      </c>
      <c r="AX11" s="1">
        <f>R11-Q11</f>
        <v>180</v>
      </c>
      <c r="AY11" s="1">
        <f>S11-R11</f>
        <v>160</v>
      </c>
      <c r="AZ11" s="1">
        <f>T11-S11</f>
        <v>250</v>
      </c>
      <c r="BA11" s="1">
        <f>U11-T11</f>
        <v>130</v>
      </c>
      <c r="BB11" s="1">
        <f>V11-U11</f>
        <v>250</v>
      </c>
      <c r="BC11" s="1">
        <f>W11-V11</f>
        <v>230</v>
      </c>
      <c r="BD11" s="1">
        <f>X11-W11</f>
        <v>230</v>
      </c>
      <c r="BE11" s="1">
        <f>Y11-X11</f>
        <v>270</v>
      </c>
      <c r="BF11" s="1">
        <f>Z11-Y11</f>
        <v>410</v>
      </c>
    </row>
    <row r="12" spans="1:58">
      <c r="A12" s="1">
        <v>10</v>
      </c>
      <c r="B12" s="1">
        <v>105850</v>
      </c>
      <c r="C12" s="1">
        <v>105930</v>
      </c>
      <c r="D12" s="1">
        <v>106250</v>
      </c>
      <c r="E12" s="1">
        <v>106450</v>
      </c>
      <c r="F12" s="1">
        <v>106640</v>
      </c>
      <c r="G12" s="1">
        <v>106810</v>
      </c>
      <c r="H12" s="1">
        <v>106980</v>
      </c>
      <c r="I12" s="1">
        <v>107220</v>
      </c>
      <c r="J12" s="1">
        <v>107420</v>
      </c>
      <c r="K12" s="1">
        <v>107600</v>
      </c>
      <c r="L12" s="1">
        <v>107880</v>
      </c>
      <c r="M12" s="1">
        <v>108160</v>
      </c>
      <c r="N12" s="1">
        <v>108390</v>
      </c>
      <c r="O12" s="1">
        <v>108560</v>
      </c>
      <c r="P12" s="1">
        <v>108770</v>
      </c>
      <c r="Q12" s="1">
        <v>108950</v>
      </c>
      <c r="R12" s="1">
        <v>109210</v>
      </c>
      <c r="S12" s="1">
        <v>109310</v>
      </c>
      <c r="T12" s="1">
        <v>109510</v>
      </c>
      <c r="U12" s="1">
        <v>109730</v>
      </c>
      <c r="V12" s="1">
        <v>109980</v>
      </c>
      <c r="W12" s="1">
        <v>110290</v>
      </c>
      <c r="X12" s="1">
        <v>110460</v>
      </c>
      <c r="Y12" s="1">
        <v>110630</v>
      </c>
      <c r="Z12" s="1">
        <v>111080</v>
      </c>
      <c r="AA12" s="5">
        <f>AVERAGE(B12:Y12)</f>
        <v>108207.5</v>
      </c>
      <c r="AB12" s="5">
        <f>(AA13-AA11)/2</f>
        <v>5236.6666666666642</v>
      </c>
      <c r="AC12" s="14">
        <f>AB12/(23+AB151)</f>
        <v>209.7843515278127</v>
      </c>
      <c r="AD12" s="5">
        <f>AA12-AA11</f>
        <v>5240.8333333333285</v>
      </c>
      <c r="AE12" s="1">
        <f>AD12-AD11</f>
        <v>-10.000000000014552</v>
      </c>
      <c r="AG12" s="5">
        <f>Z12-Y12</f>
        <v>450</v>
      </c>
      <c r="AI12" s="1">
        <f>C12-B12</f>
        <v>80</v>
      </c>
      <c r="AJ12" s="1">
        <f>D12-C12</f>
        <v>320</v>
      </c>
      <c r="AK12" s="1">
        <f>E12-D12</f>
        <v>200</v>
      </c>
      <c r="AL12" s="1">
        <f>F12-E12</f>
        <v>190</v>
      </c>
      <c r="AM12" s="1">
        <f>G12-F12</f>
        <v>170</v>
      </c>
      <c r="AN12" s="1">
        <f>H12-G12</f>
        <v>170</v>
      </c>
      <c r="AO12" s="1">
        <f>I12-H12</f>
        <v>240</v>
      </c>
      <c r="AP12" s="1">
        <f>J12-I12</f>
        <v>200</v>
      </c>
      <c r="AQ12" s="1">
        <f>K12-J12</f>
        <v>180</v>
      </c>
      <c r="AR12" s="1">
        <f>L12-K12</f>
        <v>280</v>
      </c>
      <c r="AS12" s="1">
        <f>M12-L12</f>
        <v>280</v>
      </c>
      <c r="AT12" s="1">
        <f>N12-M12</f>
        <v>230</v>
      </c>
      <c r="AU12" s="1">
        <f>O12-N12</f>
        <v>170</v>
      </c>
      <c r="AV12" s="1">
        <f>P12-O12</f>
        <v>210</v>
      </c>
      <c r="AW12" s="1">
        <f>Q12-P12</f>
        <v>180</v>
      </c>
      <c r="AX12" s="1">
        <f>R12-Q12</f>
        <v>260</v>
      </c>
      <c r="AY12" s="1">
        <f>S12-R12</f>
        <v>100</v>
      </c>
      <c r="AZ12" s="1">
        <f>T12-S12</f>
        <v>200</v>
      </c>
      <c r="BA12" s="1">
        <f>U12-T12</f>
        <v>220</v>
      </c>
      <c r="BB12" s="1">
        <f>V12-U12</f>
        <v>250</v>
      </c>
      <c r="BC12" s="1">
        <f>W12-V12</f>
        <v>310</v>
      </c>
      <c r="BD12" s="1">
        <f>X12-W12</f>
        <v>170</v>
      </c>
      <c r="BE12" s="1">
        <f>Y12-X12</f>
        <v>170</v>
      </c>
      <c r="BF12" s="1">
        <f>Z12-Y12</f>
        <v>450</v>
      </c>
    </row>
    <row r="13" spans="1:58">
      <c r="A13" s="1">
        <v>11</v>
      </c>
      <c r="B13" s="1">
        <v>111080</v>
      </c>
      <c r="C13" s="1">
        <v>111370</v>
      </c>
      <c r="D13" s="1">
        <v>111510</v>
      </c>
      <c r="E13" s="1">
        <v>111650</v>
      </c>
      <c r="F13" s="1">
        <v>111750</v>
      </c>
      <c r="G13" s="1">
        <v>112040</v>
      </c>
      <c r="H13" s="1">
        <v>112230</v>
      </c>
      <c r="I13" s="1">
        <v>112480</v>
      </c>
      <c r="J13" s="1">
        <v>112680</v>
      </c>
      <c r="K13" s="1">
        <v>112960</v>
      </c>
      <c r="L13" s="1">
        <v>113090</v>
      </c>
      <c r="M13" s="1">
        <v>113390</v>
      </c>
      <c r="N13" s="1">
        <v>113590</v>
      </c>
      <c r="O13" s="1">
        <v>113870</v>
      </c>
      <c r="P13" s="1">
        <v>114020</v>
      </c>
      <c r="Q13" s="1">
        <v>114200</v>
      </c>
      <c r="R13" s="1">
        <v>114410</v>
      </c>
      <c r="S13" s="1">
        <v>114460</v>
      </c>
      <c r="T13" s="1">
        <v>114700</v>
      </c>
      <c r="U13" s="1">
        <v>114940</v>
      </c>
      <c r="V13" s="1">
        <v>115210</v>
      </c>
      <c r="W13" s="1">
        <v>115360</v>
      </c>
      <c r="X13" s="1">
        <v>115650</v>
      </c>
      <c r="Y13" s="1">
        <v>115920</v>
      </c>
      <c r="Z13" s="1">
        <v>116360</v>
      </c>
      <c r="AA13" s="5">
        <f>AVERAGE(B13:Y13)</f>
        <v>113440</v>
      </c>
      <c r="AB13" s="5">
        <f>(AA14-AA12)/2</f>
        <v>5241.0416666666642</v>
      </c>
      <c r="AC13" s="14">
        <f>AB13/(23+AB151)</f>
        <v>209.95961693925778</v>
      </c>
      <c r="AD13" s="5">
        <f>AA13-AA12</f>
        <v>5232.5</v>
      </c>
      <c r="AE13" s="1">
        <f>AD13-AD12</f>
        <v>-8.3333333333284827</v>
      </c>
      <c r="AG13" s="5">
        <f>Z13-Y13</f>
        <v>440</v>
      </c>
      <c r="AI13" s="1">
        <f>C13-B13</f>
        <v>290</v>
      </c>
      <c r="AJ13" s="1">
        <f>D13-C13</f>
        <v>140</v>
      </c>
      <c r="AK13" s="1">
        <f>E13-D13</f>
        <v>140</v>
      </c>
      <c r="AL13" s="1">
        <f>F13-E13</f>
        <v>100</v>
      </c>
      <c r="AM13" s="1">
        <f>G13-F13</f>
        <v>290</v>
      </c>
      <c r="AN13" s="1">
        <f>H13-G13</f>
        <v>190</v>
      </c>
      <c r="AO13" s="1">
        <f>I13-H13</f>
        <v>250</v>
      </c>
      <c r="AP13" s="1">
        <f>J13-I13</f>
        <v>200</v>
      </c>
      <c r="AQ13" s="1">
        <f>K13-J13</f>
        <v>280</v>
      </c>
      <c r="AR13" s="1">
        <f>L13-K13</f>
        <v>130</v>
      </c>
      <c r="AS13" s="1">
        <f>M13-L13</f>
        <v>300</v>
      </c>
      <c r="AT13" s="1">
        <f>N13-M13</f>
        <v>200</v>
      </c>
      <c r="AU13" s="1">
        <f>O13-N13</f>
        <v>280</v>
      </c>
      <c r="AV13" s="1">
        <f>P13-O13</f>
        <v>150</v>
      </c>
      <c r="AW13" s="1">
        <f>Q13-P13</f>
        <v>180</v>
      </c>
      <c r="AX13" s="1">
        <f>R13-Q13</f>
        <v>210</v>
      </c>
      <c r="AY13" s="1">
        <f>S13-R13</f>
        <v>50</v>
      </c>
      <c r="AZ13" s="1">
        <f>T13-S13</f>
        <v>240</v>
      </c>
      <c r="BA13" s="1">
        <f>U13-T13</f>
        <v>240</v>
      </c>
      <c r="BB13" s="1">
        <f>V13-U13</f>
        <v>270</v>
      </c>
      <c r="BC13" s="1">
        <f>W13-V13</f>
        <v>150</v>
      </c>
      <c r="BD13" s="1">
        <f>X13-W13</f>
        <v>290</v>
      </c>
      <c r="BE13" s="1">
        <f>Y13-X13</f>
        <v>270</v>
      </c>
      <c r="BF13" s="1">
        <f>Z13-Y13</f>
        <v>440</v>
      </c>
    </row>
    <row r="14" spans="1:58">
      <c r="A14" s="1">
        <v>12</v>
      </c>
      <c r="B14" s="1">
        <v>116360</v>
      </c>
      <c r="C14" s="1">
        <v>116560</v>
      </c>
      <c r="D14" s="1">
        <v>116750</v>
      </c>
      <c r="E14" s="1">
        <v>116920</v>
      </c>
      <c r="F14" s="1">
        <v>117100</v>
      </c>
      <c r="G14" s="1">
        <v>117340</v>
      </c>
      <c r="H14" s="1">
        <v>117440</v>
      </c>
      <c r="I14" s="1">
        <v>117650</v>
      </c>
      <c r="J14" s="1">
        <v>117880</v>
      </c>
      <c r="K14" s="1">
        <v>118130</v>
      </c>
      <c r="L14" s="1">
        <v>118420</v>
      </c>
      <c r="M14" s="1">
        <v>118590</v>
      </c>
      <c r="N14" s="1">
        <v>118950</v>
      </c>
      <c r="O14" s="1">
        <v>119060</v>
      </c>
      <c r="P14" s="1">
        <v>119210</v>
      </c>
      <c r="Q14" s="1">
        <v>119370</v>
      </c>
      <c r="R14" s="1">
        <v>119570</v>
      </c>
      <c r="S14" s="1">
        <v>119840</v>
      </c>
      <c r="T14" s="1">
        <v>120050</v>
      </c>
      <c r="U14" s="1">
        <v>120180</v>
      </c>
      <c r="V14" s="1">
        <v>120450</v>
      </c>
      <c r="W14" s="1">
        <v>120690</v>
      </c>
      <c r="X14" s="1">
        <v>120920</v>
      </c>
      <c r="Y14" s="1">
        <v>121120</v>
      </c>
      <c r="Z14" s="1">
        <v>121520</v>
      </c>
      <c r="AA14" s="5">
        <f>AVERAGE(B14:Y14)</f>
        <v>118689.58333333333</v>
      </c>
      <c r="AB14" s="5">
        <f>(AA15-AA13)/2</f>
        <v>5233.5416666666642</v>
      </c>
      <c r="AC14" s="14">
        <f>AB14/(23+AB151)</f>
        <v>209.65916194820903</v>
      </c>
      <c r="AD14" s="5">
        <f>AA14-AA13</f>
        <v>5249.5833333333285</v>
      </c>
      <c r="AE14" s="1">
        <f>AD14-AD13</f>
        <v>17.083333333328483</v>
      </c>
      <c r="AG14" s="5">
        <f>Z14-Y14</f>
        <v>400</v>
      </c>
      <c r="AI14" s="1">
        <f>C14-B14</f>
        <v>200</v>
      </c>
      <c r="AJ14" s="1">
        <f>D14-C14</f>
        <v>190</v>
      </c>
      <c r="AK14" s="1">
        <f>E14-D14</f>
        <v>170</v>
      </c>
      <c r="AL14" s="1">
        <f>F14-E14</f>
        <v>180</v>
      </c>
      <c r="AM14" s="1">
        <f>G14-F14</f>
        <v>240</v>
      </c>
      <c r="AN14" s="1">
        <f>H14-G14</f>
        <v>100</v>
      </c>
      <c r="AO14" s="1">
        <f>I14-H14</f>
        <v>210</v>
      </c>
      <c r="AP14" s="1">
        <f>J14-I14</f>
        <v>230</v>
      </c>
      <c r="AQ14" s="1">
        <f>K14-J14</f>
        <v>250</v>
      </c>
      <c r="AR14" s="1">
        <f>L14-K14</f>
        <v>290</v>
      </c>
      <c r="AS14" s="1">
        <f>M14-L14</f>
        <v>170</v>
      </c>
      <c r="AT14" s="1">
        <f>N14-M14</f>
        <v>360</v>
      </c>
      <c r="AU14" s="1">
        <f>O14-N14</f>
        <v>110</v>
      </c>
      <c r="AV14" s="1">
        <f>P14-O14</f>
        <v>150</v>
      </c>
      <c r="AW14" s="1">
        <f>Q14-P14</f>
        <v>160</v>
      </c>
      <c r="AX14" s="1">
        <f>R14-Q14</f>
        <v>200</v>
      </c>
      <c r="AY14" s="1">
        <f>S14-R14</f>
        <v>270</v>
      </c>
      <c r="AZ14" s="1">
        <f>T14-S14</f>
        <v>210</v>
      </c>
      <c r="BA14" s="1">
        <f>U14-T14</f>
        <v>130</v>
      </c>
      <c r="BB14" s="1">
        <f>V14-U14</f>
        <v>270</v>
      </c>
      <c r="BC14" s="1">
        <f>W14-V14</f>
        <v>240</v>
      </c>
      <c r="BD14" s="1">
        <f>X14-W14</f>
        <v>230</v>
      </c>
      <c r="BE14" s="1">
        <f>Y14-X14</f>
        <v>200</v>
      </c>
      <c r="BF14" s="1">
        <f>Z14-Y14</f>
        <v>400</v>
      </c>
    </row>
    <row r="15" spans="1:58">
      <c r="A15" s="1">
        <v>13</v>
      </c>
      <c r="B15" s="1">
        <v>121520</v>
      </c>
      <c r="C15" s="1">
        <v>121810</v>
      </c>
      <c r="D15" s="1">
        <v>121930</v>
      </c>
      <c r="E15" s="1">
        <v>122110</v>
      </c>
      <c r="F15" s="1">
        <v>122320</v>
      </c>
      <c r="G15" s="1">
        <v>122480</v>
      </c>
      <c r="H15" s="1">
        <v>122670</v>
      </c>
      <c r="I15" s="1">
        <v>122920</v>
      </c>
      <c r="J15" s="1">
        <v>123110</v>
      </c>
      <c r="K15" s="1">
        <v>123380</v>
      </c>
      <c r="L15" s="1">
        <v>123650</v>
      </c>
      <c r="M15" s="1">
        <v>123850</v>
      </c>
      <c r="N15" s="1">
        <v>124120</v>
      </c>
      <c r="O15" s="1">
        <v>124280</v>
      </c>
      <c r="P15" s="1">
        <v>124390</v>
      </c>
      <c r="Q15" s="1">
        <v>124610</v>
      </c>
      <c r="R15" s="1">
        <v>124820</v>
      </c>
      <c r="S15" s="1">
        <v>125000</v>
      </c>
      <c r="T15" s="1">
        <v>125220</v>
      </c>
      <c r="U15" s="1">
        <v>125390</v>
      </c>
      <c r="V15" s="1">
        <v>125670</v>
      </c>
      <c r="W15" s="1">
        <v>125980</v>
      </c>
      <c r="X15" s="1">
        <v>126140</v>
      </c>
      <c r="Y15" s="1">
        <v>126400</v>
      </c>
      <c r="Z15" s="1">
        <v>126770</v>
      </c>
      <c r="AA15" s="5">
        <f>AVERAGE(B15:Y15)</f>
        <v>123907.08333333333</v>
      </c>
      <c r="AB15" s="5">
        <f>(AA16-AA14)/2</f>
        <v>5230.625</v>
      </c>
      <c r="AC15" s="14">
        <f>AB15/(23+AB151)</f>
        <v>209.54231834057907</v>
      </c>
      <c r="AD15" s="5">
        <f>AA15-AA14</f>
        <v>5217.5</v>
      </c>
      <c r="AE15" s="1">
        <f>AD15-AD14</f>
        <v>-32.083333333328483</v>
      </c>
      <c r="AG15" s="5">
        <f>Z15-Y15</f>
        <v>370</v>
      </c>
      <c r="AI15" s="1">
        <f>C15-B15</f>
        <v>290</v>
      </c>
      <c r="AJ15" s="1">
        <f>D15-C15</f>
        <v>120</v>
      </c>
      <c r="AK15" s="1">
        <f>E15-D15</f>
        <v>180</v>
      </c>
      <c r="AL15" s="1">
        <f>F15-E15</f>
        <v>210</v>
      </c>
      <c r="AM15" s="1">
        <f>G15-F15</f>
        <v>160</v>
      </c>
      <c r="AN15" s="1">
        <f>H15-G15</f>
        <v>190</v>
      </c>
      <c r="AO15" s="1">
        <f>I15-H15</f>
        <v>250</v>
      </c>
      <c r="AP15" s="1">
        <f>J15-I15</f>
        <v>190</v>
      </c>
      <c r="AQ15" s="1">
        <f>K15-J15</f>
        <v>270</v>
      </c>
      <c r="AR15" s="1">
        <f>L15-K15</f>
        <v>270</v>
      </c>
      <c r="AS15" s="1">
        <f>M15-L15</f>
        <v>200</v>
      </c>
      <c r="AT15" s="1">
        <f>N15-M15</f>
        <v>270</v>
      </c>
      <c r="AU15" s="1">
        <f>O15-N15</f>
        <v>160</v>
      </c>
      <c r="AV15" s="1">
        <f>P15-O15</f>
        <v>110</v>
      </c>
      <c r="AW15" s="1">
        <f>Q15-P15</f>
        <v>220</v>
      </c>
      <c r="AX15" s="1">
        <f>R15-Q15</f>
        <v>210</v>
      </c>
      <c r="AY15" s="1">
        <f>S15-R15</f>
        <v>180</v>
      </c>
      <c r="AZ15" s="1">
        <f>T15-S15</f>
        <v>220</v>
      </c>
      <c r="BA15" s="1">
        <f>U15-T15</f>
        <v>170</v>
      </c>
      <c r="BB15" s="1">
        <f>V15-U15</f>
        <v>280</v>
      </c>
      <c r="BC15" s="1">
        <f>W15-V15</f>
        <v>310</v>
      </c>
      <c r="BD15" s="1">
        <f>X15-W15</f>
        <v>160</v>
      </c>
      <c r="BE15" s="1">
        <f>Y15-X15</f>
        <v>260</v>
      </c>
      <c r="BF15" s="1">
        <f>Z15-Y15</f>
        <v>370</v>
      </c>
    </row>
    <row r="16" spans="1:58">
      <c r="A16" s="1">
        <v>14</v>
      </c>
      <c r="B16" s="1">
        <v>126770</v>
      </c>
      <c r="C16" s="1">
        <v>127090</v>
      </c>
      <c r="D16" s="1">
        <v>127260</v>
      </c>
      <c r="E16" s="1">
        <v>127380</v>
      </c>
      <c r="F16" s="1">
        <v>127520</v>
      </c>
      <c r="G16" s="1">
        <v>127730</v>
      </c>
      <c r="H16" s="1">
        <v>127920</v>
      </c>
      <c r="I16" s="1">
        <v>128170</v>
      </c>
      <c r="J16" s="1">
        <v>128340</v>
      </c>
      <c r="K16" s="1">
        <v>128590</v>
      </c>
      <c r="L16" s="1">
        <v>128870</v>
      </c>
      <c r="M16" s="1">
        <v>129080</v>
      </c>
      <c r="N16" s="1">
        <v>129300</v>
      </c>
      <c r="O16" s="1">
        <v>129450</v>
      </c>
      <c r="P16" s="1">
        <v>129750</v>
      </c>
      <c r="Q16" s="1">
        <v>129920</v>
      </c>
      <c r="R16" s="1">
        <v>130070</v>
      </c>
      <c r="S16" s="1">
        <v>130210</v>
      </c>
      <c r="T16" s="1">
        <v>130430</v>
      </c>
      <c r="U16" s="1">
        <v>130740</v>
      </c>
      <c r="V16" s="1">
        <v>130930</v>
      </c>
      <c r="W16" s="1">
        <v>131110</v>
      </c>
      <c r="X16" s="1">
        <v>131370</v>
      </c>
      <c r="Y16" s="1">
        <v>131620</v>
      </c>
      <c r="Z16" s="1">
        <v>132000</v>
      </c>
      <c r="AA16" s="5">
        <f>AVERAGE(B16:Y16)</f>
        <v>129150.83333333333</v>
      </c>
      <c r="AB16" s="5">
        <f>(AA17-AA15)/2</f>
        <v>5253.1250000000073</v>
      </c>
      <c r="AC16" s="14">
        <f>AB16/(23+AB151)</f>
        <v>210.44368331372561</v>
      </c>
      <c r="AD16" s="5">
        <f>AA16-AA15</f>
        <v>5243.75</v>
      </c>
      <c r="AE16" s="1">
        <f>AD16-AD15</f>
        <v>26.25</v>
      </c>
      <c r="AG16" s="5">
        <f>Z16-Y16</f>
        <v>380</v>
      </c>
      <c r="AI16" s="1">
        <f>C16-B16</f>
        <v>320</v>
      </c>
      <c r="AJ16" s="1">
        <f>D16-C16</f>
        <v>170</v>
      </c>
      <c r="AK16" s="1">
        <f>E16-D16</f>
        <v>120</v>
      </c>
      <c r="AL16" s="1">
        <f>F16-E16</f>
        <v>140</v>
      </c>
      <c r="AM16" s="1">
        <f>G16-F16</f>
        <v>210</v>
      </c>
      <c r="AN16" s="1">
        <f>H16-G16</f>
        <v>190</v>
      </c>
      <c r="AO16" s="1">
        <f>I16-H16</f>
        <v>250</v>
      </c>
      <c r="AP16" s="1">
        <f>J16-I16</f>
        <v>170</v>
      </c>
      <c r="AQ16" s="1">
        <f>K16-J16</f>
        <v>250</v>
      </c>
      <c r="AR16" s="1">
        <f>L16-K16</f>
        <v>280</v>
      </c>
      <c r="AS16" s="1">
        <f>M16-L16</f>
        <v>210</v>
      </c>
      <c r="AT16" s="1">
        <f>N16-M16</f>
        <v>220</v>
      </c>
      <c r="AU16" s="1">
        <f>O16-N16</f>
        <v>150</v>
      </c>
      <c r="AV16" s="1">
        <f>P16-O16</f>
        <v>300</v>
      </c>
      <c r="AW16" s="1">
        <f>Q16-P16</f>
        <v>170</v>
      </c>
      <c r="AX16" s="1">
        <f>R16-Q16</f>
        <v>150</v>
      </c>
      <c r="AY16" s="1">
        <f>S16-R16</f>
        <v>140</v>
      </c>
      <c r="AZ16" s="1">
        <f>T16-S16</f>
        <v>220</v>
      </c>
      <c r="BA16" s="1">
        <f>U16-T16</f>
        <v>310</v>
      </c>
      <c r="BB16" s="1">
        <f>V16-U16</f>
        <v>190</v>
      </c>
      <c r="BC16" s="1">
        <f>W16-V16</f>
        <v>180</v>
      </c>
      <c r="BD16" s="1">
        <f>X16-W16</f>
        <v>260</v>
      </c>
      <c r="BE16" s="1">
        <f>Y16-X16</f>
        <v>250</v>
      </c>
      <c r="BF16" s="1">
        <f>Z16-Y16</f>
        <v>380</v>
      </c>
    </row>
    <row r="17" spans="1:58">
      <c r="A17" s="1">
        <v>15</v>
      </c>
      <c r="B17" s="1">
        <v>132000</v>
      </c>
      <c r="C17" s="1">
        <v>132190</v>
      </c>
      <c r="D17" s="1">
        <v>132400</v>
      </c>
      <c r="E17" s="1">
        <v>132690</v>
      </c>
      <c r="F17" s="1">
        <v>132830</v>
      </c>
      <c r="G17" s="1">
        <v>133070</v>
      </c>
      <c r="H17" s="1">
        <v>133290</v>
      </c>
      <c r="I17" s="1">
        <v>133400</v>
      </c>
      <c r="J17" s="1">
        <v>133690</v>
      </c>
      <c r="K17" s="1">
        <v>133880</v>
      </c>
      <c r="L17" s="1">
        <v>134120</v>
      </c>
      <c r="M17" s="1">
        <v>134330</v>
      </c>
      <c r="N17" s="1">
        <v>134440</v>
      </c>
      <c r="O17" s="1">
        <v>134670</v>
      </c>
      <c r="P17" s="1">
        <v>134930</v>
      </c>
      <c r="Q17" s="1">
        <v>135090</v>
      </c>
      <c r="R17" s="1">
        <v>135390</v>
      </c>
      <c r="S17" s="1">
        <v>135530</v>
      </c>
      <c r="T17" s="1">
        <v>135770</v>
      </c>
      <c r="U17" s="1">
        <v>136010</v>
      </c>
      <c r="V17" s="1">
        <v>136200</v>
      </c>
      <c r="W17" s="1">
        <v>136470</v>
      </c>
      <c r="X17" s="1">
        <v>136640</v>
      </c>
      <c r="Y17" s="1">
        <v>136890</v>
      </c>
      <c r="Z17" s="1">
        <v>137260</v>
      </c>
      <c r="AA17" s="5">
        <f>AVERAGE(B17:Y17)</f>
        <v>134413.33333333334</v>
      </c>
      <c r="AB17" s="5">
        <f>(AA18-AA16)/2</f>
        <v>5254.7916666666642</v>
      </c>
      <c r="AC17" s="14">
        <f>AB17/(23+AB151)</f>
        <v>210.51045108951382</v>
      </c>
      <c r="AD17" s="5">
        <f>AA17-AA16</f>
        <v>5262.5000000000146</v>
      </c>
      <c r="AE17" s="1">
        <f>AD17-AD16</f>
        <v>18.750000000014552</v>
      </c>
      <c r="AG17" s="5">
        <f>Z17-Y17</f>
        <v>370</v>
      </c>
      <c r="AI17" s="1">
        <f>C17-B17</f>
        <v>190</v>
      </c>
      <c r="AJ17" s="1">
        <f>D17-C17</f>
        <v>210</v>
      </c>
      <c r="AK17" s="1">
        <f>E17-D17</f>
        <v>290</v>
      </c>
      <c r="AL17" s="1">
        <f>F17-E17</f>
        <v>140</v>
      </c>
      <c r="AM17" s="1">
        <f>G17-F17</f>
        <v>240</v>
      </c>
      <c r="AN17" s="1">
        <f>H17-G17</f>
        <v>220</v>
      </c>
      <c r="AO17" s="1">
        <f>I17-H17</f>
        <v>110</v>
      </c>
      <c r="AP17" s="1">
        <f>J17-I17</f>
        <v>290</v>
      </c>
      <c r="AQ17" s="1">
        <f>K17-J17</f>
        <v>190</v>
      </c>
      <c r="AR17" s="1">
        <f>L17-K17</f>
        <v>240</v>
      </c>
      <c r="AS17" s="1">
        <f>M17-L17</f>
        <v>210</v>
      </c>
      <c r="AT17" s="1">
        <f>N17-M17</f>
        <v>110</v>
      </c>
      <c r="AU17" s="1">
        <f>O17-N17</f>
        <v>230</v>
      </c>
      <c r="AV17" s="1">
        <f>P17-O17</f>
        <v>260</v>
      </c>
      <c r="AW17" s="1">
        <f>Q17-P17</f>
        <v>160</v>
      </c>
      <c r="AX17" s="1">
        <f>R17-Q17</f>
        <v>300</v>
      </c>
      <c r="AY17" s="1">
        <f>S17-R17</f>
        <v>140</v>
      </c>
      <c r="AZ17" s="1">
        <f>T17-S17</f>
        <v>240</v>
      </c>
      <c r="BA17" s="1">
        <f>U17-T17</f>
        <v>240</v>
      </c>
      <c r="BB17" s="1">
        <f>V17-U17</f>
        <v>190</v>
      </c>
      <c r="BC17" s="1">
        <f>W17-V17</f>
        <v>270</v>
      </c>
      <c r="BD17" s="1">
        <f>X17-W17</f>
        <v>170</v>
      </c>
      <c r="BE17" s="1">
        <f>Y17-X17</f>
        <v>250</v>
      </c>
      <c r="BF17" s="1">
        <f>Z17-Y17</f>
        <v>370</v>
      </c>
    </row>
    <row r="18" spans="1:58">
      <c r="A18" s="1">
        <v>16</v>
      </c>
      <c r="B18" s="1">
        <v>137260</v>
      </c>
      <c r="C18" s="1">
        <v>137430</v>
      </c>
      <c r="D18" s="1">
        <v>137570</v>
      </c>
      <c r="E18" s="1">
        <v>137840</v>
      </c>
      <c r="F18" s="1">
        <v>138050</v>
      </c>
      <c r="G18" s="1">
        <v>138340</v>
      </c>
      <c r="H18" s="1">
        <v>138480</v>
      </c>
      <c r="I18" s="1">
        <v>138660</v>
      </c>
      <c r="J18" s="1">
        <v>138920</v>
      </c>
      <c r="K18" s="1">
        <v>139170</v>
      </c>
      <c r="L18" s="1">
        <v>139420</v>
      </c>
      <c r="M18" s="1">
        <v>139570</v>
      </c>
      <c r="N18" s="1">
        <v>139710</v>
      </c>
      <c r="O18" s="1">
        <v>139950</v>
      </c>
      <c r="P18" s="1">
        <v>140140</v>
      </c>
      <c r="Q18" s="1">
        <v>140390</v>
      </c>
      <c r="R18" s="1">
        <v>140660</v>
      </c>
      <c r="S18" s="1">
        <v>140850</v>
      </c>
      <c r="T18" s="1">
        <v>141080</v>
      </c>
      <c r="U18" s="1">
        <v>141190</v>
      </c>
      <c r="V18" s="1">
        <v>141420</v>
      </c>
      <c r="W18" s="1">
        <v>141710</v>
      </c>
      <c r="X18" s="1">
        <v>141890</v>
      </c>
      <c r="Y18" s="1">
        <v>142150</v>
      </c>
      <c r="Z18" s="1">
        <v>142490</v>
      </c>
      <c r="AA18" s="5">
        <f>AVERAGE(B18:Y18)</f>
        <v>139660.41666666666</v>
      </c>
      <c r="AB18" s="5">
        <f>(AA19-AA17)/2</f>
        <v>5265.625</v>
      </c>
      <c r="AC18" s="14">
        <f>AB18/(23+AB151)</f>
        <v>210.9444416321399</v>
      </c>
      <c r="AD18" s="5">
        <f>AA18-AA17</f>
        <v>5247.0833333333139</v>
      </c>
      <c r="AE18" s="1">
        <f>AD18-AD17</f>
        <v>-15.416666666700621</v>
      </c>
      <c r="AG18" s="5">
        <f>Z18-Y18</f>
        <v>340</v>
      </c>
      <c r="AI18" s="1">
        <f>C18-B18</f>
        <v>170</v>
      </c>
      <c r="AJ18" s="1">
        <f>D18-C18</f>
        <v>140</v>
      </c>
      <c r="AK18" s="1">
        <f>E18-D18</f>
        <v>270</v>
      </c>
      <c r="AL18" s="1">
        <f>F18-E18</f>
        <v>210</v>
      </c>
      <c r="AM18" s="1">
        <f>G18-F18</f>
        <v>290</v>
      </c>
      <c r="AN18" s="1">
        <f>H18-G18</f>
        <v>140</v>
      </c>
      <c r="AO18" s="1">
        <f>I18-H18</f>
        <v>180</v>
      </c>
      <c r="AP18" s="1">
        <f>J18-I18</f>
        <v>260</v>
      </c>
      <c r="AQ18" s="1">
        <f>K18-J18</f>
        <v>250</v>
      </c>
      <c r="AR18" s="1">
        <f>L18-K18</f>
        <v>250</v>
      </c>
      <c r="AS18" s="1">
        <f>M18-L18</f>
        <v>150</v>
      </c>
      <c r="AT18" s="1">
        <f>N18-M18</f>
        <v>140</v>
      </c>
      <c r="AU18" s="1">
        <f>O18-N18</f>
        <v>240</v>
      </c>
      <c r="AV18" s="1">
        <f>P18-O18</f>
        <v>190</v>
      </c>
      <c r="AW18" s="1">
        <f>Q18-P18</f>
        <v>250</v>
      </c>
      <c r="AX18" s="1">
        <f>R18-Q18</f>
        <v>270</v>
      </c>
      <c r="AY18" s="1">
        <f>S18-R18</f>
        <v>190</v>
      </c>
      <c r="AZ18" s="1">
        <f>T18-S18</f>
        <v>230</v>
      </c>
      <c r="BA18" s="1">
        <f>U18-T18</f>
        <v>110</v>
      </c>
      <c r="BB18" s="1">
        <f>V18-U18</f>
        <v>230</v>
      </c>
      <c r="BC18" s="1">
        <f>W18-V18</f>
        <v>290</v>
      </c>
      <c r="BD18" s="1">
        <f>X18-W18</f>
        <v>180</v>
      </c>
      <c r="BE18" s="1">
        <f>Y18-X18</f>
        <v>260</v>
      </c>
      <c r="BF18" s="1">
        <f>Z18-Y18</f>
        <v>340</v>
      </c>
    </row>
    <row r="19" spans="1:58">
      <c r="A19" s="1">
        <v>17</v>
      </c>
      <c r="B19" s="1">
        <v>142490</v>
      </c>
      <c r="C19" s="1">
        <v>142690</v>
      </c>
      <c r="D19" s="1">
        <v>142910</v>
      </c>
      <c r="E19" s="1">
        <v>143180</v>
      </c>
      <c r="F19" s="1">
        <v>143360</v>
      </c>
      <c r="G19" s="1">
        <v>143630</v>
      </c>
      <c r="H19" s="1">
        <v>143750</v>
      </c>
      <c r="I19" s="1">
        <v>144000</v>
      </c>
      <c r="J19" s="1">
        <v>144210</v>
      </c>
      <c r="K19" s="1">
        <v>144440</v>
      </c>
      <c r="L19" s="1">
        <v>144680</v>
      </c>
      <c r="M19" s="1">
        <v>144850</v>
      </c>
      <c r="N19" s="1">
        <v>144970</v>
      </c>
      <c r="O19" s="1">
        <v>145210</v>
      </c>
      <c r="P19" s="1">
        <v>145450</v>
      </c>
      <c r="Q19" s="1">
        <v>145590</v>
      </c>
      <c r="R19" s="1">
        <v>145930</v>
      </c>
      <c r="S19" s="1">
        <v>146140</v>
      </c>
      <c r="T19" s="1">
        <v>146320</v>
      </c>
      <c r="U19" s="1">
        <v>146610</v>
      </c>
      <c r="V19" s="1">
        <v>146750</v>
      </c>
      <c r="W19" s="1">
        <v>146920</v>
      </c>
      <c r="X19" s="1">
        <v>147190</v>
      </c>
      <c r="Y19" s="1">
        <v>147400</v>
      </c>
      <c r="Z19" s="1">
        <v>147770</v>
      </c>
      <c r="AA19" s="5">
        <f>AVERAGE(B19:Y19)</f>
        <v>144944.58333333334</v>
      </c>
      <c r="AB19" s="5">
        <f>(AA20-AA18)/2</f>
        <v>5287.2916666666715</v>
      </c>
      <c r="AC19" s="14">
        <f>AB19/(23+AB151)</f>
        <v>211.81242271739202</v>
      </c>
      <c r="AD19" s="5">
        <f>AA19-AA18</f>
        <v>5284.1666666666861</v>
      </c>
      <c r="AE19" s="1">
        <f>AD19-AD18</f>
        <v>37.083333333372138</v>
      </c>
      <c r="AG19" s="5">
        <f>Z19-Y19</f>
        <v>370</v>
      </c>
      <c r="AI19" s="1">
        <f>C19-B19</f>
        <v>200</v>
      </c>
      <c r="AJ19" s="1">
        <f>D19-C19</f>
        <v>220</v>
      </c>
      <c r="AK19" s="1">
        <f>E19-D19</f>
        <v>270</v>
      </c>
      <c r="AL19" s="1">
        <f>F19-E19</f>
        <v>180</v>
      </c>
      <c r="AM19" s="1">
        <f>G19-F19</f>
        <v>270</v>
      </c>
      <c r="AN19" s="1">
        <f>H19-G19</f>
        <v>120</v>
      </c>
      <c r="AO19" s="1">
        <f>I19-H19</f>
        <v>250</v>
      </c>
      <c r="AP19" s="1">
        <f>J19-I19</f>
        <v>210</v>
      </c>
      <c r="AQ19" s="1">
        <f>K19-J19</f>
        <v>230</v>
      </c>
      <c r="AR19" s="1">
        <f>L19-K19</f>
        <v>240</v>
      </c>
      <c r="AS19" s="1">
        <f>M19-L19</f>
        <v>170</v>
      </c>
      <c r="AT19" s="1">
        <f>N19-M19</f>
        <v>120</v>
      </c>
      <c r="AU19" s="1">
        <f>O19-N19</f>
        <v>240</v>
      </c>
      <c r="AV19" s="1">
        <f>P19-O19</f>
        <v>240</v>
      </c>
      <c r="AW19" s="1">
        <f>Q19-P19</f>
        <v>140</v>
      </c>
      <c r="AX19" s="1">
        <f>R19-Q19</f>
        <v>340</v>
      </c>
      <c r="AY19" s="1">
        <f>S19-R19</f>
        <v>210</v>
      </c>
      <c r="AZ19" s="1">
        <f>T19-S19</f>
        <v>180</v>
      </c>
      <c r="BA19" s="1">
        <f>U19-T19</f>
        <v>290</v>
      </c>
      <c r="BB19" s="1">
        <f>V19-U19</f>
        <v>140</v>
      </c>
      <c r="BC19" s="1">
        <f>W19-V19</f>
        <v>170</v>
      </c>
      <c r="BD19" s="1">
        <f>X19-W19</f>
        <v>270</v>
      </c>
      <c r="BE19" s="1">
        <f>Y19-X19</f>
        <v>210</v>
      </c>
      <c r="BF19" s="1">
        <f>Z19-Y19</f>
        <v>370</v>
      </c>
    </row>
    <row r="20" spans="1:58">
      <c r="A20" s="1">
        <v>18</v>
      </c>
      <c r="B20" s="1">
        <v>147770</v>
      </c>
      <c r="C20" s="1">
        <v>147940</v>
      </c>
      <c r="D20" s="1">
        <v>148170</v>
      </c>
      <c r="E20" s="1">
        <v>148430</v>
      </c>
      <c r="F20" s="1">
        <v>148610</v>
      </c>
      <c r="G20" s="1">
        <v>148920</v>
      </c>
      <c r="H20" s="1">
        <v>149100</v>
      </c>
      <c r="I20" s="1">
        <v>149270</v>
      </c>
      <c r="J20" s="1">
        <v>149530</v>
      </c>
      <c r="K20" s="1">
        <v>149750</v>
      </c>
      <c r="L20" s="1">
        <v>149960</v>
      </c>
      <c r="M20" s="1">
        <v>150150</v>
      </c>
      <c r="N20" s="1">
        <v>150320</v>
      </c>
      <c r="O20" s="1">
        <v>150500</v>
      </c>
      <c r="P20" s="1">
        <v>150700</v>
      </c>
      <c r="Q20" s="1">
        <v>150960</v>
      </c>
      <c r="R20" s="1">
        <v>151160</v>
      </c>
      <c r="S20" s="1">
        <v>151420</v>
      </c>
      <c r="T20" s="1">
        <v>151650</v>
      </c>
      <c r="U20" s="1">
        <v>151880</v>
      </c>
      <c r="V20" s="1">
        <v>152030</v>
      </c>
      <c r="W20" s="1">
        <v>152290</v>
      </c>
      <c r="X20" s="1">
        <v>152450</v>
      </c>
      <c r="Y20" s="1">
        <v>152680</v>
      </c>
      <c r="Z20" s="1">
        <v>153080</v>
      </c>
      <c r="AA20" s="5">
        <f>AVERAGE(B20:Y20)</f>
        <v>150235</v>
      </c>
      <c r="AB20" s="5">
        <f>(AA21-AA19)/2</f>
        <v>5275</v>
      </c>
      <c r="AC20" s="14">
        <f>AB20/(23+AB151)</f>
        <v>211.32001037095083</v>
      </c>
      <c r="AD20" s="5">
        <f>AA20-AA19</f>
        <v>5290.416666666657</v>
      </c>
      <c r="AE20" s="1">
        <f>AD20-AD19</f>
        <v>6.2499999999708962</v>
      </c>
      <c r="AG20" s="5">
        <f>Z20-Y20</f>
        <v>400</v>
      </c>
      <c r="AI20" s="1">
        <f>C20-B20</f>
        <v>170</v>
      </c>
      <c r="AJ20" s="1">
        <f>D20-C20</f>
        <v>230</v>
      </c>
      <c r="AK20" s="1">
        <f>E20-D20</f>
        <v>260</v>
      </c>
      <c r="AL20" s="1">
        <f>F20-E20</f>
        <v>180</v>
      </c>
      <c r="AM20" s="1">
        <f>G20-F20</f>
        <v>310</v>
      </c>
      <c r="AN20" s="1">
        <f>H20-G20</f>
        <v>180</v>
      </c>
      <c r="AO20" s="1">
        <f>I20-H20</f>
        <v>170</v>
      </c>
      <c r="AP20" s="1">
        <f>J20-I20</f>
        <v>260</v>
      </c>
      <c r="AQ20" s="1">
        <f>K20-J20</f>
        <v>220</v>
      </c>
      <c r="AR20" s="1">
        <f>L20-K20</f>
        <v>210</v>
      </c>
      <c r="AS20" s="1">
        <f>M20-L20</f>
        <v>190</v>
      </c>
      <c r="AT20" s="1">
        <f>N20-M20</f>
        <v>170</v>
      </c>
      <c r="AU20" s="1">
        <f>O20-N20</f>
        <v>180</v>
      </c>
      <c r="AV20" s="1">
        <f>P20-O20</f>
        <v>200</v>
      </c>
      <c r="AW20" s="1">
        <f>Q20-P20</f>
        <v>260</v>
      </c>
      <c r="AX20" s="1">
        <f>R20-Q20</f>
        <v>200</v>
      </c>
      <c r="AY20" s="1">
        <f>S20-R20</f>
        <v>260</v>
      </c>
      <c r="AZ20" s="1">
        <f>T20-S20</f>
        <v>230</v>
      </c>
      <c r="BA20" s="1">
        <f>U20-T20</f>
        <v>230</v>
      </c>
      <c r="BB20" s="1">
        <f>V20-U20</f>
        <v>150</v>
      </c>
      <c r="BC20" s="1">
        <f>W20-V20</f>
        <v>260</v>
      </c>
      <c r="BD20" s="1">
        <f>X20-W20</f>
        <v>160</v>
      </c>
      <c r="BE20" s="1">
        <f>Y20-X20</f>
        <v>230</v>
      </c>
      <c r="BF20" s="1">
        <f>Z20-Y20</f>
        <v>400</v>
      </c>
    </row>
    <row r="21" spans="1:58">
      <c r="A21" s="1">
        <v>19</v>
      </c>
      <c r="B21" s="1">
        <v>153080</v>
      </c>
      <c r="C21" s="1">
        <v>153200</v>
      </c>
      <c r="D21" s="1">
        <v>153480</v>
      </c>
      <c r="E21" s="1">
        <v>153700</v>
      </c>
      <c r="F21" s="1">
        <v>153960</v>
      </c>
      <c r="G21" s="1">
        <v>154140</v>
      </c>
      <c r="H21" s="1">
        <v>154340</v>
      </c>
      <c r="I21" s="1">
        <v>154540</v>
      </c>
      <c r="J21" s="1">
        <v>154820</v>
      </c>
      <c r="K21" s="1">
        <v>154960</v>
      </c>
      <c r="L21" s="1">
        <v>155170</v>
      </c>
      <c r="M21" s="1">
        <v>155500</v>
      </c>
      <c r="N21" s="1">
        <v>155610</v>
      </c>
      <c r="O21" s="1">
        <v>155760</v>
      </c>
      <c r="P21" s="1">
        <v>155960</v>
      </c>
      <c r="Q21" s="1">
        <v>156190</v>
      </c>
      <c r="R21" s="1">
        <v>156430</v>
      </c>
      <c r="S21" s="1">
        <v>156720</v>
      </c>
      <c r="T21" s="1">
        <v>156840</v>
      </c>
      <c r="U21" s="1">
        <v>157080</v>
      </c>
      <c r="V21" s="1">
        <v>157290</v>
      </c>
      <c r="W21" s="1">
        <v>157510</v>
      </c>
      <c r="X21" s="1">
        <v>157670</v>
      </c>
      <c r="Y21" s="1">
        <v>157920</v>
      </c>
      <c r="Z21" s="1">
        <v>158320</v>
      </c>
      <c r="AA21" s="5">
        <f>AVERAGE(B21:Y21)</f>
        <v>155494.58333333334</v>
      </c>
      <c r="AB21" s="5">
        <f>(AA22-AA20)/2</f>
        <v>5252.7083333333285</v>
      </c>
      <c r="AC21" s="14">
        <f>AB21/(23+AB151)</f>
        <v>210.42699136977797</v>
      </c>
      <c r="AD21" s="5">
        <f>AA21-AA20</f>
        <v>5259.583333333343</v>
      </c>
      <c r="AE21" s="1">
        <f>AD21-AD20</f>
        <v>-30.833333333313931</v>
      </c>
      <c r="AG21" s="5">
        <f>Z21-Y21</f>
        <v>400</v>
      </c>
      <c r="AI21" s="1">
        <f>C21-B21</f>
        <v>120</v>
      </c>
      <c r="AJ21" s="1">
        <f>D21-C21</f>
        <v>280</v>
      </c>
      <c r="AK21" s="1">
        <f>E21-D21</f>
        <v>220</v>
      </c>
      <c r="AL21" s="1">
        <f>F21-E21</f>
        <v>260</v>
      </c>
      <c r="AM21" s="1">
        <f>G21-F21</f>
        <v>180</v>
      </c>
      <c r="AN21" s="1">
        <f>H21-G21</f>
        <v>200</v>
      </c>
      <c r="AO21" s="1">
        <f>I21-H21</f>
        <v>200</v>
      </c>
      <c r="AP21" s="1">
        <f>J21-I21</f>
        <v>280</v>
      </c>
      <c r="AQ21" s="1">
        <f>K21-J21</f>
        <v>140</v>
      </c>
      <c r="AR21" s="1">
        <f>L21-K21</f>
        <v>210</v>
      </c>
      <c r="AS21" s="1">
        <f>M21-L21</f>
        <v>330</v>
      </c>
      <c r="AT21" s="1">
        <f>N21-M21</f>
        <v>110</v>
      </c>
      <c r="AU21" s="1">
        <f>O21-N21</f>
        <v>150</v>
      </c>
      <c r="AV21" s="1">
        <f>P21-O21</f>
        <v>200</v>
      </c>
      <c r="AW21" s="1">
        <f>Q21-P21</f>
        <v>230</v>
      </c>
      <c r="AX21" s="1">
        <f>R21-Q21</f>
        <v>240</v>
      </c>
      <c r="AY21" s="1">
        <f>S21-R21</f>
        <v>290</v>
      </c>
      <c r="AZ21" s="1">
        <f>T21-S21</f>
        <v>120</v>
      </c>
      <c r="BA21" s="1">
        <f>U21-T21</f>
        <v>240</v>
      </c>
      <c r="BB21" s="1">
        <f>V21-U21</f>
        <v>210</v>
      </c>
      <c r="BC21" s="1">
        <f>W21-V21</f>
        <v>220</v>
      </c>
      <c r="BD21" s="1">
        <f>X21-W21</f>
        <v>160</v>
      </c>
      <c r="BE21" s="1">
        <f>Y21-X21</f>
        <v>250</v>
      </c>
      <c r="BF21" s="1">
        <f>Z21-Y21</f>
        <v>400</v>
      </c>
    </row>
    <row r="22" spans="1:58">
      <c r="A22" s="1">
        <v>20</v>
      </c>
      <c r="B22" s="1">
        <v>158320</v>
      </c>
      <c r="C22" s="1">
        <v>158530</v>
      </c>
      <c r="D22" s="1">
        <v>158690</v>
      </c>
      <c r="E22" s="1">
        <v>158950</v>
      </c>
      <c r="F22" s="1">
        <v>159170</v>
      </c>
      <c r="G22" s="1">
        <v>159430</v>
      </c>
      <c r="H22" s="1">
        <v>159610</v>
      </c>
      <c r="I22" s="1">
        <v>159790</v>
      </c>
      <c r="J22" s="1">
        <v>160010</v>
      </c>
      <c r="K22" s="1">
        <v>160220</v>
      </c>
      <c r="L22" s="1">
        <v>160440</v>
      </c>
      <c r="M22" s="1">
        <v>160650</v>
      </c>
      <c r="N22" s="1">
        <v>160820</v>
      </c>
      <c r="O22" s="1">
        <v>161070</v>
      </c>
      <c r="P22" s="1">
        <v>161240</v>
      </c>
      <c r="Q22" s="1">
        <v>161420</v>
      </c>
      <c r="R22" s="1">
        <v>161700</v>
      </c>
      <c r="S22" s="1">
        <v>161970</v>
      </c>
      <c r="T22" s="1">
        <v>162090</v>
      </c>
      <c r="U22" s="1">
        <v>162330</v>
      </c>
      <c r="V22" s="1">
        <v>162520</v>
      </c>
      <c r="W22" s="1">
        <v>162750</v>
      </c>
      <c r="X22" s="1">
        <v>162930</v>
      </c>
      <c r="Y22" s="1">
        <v>163120</v>
      </c>
      <c r="Z22" s="1">
        <v>163600</v>
      </c>
      <c r="AA22" s="5">
        <f>AVERAGE(B22:Y22)</f>
        <v>160740.41666666666</v>
      </c>
      <c r="AB22" s="5">
        <f>(AA23-AA21)/2</f>
        <v>5251.4583333333285</v>
      </c>
      <c r="AC22" s="14">
        <f>AB22/(23+AB151)</f>
        <v>210.3769155379365</v>
      </c>
      <c r="AD22" s="5">
        <f>AA22-AA21</f>
        <v>5245.8333333333139</v>
      </c>
      <c r="AE22" s="1">
        <f>AD22-AD21</f>
        <v>-13.750000000029104</v>
      </c>
      <c r="AG22" s="5">
        <f>Z22-Y22</f>
        <v>480</v>
      </c>
      <c r="AI22" s="1">
        <f>C22-B22</f>
        <v>210</v>
      </c>
      <c r="AJ22" s="1">
        <f>D22-C22</f>
        <v>160</v>
      </c>
      <c r="AK22" s="1">
        <f>E22-D22</f>
        <v>260</v>
      </c>
      <c r="AL22" s="1">
        <f>F22-E22</f>
        <v>220</v>
      </c>
      <c r="AM22" s="1">
        <f>G22-F22</f>
        <v>260</v>
      </c>
      <c r="AN22" s="1">
        <f>H22-G22</f>
        <v>180</v>
      </c>
      <c r="AO22" s="1">
        <f>I22-H22</f>
        <v>180</v>
      </c>
      <c r="AP22" s="1">
        <f>J22-I22</f>
        <v>220</v>
      </c>
      <c r="AQ22" s="1">
        <f>K22-J22</f>
        <v>210</v>
      </c>
      <c r="AR22" s="1">
        <f>L22-K22</f>
        <v>220</v>
      </c>
      <c r="AS22" s="1">
        <f>M22-L22</f>
        <v>210</v>
      </c>
      <c r="AT22" s="1">
        <f>N22-M22</f>
        <v>170</v>
      </c>
      <c r="AU22" s="1">
        <f>O22-N22</f>
        <v>250</v>
      </c>
      <c r="AV22" s="1">
        <f>P22-O22</f>
        <v>170</v>
      </c>
      <c r="AW22" s="1">
        <f>Q22-P22</f>
        <v>180</v>
      </c>
      <c r="AX22" s="1">
        <f>R22-Q22</f>
        <v>280</v>
      </c>
      <c r="AY22" s="1">
        <f>S22-R22</f>
        <v>270</v>
      </c>
      <c r="AZ22" s="1">
        <f>T22-S22</f>
        <v>120</v>
      </c>
      <c r="BA22" s="1">
        <f>U22-T22</f>
        <v>240</v>
      </c>
      <c r="BB22" s="1">
        <f>V22-U22</f>
        <v>190</v>
      </c>
      <c r="BC22" s="1">
        <f>W22-V22</f>
        <v>230</v>
      </c>
      <c r="BD22" s="1">
        <f>X22-W22</f>
        <v>180</v>
      </c>
      <c r="BE22" s="1">
        <f>Y22-X22</f>
        <v>190</v>
      </c>
      <c r="BF22" s="1">
        <f>Z22-Y22</f>
        <v>480</v>
      </c>
    </row>
    <row r="23" spans="1:58">
      <c r="A23" s="1">
        <v>21</v>
      </c>
      <c r="B23" s="1">
        <v>163600</v>
      </c>
      <c r="C23" s="1">
        <v>163800</v>
      </c>
      <c r="D23" s="1">
        <v>163980</v>
      </c>
      <c r="E23" s="1">
        <v>164150</v>
      </c>
      <c r="F23" s="1">
        <v>164400</v>
      </c>
      <c r="G23" s="1">
        <v>164710</v>
      </c>
      <c r="H23" s="1">
        <v>164920</v>
      </c>
      <c r="I23" s="1">
        <v>165010</v>
      </c>
      <c r="J23" s="1">
        <v>165240</v>
      </c>
      <c r="K23" s="1">
        <v>165460</v>
      </c>
      <c r="L23" s="1">
        <v>165700</v>
      </c>
      <c r="M23" s="1">
        <v>165920</v>
      </c>
      <c r="N23" s="1">
        <v>166190</v>
      </c>
      <c r="O23" s="1">
        <v>166310</v>
      </c>
      <c r="P23" s="1">
        <v>166440</v>
      </c>
      <c r="Q23" s="1">
        <v>166750</v>
      </c>
      <c r="R23" s="1">
        <v>166900</v>
      </c>
      <c r="S23" s="1">
        <v>167190</v>
      </c>
      <c r="T23" s="1">
        <v>167420</v>
      </c>
      <c r="U23" s="1">
        <v>167600</v>
      </c>
      <c r="V23" s="1">
        <v>167730</v>
      </c>
      <c r="W23" s="1">
        <v>167970</v>
      </c>
      <c r="X23" s="1">
        <v>168160</v>
      </c>
      <c r="Y23" s="1">
        <v>168390</v>
      </c>
      <c r="Z23" s="1">
        <v>168840</v>
      </c>
      <c r="AA23" s="5">
        <f>AVERAGE(B23:Y23)</f>
        <v>165997.5</v>
      </c>
      <c r="AB23" s="5">
        <f>(AA24-AA22)/2</f>
        <v>5246.25</v>
      </c>
      <c r="AC23" s="14">
        <f>AB23/(23+AB151)</f>
        <v>210.16826623859728</v>
      </c>
      <c r="AD23" s="5">
        <f>AA23-AA22</f>
        <v>5257.083333333343</v>
      </c>
      <c r="AE23" s="1">
        <f>AD23-AD22</f>
        <v>11.250000000029104</v>
      </c>
      <c r="AG23" s="5">
        <f>Z23-Y23</f>
        <v>450</v>
      </c>
      <c r="AI23" s="1">
        <f>C23-B23</f>
        <v>200</v>
      </c>
      <c r="AJ23" s="1">
        <f>D23-C23</f>
        <v>180</v>
      </c>
      <c r="AK23" s="1">
        <f>E23-D23</f>
        <v>170</v>
      </c>
      <c r="AL23" s="1">
        <f>F23-E23</f>
        <v>250</v>
      </c>
      <c r="AM23" s="1">
        <f>G23-F23</f>
        <v>310</v>
      </c>
      <c r="AN23" s="1">
        <f>H23-G23</f>
        <v>210</v>
      </c>
      <c r="AO23" s="1">
        <f>I23-H23</f>
        <v>90</v>
      </c>
      <c r="AP23" s="1">
        <f>J23-I23</f>
        <v>230</v>
      </c>
      <c r="AQ23" s="1">
        <f>K23-J23</f>
        <v>220</v>
      </c>
      <c r="AR23" s="1">
        <f>L23-K23</f>
        <v>240</v>
      </c>
      <c r="AS23" s="1">
        <f>M23-L23</f>
        <v>220</v>
      </c>
      <c r="AT23" s="1">
        <f>N23-M23</f>
        <v>270</v>
      </c>
      <c r="AU23" s="1">
        <f>O23-N23</f>
        <v>120</v>
      </c>
      <c r="AV23" s="1">
        <f>P23-O23</f>
        <v>130</v>
      </c>
      <c r="AW23" s="1">
        <f>Q23-P23</f>
        <v>310</v>
      </c>
      <c r="AX23" s="1">
        <f>R23-Q23</f>
        <v>150</v>
      </c>
      <c r="AY23" s="1">
        <f>S23-R23</f>
        <v>290</v>
      </c>
      <c r="AZ23" s="1">
        <f>T23-S23</f>
        <v>230</v>
      </c>
      <c r="BA23" s="1">
        <f>U23-T23</f>
        <v>180</v>
      </c>
      <c r="BB23" s="1">
        <f>V23-U23</f>
        <v>130</v>
      </c>
      <c r="BC23" s="1">
        <f>W23-V23</f>
        <v>240</v>
      </c>
      <c r="BD23" s="1">
        <f>X23-W23</f>
        <v>190</v>
      </c>
      <c r="BE23" s="1">
        <f>Y23-X23</f>
        <v>230</v>
      </c>
      <c r="BF23" s="1">
        <f>Z23-Y23</f>
        <v>450</v>
      </c>
    </row>
    <row r="24" spans="1:58">
      <c r="A24" s="1">
        <v>22</v>
      </c>
      <c r="B24" s="1">
        <v>168840</v>
      </c>
      <c r="C24" s="1">
        <v>169040</v>
      </c>
      <c r="D24" s="1">
        <v>169280</v>
      </c>
      <c r="E24" s="1">
        <v>169480</v>
      </c>
      <c r="F24" s="1">
        <v>169660</v>
      </c>
      <c r="G24" s="1">
        <v>169830</v>
      </c>
      <c r="H24" s="1">
        <v>170090</v>
      </c>
      <c r="I24" s="1">
        <v>170240</v>
      </c>
      <c r="J24" s="1">
        <v>170490</v>
      </c>
      <c r="K24" s="1">
        <v>170690</v>
      </c>
      <c r="L24" s="1">
        <v>170890</v>
      </c>
      <c r="M24" s="1">
        <v>171130</v>
      </c>
      <c r="N24" s="1">
        <v>171430</v>
      </c>
      <c r="O24" s="1">
        <v>171540</v>
      </c>
      <c r="P24" s="1">
        <v>171750</v>
      </c>
      <c r="Q24" s="1">
        <v>171990</v>
      </c>
      <c r="R24" s="1">
        <v>172160</v>
      </c>
      <c r="S24" s="1">
        <v>172380</v>
      </c>
      <c r="T24" s="1">
        <v>172580</v>
      </c>
      <c r="U24" s="1">
        <v>172830</v>
      </c>
      <c r="V24" s="1">
        <v>172960</v>
      </c>
      <c r="W24" s="1">
        <v>173200</v>
      </c>
      <c r="X24" s="1">
        <v>173410</v>
      </c>
      <c r="Y24" s="1">
        <v>173700</v>
      </c>
      <c r="Z24" s="1">
        <v>174020</v>
      </c>
      <c r="AA24" s="5">
        <f>AVERAGE(B24:Y24)</f>
        <v>171232.91666666666</v>
      </c>
      <c r="AB24" s="5">
        <f>(AA25-AA23)/2</f>
        <v>5242.2916666666715</v>
      </c>
      <c r="AC24" s="14">
        <f>AB24/(23+AB151)</f>
        <v>210.00969277109954</v>
      </c>
      <c r="AD24" s="5">
        <f>AA24-AA23</f>
        <v>5235.416666666657</v>
      </c>
      <c r="AE24" s="1">
        <f>AD24-AD23</f>
        <v>-21.666666666686069</v>
      </c>
      <c r="AG24" s="5">
        <f>Z24-Y24</f>
        <v>320</v>
      </c>
      <c r="AI24" s="1">
        <f>C24-B24</f>
        <v>200</v>
      </c>
      <c r="AJ24" s="1">
        <f>D24-C24</f>
        <v>240</v>
      </c>
      <c r="AK24" s="1">
        <f>E24-D24</f>
        <v>200</v>
      </c>
      <c r="AL24" s="1">
        <f>F24-E24</f>
        <v>180</v>
      </c>
      <c r="AM24" s="1">
        <f>G24-F24</f>
        <v>170</v>
      </c>
      <c r="AN24" s="1">
        <f>H24-G24</f>
        <v>260</v>
      </c>
      <c r="AO24" s="1">
        <f>I24-H24</f>
        <v>150</v>
      </c>
      <c r="AP24" s="1">
        <f>J24-I24</f>
        <v>250</v>
      </c>
      <c r="AQ24" s="1">
        <f>K24-J24</f>
        <v>200</v>
      </c>
      <c r="AR24" s="1">
        <f>L24-K24</f>
        <v>200</v>
      </c>
      <c r="AS24" s="1">
        <f>M24-L24</f>
        <v>240</v>
      </c>
      <c r="AT24" s="1">
        <f>N24-M24</f>
        <v>300</v>
      </c>
      <c r="AU24" s="1">
        <f>O24-N24</f>
        <v>110</v>
      </c>
      <c r="AV24" s="1">
        <f>P24-O24</f>
        <v>210</v>
      </c>
      <c r="AW24" s="1">
        <f>Q24-P24</f>
        <v>240</v>
      </c>
      <c r="AX24" s="1">
        <f>R24-Q24</f>
        <v>170</v>
      </c>
      <c r="AY24" s="1">
        <f>S24-R24</f>
        <v>220</v>
      </c>
      <c r="AZ24" s="1">
        <f>T24-S24</f>
        <v>200</v>
      </c>
      <c r="BA24" s="1">
        <f>U24-T24</f>
        <v>250</v>
      </c>
      <c r="BB24" s="1">
        <f>V24-U24</f>
        <v>130</v>
      </c>
      <c r="BC24" s="1">
        <f>W24-V24</f>
        <v>240</v>
      </c>
      <c r="BD24" s="1">
        <f>X24-W24</f>
        <v>210</v>
      </c>
      <c r="BE24" s="1">
        <f>Y24-X24</f>
        <v>290</v>
      </c>
      <c r="BF24" s="1">
        <f>Z24-Y24</f>
        <v>320</v>
      </c>
    </row>
    <row r="25" spans="1:58">
      <c r="A25" s="1">
        <v>23</v>
      </c>
      <c r="B25" s="1">
        <v>174020</v>
      </c>
      <c r="C25" s="1">
        <v>174280</v>
      </c>
      <c r="D25" s="1">
        <v>174520</v>
      </c>
      <c r="E25" s="1">
        <v>174710</v>
      </c>
      <c r="F25" s="1">
        <v>174890</v>
      </c>
      <c r="G25" s="1">
        <v>175130</v>
      </c>
      <c r="H25" s="1">
        <v>175370</v>
      </c>
      <c r="I25" s="1">
        <v>175490</v>
      </c>
      <c r="J25" s="1">
        <v>175740</v>
      </c>
      <c r="K25" s="1">
        <v>175860</v>
      </c>
      <c r="L25" s="1">
        <v>176160</v>
      </c>
      <c r="M25" s="1">
        <v>176380</v>
      </c>
      <c r="N25" s="1">
        <v>176610</v>
      </c>
      <c r="O25" s="1">
        <v>176900</v>
      </c>
      <c r="P25" s="1">
        <v>177030</v>
      </c>
      <c r="Q25" s="1">
        <v>177140</v>
      </c>
      <c r="R25" s="1">
        <v>177440</v>
      </c>
      <c r="S25" s="1">
        <v>177650</v>
      </c>
      <c r="T25" s="1">
        <v>177870</v>
      </c>
      <c r="U25" s="1">
        <v>177990</v>
      </c>
      <c r="V25" s="1">
        <v>178260</v>
      </c>
      <c r="W25" s="1">
        <v>178510</v>
      </c>
      <c r="X25" s="1">
        <v>178700</v>
      </c>
      <c r="Y25" s="1">
        <v>178920</v>
      </c>
      <c r="Z25" s="1">
        <v>179390</v>
      </c>
      <c r="AA25" s="5">
        <f>AVERAGE(B25:Y25)</f>
        <v>176482.08333333334</v>
      </c>
      <c r="AB25" s="5">
        <f>(AA26-AA24)/2</f>
        <v>5264.583333333343</v>
      </c>
      <c r="AC25" s="14">
        <f>AB25/(23+AB151)</f>
        <v>210.9027117722724</v>
      </c>
      <c r="AD25" s="5">
        <f>AA25-AA24</f>
        <v>5249.1666666666861</v>
      </c>
      <c r="AE25" s="1">
        <f>AD25-AD24</f>
        <v>13.750000000029104</v>
      </c>
      <c r="AG25" s="5">
        <f>Z25-Y25</f>
        <v>470</v>
      </c>
      <c r="AI25" s="1">
        <f>C25-B25</f>
        <v>260</v>
      </c>
      <c r="AJ25" s="1">
        <f>D25-C25</f>
        <v>240</v>
      </c>
      <c r="AK25" s="1">
        <f>E25-D25</f>
        <v>190</v>
      </c>
      <c r="AL25" s="1">
        <f>F25-E25</f>
        <v>180</v>
      </c>
      <c r="AM25" s="1">
        <f>G25-F25</f>
        <v>240</v>
      </c>
      <c r="AN25" s="1">
        <f>H25-G25</f>
        <v>240</v>
      </c>
      <c r="AO25" s="1">
        <f>I25-H25</f>
        <v>120</v>
      </c>
      <c r="AP25" s="1">
        <f>J25-I25</f>
        <v>250</v>
      </c>
      <c r="AQ25" s="1">
        <f>K25-J25</f>
        <v>120</v>
      </c>
      <c r="AR25" s="1">
        <f>L25-K25</f>
        <v>300</v>
      </c>
      <c r="AS25" s="1">
        <f>M25-L25</f>
        <v>220</v>
      </c>
      <c r="AT25" s="1">
        <f>N25-M25</f>
        <v>230</v>
      </c>
      <c r="AU25" s="1">
        <f>O25-N25</f>
        <v>290</v>
      </c>
      <c r="AV25" s="1">
        <f>P25-O25</f>
        <v>130</v>
      </c>
      <c r="AW25" s="1">
        <f>Q25-P25</f>
        <v>110</v>
      </c>
      <c r="AX25" s="1">
        <f>R25-Q25</f>
        <v>300</v>
      </c>
      <c r="AY25" s="1">
        <f>S25-R25</f>
        <v>210</v>
      </c>
      <c r="AZ25" s="1">
        <f>T25-S25</f>
        <v>220</v>
      </c>
      <c r="BA25" s="1">
        <f>U25-T25</f>
        <v>120</v>
      </c>
      <c r="BB25" s="1">
        <f>V25-U25</f>
        <v>270</v>
      </c>
      <c r="BC25" s="1">
        <f>W25-V25</f>
        <v>250</v>
      </c>
      <c r="BD25" s="1">
        <f>X25-W25</f>
        <v>190</v>
      </c>
      <c r="BE25" s="1">
        <f>Y25-X25</f>
        <v>220</v>
      </c>
      <c r="BF25" s="1">
        <f>Z25-Y25</f>
        <v>470</v>
      </c>
    </row>
    <row r="26" spans="1:58">
      <c r="A26" s="1">
        <v>24</v>
      </c>
      <c r="B26" s="1">
        <v>179390</v>
      </c>
      <c r="C26" s="1">
        <v>179600</v>
      </c>
      <c r="D26" s="1">
        <v>179730</v>
      </c>
      <c r="E26" s="1">
        <v>179930</v>
      </c>
      <c r="F26" s="1">
        <v>180160</v>
      </c>
      <c r="G26" s="1">
        <v>180460</v>
      </c>
      <c r="H26" s="1">
        <v>180630</v>
      </c>
      <c r="I26" s="1">
        <v>180830</v>
      </c>
      <c r="J26" s="1">
        <v>181060</v>
      </c>
      <c r="K26" s="1">
        <v>181160</v>
      </c>
      <c r="L26" s="1">
        <v>181430</v>
      </c>
      <c r="M26" s="1">
        <v>181650</v>
      </c>
      <c r="N26" s="1">
        <v>181920</v>
      </c>
      <c r="O26" s="1">
        <v>182150</v>
      </c>
      <c r="P26" s="1">
        <v>182240</v>
      </c>
      <c r="Q26" s="1">
        <v>182460</v>
      </c>
      <c r="R26" s="1">
        <v>182750</v>
      </c>
      <c r="S26" s="1">
        <v>182920</v>
      </c>
      <c r="T26" s="1">
        <v>183110</v>
      </c>
      <c r="U26" s="1">
        <v>183370</v>
      </c>
      <c r="V26" s="1">
        <v>183530</v>
      </c>
      <c r="W26" s="1">
        <v>183760</v>
      </c>
      <c r="X26" s="1">
        <v>183920</v>
      </c>
      <c r="Y26" s="1">
        <v>184130</v>
      </c>
      <c r="Z26" s="1">
        <v>184660</v>
      </c>
      <c r="AA26" s="5">
        <f>AVERAGE(B26:Y26)</f>
        <v>181762.08333333334</v>
      </c>
      <c r="AB26" s="5">
        <f>(AA27-AA25)/2</f>
        <v>5265.625</v>
      </c>
      <c r="AC26" s="14">
        <f>AB26/(23+AB151)</f>
        <v>210.9444416321399</v>
      </c>
      <c r="AD26" s="5">
        <f>AA26-AA25</f>
        <v>5280</v>
      </c>
      <c r="AE26" s="1">
        <f>AD26-AD25</f>
        <v>30.833333333313931</v>
      </c>
      <c r="AG26" s="5">
        <f>Z26-Y26</f>
        <v>530</v>
      </c>
      <c r="AI26" s="1">
        <f>C26-B26</f>
        <v>210</v>
      </c>
      <c r="AJ26" s="1">
        <f>D26-C26</f>
        <v>130</v>
      </c>
      <c r="AK26" s="1">
        <f>E26-D26</f>
        <v>200</v>
      </c>
      <c r="AL26" s="1">
        <f>F26-E26</f>
        <v>230</v>
      </c>
      <c r="AM26" s="1">
        <f>G26-F26</f>
        <v>300</v>
      </c>
      <c r="AN26" s="1">
        <f>H26-G26</f>
        <v>170</v>
      </c>
      <c r="AO26" s="1">
        <f>I26-H26</f>
        <v>200</v>
      </c>
      <c r="AP26" s="1">
        <f>J26-I26</f>
        <v>230</v>
      </c>
      <c r="AQ26" s="1">
        <f>K26-J26</f>
        <v>100</v>
      </c>
      <c r="AR26" s="1">
        <f>L26-K26</f>
        <v>270</v>
      </c>
      <c r="AS26" s="1">
        <f>M26-L26</f>
        <v>220</v>
      </c>
      <c r="AT26" s="1">
        <f>N26-M26</f>
        <v>270</v>
      </c>
      <c r="AU26" s="1">
        <f>O26-N26</f>
        <v>230</v>
      </c>
      <c r="AV26" s="1">
        <f>P26-O26</f>
        <v>90</v>
      </c>
      <c r="AW26" s="1">
        <f>Q26-P26</f>
        <v>220</v>
      </c>
      <c r="AX26" s="1">
        <f>R26-Q26</f>
        <v>290</v>
      </c>
      <c r="AY26" s="1">
        <f>S26-R26</f>
        <v>170</v>
      </c>
      <c r="AZ26" s="1">
        <f>T26-S26</f>
        <v>190</v>
      </c>
      <c r="BA26" s="1">
        <f>U26-T26</f>
        <v>260</v>
      </c>
      <c r="BB26" s="1">
        <f>V26-U26</f>
        <v>160</v>
      </c>
      <c r="BC26" s="1">
        <f>W26-V26</f>
        <v>230</v>
      </c>
      <c r="BD26" s="1">
        <f>X26-W26</f>
        <v>160</v>
      </c>
      <c r="BE26" s="1">
        <f>Y26-X26</f>
        <v>210</v>
      </c>
      <c r="BF26" s="1">
        <f>Z26-Y26</f>
        <v>530</v>
      </c>
    </row>
    <row r="27" spans="1:58">
      <c r="A27" s="1">
        <v>25</v>
      </c>
      <c r="B27" s="1">
        <v>184660</v>
      </c>
      <c r="C27" s="1">
        <v>184840</v>
      </c>
      <c r="D27" s="1">
        <v>185080</v>
      </c>
      <c r="E27" s="1">
        <v>185180</v>
      </c>
      <c r="F27" s="1">
        <v>185400</v>
      </c>
      <c r="G27" s="1">
        <v>185610</v>
      </c>
      <c r="H27" s="1">
        <v>185860</v>
      </c>
      <c r="I27" s="1">
        <v>186100</v>
      </c>
      <c r="J27" s="1">
        <v>186300</v>
      </c>
      <c r="K27" s="1">
        <v>186430</v>
      </c>
      <c r="L27" s="1">
        <v>186630</v>
      </c>
      <c r="M27" s="1">
        <v>186800</v>
      </c>
      <c r="N27" s="1">
        <v>187130</v>
      </c>
      <c r="O27" s="1">
        <v>187350</v>
      </c>
      <c r="P27" s="1">
        <v>187550</v>
      </c>
      <c r="Q27" s="1">
        <v>187750</v>
      </c>
      <c r="R27" s="1">
        <v>188030</v>
      </c>
      <c r="S27" s="1">
        <v>188170</v>
      </c>
      <c r="T27" s="1">
        <v>188340</v>
      </c>
      <c r="U27" s="1">
        <v>188630</v>
      </c>
      <c r="V27" s="1">
        <v>188800</v>
      </c>
      <c r="W27" s="1">
        <v>189050</v>
      </c>
      <c r="X27" s="1">
        <v>189220</v>
      </c>
      <c r="Y27" s="1">
        <v>189410</v>
      </c>
      <c r="Z27" s="1">
        <v>189890</v>
      </c>
      <c r="AA27" s="5">
        <f>AVERAGE(B27:Y27)</f>
        <v>187013.33333333334</v>
      </c>
      <c r="AB27" s="5">
        <f>(AA28-AA26)/2</f>
        <v>5261.666666666657</v>
      </c>
      <c r="AC27" s="14">
        <f>AB27/(23+AB151)</f>
        <v>210.78586816464156</v>
      </c>
      <c r="AD27" s="5">
        <f>AA27-AA26</f>
        <v>5251.25</v>
      </c>
      <c r="AE27" s="1">
        <f>AD27-AD26</f>
        <v>-28.75</v>
      </c>
      <c r="AG27" s="5">
        <f>Z27-Y27</f>
        <v>480</v>
      </c>
      <c r="AI27" s="1">
        <f>C27-B27</f>
        <v>180</v>
      </c>
      <c r="AJ27" s="1">
        <f>D27-C27</f>
        <v>240</v>
      </c>
      <c r="AK27" s="1">
        <f>E27-D27</f>
        <v>100</v>
      </c>
      <c r="AL27" s="1">
        <f>F27-E27</f>
        <v>220</v>
      </c>
      <c r="AM27" s="1">
        <f>G27-F27</f>
        <v>210</v>
      </c>
      <c r="AN27" s="1">
        <f>H27-G27</f>
        <v>250</v>
      </c>
      <c r="AO27" s="1">
        <f>I27-H27</f>
        <v>240</v>
      </c>
      <c r="AP27" s="1">
        <f>J27-I27</f>
        <v>200</v>
      </c>
      <c r="AQ27" s="1">
        <f>K27-J27</f>
        <v>130</v>
      </c>
      <c r="AR27" s="1">
        <f>L27-K27</f>
        <v>200</v>
      </c>
      <c r="AS27" s="1">
        <f>M27-L27</f>
        <v>170</v>
      </c>
      <c r="AT27" s="1">
        <f>N27-M27</f>
        <v>330</v>
      </c>
      <c r="AU27" s="1">
        <f>O27-N27</f>
        <v>220</v>
      </c>
      <c r="AV27" s="1">
        <f>P27-O27</f>
        <v>200</v>
      </c>
      <c r="AW27" s="1">
        <f>Q27-P27</f>
        <v>200</v>
      </c>
      <c r="AX27" s="1">
        <f>R27-Q27</f>
        <v>280</v>
      </c>
      <c r="AY27" s="1">
        <f>S27-R27</f>
        <v>140</v>
      </c>
      <c r="AZ27" s="1">
        <f>T27-S27</f>
        <v>170</v>
      </c>
      <c r="BA27" s="1">
        <f>U27-T27</f>
        <v>290</v>
      </c>
      <c r="BB27" s="1">
        <f>V27-U27</f>
        <v>170</v>
      </c>
      <c r="BC27" s="1">
        <f>W27-V27</f>
        <v>250</v>
      </c>
      <c r="BD27" s="1">
        <f>X27-W27</f>
        <v>170</v>
      </c>
      <c r="BE27" s="1">
        <f>Y27-X27</f>
        <v>190</v>
      </c>
      <c r="BF27" s="1">
        <f>Z27-Y27</f>
        <v>480</v>
      </c>
    </row>
    <row r="28" spans="1:58">
      <c r="A28" s="1">
        <v>26</v>
      </c>
      <c r="B28" s="1">
        <v>189890</v>
      </c>
      <c r="C28" s="1">
        <v>190130</v>
      </c>
      <c r="D28" s="1">
        <v>190390</v>
      </c>
      <c r="E28" s="1">
        <v>190510</v>
      </c>
      <c r="F28" s="1">
        <v>190710</v>
      </c>
      <c r="G28" s="1">
        <v>190920</v>
      </c>
      <c r="H28" s="1">
        <v>191090</v>
      </c>
      <c r="I28" s="1">
        <v>191410</v>
      </c>
      <c r="J28" s="1">
        <v>191570</v>
      </c>
      <c r="K28" s="1">
        <v>191700</v>
      </c>
      <c r="L28" s="1">
        <v>191890</v>
      </c>
      <c r="M28" s="1">
        <v>192100</v>
      </c>
      <c r="N28" s="1">
        <v>192420</v>
      </c>
      <c r="O28" s="1">
        <v>192640</v>
      </c>
      <c r="P28" s="1">
        <v>192900</v>
      </c>
      <c r="Q28" s="1">
        <v>193060</v>
      </c>
      <c r="R28" s="1">
        <v>193200</v>
      </c>
      <c r="S28" s="1">
        <v>193450</v>
      </c>
      <c r="T28" s="1">
        <v>193670</v>
      </c>
      <c r="U28" s="1">
        <v>193870</v>
      </c>
      <c r="V28" s="1">
        <v>194030</v>
      </c>
      <c r="W28" s="1">
        <v>194220</v>
      </c>
      <c r="X28" s="1">
        <v>194420</v>
      </c>
      <c r="Y28" s="1">
        <v>194660</v>
      </c>
      <c r="Z28" s="1">
        <v>195150</v>
      </c>
      <c r="AA28" s="5">
        <f>AVERAGE(B28:Y28)</f>
        <v>192285.41666666666</v>
      </c>
      <c r="AB28" s="5">
        <f>(AA29-AA27)/2</f>
        <v>5266.875</v>
      </c>
      <c r="AC28" s="14">
        <f>AB28/(23+AB151)</f>
        <v>210.99451746398134</v>
      </c>
      <c r="AD28" s="5">
        <f>AA28-AA27</f>
        <v>5272.0833333333139</v>
      </c>
      <c r="AE28" s="1">
        <f>AD28-AD27</f>
        <v>20.833333333313931</v>
      </c>
      <c r="AG28" s="5">
        <f>Z28-Y28</f>
        <v>490</v>
      </c>
      <c r="AI28" s="1">
        <f>C28-B28</f>
        <v>240</v>
      </c>
      <c r="AJ28" s="1">
        <f>D28-C28</f>
        <v>260</v>
      </c>
      <c r="AK28" s="1">
        <f>E28-D28</f>
        <v>120</v>
      </c>
      <c r="AL28" s="1">
        <f>F28-E28</f>
        <v>200</v>
      </c>
      <c r="AM28" s="1">
        <f>G28-F28</f>
        <v>210</v>
      </c>
      <c r="AN28" s="1">
        <f>H28-G28</f>
        <v>170</v>
      </c>
      <c r="AO28" s="1">
        <f>I28-H28</f>
        <v>320</v>
      </c>
      <c r="AP28" s="1">
        <f>J28-I28</f>
        <v>160</v>
      </c>
      <c r="AQ28" s="1">
        <f>K28-J28</f>
        <v>130</v>
      </c>
      <c r="AR28" s="1">
        <f>L28-K28</f>
        <v>190</v>
      </c>
      <c r="AS28" s="1">
        <f>M28-L28</f>
        <v>210</v>
      </c>
      <c r="AT28" s="1">
        <f>N28-M28</f>
        <v>320</v>
      </c>
      <c r="AU28" s="1">
        <f>O28-N28</f>
        <v>220</v>
      </c>
      <c r="AV28" s="1">
        <f>P28-O28</f>
        <v>260</v>
      </c>
      <c r="AW28" s="1">
        <f>Q28-P28</f>
        <v>160</v>
      </c>
      <c r="AX28" s="1">
        <f>R28-Q28</f>
        <v>140</v>
      </c>
      <c r="AY28" s="1">
        <f>S28-R28</f>
        <v>250</v>
      </c>
      <c r="AZ28" s="1">
        <f>T28-S28</f>
        <v>220</v>
      </c>
      <c r="BA28" s="1">
        <f>U28-T28</f>
        <v>200</v>
      </c>
      <c r="BB28" s="1">
        <f>V28-U28</f>
        <v>160</v>
      </c>
      <c r="BC28" s="1">
        <f>W28-V28</f>
        <v>190</v>
      </c>
      <c r="BD28" s="1">
        <f>X28-W28</f>
        <v>200</v>
      </c>
      <c r="BE28" s="1">
        <f>Y28-X28</f>
        <v>240</v>
      </c>
      <c r="BF28" s="1">
        <f>Z28-Y28</f>
        <v>490</v>
      </c>
    </row>
    <row r="29" spans="1:58">
      <c r="A29" s="1">
        <v>27</v>
      </c>
      <c r="B29" s="1">
        <v>195150</v>
      </c>
      <c r="C29" s="1">
        <v>195380</v>
      </c>
      <c r="D29" s="1">
        <v>195570</v>
      </c>
      <c r="E29" s="1">
        <v>195820</v>
      </c>
      <c r="F29" s="1">
        <v>195980</v>
      </c>
      <c r="G29" s="1">
        <v>196170</v>
      </c>
      <c r="H29" s="1">
        <v>196360</v>
      </c>
      <c r="I29" s="1">
        <v>196550</v>
      </c>
      <c r="J29" s="1">
        <v>196780</v>
      </c>
      <c r="K29" s="1">
        <v>197030</v>
      </c>
      <c r="L29" s="1">
        <v>197230</v>
      </c>
      <c r="M29" s="1">
        <v>197310</v>
      </c>
      <c r="N29" s="1">
        <v>197700</v>
      </c>
      <c r="O29" s="1">
        <v>197920</v>
      </c>
      <c r="P29" s="1">
        <v>198130</v>
      </c>
      <c r="Q29" s="1">
        <v>198340</v>
      </c>
      <c r="R29" s="1">
        <v>198510</v>
      </c>
      <c r="S29" s="1">
        <v>198670</v>
      </c>
      <c r="T29" s="1">
        <v>198900</v>
      </c>
      <c r="U29" s="1">
        <v>199130</v>
      </c>
      <c r="V29" s="1">
        <v>199320</v>
      </c>
      <c r="W29" s="1">
        <v>199500</v>
      </c>
      <c r="X29" s="1">
        <v>199720</v>
      </c>
      <c r="Y29" s="1">
        <v>199960</v>
      </c>
      <c r="Z29" s="1">
        <v>200470</v>
      </c>
      <c r="AA29" s="5">
        <f>AVERAGE(B29:Y29)</f>
        <v>197547.08333333334</v>
      </c>
      <c r="AB29" s="5">
        <f>(AA30-AA28)/2</f>
        <v>5279.375</v>
      </c>
      <c r="AC29" s="14">
        <f>AB29/(23+AB151)</f>
        <v>211.49527578239591</v>
      </c>
      <c r="AD29" s="5">
        <f>AA29-AA28</f>
        <v>5261.6666666666861</v>
      </c>
      <c r="AE29" s="1">
        <f>AD29-AD28</f>
        <v>-10.416666666627862</v>
      </c>
      <c r="AG29" s="5">
        <f>Z29-Y29</f>
        <v>510</v>
      </c>
      <c r="AI29" s="1">
        <f>C29-B29</f>
        <v>230</v>
      </c>
      <c r="AJ29" s="1">
        <f>D29-C29</f>
        <v>190</v>
      </c>
      <c r="AK29" s="1">
        <f>E29-D29</f>
        <v>250</v>
      </c>
      <c r="AL29" s="1">
        <f>F29-E29</f>
        <v>160</v>
      </c>
      <c r="AM29" s="1">
        <f>G29-F29</f>
        <v>190</v>
      </c>
      <c r="AN29" s="1">
        <f>H29-G29</f>
        <v>190</v>
      </c>
      <c r="AO29" s="1">
        <f>I29-H29</f>
        <v>190</v>
      </c>
      <c r="AP29" s="1">
        <f>J29-I29</f>
        <v>230</v>
      </c>
      <c r="AQ29" s="1">
        <f>K29-J29</f>
        <v>250</v>
      </c>
      <c r="AR29" s="1">
        <f>L29-K29</f>
        <v>200</v>
      </c>
      <c r="AS29" s="1">
        <f>M29-L29</f>
        <v>80</v>
      </c>
      <c r="AT29" s="1">
        <f>N29-M29</f>
        <v>390</v>
      </c>
      <c r="AU29" s="1">
        <f>O29-N29</f>
        <v>220</v>
      </c>
      <c r="AV29" s="1">
        <f>P29-O29</f>
        <v>210</v>
      </c>
      <c r="AW29" s="1">
        <f>Q29-P29</f>
        <v>210</v>
      </c>
      <c r="AX29" s="1">
        <f>R29-Q29</f>
        <v>170</v>
      </c>
      <c r="AY29" s="1">
        <f>S29-R29</f>
        <v>160</v>
      </c>
      <c r="AZ29" s="1">
        <f>T29-S29</f>
        <v>230</v>
      </c>
      <c r="BA29" s="1">
        <f>U29-T29</f>
        <v>230</v>
      </c>
      <c r="BB29" s="1">
        <f>V29-U29</f>
        <v>190</v>
      </c>
      <c r="BC29" s="1">
        <f>W29-V29</f>
        <v>180</v>
      </c>
      <c r="BD29" s="1">
        <f>X29-W29</f>
        <v>220</v>
      </c>
      <c r="BE29" s="1">
        <f>Y29-X29</f>
        <v>240</v>
      </c>
      <c r="BF29" s="1">
        <f>Z29-Y29</f>
        <v>510</v>
      </c>
    </row>
    <row r="30" spans="1:58">
      <c r="A30" s="1">
        <v>28</v>
      </c>
      <c r="B30" s="1">
        <v>200470</v>
      </c>
      <c r="C30" s="1">
        <v>200660</v>
      </c>
      <c r="D30" s="1">
        <v>200930</v>
      </c>
      <c r="E30" s="1">
        <v>201140</v>
      </c>
      <c r="F30" s="1">
        <v>201280</v>
      </c>
      <c r="G30" s="1">
        <v>201430</v>
      </c>
      <c r="H30" s="1">
        <v>201650</v>
      </c>
      <c r="I30" s="1">
        <v>201870</v>
      </c>
      <c r="J30" s="1">
        <v>202110</v>
      </c>
      <c r="K30" s="1">
        <v>202290</v>
      </c>
      <c r="L30" s="1">
        <v>202460</v>
      </c>
      <c r="M30" s="1">
        <v>202690</v>
      </c>
      <c r="N30" s="1">
        <v>202990</v>
      </c>
      <c r="O30" s="1">
        <v>203150</v>
      </c>
      <c r="P30" s="1">
        <v>203480</v>
      </c>
      <c r="Q30" s="1">
        <v>203620</v>
      </c>
      <c r="R30" s="1">
        <v>203770</v>
      </c>
      <c r="S30" s="1">
        <v>203950</v>
      </c>
      <c r="T30" s="1">
        <v>204170</v>
      </c>
      <c r="U30" s="1">
        <v>204390</v>
      </c>
      <c r="V30" s="1">
        <v>204650</v>
      </c>
      <c r="W30" s="1">
        <v>204820</v>
      </c>
      <c r="X30" s="1">
        <v>205050</v>
      </c>
      <c r="Y30" s="1">
        <v>205240</v>
      </c>
      <c r="Z30" s="1">
        <v>205620</v>
      </c>
      <c r="AA30" s="5">
        <f>AVERAGE(B30:Y30)</f>
        <v>202844.16666666666</v>
      </c>
      <c r="AB30" s="5">
        <f>(AA31-AA29)/2</f>
        <v>5280.416666666657</v>
      </c>
      <c r="AC30" s="14">
        <f>AB30/(23+AB151)</f>
        <v>211.53700564226341</v>
      </c>
      <c r="AD30" s="5">
        <f>AA30-AA29</f>
        <v>5297.0833333333139</v>
      </c>
      <c r="AE30" s="1">
        <f>AD30-AD29</f>
        <v>35.416666666627862</v>
      </c>
      <c r="AG30" s="5">
        <f>Z30-Y30</f>
        <v>380</v>
      </c>
      <c r="AI30" s="1">
        <f>C30-B30</f>
        <v>190</v>
      </c>
      <c r="AJ30" s="1">
        <f>D30-C30</f>
        <v>270</v>
      </c>
      <c r="AK30" s="1">
        <f>E30-D30</f>
        <v>210</v>
      </c>
      <c r="AL30" s="1">
        <f>F30-E30</f>
        <v>140</v>
      </c>
      <c r="AM30" s="1">
        <f>G30-F30</f>
        <v>150</v>
      </c>
      <c r="AN30" s="1">
        <f>H30-G30</f>
        <v>220</v>
      </c>
      <c r="AO30" s="1">
        <f>I30-H30</f>
        <v>220</v>
      </c>
      <c r="AP30" s="1">
        <f>J30-I30</f>
        <v>240</v>
      </c>
      <c r="AQ30" s="1">
        <f>K30-J30</f>
        <v>180</v>
      </c>
      <c r="AR30" s="1">
        <f>L30-K30</f>
        <v>170</v>
      </c>
      <c r="AS30" s="1">
        <f>M30-L30</f>
        <v>230</v>
      </c>
      <c r="AT30" s="1">
        <f>N30-M30</f>
        <v>300</v>
      </c>
      <c r="AU30" s="1">
        <f>O30-N30</f>
        <v>160</v>
      </c>
      <c r="AV30" s="1">
        <f>P30-O30</f>
        <v>330</v>
      </c>
      <c r="AW30" s="1">
        <f>Q30-P30</f>
        <v>140</v>
      </c>
      <c r="AX30" s="1">
        <f>R30-Q30</f>
        <v>150</v>
      </c>
      <c r="AY30" s="1">
        <f>S30-R30</f>
        <v>180</v>
      </c>
      <c r="AZ30" s="1">
        <f>T30-S30</f>
        <v>220</v>
      </c>
      <c r="BA30" s="1">
        <f>U30-T30</f>
        <v>220</v>
      </c>
      <c r="BB30" s="1">
        <f>V30-U30</f>
        <v>260</v>
      </c>
      <c r="BC30" s="1">
        <f>W30-V30</f>
        <v>170</v>
      </c>
      <c r="BD30" s="1">
        <f>X30-W30</f>
        <v>230</v>
      </c>
      <c r="BE30" s="1">
        <f>Y30-X30</f>
        <v>190</v>
      </c>
      <c r="BF30" s="1">
        <f>Z30-Y30</f>
        <v>380</v>
      </c>
    </row>
    <row r="31" spans="1:58">
      <c r="A31" s="1">
        <v>29</v>
      </c>
      <c r="B31" s="1">
        <v>205620</v>
      </c>
      <c r="C31" s="1">
        <v>205840</v>
      </c>
      <c r="D31" s="1">
        <v>206150</v>
      </c>
      <c r="E31" s="1">
        <v>206360</v>
      </c>
      <c r="F31" s="1">
        <v>206530</v>
      </c>
      <c r="G31" s="1">
        <v>206750</v>
      </c>
      <c r="H31" s="1">
        <v>206940</v>
      </c>
      <c r="I31" s="1">
        <v>207150</v>
      </c>
      <c r="J31" s="1">
        <v>207330</v>
      </c>
      <c r="K31" s="1">
        <v>207520</v>
      </c>
      <c r="L31" s="1">
        <v>207790</v>
      </c>
      <c r="M31" s="1">
        <v>208060</v>
      </c>
      <c r="N31" s="1">
        <v>208260</v>
      </c>
      <c r="O31" s="1">
        <v>208390</v>
      </c>
      <c r="P31" s="1">
        <v>208670</v>
      </c>
      <c r="Q31" s="1">
        <v>208870</v>
      </c>
      <c r="R31" s="1">
        <v>209100</v>
      </c>
      <c r="S31" s="1">
        <v>209280</v>
      </c>
      <c r="T31" s="1">
        <v>209480</v>
      </c>
      <c r="U31" s="1">
        <v>209640</v>
      </c>
      <c r="V31" s="1">
        <v>209900</v>
      </c>
      <c r="W31" s="1">
        <v>210090</v>
      </c>
      <c r="X31" s="1">
        <v>210310</v>
      </c>
      <c r="Y31" s="1">
        <v>210560</v>
      </c>
      <c r="Z31" s="1">
        <v>210950</v>
      </c>
      <c r="AA31" s="5">
        <f>AVERAGE(B31:Y31)</f>
        <v>208107.91666666666</v>
      </c>
      <c r="AB31" s="5">
        <f>(AA32-AA30)/2</f>
        <v>5271.25</v>
      </c>
      <c r="AC31" s="14">
        <f>AB31/(23+AB151)</f>
        <v>211.16978287542645</v>
      </c>
      <c r="AD31" s="5">
        <f>AA31-AA30</f>
        <v>5263.75</v>
      </c>
      <c r="AE31" s="1">
        <f>AD31-AD30</f>
        <v>-33.333333333313931</v>
      </c>
      <c r="AG31" s="5">
        <f>Z31-Y31</f>
        <v>390</v>
      </c>
      <c r="AI31" s="1">
        <f>C31-B31</f>
        <v>220</v>
      </c>
      <c r="AJ31" s="1">
        <f>D31-C31</f>
        <v>310</v>
      </c>
      <c r="AK31" s="1">
        <f>E31-D31</f>
        <v>210</v>
      </c>
      <c r="AL31" s="1">
        <f>F31-E31</f>
        <v>170</v>
      </c>
      <c r="AM31" s="1">
        <f>G31-F31</f>
        <v>220</v>
      </c>
      <c r="AN31" s="1">
        <f>H31-G31</f>
        <v>190</v>
      </c>
      <c r="AO31" s="1">
        <f>I31-H31</f>
        <v>210</v>
      </c>
      <c r="AP31" s="1">
        <f>J31-I31</f>
        <v>180</v>
      </c>
      <c r="AQ31" s="1">
        <f>K31-J31</f>
        <v>190</v>
      </c>
      <c r="AR31" s="1">
        <f>L31-K31</f>
        <v>270</v>
      </c>
      <c r="AS31" s="1">
        <f>M31-L31</f>
        <v>270</v>
      </c>
      <c r="AT31" s="1">
        <f>N31-M31</f>
        <v>200</v>
      </c>
      <c r="AU31" s="1">
        <f>O31-N31</f>
        <v>130</v>
      </c>
      <c r="AV31" s="1">
        <f>P31-O31</f>
        <v>280</v>
      </c>
      <c r="AW31" s="1">
        <f>Q31-P31</f>
        <v>200</v>
      </c>
      <c r="AX31" s="1">
        <f>R31-Q31</f>
        <v>230</v>
      </c>
      <c r="AY31" s="1">
        <f>S31-R31</f>
        <v>180</v>
      </c>
      <c r="AZ31" s="1">
        <f>T31-S31</f>
        <v>200</v>
      </c>
      <c r="BA31" s="1">
        <f>U31-T31</f>
        <v>160</v>
      </c>
      <c r="BB31" s="1">
        <f>V31-U31</f>
        <v>260</v>
      </c>
      <c r="BC31" s="1">
        <f>W31-V31</f>
        <v>190</v>
      </c>
      <c r="BD31" s="1">
        <f>X31-W31</f>
        <v>220</v>
      </c>
      <c r="BE31" s="1">
        <f>Y31-X31</f>
        <v>250</v>
      </c>
      <c r="BF31" s="1">
        <f>Z31-Y31</f>
        <v>390</v>
      </c>
    </row>
    <row r="32" spans="1:58">
      <c r="A32" s="1">
        <v>30</v>
      </c>
      <c r="B32" s="1">
        <v>210950</v>
      </c>
      <c r="C32" s="1">
        <v>211150</v>
      </c>
      <c r="D32" s="1">
        <v>211400</v>
      </c>
      <c r="E32" s="1">
        <v>211610</v>
      </c>
      <c r="F32" s="1">
        <v>211820</v>
      </c>
      <c r="G32" s="1">
        <v>212060</v>
      </c>
      <c r="H32" s="1">
        <v>212190</v>
      </c>
      <c r="I32" s="1">
        <v>212380</v>
      </c>
      <c r="J32" s="1">
        <v>212570</v>
      </c>
      <c r="K32" s="1">
        <v>212810</v>
      </c>
      <c r="L32" s="1">
        <v>213050</v>
      </c>
      <c r="M32" s="1">
        <v>213320</v>
      </c>
      <c r="N32" s="1">
        <v>213470</v>
      </c>
      <c r="O32" s="1">
        <v>213750</v>
      </c>
      <c r="P32" s="1">
        <v>213950</v>
      </c>
      <c r="Q32" s="1">
        <v>214150</v>
      </c>
      <c r="R32" s="1">
        <v>214400</v>
      </c>
      <c r="S32" s="1">
        <v>214580</v>
      </c>
      <c r="T32" s="1">
        <v>214810</v>
      </c>
      <c r="U32" s="1">
        <v>214930</v>
      </c>
      <c r="V32" s="1">
        <v>215130</v>
      </c>
      <c r="W32" s="1">
        <v>215330</v>
      </c>
      <c r="X32" s="1">
        <v>215620</v>
      </c>
      <c r="Y32" s="1">
        <v>215850</v>
      </c>
      <c r="Z32" s="1">
        <v>216310</v>
      </c>
      <c r="AA32" s="5">
        <f>AVERAGE(B32:Y32)</f>
        <v>213386.66666666666</v>
      </c>
      <c r="AB32" s="5">
        <f>(AA33-AA31)/2</f>
        <v>5282.5</v>
      </c>
      <c r="AC32" s="14">
        <f>AB32/(23+AB151)</f>
        <v>211.62046536199955</v>
      </c>
      <c r="AD32" s="5">
        <f>AA32-AA31</f>
        <v>5278.75</v>
      </c>
      <c r="AE32" s="1">
        <f>AD32-AD31</f>
        <v>15</v>
      </c>
      <c r="AG32" s="5">
        <f>Z32-Y32</f>
        <v>460</v>
      </c>
      <c r="AI32" s="1">
        <f>C32-B32</f>
        <v>200</v>
      </c>
      <c r="AJ32" s="1">
        <f>D32-C32</f>
        <v>250</v>
      </c>
      <c r="AK32" s="1">
        <f>E32-D32</f>
        <v>210</v>
      </c>
      <c r="AL32" s="1">
        <f>F32-E32</f>
        <v>210</v>
      </c>
      <c r="AM32" s="1">
        <f>G32-F32</f>
        <v>240</v>
      </c>
      <c r="AN32" s="1">
        <f>H32-G32</f>
        <v>130</v>
      </c>
      <c r="AO32" s="1">
        <f>I32-H32</f>
        <v>190</v>
      </c>
      <c r="AP32" s="1">
        <f>J32-I32</f>
        <v>190</v>
      </c>
      <c r="AQ32" s="1">
        <f>K32-J32</f>
        <v>240</v>
      </c>
      <c r="AR32" s="1">
        <f>L32-K32</f>
        <v>240</v>
      </c>
      <c r="AS32" s="1">
        <f>M32-L32</f>
        <v>270</v>
      </c>
      <c r="AT32" s="1">
        <f>N32-M32</f>
        <v>150</v>
      </c>
      <c r="AU32" s="1">
        <f>O32-N32</f>
        <v>280</v>
      </c>
      <c r="AV32" s="1">
        <f>P32-O32</f>
        <v>200</v>
      </c>
      <c r="AW32" s="1">
        <f>Q32-P32</f>
        <v>200</v>
      </c>
      <c r="AX32" s="1">
        <f>R32-Q32</f>
        <v>250</v>
      </c>
      <c r="AY32" s="1">
        <f>S32-R32</f>
        <v>180</v>
      </c>
      <c r="AZ32" s="1">
        <f>T32-S32</f>
        <v>230</v>
      </c>
      <c r="BA32" s="1">
        <f>U32-T32</f>
        <v>120</v>
      </c>
      <c r="BB32" s="1">
        <f>V32-U32</f>
        <v>200</v>
      </c>
      <c r="BC32" s="1">
        <f>W32-V32</f>
        <v>200</v>
      </c>
      <c r="BD32" s="1">
        <f>X32-W32</f>
        <v>290</v>
      </c>
      <c r="BE32" s="1">
        <f>Y32-X32</f>
        <v>230</v>
      </c>
      <c r="BF32" s="1">
        <f>Z32-Y32</f>
        <v>460</v>
      </c>
    </row>
    <row r="33" spans="1:58">
      <c r="A33" s="1">
        <v>31</v>
      </c>
      <c r="B33" s="1">
        <v>216310</v>
      </c>
      <c r="C33" s="1">
        <v>216490</v>
      </c>
      <c r="D33" s="1">
        <v>216740</v>
      </c>
      <c r="E33" s="1">
        <v>216890</v>
      </c>
      <c r="F33" s="1">
        <v>217110</v>
      </c>
      <c r="G33" s="1">
        <v>217340</v>
      </c>
      <c r="H33" s="1">
        <v>217470</v>
      </c>
      <c r="I33" s="1">
        <v>217690</v>
      </c>
      <c r="J33" s="1">
        <v>217870</v>
      </c>
      <c r="K33" s="1">
        <v>218100</v>
      </c>
      <c r="L33" s="1">
        <v>218390</v>
      </c>
      <c r="M33" s="1">
        <v>218550</v>
      </c>
      <c r="N33" s="1">
        <v>218770</v>
      </c>
      <c r="O33" s="1">
        <v>219050</v>
      </c>
      <c r="P33" s="1">
        <v>219240</v>
      </c>
      <c r="Q33" s="1">
        <v>219440</v>
      </c>
      <c r="R33" s="1">
        <v>219640</v>
      </c>
      <c r="S33" s="1">
        <v>219850</v>
      </c>
      <c r="T33" s="1">
        <v>220080</v>
      </c>
      <c r="U33" s="1">
        <v>220180</v>
      </c>
      <c r="V33" s="1">
        <v>220330</v>
      </c>
      <c r="W33" s="1">
        <v>220580</v>
      </c>
      <c r="X33" s="1">
        <v>220890</v>
      </c>
      <c r="Y33" s="1">
        <v>221150</v>
      </c>
      <c r="Z33" s="1">
        <v>221570</v>
      </c>
      <c r="AA33" s="5">
        <f>AVERAGE(B33:Y33)</f>
        <v>218672.91666666666</v>
      </c>
      <c r="AB33" s="5">
        <f>(AA34-AA32)/2</f>
        <v>5275</v>
      </c>
      <c r="AC33" s="14">
        <f>AB33/(23+AB151)</f>
        <v>211.32001037095083</v>
      </c>
      <c r="AD33" s="5">
        <f>AA33-AA32</f>
        <v>5286.25</v>
      </c>
      <c r="AE33" s="1">
        <f>AD33-AD32</f>
        <v>7.5</v>
      </c>
      <c r="AG33" s="5">
        <f>Z33-Y33</f>
        <v>420</v>
      </c>
      <c r="AI33" s="1">
        <f>C33-B33</f>
        <v>180</v>
      </c>
      <c r="AJ33" s="1">
        <f>D33-C33</f>
        <v>250</v>
      </c>
      <c r="AK33" s="1">
        <f>E33-D33</f>
        <v>150</v>
      </c>
      <c r="AL33" s="1">
        <f>F33-E33</f>
        <v>220</v>
      </c>
      <c r="AM33" s="1">
        <f>G33-F33</f>
        <v>230</v>
      </c>
      <c r="AN33" s="1">
        <f>H33-G33</f>
        <v>130</v>
      </c>
      <c r="AO33" s="1">
        <f>I33-H33</f>
        <v>220</v>
      </c>
      <c r="AP33" s="1">
        <f>J33-I33</f>
        <v>180</v>
      </c>
      <c r="AQ33" s="1">
        <f>K33-J33</f>
        <v>230</v>
      </c>
      <c r="AR33" s="1">
        <f>L33-K33</f>
        <v>290</v>
      </c>
      <c r="AS33" s="1">
        <f>M33-L33</f>
        <v>160</v>
      </c>
      <c r="AT33" s="1">
        <f>N33-M33</f>
        <v>220</v>
      </c>
      <c r="AU33" s="1">
        <f>O33-N33</f>
        <v>280</v>
      </c>
      <c r="AV33" s="1">
        <f>P33-O33</f>
        <v>190</v>
      </c>
      <c r="AW33" s="1">
        <f>Q33-P33</f>
        <v>200</v>
      </c>
      <c r="AX33" s="1">
        <f>R33-Q33</f>
        <v>200</v>
      </c>
      <c r="AY33" s="1">
        <f>S33-R33</f>
        <v>210</v>
      </c>
      <c r="AZ33" s="1">
        <f>T33-S33</f>
        <v>230</v>
      </c>
      <c r="BA33" s="1">
        <f>U33-T33</f>
        <v>100</v>
      </c>
      <c r="BB33" s="1">
        <f>V33-U33</f>
        <v>150</v>
      </c>
      <c r="BC33" s="1">
        <f>W33-V33</f>
        <v>250</v>
      </c>
      <c r="BD33" s="1">
        <f>X33-W33</f>
        <v>310</v>
      </c>
      <c r="BE33" s="1">
        <f>Y33-X33</f>
        <v>260</v>
      </c>
      <c r="BF33" s="1">
        <f>Z33-Y33</f>
        <v>420</v>
      </c>
    </row>
    <row r="34" spans="1:58">
      <c r="A34" s="1">
        <v>32</v>
      </c>
      <c r="B34" s="1">
        <v>221570</v>
      </c>
      <c r="C34" s="1">
        <v>221720</v>
      </c>
      <c r="D34" s="1">
        <v>222030</v>
      </c>
      <c r="E34" s="1">
        <v>222190</v>
      </c>
      <c r="F34" s="1">
        <v>222360</v>
      </c>
      <c r="G34" s="1">
        <v>222570</v>
      </c>
      <c r="H34" s="1">
        <v>222780</v>
      </c>
      <c r="I34" s="1">
        <v>223000</v>
      </c>
      <c r="J34" s="1">
        <v>223150</v>
      </c>
      <c r="K34" s="1">
        <v>223350</v>
      </c>
      <c r="L34" s="1">
        <v>223580</v>
      </c>
      <c r="M34" s="1">
        <v>223790</v>
      </c>
      <c r="N34" s="1">
        <v>224010</v>
      </c>
      <c r="O34" s="1">
        <v>224300</v>
      </c>
      <c r="P34" s="1">
        <v>224400</v>
      </c>
      <c r="Q34" s="1">
        <v>224710</v>
      </c>
      <c r="R34" s="1">
        <v>224920</v>
      </c>
      <c r="S34" s="1">
        <v>225100</v>
      </c>
      <c r="T34" s="1">
        <v>225400</v>
      </c>
      <c r="U34" s="1">
        <v>225500</v>
      </c>
      <c r="V34" s="1">
        <v>225680</v>
      </c>
      <c r="W34" s="1">
        <v>225940</v>
      </c>
      <c r="X34" s="1">
        <v>226100</v>
      </c>
      <c r="Y34" s="1">
        <v>226330</v>
      </c>
      <c r="Z34" s="1">
        <v>226800</v>
      </c>
      <c r="AA34" s="5">
        <f>AVERAGE(B34:Y34)</f>
        <v>223936.66666666666</v>
      </c>
      <c r="AB34" s="5">
        <f>(AA35-AA33)/2</f>
        <v>5248.333333333343</v>
      </c>
      <c r="AC34" s="14">
        <f>AB34/(23+AB151)</f>
        <v>210.25172595833345</v>
      </c>
      <c r="AD34" s="5">
        <f>AA34-AA33</f>
        <v>5263.75</v>
      </c>
      <c r="AE34" s="1">
        <f>AD34-AD33</f>
        <v>-22.5</v>
      </c>
      <c r="AG34" s="5">
        <f>Z34-Y34</f>
        <v>470</v>
      </c>
      <c r="AI34" s="1">
        <f>C34-B34</f>
        <v>150</v>
      </c>
      <c r="AJ34" s="1">
        <f>D34-C34</f>
        <v>310</v>
      </c>
      <c r="AK34" s="1">
        <f>E34-D34</f>
        <v>160</v>
      </c>
      <c r="AL34" s="1">
        <f>F34-E34</f>
        <v>170</v>
      </c>
      <c r="AM34" s="1">
        <f>G34-F34</f>
        <v>210</v>
      </c>
      <c r="AN34" s="1">
        <f>H34-G34</f>
        <v>210</v>
      </c>
      <c r="AO34" s="1">
        <f>I34-H34</f>
        <v>220</v>
      </c>
      <c r="AP34" s="1">
        <f>J34-I34</f>
        <v>150</v>
      </c>
      <c r="AQ34" s="1">
        <f>K34-J34</f>
        <v>200</v>
      </c>
      <c r="AR34" s="1">
        <f>L34-K34</f>
        <v>230</v>
      </c>
      <c r="AS34" s="1">
        <f>M34-L34</f>
        <v>210</v>
      </c>
      <c r="AT34" s="1">
        <f>N34-M34</f>
        <v>220</v>
      </c>
      <c r="AU34" s="1">
        <f>O34-N34</f>
        <v>290</v>
      </c>
      <c r="AV34" s="1">
        <f>P34-O34</f>
        <v>100</v>
      </c>
      <c r="AW34" s="1">
        <f>Q34-P34</f>
        <v>310</v>
      </c>
      <c r="AX34" s="1">
        <f>R34-Q34</f>
        <v>210</v>
      </c>
      <c r="AY34" s="1">
        <f>S34-R34</f>
        <v>180</v>
      </c>
      <c r="AZ34" s="1">
        <f>T34-S34</f>
        <v>300</v>
      </c>
      <c r="BA34" s="1">
        <f>U34-T34</f>
        <v>100</v>
      </c>
      <c r="BB34" s="1">
        <f>V34-U34</f>
        <v>180</v>
      </c>
      <c r="BC34" s="1">
        <f>W34-V34</f>
        <v>260</v>
      </c>
      <c r="BD34" s="1">
        <f>X34-W34</f>
        <v>160</v>
      </c>
      <c r="BE34" s="1">
        <f>Y34-X34</f>
        <v>230</v>
      </c>
      <c r="BF34" s="1">
        <f>Z34-Y34</f>
        <v>470</v>
      </c>
    </row>
    <row r="35" spans="1:58">
      <c r="A35" s="1">
        <v>33</v>
      </c>
      <c r="B35" s="1">
        <v>226800</v>
      </c>
      <c r="C35" s="1">
        <v>227010</v>
      </c>
      <c r="D35" s="1">
        <v>227190</v>
      </c>
      <c r="E35" s="1">
        <v>227340</v>
      </c>
      <c r="F35" s="1">
        <v>227640</v>
      </c>
      <c r="G35" s="1">
        <v>227800</v>
      </c>
      <c r="H35" s="1">
        <v>228020</v>
      </c>
      <c r="I35" s="1">
        <v>228290</v>
      </c>
      <c r="J35" s="1">
        <v>228480</v>
      </c>
      <c r="K35" s="1">
        <v>228630</v>
      </c>
      <c r="L35" s="1">
        <v>228830</v>
      </c>
      <c r="M35" s="1">
        <v>229000</v>
      </c>
      <c r="N35" s="1">
        <v>229280</v>
      </c>
      <c r="O35" s="1">
        <v>229530</v>
      </c>
      <c r="P35" s="1">
        <v>229640</v>
      </c>
      <c r="Q35" s="1">
        <v>229820</v>
      </c>
      <c r="R35" s="1">
        <v>230100</v>
      </c>
      <c r="S35" s="1">
        <v>230360</v>
      </c>
      <c r="T35" s="1">
        <v>230550</v>
      </c>
      <c r="U35" s="1">
        <v>230740</v>
      </c>
      <c r="V35" s="1">
        <v>231010</v>
      </c>
      <c r="W35" s="1">
        <v>231160</v>
      </c>
      <c r="X35" s="1">
        <v>231290</v>
      </c>
      <c r="Y35" s="1">
        <v>231560</v>
      </c>
      <c r="Z35" s="1">
        <v>232040</v>
      </c>
      <c r="AA35" s="5">
        <f>AVERAGE(B35:Y35)</f>
        <v>229169.58333333334</v>
      </c>
      <c r="AB35" s="5">
        <f>(AA36-AA34)/2</f>
        <v>5227.083333333343</v>
      </c>
      <c r="AC35" s="14">
        <f>AB35/(23+AB151)</f>
        <v>209.40043681702866</v>
      </c>
      <c r="AD35" s="5">
        <f>AA35-AA34</f>
        <v>5232.9166666666861</v>
      </c>
      <c r="AE35" s="1">
        <f>AD35-AD34</f>
        <v>-30.833333333313931</v>
      </c>
      <c r="AG35" s="5">
        <f>Z35-Y35</f>
        <v>480</v>
      </c>
      <c r="AI35" s="1">
        <f>C35-B35</f>
        <v>210</v>
      </c>
      <c r="AJ35" s="1">
        <f>D35-C35</f>
        <v>180</v>
      </c>
      <c r="AK35" s="1">
        <f>E35-D35</f>
        <v>150</v>
      </c>
      <c r="AL35" s="1">
        <f>F35-E35</f>
        <v>300</v>
      </c>
      <c r="AM35" s="1">
        <f>G35-F35</f>
        <v>160</v>
      </c>
      <c r="AN35" s="1">
        <f>H35-G35</f>
        <v>220</v>
      </c>
      <c r="AO35" s="1">
        <f>I35-H35</f>
        <v>270</v>
      </c>
      <c r="AP35" s="1">
        <f>J35-I35</f>
        <v>190</v>
      </c>
      <c r="AQ35" s="1">
        <f>K35-J35</f>
        <v>150</v>
      </c>
      <c r="AR35" s="1">
        <f>L35-K35</f>
        <v>200</v>
      </c>
      <c r="AS35" s="1">
        <f>M35-L35</f>
        <v>170</v>
      </c>
      <c r="AT35" s="1">
        <f>N35-M35</f>
        <v>280</v>
      </c>
      <c r="AU35" s="1">
        <f>O35-N35</f>
        <v>250</v>
      </c>
      <c r="AV35" s="1">
        <f>P35-O35</f>
        <v>110</v>
      </c>
      <c r="AW35" s="1">
        <f>Q35-P35</f>
        <v>180</v>
      </c>
      <c r="AX35" s="1">
        <f>R35-Q35</f>
        <v>280</v>
      </c>
      <c r="AY35" s="1">
        <f>S35-R35</f>
        <v>260</v>
      </c>
      <c r="AZ35" s="1">
        <f>T35-S35</f>
        <v>190</v>
      </c>
      <c r="BA35" s="1">
        <f>U35-T35</f>
        <v>190</v>
      </c>
      <c r="BB35" s="1">
        <f>V35-U35</f>
        <v>270</v>
      </c>
      <c r="BC35" s="1">
        <f>W35-V35</f>
        <v>150</v>
      </c>
      <c r="BD35" s="1">
        <f>X35-W35</f>
        <v>130</v>
      </c>
      <c r="BE35" s="1">
        <f>Y35-X35</f>
        <v>270</v>
      </c>
      <c r="BF35" s="1">
        <f>Z35-Y35</f>
        <v>480</v>
      </c>
    </row>
    <row r="36" spans="1:58">
      <c r="A36" s="1">
        <v>34</v>
      </c>
      <c r="B36" s="1">
        <v>232040</v>
      </c>
      <c r="C36" s="1">
        <v>232230</v>
      </c>
      <c r="D36" s="1">
        <v>232330</v>
      </c>
      <c r="E36" s="1">
        <v>232560</v>
      </c>
      <c r="F36" s="1">
        <v>232860</v>
      </c>
      <c r="G36" s="1">
        <v>233030</v>
      </c>
      <c r="H36" s="1">
        <v>233280</v>
      </c>
      <c r="I36" s="1">
        <v>233550</v>
      </c>
      <c r="J36" s="1">
        <v>233700</v>
      </c>
      <c r="K36" s="1">
        <v>233870</v>
      </c>
      <c r="L36" s="1">
        <v>234050</v>
      </c>
      <c r="M36" s="1">
        <v>234260</v>
      </c>
      <c r="N36" s="1">
        <v>234520</v>
      </c>
      <c r="O36" s="1">
        <v>234700</v>
      </c>
      <c r="P36" s="1">
        <v>234860</v>
      </c>
      <c r="Q36" s="1">
        <v>235100</v>
      </c>
      <c r="R36" s="1">
        <v>235250</v>
      </c>
      <c r="S36" s="1">
        <v>235560</v>
      </c>
      <c r="T36" s="1">
        <v>235800</v>
      </c>
      <c r="U36" s="1">
        <v>235950</v>
      </c>
      <c r="V36" s="1">
        <v>236200</v>
      </c>
      <c r="W36" s="1">
        <v>236380</v>
      </c>
      <c r="X36" s="1">
        <v>236510</v>
      </c>
      <c r="Y36" s="1">
        <v>236790</v>
      </c>
      <c r="Z36" s="1">
        <v>237250</v>
      </c>
      <c r="AA36" s="5">
        <f>AVERAGE(B36:Y36)</f>
        <v>234390.83333333334</v>
      </c>
      <c r="AB36" s="5">
        <f>(AA37-AA35)/2</f>
        <v>5227.5</v>
      </c>
      <c r="AC36" s="14">
        <f>AB36/(23+AB151)</f>
        <v>209.41712876097543</v>
      </c>
      <c r="AD36" s="5">
        <f>AA36-AA35</f>
        <v>5221.25</v>
      </c>
      <c r="AE36" s="1">
        <f>AD36-AD35</f>
        <v>-11.666666666686069</v>
      </c>
      <c r="AG36" s="5">
        <f>Z36-Y36</f>
        <v>460</v>
      </c>
      <c r="AI36" s="1">
        <f>C36-B36</f>
        <v>190</v>
      </c>
      <c r="AJ36" s="1">
        <f>D36-C36</f>
        <v>100</v>
      </c>
      <c r="AK36" s="1">
        <f>E36-D36</f>
        <v>230</v>
      </c>
      <c r="AL36" s="1">
        <f>F36-E36</f>
        <v>300</v>
      </c>
      <c r="AM36" s="1">
        <f>G36-F36</f>
        <v>170</v>
      </c>
      <c r="AN36" s="1">
        <f>H36-G36</f>
        <v>250</v>
      </c>
      <c r="AO36" s="1">
        <f>I36-H36</f>
        <v>270</v>
      </c>
      <c r="AP36" s="1">
        <f>J36-I36</f>
        <v>150</v>
      </c>
      <c r="AQ36" s="1">
        <f>K36-J36</f>
        <v>170</v>
      </c>
      <c r="AR36" s="1">
        <f>L36-K36</f>
        <v>180</v>
      </c>
      <c r="AS36" s="1">
        <f>M36-L36</f>
        <v>210</v>
      </c>
      <c r="AT36" s="1">
        <f>N36-M36</f>
        <v>260</v>
      </c>
      <c r="AU36" s="1">
        <f>O36-N36</f>
        <v>180</v>
      </c>
      <c r="AV36" s="1">
        <f>P36-O36</f>
        <v>160</v>
      </c>
      <c r="AW36" s="1">
        <f>Q36-P36</f>
        <v>240</v>
      </c>
      <c r="AX36" s="1">
        <f>R36-Q36</f>
        <v>150</v>
      </c>
      <c r="AY36" s="1">
        <f>S36-R36</f>
        <v>310</v>
      </c>
      <c r="AZ36" s="1">
        <f>T36-S36</f>
        <v>240</v>
      </c>
      <c r="BA36" s="1">
        <f>U36-T36</f>
        <v>150</v>
      </c>
      <c r="BB36" s="1">
        <f>V36-U36</f>
        <v>250</v>
      </c>
      <c r="BC36" s="1">
        <f>W36-V36</f>
        <v>180</v>
      </c>
      <c r="BD36" s="1">
        <f>X36-W36</f>
        <v>130</v>
      </c>
      <c r="BE36" s="1">
        <f>Y36-X36</f>
        <v>280</v>
      </c>
      <c r="BF36" s="1">
        <f>Z36-Y36</f>
        <v>460</v>
      </c>
    </row>
    <row r="37" spans="1:58">
      <c r="A37" s="1">
        <v>35</v>
      </c>
      <c r="B37" s="1">
        <v>237250</v>
      </c>
      <c r="C37" s="1">
        <v>237460</v>
      </c>
      <c r="D37" s="1">
        <v>237660</v>
      </c>
      <c r="E37" s="1">
        <v>237850</v>
      </c>
      <c r="F37" s="1">
        <v>238090</v>
      </c>
      <c r="G37" s="1">
        <v>238260</v>
      </c>
      <c r="H37" s="1">
        <v>238510</v>
      </c>
      <c r="I37" s="1">
        <v>238710</v>
      </c>
      <c r="J37" s="1">
        <v>238910</v>
      </c>
      <c r="K37" s="1">
        <v>239080</v>
      </c>
      <c r="L37" s="1">
        <v>239260</v>
      </c>
      <c r="M37" s="1">
        <v>239480</v>
      </c>
      <c r="N37" s="1">
        <v>239730</v>
      </c>
      <c r="O37" s="1">
        <v>239830</v>
      </c>
      <c r="P37" s="1">
        <v>240070</v>
      </c>
      <c r="Q37" s="1">
        <v>240370</v>
      </c>
      <c r="R37" s="1">
        <v>240600</v>
      </c>
      <c r="S37" s="1">
        <v>240790</v>
      </c>
      <c r="T37" s="1">
        <v>241050</v>
      </c>
      <c r="U37" s="1">
        <v>241200</v>
      </c>
      <c r="V37" s="1">
        <v>241420</v>
      </c>
      <c r="W37" s="1">
        <v>241600</v>
      </c>
      <c r="X37" s="1">
        <v>241780</v>
      </c>
      <c r="Y37" s="1">
        <v>242030</v>
      </c>
      <c r="Z37" s="1">
        <v>242420</v>
      </c>
      <c r="AA37" s="5">
        <f>AVERAGE(B37:Y37)</f>
        <v>239624.58333333334</v>
      </c>
      <c r="AB37" s="5">
        <f>(AA38-AA36)/2</f>
        <v>5232.5</v>
      </c>
      <c r="AC37" s="14">
        <f>AB37/(23+AB151)</f>
        <v>209.61743208834127</v>
      </c>
      <c r="AD37" s="5">
        <f>AA37-AA36</f>
        <v>5233.75</v>
      </c>
      <c r="AE37" s="1">
        <f>AD37-AD36</f>
        <v>12.5</v>
      </c>
      <c r="AG37" s="5">
        <f>Z37-Y37</f>
        <v>390</v>
      </c>
      <c r="AI37" s="1">
        <f>C37-B37</f>
        <v>210</v>
      </c>
      <c r="AJ37" s="1">
        <f>D37-C37</f>
        <v>200</v>
      </c>
      <c r="AK37" s="1">
        <f>E37-D37</f>
        <v>190</v>
      </c>
      <c r="AL37" s="1">
        <f>F37-E37</f>
        <v>240</v>
      </c>
      <c r="AM37" s="1">
        <f>G37-F37</f>
        <v>170</v>
      </c>
      <c r="AN37" s="1">
        <f>H37-G37</f>
        <v>250</v>
      </c>
      <c r="AO37" s="1">
        <f>I37-H37</f>
        <v>200</v>
      </c>
      <c r="AP37" s="1">
        <f>J37-I37</f>
        <v>200</v>
      </c>
      <c r="AQ37" s="1">
        <f>K37-J37</f>
        <v>170</v>
      </c>
      <c r="AR37" s="1">
        <f>L37-K37</f>
        <v>180</v>
      </c>
      <c r="AS37" s="1">
        <f>M37-L37</f>
        <v>220</v>
      </c>
      <c r="AT37" s="1">
        <f>N37-M37</f>
        <v>250</v>
      </c>
      <c r="AU37" s="1">
        <f>O37-N37</f>
        <v>100</v>
      </c>
      <c r="AV37" s="1">
        <f>P37-O37</f>
        <v>240</v>
      </c>
      <c r="AW37" s="1">
        <f>Q37-P37</f>
        <v>300</v>
      </c>
      <c r="AX37" s="1">
        <f>R37-Q37</f>
        <v>230</v>
      </c>
      <c r="AY37" s="1">
        <f>S37-R37</f>
        <v>190</v>
      </c>
      <c r="AZ37" s="1">
        <f>T37-S37</f>
        <v>260</v>
      </c>
      <c r="BA37" s="1">
        <f>U37-T37</f>
        <v>150</v>
      </c>
      <c r="BB37" s="1">
        <f>V37-U37</f>
        <v>220</v>
      </c>
      <c r="BC37" s="1">
        <f>W37-V37</f>
        <v>180</v>
      </c>
      <c r="BD37" s="1">
        <f>X37-W37</f>
        <v>180</v>
      </c>
      <c r="BE37" s="1">
        <f>Y37-X37</f>
        <v>250</v>
      </c>
      <c r="BF37" s="1">
        <f>Z37-Y37</f>
        <v>390</v>
      </c>
    </row>
    <row r="38" spans="1:58">
      <c r="A38" s="1">
        <v>36</v>
      </c>
      <c r="B38" s="1">
        <v>242420</v>
      </c>
      <c r="C38" s="1">
        <v>242680</v>
      </c>
      <c r="D38" s="1">
        <v>242880</v>
      </c>
      <c r="E38" s="1">
        <v>243100</v>
      </c>
      <c r="F38" s="1">
        <v>243350</v>
      </c>
      <c r="G38" s="1">
        <v>243520</v>
      </c>
      <c r="H38" s="1">
        <v>243680</v>
      </c>
      <c r="I38" s="1">
        <v>243940</v>
      </c>
      <c r="J38" s="1">
        <v>244090</v>
      </c>
      <c r="K38" s="1">
        <v>244250</v>
      </c>
      <c r="L38" s="1">
        <v>244530</v>
      </c>
      <c r="M38" s="1">
        <v>244780</v>
      </c>
      <c r="N38" s="1">
        <v>244960</v>
      </c>
      <c r="O38" s="1">
        <v>245140</v>
      </c>
      <c r="P38" s="1">
        <v>245370</v>
      </c>
      <c r="Q38" s="1">
        <v>245600</v>
      </c>
      <c r="R38" s="1">
        <v>245790</v>
      </c>
      <c r="S38" s="1">
        <v>246010</v>
      </c>
      <c r="T38" s="1">
        <v>246120</v>
      </c>
      <c r="U38" s="1">
        <v>246440</v>
      </c>
      <c r="V38" s="1">
        <v>246680</v>
      </c>
      <c r="W38" s="1">
        <v>246810</v>
      </c>
      <c r="X38" s="1">
        <v>247080</v>
      </c>
      <c r="Y38" s="1">
        <v>247320</v>
      </c>
      <c r="Z38" s="1">
        <v>247630</v>
      </c>
      <c r="AA38" s="5">
        <f>AVERAGE(B38:Y38)</f>
        <v>244855.83333333334</v>
      </c>
      <c r="AB38" s="5">
        <f>(AA39-AA37)/2</f>
        <v>5220.2083333333285</v>
      </c>
      <c r="AC38" s="14">
        <f>AB38/(23+AB151)</f>
        <v>209.12501974190008</v>
      </c>
      <c r="AD38" s="5">
        <f>AA38-AA37</f>
        <v>5231.25</v>
      </c>
      <c r="AE38" s="1">
        <f>AD38-AD37</f>
        <v>-2.5</v>
      </c>
      <c r="AG38" s="5">
        <f>Z38-Y38</f>
        <v>310</v>
      </c>
      <c r="AI38" s="1">
        <f>C38-B38</f>
        <v>260</v>
      </c>
      <c r="AJ38" s="1">
        <f>D38-C38</f>
        <v>200</v>
      </c>
      <c r="AK38" s="1">
        <f>E38-D38</f>
        <v>220</v>
      </c>
      <c r="AL38" s="1">
        <f>F38-E38</f>
        <v>250</v>
      </c>
      <c r="AM38" s="1">
        <f>G38-F38</f>
        <v>170</v>
      </c>
      <c r="AN38" s="1">
        <f>H38-G38</f>
        <v>160</v>
      </c>
      <c r="AO38" s="1">
        <f>I38-H38</f>
        <v>260</v>
      </c>
      <c r="AP38" s="1">
        <f>J38-I38</f>
        <v>150</v>
      </c>
      <c r="AQ38" s="1">
        <f>K38-J38</f>
        <v>160</v>
      </c>
      <c r="AR38" s="1">
        <f>L38-K38</f>
        <v>280</v>
      </c>
      <c r="AS38" s="1">
        <f>M38-L38</f>
        <v>250</v>
      </c>
      <c r="AT38" s="1">
        <f>N38-M38</f>
        <v>180</v>
      </c>
      <c r="AU38" s="1">
        <f>O38-N38</f>
        <v>180</v>
      </c>
      <c r="AV38" s="1">
        <f>P38-O38</f>
        <v>230</v>
      </c>
      <c r="AW38" s="1">
        <f>Q38-P38</f>
        <v>230</v>
      </c>
      <c r="AX38" s="1">
        <f>R38-Q38</f>
        <v>190</v>
      </c>
      <c r="AY38" s="1">
        <f>S38-R38</f>
        <v>220</v>
      </c>
      <c r="AZ38" s="1">
        <f>T38-S38</f>
        <v>110</v>
      </c>
      <c r="BA38" s="1">
        <f>U38-T38</f>
        <v>320</v>
      </c>
      <c r="BB38" s="1">
        <f>V38-U38</f>
        <v>240</v>
      </c>
      <c r="BC38" s="1">
        <f>W38-V38</f>
        <v>130</v>
      </c>
      <c r="BD38" s="1">
        <f>X38-W38</f>
        <v>270</v>
      </c>
      <c r="BE38" s="1">
        <f>Y38-X38</f>
        <v>240</v>
      </c>
      <c r="BF38" s="1">
        <f>Z38-Y38</f>
        <v>310</v>
      </c>
    </row>
    <row r="39" spans="1:58">
      <c r="A39" s="1">
        <v>37</v>
      </c>
      <c r="B39" s="1">
        <v>247630</v>
      </c>
      <c r="C39" s="1">
        <v>247800</v>
      </c>
      <c r="D39" s="1">
        <v>248140</v>
      </c>
      <c r="E39" s="1">
        <v>248370</v>
      </c>
      <c r="F39" s="1">
        <v>248510</v>
      </c>
      <c r="G39" s="1">
        <v>248710</v>
      </c>
      <c r="H39" s="1">
        <v>248890</v>
      </c>
      <c r="I39" s="1">
        <v>249090</v>
      </c>
      <c r="J39" s="1">
        <v>249340</v>
      </c>
      <c r="K39" s="1">
        <v>249520</v>
      </c>
      <c r="L39" s="1">
        <v>249770</v>
      </c>
      <c r="M39" s="1">
        <v>249950</v>
      </c>
      <c r="N39" s="1">
        <v>250180</v>
      </c>
      <c r="O39" s="1">
        <v>250420</v>
      </c>
      <c r="P39" s="1">
        <v>250630</v>
      </c>
      <c r="Q39" s="1">
        <v>250820</v>
      </c>
      <c r="R39" s="1">
        <v>250980</v>
      </c>
      <c r="S39" s="1">
        <v>251220</v>
      </c>
      <c r="T39" s="1">
        <v>251370</v>
      </c>
      <c r="U39" s="1">
        <v>251630</v>
      </c>
      <c r="V39" s="1">
        <v>251880</v>
      </c>
      <c r="W39" s="1">
        <v>252020</v>
      </c>
      <c r="X39" s="1">
        <v>252170</v>
      </c>
      <c r="Y39" s="1">
        <v>252520</v>
      </c>
      <c r="Z39" s="1">
        <v>252910</v>
      </c>
      <c r="AA39" s="5">
        <f>AVERAGE(B39:Y39)</f>
        <v>250065</v>
      </c>
      <c r="AB39" s="5">
        <f>(AA40-AA38)/2</f>
        <v>5221.25</v>
      </c>
      <c r="AC39" s="14">
        <f>AB39/(23+AB151)</f>
        <v>209.16674960176815</v>
      </c>
      <c r="AD39" s="5">
        <f>AA39-AA38</f>
        <v>5209.166666666657</v>
      </c>
      <c r="AE39" s="1">
        <f>AD39-AD38</f>
        <v>-22.083333333343035</v>
      </c>
      <c r="AG39" s="5">
        <f>Z39-Y39</f>
        <v>390</v>
      </c>
      <c r="AI39" s="1">
        <f>C39-B39</f>
        <v>170</v>
      </c>
      <c r="AJ39" s="1">
        <f>D39-C39</f>
        <v>340</v>
      </c>
      <c r="AK39" s="1">
        <f>E39-D39</f>
        <v>230</v>
      </c>
      <c r="AL39" s="1">
        <f>F39-E39</f>
        <v>140</v>
      </c>
      <c r="AM39" s="1">
        <f>G39-F39</f>
        <v>200</v>
      </c>
      <c r="AN39" s="1">
        <f>H39-G39</f>
        <v>180</v>
      </c>
      <c r="AO39" s="1">
        <f>I39-H39</f>
        <v>200</v>
      </c>
      <c r="AP39" s="1">
        <f>J39-I39</f>
        <v>250</v>
      </c>
      <c r="AQ39" s="1">
        <f>K39-J39</f>
        <v>180</v>
      </c>
      <c r="AR39" s="1">
        <f>L39-K39</f>
        <v>250</v>
      </c>
      <c r="AS39" s="1">
        <f>M39-L39</f>
        <v>180</v>
      </c>
      <c r="AT39" s="1">
        <f>N39-M39</f>
        <v>230</v>
      </c>
      <c r="AU39" s="1">
        <f>O39-N39</f>
        <v>240</v>
      </c>
      <c r="AV39" s="1">
        <f>P39-O39</f>
        <v>210</v>
      </c>
      <c r="AW39" s="1">
        <f>Q39-P39</f>
        <v>190</v>
      </c>
      <c r="AX39" s="1">
        <f>R39-Q39</f>
        <v>160</v>
      </c>
      <c r="AY39" s="1">
        <f>S39-R39</f>
        <v>240</v>
      </c>
      <c r="AZ39" s="1">
        <f>T39-S39</f>
        <v>150</v>
      </c>
      <c r="BA39" s="1">
        <f>U39-T39</f>
        <v>260</v>
      </c>
      <c r="BB39" s="1">
        <f>V39-U39</f>
        <v>250</v>
      </c>
      <c r="BC39" s="1">
        <f>W39-V39</f>
        <v>140</v>
      </c>
      <c r="BD39" s="1">
        <f>X39-W39</f>
        <v>150</v>
      </c>
      <c r="BE39" s="1">
        <f>Y39-X39</f>
        <v>350</v>
      </c>
      <c r="BF39" s="1">
        <f>Z39-Y39</f>
        <v>390</v>
      </c>
    </row>
    <row r="40" spans="1:58">
      <c r="A40" s="1">
        <v>38</v>
      </c>
      <c r="B40" s="1">
        <v>252910</v>
      </c>
      <c r="C40" s="1">
        <v>253060</v>
      </c>
      <c r="D40" s="1">
        <v>253360</v>
      </c>
      <c r="E40" s="1">
        <v>253550</v>
      </c>
      <c r="F40" s="1">
        <v>253750</v>
      </c>
      <c r="G40" s="1">
        <v>253960</v>
      </c>
      <c r="H40" s="1">
        <v>254100</v>
      </c>
      <c r="I40" s="1">
        <v>254440</v>
      </c>
      <c r="J40" s="1">
        <v>254510</v>
      </c>
      <c r="K40" s="1">
        <v>254740</v>
      </c>
      <c r="L40" s="1">
        <v>254990</v>
      </c>
      <c r="M40" s="1">
        <v>255280</v>
      </c>
      <c r="N40" s="1">
        <v>255420</v>
      </c>
      <c r="O40" s="1">
        <v>255640</v>
      </c>
      <c r="P40" s="1">
        <v>255860</v>
      </c>
      <c r="Q40" s="1">
        <v>256050</v>
      </c>
      <c r="R40" s="1">
        <v>256260</v>
      </c>
      <c r="S40" s="1">
        <v>256470</v>
      </c>
      <c r="T40" s="1">
        <v>256680</v>
      </c>
      <c r="U40" s="1">
        <v>256870</v>
      </c>
      <c r="V40" s="1">
        <v>256950</v>
      </c>
      <c r="W40" s="1">
        <v>256990</v>
      </c>
      <c r="X40" s="1">
        <v>257530</v>
      </c>
      <c r="Y40" s="1">
        <v>257790</v>
      </c>
      <c r="Z40" s="1">
        <v>258240</v>
      </c>
      <c r="AA40" s="5">
        <f>AVERAGE(B40:Y40)</f>
        <v>255298.33333333334</v>
      </c>
      <c r="AB40" s="5">
        <f>(AA41-AA39)/2</f>
        <v>5248.3333333333285</v>
      </c>
      <c r="AC40" s="14">
        <f>AB40/(23+AB151)</f>
        <v>210.25172595833286</v>
      </c>
      <c r="AD40" s="5">
        <f>AA40-AA39</f>
        <v>5233.333333333343</v>
      </c>
      <c r="AE40" s="1">
        <f>AD40-AD39</f>
        <v>24.166666666686069</v>
      </c>
      <c r="AG40" s="5">
        <f>Z40-Y40</f>
        <v>450</v>
      </c>
      <c r="AI40" s="1">
        <f>C40-B40</f>
        <v>150</v>
      </c>
      <c r="AJ40" s="1">
        <f>D40-C40</f>
        <v>300</v>
      </c>
      <c r="AK40" s="1">
        <f>E40-D40</f>
        <v>190</v>
      </c>
      <c r="AL40" s="1">
        <f>F40-E40</f>
        <v>200</v>
      </c>
      <c r="AM40" s="1">
        <f>G40-F40</f>
        <v>210</v>
      </c>
      <c r="AN40" s="1">
        <f>H40-G40</f>
        <v>140</v>
      </c>
      <c r="AO40" s="1">
        <f>I40-H40</f>
        <v>340</v>
      </c>
      <c r="AP40" s="1">
        <f>J40-I40</f>
        <v>70</v>
      </c>
      <c r="AQ40" s="1">
        <f>K40-J40</f>
        <v>230</v>
      </c>
      <c r="AR40" s="1">
        <f>L40-K40</f>
        <v>250</v>
      </c>
      <c r="AS40" s="1">
        <f>M40-L40</f>
        <v>290</v>
      </c>
      <c r="AT40" s="1">
        <f>N40-M40</f>
        <v>140</v>
      </c>
      <c r="AU40" s="1">
        <f>O40-N40</f>
        <v>220</v>
      </c>
      <c r="AV40" s="1">
        <f>P40-O40</f>
        <v>220</v>
      </c>
      <c r="AW40" s="1">
        <f>Q40-P40</f>
        <v>190</v>
      </c>
      <c r="AX40" s="1">
        <f>R40-Q40</f>
        <v>210</v>
      </c>
      <c r="AY40" s="1">
        <f>S40-R40</f>
        <v>210</v>
      </c>
      <c r="AZ40" s="1">
        <f>T40-S40</f>
        <v>210</v>
      </c>
      <c r="BA40" s="1">
        <f>U40-T40</f>
        <v>190</v>
      </c>
      <c r="BB40" s="1">
        <f>V40-U40</f>
        <v>80</v>
      </c>
      <c r="BC40" s="1">
        <f>W40-V40</f>
        <v>40</v>
      </c>
      <c r="BD40" s="1">
        <f>X40-W40</f>
        <v>540</v>
      </c>
      <c r="BE40" s="1">
        <f>Y40-X40</f>
        <v>260</v>
      </c>
      <c r="BF40" s="1">
        <f>Z40-Y40</f>
        <v>450</v>
      </c>
    </row>
    <row r="41" spans="1:58">
      <c r="A41" s="1">
        <v>39</v>
      </c>
      <c r="B41" s="1">
        <v>258240</v>
      </c>
      <c r="C41" s="1">
        <v>258460</v>
      </c>
      <c r="D41" s="1">
        <v>258570</v>
      </c>
      <c r="E41" s="1">
        <v>258740</v>
      </c>
      <c r="F41" s="1">
        <v>258970</v>
      </c>
      <c r="G41" s="1">
        <v>259200</v>
      </c>
      <c r="H41" s="1">
        <v>259400</v>
      </c>
      <c r="I41" s="1">
        <v>259600</v>
      </c>
      <c r="J41" s="1">
        <v>259830</v>
      </c>
      <c r="K41" s="1">
        <v>260030</v>
      </c>
      <c r="L41" s="1">
        <v>260280</v>
      </c>
      <c r="M41" s="1">
        <v>260390</v>
      </c>
      <c r="N41" s="1">
        <v>260700</v>
      </c>
      <c r="O41" s="1">
        <v>260890</v>
      </c>
      <c r="P41" s="1">
        <v>261100</v>
      </c>
      <c r="Q41" s="1">
        <v>261300</v>
      </c>
      <c r="R41" s="1">
        <v>261490</v>
      </c>
      <c r="S41" s="1">
        <v>261740</v>
      </c>
      <c r="T41" s="1">
        <v>261890</v>
      </c>
      <c r="U41" s="1">
        <v>262090</v>
      </c>
      <c r="V41" s="1">
        <v>262350</v>
      </c>
      <c r="W41" s="1">
        <v>262590</v>
      </c>
      <c r="X41" s="1">
        <v>262660</v>
      </c>
      <c r="Y41" s="1">
        <v>262970</v>
      </c>
      <c r="Z41" s="1">
        <v>263410</v>
      </c>
      <c r="AA41" s="5">
        <f>AVERAGE(B41:Y41)</f>
        <v>260561.66666666666</v>
      </c>
      <c r="AB41" s="5">
        <f>(AA42-AA40)/2</f>
        <v>5254.1666666666715</v>
      </c>
      <c r="AC41" s="14">
        <f>AB41/(23+AB151)</f>
        <v>210.4854131735934</v>
      </c>
      <c r="AD41" s="5">
        <f>AA41-AA40</f>
        <v>5263.3333333333139</v>
      </c>
      <c r="AE41" s="1">
        <f>AD41-AD40</f>
        <v>29.999999999970896</v>
      </c>
      <c r="AG41" s="5">
        <f>Z41-Y41</f>
        <v>440</v>
      </c>
      <c r="AI41" s="1">
        <f>C41-B41</f>
        <v>220</v>
      </c>
      <c r="AJ41" s="1">
        <f>D41-C41</f>
        <v>110</v>
      </c>
      <c r="AK41" s="1">
        <f>E41-D41</f>
        <v>170</v>
      </c>
      <c r="AL41" s="1">
        <f>F41-E41</f>
        <v>230</v>
      </c>
      <c r="AM41" s="1">
        <f>G41-F41</f>
        <v>230</v>
      </c>
      <c r="AN41" s="1">
        <f>H41-G41</f>
        <v>200</v>
      </c>
      <c r="AO41" s="1">
        <f>I41-H41</f>
        <v>200</v>
      </c>
      <c r="AP41" s="1">
        <f>J41-I41</f>
        <v>230</v>
      </c>
      <c r="AQ41" s="1">
        <f>K41-J41</f>
        <v>200</v>
      </c>
      <c r="AR41" s="1">
        <f>L41-K41</f>
        <v>250</v>
      </c>
      <c r="AS41" s="1">
        <f>M41-L41</f>
        <v>110</v>
      </c>
      <c r="AT41" s="1">
        <f>N41-M41</f>
        <v>310</v>
      </c>
      <c r="AU41" s="1">
        <f>O41-N41</f>
        <v>190</v>
      </c>
      <c r="AV41" s="1">
        <f>P41-O41</f>
        <v>210</v>
      </c>
      <c r="AW41" s="1">
        <f>Q41-P41</f>
        <v>200</v>
      </c>
      <c r="AX41" s="1">
        <f>R41-Q41</f>
        <v>190</v>
      </c>
      <c r="AY41" s="1">
        <f>S41-R41</f>
        <v>250</v>
      </c>
      <c r="AZ41" s="1">
        <f>T41-S41</f>
        <v>150</v>
      </c>
      <c r="BA41" s="1">
        <f>U41-T41</f>
        <v>200</v>
      </c>
      <c r="BB41" s="1">
        <f>V41-U41</f>
        <v>260</v>
      </c>
      <c r="BC41" s="1">
        <f>W41-V41</f>
        <v>240</v>
      </c>
      <c r="BD41" s="1">
        <f>X41-W41</f>
        <v>70</v>
      </c>
      <c r="BE41" s="1">
        <f>Y41-X41</f>
        <v>310</v>
      </c>
      <c r="BF41" s="1">
        <f>Z41-Y41</f>
        <v>440</v>
      </c>
    </row>
    <row r="42" spans="1:58">
      <c r="A42" s="1">
        <v>40</v>
      </c>
      <c r="B42" s="1">
        <v>263410</v>
      </c>
      <c r="C42" s="1">
        <v>263650</v>
      </c>
      <c r="D42" s="1">
        <v>263860</v>
      </c>
      <c r="E42" s="1">
        <v>264040</v>
      </c>
      <c r="F42" s="1">
        <v>264220</v>
      </c>
      <c r="G42" s="1">
        <v>264460</v>
      </c>
      <c r="H42" s="1">
        <v>264590</v>
      </c>
      <c r="I42" s="1">
        <v>264800</v>
      </c>
      <c r="J42" s="1">
        <v>265040</v>
      </c>
      <c r="K42" s="1">
        <v>265260</v>
      </c>
      <c r="L42" s="1">
        <v>265460</v>
      </c>
      <c r="M42" s="1">
        <v>265720</v>
      </c>
      <c r="N42" s="1">
        <v>265910</v>
      </c>
      <c r="O42" s="1">
        <v>266120</v>
      </c>
      <c r="P42" s="1">
        <v>266350</v>
      </c>
      <c r="Q42" s="1">
        <v>266570</v>
      </c>
      <c r="R42" s="1">
        <v>266720</v>
      </c>
      <c r="S42" s="1">
        <v>266910</v>
      </c>
      <c r="T42" s="1">
        <v>267160</v>
      </c>
      <c r="U42" s="1">
        <v>267370</v>
      </c>
      <c r="V42" s="1">
        <v>267620</v>
      </c>
      <c r="W42" s="1">
        <v>267850</v>
      </c>
      <c r="X42" s="1">
        <v>268040</v>
      </c>
      <c r="Y42" s="1">
        <v>268230</v>
      </c>
      <c r="Z42" s="1">
        <v>268620</v>
      </c>
      <c r="AA42" s="5">
        <f>AVERAGE(B42:Y42)</f>
        <v>265806.66666666669</v>
      </c>
      <c r="AB42" s="5">
        <f>(AA43-AA41)/2</f>
        <v>5241.4583333333285</v>
      </c>
      <c r="AC42" s="14">
        <f>AB42/(23+AB151)</f>
        <v>209.97630888320484</v>
      </c>
      <c r="AD42" s="5">
        <f>AA42-AA41</f>
        <v>5245.0000000000291</v>
      </c>
      <c r="AE42" s="1">
        <f>AD42-AD41</f>
        <v>-18.333333333284827</v>
      </c>
      <c r="AG42" s="5">
        <f>Z42-Y42</f>
        <v>390</v>
      </c>
      <c r="AI42" s="1">
        <f>C42-B42</f>
        <v>240</v>
      </c>
      <c r="AJ42" s="1">
        <f>D42-C42</f>
        <v>210</v>
      </c>
      <c r="AK42" s="1">
        <f>E42-D42</f>
        <v>180</v>
      </c>
      <c r="AL42" s="1">
        <f>F42-E42</f>
        <v>180</v>
      </c>
      <c r="AM42" s="1">
        <f>G42-F42</f>
        <v>240</v>
      </c>
      <c r="AN42" s="1">
        <f>H42-G42</f>
        <v>130</v>
      </c>
      <c r="AO42" s="1">
        <f>I42-H42</f>
        <v>210</v>
      </c>
      <c r="AP42" s="1">
        <f>J42-I42</f>
        <v>240</v>
      </c>
      <c r="AQ42" s="1">
        <f>K42-J42</f>
        <v>220</v>
      </c>
      <c r="AR42" s="1">
        <f>L42-K42</f>
        <v>200</v>
      </c>
      <c r="AS42" s="1">
        <f>M42-L42</f>
        <v>260</v>
      </c>
      <c r="AT42" s="1">
        <f>N42-M42</f>
        <v>190</v>
      </c>
      <c r="AU42" s="1">
        <f>O42-N42</f>
        <v>210</v>
      </c>
      <c r="AV42" s="1">
        <f>P42-O42</f>
        <v>230</v>
      </c>
      <c r="AW42" s="1">
        <f>Q42-P42</f>
        <v>220</v>
      </c>
      <c r="AX42" s="1">
        <f>R42-Q42</f>
        <v>150</v>
      </c>
      <c r="AY42" s="1">
        <f>S42-R42</f>
        <v>190</v>
      </c>
      <c r="AZ42" s="1">
        <f>T42-S42</f>
        <v>250</v>
      </c>
      <c r="BA42" s="1">
        <f>U42-T42</f>
        <v>210</v>
      </c>
      <c r="BB42" s="1">
        <f>V42-U42</f>
        <v>250</v>
      </c>
      <c r="BC42" s="1">
        <f>W42-V42</f>
        <v>230</v>
      </c>
      <c r="BD42" s="1">
        <f>X42-W42</f>
        <v>190</v>
      </c>
      <c r="BE42" s="1">
        <f>Y42-X42</f>
        <v>190</v>
      </c>
      <c r="BF42" s="1">
        <f>Z42-Y42</f>
        <v>390</v>
      </c>
    </row>
    <row r="43" spans="1:58">
      <c r="A43" s="1">
        <v>41</v>
      </c>
      <c r="B43" s="1">
        <v>268620</v>
      </c>
      <c r="C43" s="1">
        <v>268870</v>
      </c>
      <c r="D43" s="1">
        <v>269000</v>
      </c>
      <c r="E43" s="1">
        <v>269240</v>
      </c>
      <c r="F43" s="1">
        <v>269410</v>
      </c>
      <c r="G43" s="1">
        <v>269640</v>
      </c>
      <c r="H43" s="1">
        <v>269940</v>
      </c>
      <c r="I43" s="1">
        <v>270140</v>
      </c>
      <c r="J43" s="1">
        <v>270340</v>
      </c>
      <c r="K43" s="1">
        <v>270530</v>
      </c>
      <c r="L43" s="1">
        <v>270730</v>
      </c>
      <c r="M43" s="1">
        <v>270910</v>
      </c>
      <c r="N43" s="1">
        <v>271170</v>
      </c>
      <c r="O43" s="1">
        <v>271340</v>
      </c>
      <c r="P43" s="1">
        <v>271580</v>
      </c>
      <c r="Q43" s="1">
        <v>271770</v>
      </c>
      <c r="R43" s="1">
        <v>271950</v>
      </c>
      <c r="S43" s="1">
        <v>272150</v>
      </c>
      <c r="T43" s="1">
        <v>272410</v>
      </c>
      <c r="U43" s="1">
        <v>272630</v>
      </c>
      <c r="V43" s="1">
        <v>272880</v>
      </c>
      <c r="W43" s="1">
        <v>273080</v>
      </c>
      <c r="X43" s="1">
        <v>273220</v>
      </c>
      <c r="Y43" s="1">
        <v>273520</v>
      </c>
      <c r="Z43" s="1">
        <v>273880</v>
      </c>
      <c r="AA43" s="5">
        <f>AVERAGE(B43:Y43)</f>
        <v>271044.58333333331</v>
      </c>
      <c r="AB43" s="5">
        <f>(AA44-AA42)/2</f>
        <v>5245.416666666657</v>
      </c>
      <c r="AC43" s="14">
        <f>AB43/(23+AB151)</f>
        <v>210.13488235070261</v>
      </c>
      <c r="AD43" s="5">
        <f>AA43-AA42</f>
        <v>5237.9166666666279</v>
      </c>
      <c r="AE43" s="1">
        <f>AD43-AD42</f>
        <v>-7.0833333334012423</v>
      </c>
      <c r="AG43" s="5">
        <f>Z43-Y43</f>
        <v>360</v>
      </c>
      <c r="AI43" s="1">
        <f>C43-B43</f>
        <v>250</v>
      </c>
      <c r="AJ43" s="1">
        <f>D43-C43</f>
        <v>130</v>
      </c>
      <c r="AK43" s="1">
        <f>E43-D43</f>
        <v>240</v>
      </c>
      <c r="AL43" s="1">
        <f>F43-E43</f>
        <v>170</v>
      </c>
      <c r="AM43" s="1">
        <f>G43-F43</f>
        <v>230</v>
      </c>
      <c r="AN43" s="1">
        <f>H43-G43</f>
        <v>300</v>
      </c>
      <c r="AO43" s="1">
        <f>I43-H43</f>
        <v>200</v>
      </c>
      <c r="AP43" s="1">
        <f>J43-I43</f>
        <v>200</v>
      </c>
      <c r="AQ43" s="1">
        <f>K43-J43</f>
        <v>190</v>
      </c>
      <c r="AR43" s="1">
        <f>L43-K43</f>
        <v>200</v>
      </c>
      <c r="AS43" s="1">
        <f>M43-L43</f>
        <v>180</v>
      </c>
      <c r="AT43" s="1">
        <f>N43-M43</f>
        <v>260</v>
      </c>
      <c r="AU43" s="1">
        <f>O43-N43</f>
        <v>170</v>
      </c>
      <c r="AV43" s="1">
        <f>P43-O43</f>
        <v>240</v>
      </c>
      <c r="AW43" s="1">
        <f>Q43-P43</f>
        <v>190</v>
      </c>
      <c r="AX43" s="1">
        <f>R43-Q43</f>
        <v>180</v>
      </c>
      <c r="AY43" s="1">
        <f>S43-R43</f>
        <v>200</v>
      </c>
      <c r="AZ43" s="1">
        <f>T43-S43</f>
        <v>260</v>
      </c>
      <c r="BA43" s="1">
        <f>U43-T43</f>
        <v>220</v>
      </c>
      <c r="BB43" s="1">
        <f>V43-U43</f>
        <v>250</v>
      </c>
      <c r="BC43" s="1">
        <f>W43-V43</f>
        <v>200</v>
      </c>
      <c r="BD43" s="1">
        <f>X43-W43</f>
        <v>140</v>
      </c>
      <c r="BE43" s="1">
        <f>Y43-X43</f>
        <v>300</v>
      </c>
      <c r="BF43" s="1">
        <f>Z43-Y43</f>
        <v>360</v>
      </c>
    </row>
    <row r="44" spans="1:58">
      <c r="A44" s="1">
        <v>42</v>
      </c>
      <c r="B44" s="1">
        <v>273880</v>
      </c>
      <c r="C44" s="1">
        <v>274120</v>
      </c>
      <c r="D44" s="1">
        <v>274240</v>
      </c>
      <c r="E44" s="1">
        <v>274510</v>
      </c>
      <c r="F44" s="1">
        <v>274670</v>
      </c>
      <c r="G44" s="1">
        <v>274890</v>
      </c>
      <c r="H44" s="1">
        <v>275090</v>
      </c>
      <c r="I44" s="1">
        <v>275380</v>
      </c>
      <c r="J44" s="1">
        <v>275580</v>
      </c>
      <c r="K44" s="1">
        <v>275820</v>
      </c>
      <c r="L44" s="1">
        <v>275970</v>
      </c>
      <c r="M44" s="1">
        <v>276130</v>
      </c>
      <c r="N44" s="1">
        <v>276420</v>
      </c>
      <c r="O44" s="1">
        <v>276600</v>
      </c>
      <c r="P44" s="1">
        <v>276820</v>
      </c>
      <c r="Q44" s="1">
        <v>277020</v>
      </c>
      <c r="R44" s="1">
        <v>277260</v>
      </c>
      <c r="S44" s="1">
        <v>277450</v>
      </c>
      <c r="T44" s="1">
        <v>277720</v>
      </c>
      <c r="U44" s="1">
        <v>277960</v>
      </c>
      <c r="V44" s="1">
        <v>278100</v>
      </c>
      <c r="W44" s="1">
        <v>278330</v>
      </c>
      <c r="X44" s="1">
        <v>278530</v>
      </c>
      <c r="Y44" s="1">
        <v>278650</v>
      </c>
      <c r="Z44" s="1">
        <v>279110</v>
      </c>
      <c r="AA44" s="5">
        <f>AVERAGE(B44:Y44)</f>
        <v>276297.5</v>
      </c>
      <c r="AB44" s="5">
        <f>(AA45-AA43)/2</f>
        <v>5251.25</v>
      </c>
      <c r="AC44" s="14">
        <f>AB44/(23+AB151)</f>
        <v>210.36856956596313</v>
      </c>
      <c r="AD44" s="5">
        <f>AA44-AA43</f>
        <v>5252.9166666666861</v>
      </c>
      <c r="AE44" s="1">
        <f>AD44-AD43</f>
        <v>15.000000000058208</v>
      </c>
      <c r="AG44" s="5">
        <f>Z44-Y44</f>
        <v>460</v>
      </c>
      <c r="AI44" s="1">
        <f>C44-B44</f>
        <v>240</v>
      </c>
      <c r="AJ44" s="1">
        <f>D44-C44</f>
        <v>120</v>
      </c>
      <c r="AK44" s="1">
        <f>E44-D44</f>
        <v>270</v>
      </c>
      <c r="AL44" s="1">
        <f>F44-E44</f>
        <v>160</v>
      </c>
      <c r="AM44" s="1">
        <f>G44-F44</f>
        <v>220</v>
      </c>
      <c r="AN44" s="1">
        <f>H44-G44</f>
        <v>200</v>
      </c>
      <c r="AO44" s="1">
        <f>I44-H44</f>
        <v>290</v>
      </c>
      <c r="AP44" s="1">
        <f>J44-I44</f>
        <v>200</v>
      </c>
      <c r="AQ44" s="1">
        <f>K44-J44</f>
        <v>240</v>
      </c>
      <c r="AR44" s="1">
        <f>L44-K44</f>
        <v>150</v>
      </c>
      <c r="AS44" s="1">
        <f>M44-L44</f>
        <v>160</v>
      </c>
      <c r="AT44" s="1">
        <f>N44-M44</f>
        <v>290</v>
      </c>
      <c r="AU44" s="1">
        <f>O44-N44</f>
        <v>180</v>
      </c>
      <c r="AV44" s="1">
        <f>P44-O44</f>
        <v>220</v>
      </c>
      <c r="AW44" s="1">
        <f>Q44-P44</f>
        <v>200</v>
      </c>
      <c r="AX44" s="1">
        <f>R44-Q44</f>
        <v>240</v>
      </c>
      <c r="AY44" s="1">
        <f>S44-R44</f>
        <v>190</v>
      </c>
      <c r="AZ44" s="1">
        <f>T44-S44</f>
        <v>270</v>
      </c>
      <c r="BA44" s="1">
        <f>U44-T44</f>
        <v>240</v>
      </c>
      <c r="BB44" s="1">
        <f>V44-U44</f>
        <v>140</v>
      </c>
      <c r="BC44" s="1">
        <f>W44-V44</f>
        <v>230</v>
      </c>
      <c r="BD44" s="1">
        <f>X44-W44</f>
        <v>200</v>
      </c>
      <c r="BE44" s="1">
        <f>Y44-X44</f>
        <v>120</v>
      </c>
      <c r="BF44" s="1">
        <f>Z44-Y44</f>
        <v>460</v>
      </c>
    </row>
    <row r="45" spans="1:58">
      <c r="A45" s="1">
        <v>43</v>
      </c>
      <c r="B45" s="1">
        <v>279110</v>
      </c>
      <c r="C45" s="1">
        <v>279330</v>
      </c>
      <c r="D45" s="1">
        <v>279520</v>
      </c>
      <c r="E45" s="1">
        <v>279740</v>
      </c>
      <c r="F45" s="1">
        <v>279970</v>
      </c>
      <c r="G45" s="1">
        <v>280190</v>
      </c>
      <c r="H45" s="1">
        <v>280400</v>
      </c>
      <c r="I45" s="1">
        <v>280670</v>
      </c>
      <c r="J45" s="1">
        <v>280860</v>
      </c>
      <c r="K45" s="1">
        <v>281060</v>
      </c>
      <c r="L45" s="1">
        <v>281170</v>
      </c>
      <c r="M45" s="1">
        <v>281430</v>
      </c>
      <c r="N45" s="1">
        <v>281630</v>
      </c>
      <c r="O45" s="1">
        <v>281850</v>
      </c>
      <c r="P45" s="1">
        <v>282020</v>
      </c>
      <c r="Q45" s="1">
        <v>282210</v>
      </c>
      <c r="R45" s="1">
        <v>282450</v>
      </c>
      <c r="S45" s="1">
        <v>282770</v>
      </c>
      <c r="T45" s="1">
        <v>282920</v>
      </c>
      <c r="U45" s="1">
        <v>283140</v>
      </c>
      <c r="V45" s="1">
        <v>283380</v>
      </c>
      <c r="W45" s="1">
        <v>283570</v>
      </c>
      <c r="X45" s="1">
        <v>283780</v>
      </c>
      <c r="Y45" s="1">
        <v>283960</v>
      </c>
      <c r="Z45" s="1">
        <v>284330</v>
      </c>
      <c r="AA45" s="5">
        <f>AVERAGE(B45:Y45)</f>
        <v>281547.08333333331</v>
      </c>
      <c r="AB45" s="5">
        <f>(AA46-AA44)/2</f>
        <v>5249.375</v>
      </c>
      <c r="AC45" s="14">
        <f>AB45/(23+AB151)</f>
        <v>210.29345581820093</v>
      </c>
      <c r="AD45" s="5">
        <f>AA45-AA44</f>
        <v>5249.5833333333139</v>
      </c>
      <c r="AE45" s="1">
        <f>AD45-AD44</f>
        <v>-3.3333333333721384</v>
      </c>
      <c r="AG45" s="5">
        <f>Z45-Y45</f>
        <v>370</v>
      </c>
      <c r="AI45" s="1">
        <f>C45-B45</f>
        <v>220</v>
      </c>
      <c r="AJ45" s="1">
        <f>D45-C45</f>
        <v>190</v>
      </c>
      <c r="AK45" s="1">
        <f>E45-D45</f>
        <v>220</v>
      </c>
      <c r="AL45" s="1">
        <f>F45-E45</f>
        <v>230</v>
      </c>
      <c r="AM45" s="1">
        <f>G45-F45</f>
        <v>220</v>
      </c>
      <c r="AN45" s="1">
        <f>H45-G45</f>
        <v>210</v>
      </c>
      <c r="AO45" s="1">
        <f>I45-H45</f>
        <v>270</v>
      </c>
      <c r="AP45" s="1">
        <f>J45-I45</f>
        <v>190</v>
      </c>
      <c r="AQ45" s="1">
        <f>K45-J45</f>
        <v>200</v>
      </c>
      <c r="AR45" s="1">
        <f>L45-K45</f>
        <v>110</v>
      </c>
      <c r="AS45" s="1">
        <f>M45-L45</f>
        <v>260</v>
      </c>
      <c r="AT45" s="1">
        <f>N45-M45</f>
        <v>200</v>
      </c>
      <c r="AU45" s="1">
        <f>O45-N45</f>
        <v>220</v>
      </c>
      <c r="AV45" s="1">
        <f>P45-O45</f>
        <v>170</v>
      </c>
      <c r="AW45" s="1">
        <f>Q45-P45</f>
        <v>190</v>
      </c>
      <c r="AX45" s="1">
        <f>R45-Q45</f>
        <v>240</v>
      </c>
      <c r="AY45" s="1">
        <f>S45-R45</f>
        <v>320</v>
      </c>
      <c r="AZ45" s="1">
        <f>T45-S45</f>
        <v>150</v>
      </c>
      <c r="BA45" s="1">
        <f>U45-T45</f>
        <v>220</v>
      </c>
      <c r="BB45" s="1">
        <f>V45-U45</f>
        <v>240</v>
      </c>
      <c r="BC45" s="1">
        <f>W45-V45</f>
        <v>190</v>
      </c>
      <c r="BD45" s="1">
        <f>X45-W45</f>
        <v>210</v>
      </c>
      <c r="BE45" s="1">
        <f>Y45-X45</f>
        <v>180</v>
      </c>
      <c r="BF45" s="1">
        <f>Z45-Y45</f>
        <v>370</v>
      </c>
    </row>
    <row r="46" spans="1:58">
      <c r="A46" s="1">
        <v>44</v>
      </c>
      <c r="B46" s="1">
        <v>284330</v>
      </c>
      <c r="C46" s="1">
        <v>284570</v>
      </c>
      <c r="D46" s="1">
        <v>284710</v>
      </c>
      <c r="E46" s="1">
        <v>284970</v>
      </c>
      <c r="F46" s="1">
        <v>285210</v>
      </c>
      <c r="G46" s="1">
        <v>285360</v>
      </c>
      <c r="H46" s="1">
        <v>285720</v>
      </c>
      <c r="I46" s="1">
        <v>285850</v>
      </c>
      <c r="J46" s="1">
        <v>286040</v>
      </c>
      <c r="K46" s="1">
        <v>286260</v>
      </c>
      <c r="L46" s="1">
        <v>286410</v>
      </c>
      <c r="M46" s="1">
        <v>286730</v>
      </c>
      <c r="N46" s="1">
        <v>286940</v>
      </c>
      <c r="O46" s="1">
        <v>287080</v>
      </c>
      <c r="P46" s="1">
        <v>287310</v>
      </c>
      <c r="Q46" s="1">
        <v>287580</v>
      </c>
      <c r="R46" s="1">
        <v>287760</v>
      </c>
      <c r="S46" s="1">
        <v>288060</v>
      </c>
      <c r="T46" s="1">
        <v>288180</v>
      </c>
      <c r="U46" s="1">
        <v>288390</v>
      </c>
      <c r="V46" s="1">
        <v>288570</v>
      </c>
      <c r="W46" s="1">
        <v>288750</v>
      </c>
      <c r="X46" s="1">
        <v>289040</v>
      </c>
      <c r="Y46" s="1">
        <v>289290</v>
      </c>
      <c r="Z46" s="1">
        <v>289600</v>
      </c>
      <c r="AA46" s="5">
        <f>AVERAGE(B46:Y46)</f>
        <v>286796.25</v>
      </c>
      <c r="AB46" s="5">
        <f>(AA47-AA45)/2</f>
        <v>5253.333333333343</v>
      </c>
      <c r="AC46" s="14">
        <f>AB46/(23+AB151)</f>
        <v>210.45202928569927</v>
      </c>
      <c r="AD46" s="5">
        <f>AA46-AA45</f>
        <v>5249.1666666666861</v>
      </c>
      <c r="AE46" s="1">
        <f>AD46-AD45</f>
        <v>-0.41666666662786156</v>
      </c>
      <c r="AG46" s="5">
        <f>Z46-Y46</f>
        <v>310</v>
      </c>
      <c r="AI46" s="1">
        <f>C46-B46</f>
        <v>240</v>
      </c>
      <c r="AJ46" s="1">
        <f>D46-C46</f>
        <v>140</v>
      </c>
      <c r="AK46" s="1">
        <f>E46-D46</f>
        <v>260</v>
      </c>
      <c r="AL46" s="1">
        <f>F46-E46</f>
        <v>240</v>
      </c>
      <c r="AM46" s="1">
        <f>G46-F46</f>
        <v>150</v>
      </c>
      <c r="AN46" s="1">
        <f>H46-G46</f>
        <v>360</v>
      </c>
      <c r="AO46" s="1">
        <f>I46-H46</f>
        <v>130</v>
      </c>
      <c r="AP46" s="1">
        <f>J46-I46</f>
        <v>190</v>
      </c>
      <c r="AQ46" s="1">
        <f>K46-J46</f>
        <v>220</v>
      </c>
      <c r="AR46" s="1">
        <f>L46-K46</f>
        <v>150</v>
      </c>
      <c r="AS46" s="1">
        <f>M46-L46</f>
        <v>320</v>
      </c>
      <c r="AT46" s="1">
        <f>N46-M46</f>
        <v>210</v>
      </c>
      <c r="AU46" s="1">
        <f>O46-N46</f>
        <v>140</v>
      </c>
      <c r="AV46" s="1">
        <f>P46-O46</f>
        <v>230</v>
      </c>
      <c r="AW46" s="1">
        <f>Q46-P46</f>
        <v>270</v>
      </c>
      <c r="AX46" s="1">
        <f>R46-Q46</f>
        <v>180</v>
      </c>
      <c r="AY46" s="1">
        <f>S46-R46</f>
        <v>300</v>
      </c>
      <c r="AZ46" s="1">
        <f>T46-S46</f>
        <v>120</v>
      </c>
      <c r="BA46" s="1">
        <f>U46-T46</f>
        <v>210</v>
      </c>
      <c r="BB46" s="1">
        <f>V46-U46</f>
        <v>180</v>
      </c>
      <c r="BC46" s="1">
        <f>W46-V46</f>
        <v>180</v>
      </c>
      <c r="BD46" s="1">
        <f>X46-W46</f>
        <v>290</v>
      </c>
      <c r="BE46" s="1">
        <f>Y46-X46</f>
        <v>250</v>
      </c>
      <c r="BF46" s="1">
        <f>Z46-Y46</f>
        <v>310</v>
      </c>
    </row>
    <row r="47" spans="1:58">
      <c r="A47" s="1">
        <v>45</v>
      </c>
      <c r="B47" s="1">
        <v>289600</v>
      </c>
      <c r="C47" s="1">
        <v>289790</v>
      </c>
      <c r="D47" s="1">
        <v>290110</v>
      </c>
      <c r="E47" s="1">
        <v>290280</v>
      </c>
      <c r="F47" s="1">
        <v>290500</v>
      </c>
      <c r="G47" s="1">
        <v>290670</v>
      </c>
      <c r="H47" s="1">
        <v>290840</v>
      </c>
      <c r="I47" s="1">
        <v>291080</v>
      </c>
      <c r="J47" s="1">
        <v>291330</v>
      </c>
      <c r="K47" s="1">
        <v>291530</v>
      </c>
      <c r="L47" s="1">
        <v>291780</v>
      </c>
      <c r="M47" s="1">
        <v>291930</v>
      </c>
      <c r="N47" s="1">
        <v>292280</v>
      </c>
      <c r="O47" s="1">
        <v>292310</v>
      </c>
      <c r="P47" s="1">
        <v>292630</v>
      </c>
      <c r="Q47" s="1">
        <v>292930</v>
      </c>
      <c r="R47" s="1">
        <v>292990</v>
      </c>
      <c r="S47" s="1">
        <v>293180</v>
      </c>
      <c r="T47" s="1">
        <v>293380</v>
      </c>
      <c r="U47" s="1">
        <v>293570</v>
      </c>
      <c r="V47" s="1">
        <v>293820</v>
      </c>
      <c r="W47" s="1">
        <v>294040</v>
      </c>
      <c r="X47" s="1">
        <v>294250</v>
      </c>
      <c r="Y47" s="1">
        <v>294470</v>
      </c>
      <c r="Z47" s="1">
        <v>294820</v>
      </c>
      <c r="AA47" s="5">
        <f>AVERAGE(B47:Y47)</f>
        <v>292053.75</v>
      </c>
      <c r="AB47" s="5">
        <f>(AA48-AA46)/2</f>
        <v>5245.625</v>
      </c>
      <c r="AC47" s="14">
        <f>AB47/(23+AB151)</f>
        <v>210.14322832267658</v>
      </c>
      <c r="AD47" s="5">
        <f>AA47-AA46</f>
        <v>5257.5</v>
      </c>
      <c r="AE47" s="1">
        <f>AD47-AD46</f>
        <v>8.3333333333139308</v>
      </c>
      <c r="AG47" s="5">
        <f>Z47-Y47</f>
        <v>350</v>
      </c>
      <c r="AI47" s="1">
        <f>C47-B47</f>
        <v>190</v>
      </c>
      <c r="AJ47" s="1">
        <f>D47-C47</f>
        <v>320</v>
      </c>
      <c r="AK47" s="1">
        <f>E47-D47</f>
        <v>170</v>
      </c>
      <c r="AL47" s="1">
        <f>F47-E47</f>
        <v>220</v>
      </c>
      <c r="AM47" s="1">
        <f>G47-F47</f>
        <v>170</v>
      </c>
      <c r="AN47" s="1">
        <f>H47-G47</f>
        <v>170</v>
      </c>
      <c r="AO47" s="1">
        <f>I47-H47</f>
        <v>240</v>
      </c>
      <c r="AP47" s="1">
        <f>J47-I47</f>
        <v>250</v>
      </c>
      <c r="AQ47" s="1">
        <f>K47-J47</f>
        <v>200</v>
      </c>
      <c r="AR47" s="1">
        <f>L47-K47</f>
        <v>250</v>
      </c>
      <c r="AS47" s="1">
        <f>M47-L47</f>
        <v>150</v>
      </c>
      <c r="AT47" s="1">
        <f>N47-M47</f>
        <v>350</v>
      </c>
      <c r="AU47" s="1">
        <f>O47-N47</f>
        <v>30</v>
      </c>
      <c r="AV47" s="1">
        <f>P47-O47</f>
        <v>320</v>
      </c>
      <c r="AW47" s="1">
        <f>Q47-P47</f>
        <v>300</v>
      </c>
      <c r="AX47" s="1">
        <f>R47-Q47</f>
        <v>60</v>
      </c>
      <c r="AY47" s="1">
        <f>S47-R47</f>
        <v>190</v>
      </c>
      <c r="AZ47" s="1">
        <f>T47-S47</f>
        <v>200</v>
      </c>
      <c r="BA47" s="1">
        <f>U47-T47</f>
        <v>190</v>
      </c>
      <c r="BB47" s="1">
        <f>V47-U47</f>
        <v>250</v>
      </c>
      <c r="BC47" s="1">
        <f>W47-V47</f>
        <v>220</v>
      </c>
      <c r="BD47" s="1">
        <f>X47-W47</f>
        <v>210</v>
      </c>
      <c r="BE47" s="1">
        <f>Y47-X47</f>
        <v>220</v>
      </c>
      <c r="BF47" s="1">
        <f>Z47-Y47</f>
        <v>350</v>
      </c>
    </row>
    <row r="48" spans="1:58">
      <c r="A48" s="1">
        <v>46</v>
      </c>
      <c r="B48" s="1">
        <v>294820</v>
      </c>
      <c r="C48" s="1">
        <v>294990</v>
      </c>
      <c r="D48" s="1">
        <v>295270</v>
      </c>
      <c r="E48" s="1">
        <v>295590</v>
      </c>
      <c r="F48" s="1">
        <v>295770</v>
      </c>
      <c r="G48" s="1">
        <v>295960</v>
      </c>
      <c r="H48" s="1">
        <v>296100</v>
      </c>
      <c r="I48" s="1">
        <v>296300</v>
      </c>
      <c r="J48" s="1">
        <v>296500</v>
      </c>
      <c r="K48" s="1">
        <v>296780</v>
      </c>
      <c r="L48" s="1">
        <v>297000</v>
      </c>
      <c r="M48" s="1">
        <v>297170</v>
      </c>
      <c r="N48" s="1">
        <v>297380</v>
      </c>
      <c r="O48" s="1">
        <v>297550</v>
      </c>
      <c r="P48" s="1">
        <v>297840</v>
      </c>
      <c r="Q48" s="1">
        <v>298070</v>
      </c>
      <c r="R48" s="1">
        <v>298240</v>
      </c>
      <c r="S48" s="1">
        <v>298390</v>
      </c>
      <c r="T48" s="1">
        <v>298660</v>
      </c>
      <c r="U48" s="1">
        <v>298870</v>
      </c>
      <c r="V48" s="1">
        <v>299100</v>
      </c>
      <c r="W48" s="1">
        <v>299330</v>
      </c>
      <c r="X48" s="1">
        <v>299500</v>
      </c>
      <c r="Y48" s="1">
        <v>299720</v>
      </c>
      <c r="Z48" s="1">
        <v>300080</v>
      </c>
      <c r="AA48" s="5">
        <f>AVERAGE(B48:Y48)</f>
        <v>297287.5</v>
      </c>
      <c r="AB48" s="5">
        <f>(AA49-AA47)/2</f>
        <v>5240.208333333343</v>
      </c>
      <c r="AC48" s="14">
        <f>AB48/(23+AB151)</f>
        <v>209.92623305136397</v>
      </c>
      <c r="AD48" s="5">
        <f>AA48-AA47</f>
        <v>5233.75</v>
      </c>
      <c r="AE48" s="1">
        <f>AD48-AD47</f>
        <v>-23.75</v>
      </c>
      <c r="AG48" s="5">
        <f>Z48-Y48</f>
        <v>360</v>
      </c>
      <c r="AI48" s="1">
        <f>C48-B48</f>
        <v>170</v>
      </c>
      <c r="AJ48" s="1">
        <f>D48-C48</f>
        <v>280</v>
      </c>
      <c r="AK48" s="1">
        <f>E48-D48</f>
        <v>320</v>
      </c>
      <c r="AL48" s="1">
        <f>F48-E48</f>
        <v>180</v>
      </c>
      <c r="AM48" s="1">
        <f>G48-F48</f>
        <v>190</v>
      </c>
      <c r="AN48" s="1">
        <f>H48-G48</f>
        <v>140</v>
      </c>
      <c r="AO48" s="1">
        <f>I48-H48</f>
        <v>200</v>
      </c>
      <c r="AP48" s="1">
        <f>J48-I48</f>
        <v>200</v>
      </c>
      <c r="AQ48" s="1">
        <f>K48-J48</f>
        <v>280</v>
      </c>
      <c r="AR48" s="1">
        <f>L48-K48</f>
        <v>220</v>
      </c>
      <c r="AS48" s="1">
        <f>M48-L48</f>
        <v>170</v>
      </c>
      <c r="AT48" s="1">
        <f>N48-M48</f>
        <v>210</v>
      </c>
      <c r="AU48" s="1">
        <f>O48-N48</f>
        <v>170</v>
      </c>
      <c r="AV48" s="1">
        <f>P48-O48</f>
        <v>290</v>
      </c>
      <c r="AW48" s="1">
        <f>Q48-P48</f>
        <v>230</v>
      </c>
      <c r="AX48" s="1">
        <f>R48-Q48</f>
        <v>170</v>
      </c>
      <c r="AY48" s="1">
        <f>S48-R48</f>
        <v>150</v>
      </c>
      <c r="AZ48" s="1">
        <f>T48-S48</f>
        <v>270</v>
      </c>
      <c r="BA48" s="1">
        <f>U48-T48</f>
        <v>210</v>
      </c>
      <c r="BB48" s="1">
        <f>V48-U48</f>
        <v>230</v>
      </c>
      <c r="BC48" s="1">
        <f>W48-V48</f>
        <v>230</v>
      </c>
      <c r="BD48" s="1">
        <f>X48-W48</f>
        <v>170</v>
      </c>
      <c r="BE48" s="1">
        <f>Y48-X48</f>
        <v>220</v>
      </c>
      <c r="BF48" s="1">
        <f>Z48-Y48</f>
        <v>360</v>
      </c>
    </row>
    <row r="49" spans="1:58">
      <c r="A49" s="1">
        <v>47</v>
      </c>
      <c r="B49" s="1">
        <v>300080</v>
      </c>
      <c r="C49" s="1">
        <v>300270</v>
      </c>
      <c r="D49" s="1">
        <v>300550</v>
      </c>
      <c r="E49" s="1">
        <v>300780</v>
      </c>
      <c r="F49" s="1">
        <v>300910</v>
      </c>
      <c r="G49" s="1">
        <v>301110</v>
      </c>
      <c r="H49" s="1">
        <v>301320</v>
      </c>
      <c r="I49" s="1">
        <v>301610</v>
      </c>
      <c r="J49" s="1">
        <v>301830</v>
      </c>
      <c r="K49" s="1">
        <v>302020</v>
      </c>
      <c r="L49" s="1">
        <v>302220</v>
      </c>
      <c r="M49" s="1">
        <v>302410</v>
      </c>
      <c r="N49" s="1">
        <v>302680</v>
      </c>
      <c r="O49" s="1">
        <v>302920</v>
      </c>
      <c r="P49" s="1">
        <v>303040</v>
      </c>
      <c r="Q49" s="1">
        <v>303300</v>
      </c>
      <c r="R49" s="1">
        <v>303490</v>
      </c>
      <c r="S49" s="1">
        <v>303600</v>
      </c>
      <c r="T49" s="1">
        <v>303900</v>
      </c>
      <c r="U49" s="1">
        <v>304100</v>
      </c>
      <c r="V49" s="1">
        <v>304340</v>
      </c>
      <c r="W49" s="1">
        <v>304560</v>
      </c>
      <c r="X49" s="1">
        <v>304800</v>
      </c>
      <c r="Y49" s="1">
        <v>304980</v>
      </c>
      <c r="Z49" s="1">
        <v>305410</v>
      </c>
      <c r="AA49" s="5">
        <f>AVERAGE(B49:Y49)</f>
        <v>302534.16666666669</v>
      </c>
      <c r="AB49" s="5">
        <f>(AA50-AA48)/2</f>
        <v>5245.208333333343</v>
      </c>
      <c r="AC49" s="14">
        <f>AB49/(23+AB151)</f>
        <v>210.12653637872981</v>
      </c>
      <c r="AD49" s="5">
        <f>AA49-AA48</f>
        <v>5246.6666666666861</v>
      </c>
      <c r="AE49" s="1">
        <f>AD49-AD48</f>
        <v>12.916666666686069</v>
      </c>
      <c r="AG49" s="5">
        <f>Z49-Y49</f>
        <v>430</v>
      </c>
      <c r="AI49" s="1">
        <f>C49-B49</f>
        <v>190</v>
      </c>
      <c r="AJ49" s="1">
        <f>D49-C49</f>
        <v>280</v>
      </c>
      <c r="AK49" s="1">
        <f>E49-D49</f>
        <v>230</v>
      </c>
      <c r="AL49" s="1">
        <f>F49-E49</f>
        <v>130</v>
      </c>
      <c r="AM49" s="1">
        <f>G49-F49</f>
        <v>200</v>
      </c>
      <c r="AN49" s="1">
        <f>H49-G49</f>
        <v>210</v>
      </c>
      <c r="AO49" s="1">
        <f>I49-H49</f>
        <v>290</v>
      </c>
      <c r="AP49" s="1">
        <f>J49-I49</f>
        <v>220</v>
      </c>
      <c r="AQ49" s="1">
        <f>K49-J49</f>
        <v>190</v>
      </c>
      <c r="AR49" s="1">
        <f>L49-K49</f>
        <v>200</v>
      </c>
      <c r="AS49" s="1">
        <f>M49-L49</f>
        <v>190</v>
      </c>
      <c r="AT49" s="1">
        <f>N49-M49</f>
        <v>270</v>
      </c>
      <c r="AU49" s="1">
        <f>O49-N49</f>
        <v>240</v>
      </c>
      <c r="AV49" s="1">
        <f>P49-O49</f>
        <v>120</v>
      </c>
      <c r="AW49" s="1">
        <f>Q49-P49</f>
        <v>260</v>
      </c>
      <c r="AX49" s="1">
        <f>R49-Q49</f>
        <v>190</v>
      </c>
      <c r="AY49" s="1">
        <f>S49-R49</f>
        <v>110</v>
      </c>
      <c r="AZ49" s="1">
        <f>T49-S49</f>
        <v>300</v>
      </c>
      <c r="BA49" s="1">
        <f>U49-T49</f>
        <v>200</v>
      </c>
      <c r="BB49" s="1">
        <f>V49-U49</f>
        <v>240</v>
      </c>
      <c r="BC49" s="1">
        <f>W49-V49</f>
        <v>220</v>
      </c>
      <c r="BD49" s="1">
        <f>X49-W49</f>
        <v>240</v>
      </c>
      <c r="BE49" s="1">
        <f>Y49-X49</f>
        <v>180</v>
      </c>
      <c r="BF49" s="1">
        <f>Z49-Y49</f>
        <v>430</v>
      </c>
    </row>
    <row r="50" spans="1:58">
      <c r="A50" s="1">
        <v>48</v>
      </c>
      <c r="B50" s="1">
        <v>305410</v>
      </c>
      <c r="C50" s="1">
        <v>305510</v>
      </c>
      <c r="D50" s="1">
        <v>305770</v>
      </c>
      <c r="E50" s="1">
        <v>305970</v>
      </c>
      <c r="F50" s="1">
        <v>306180</v>
      </c>
      <c r="G50" s="1">
        <v>306340</v>
      </c>
      <c r="H50" s="1">
        <v>306600</v>
      </c>
      <c r="I50" s="1">
        <v>306850</v>
      </c>
      <c r="J50" s="1">
        <v>307080</v>
      </c>
      <c r="K50" s="1">
        <v>307260</v>
      </c>
      <c r="L50" s="1">
        <v>307460</v>
      </c>
      <c r="M50" s="1">
        <v>307690</v>
      </c>
      <c r="N50" s="1">
        <v>307910</v>
      </c>
      <c r="O50" s="1">
        <v>308220</v>
      </c>
      <c r="P50" s="1">
        <v>308260</v>
      </c>
      <c r="Q50" s="1">
        <v>308440</v>
      </c>
      <c r="R50" s="1">
        <v>308690</v>
      </c>
      <c r="S50" s="1">
        <v>308930</v>
      </c>
      <c r="T50" s="1">
        <v>309090</v>
      </c>
      <c r="U50" s="1">
        <v>309360</v>
      </c>
      <c r="V50" s="1">
        <v>309580</v>
      </c>
      <c r="W50" s="1">
        <v>309810</v>
      </c>
      <c r="X50" s="1">
        <v>310010</v>
      </c>
      <c r="Y50" s="1">
        <v>310250</v>
      </c>
      <c r="Z50" s="1">
        <v>310690</v>
      </c>
      <c r="AA50" s="5">
        <f>AVERAGE(B50:Y50)</f>
        <v>307777.91666666669</v>
      </c>
      <c r="AB50" s="5">
        <f>(AA51-AA49)/2</f>
        <v>5236.041666666657</v>
      </c>
      <c r="AC50" s="14">
        <f>AB50/(23+AB151)</f>
        <v>209.75931361189166</v>
      </c>
      <c r="AD50" s="5">
        <f>AA50-AA49</f>
        <v>5243.75</v>
      </c>
      <c r="AE50" s="1">
        <f>AD50-AD49</f>
        <v>-2.9166666666860692</v>
      </c>
      <c r="AG50" s="5">
        <f>Z50-Y50</f>
        <v>440</v>
      </c>
      <c r="AI50" s="1">
        <f>C50-B50</f>
        <v>100</v>
      </c>
      <c r="AJ50" s="1">
        <f>D50-C50</f>
        <v>260</v>
      </c>
      <c r="AK50" s="1">
        <f>E50-D50</f>
        <v>200</v>
      </c>
      <c r="AL50" s="1">
        <f>F50-E50</f>
        <v>210</v>
      </c>
      <c r="AM50" s="1">
        <f>G50-F50</f>
        <v>160</v>
      </c>
      <c r="AN50" s="1">
        <f>H50-G50</f>
        <v>260</v>
      </c>
      <c r="AO50" s="1">
        <f>I50-H50</f>
        <v>250</v>
      </c>
      <c r="AP50" s="1">
        <f>J50-I50</f>
        <v>230</v>
      </c>
      <c r="AQ50" s="1">
        <f>K50-J50</f>
        <v>180</v>
      </c>
      <c r="AR50" s="1">
        <f>L50-K50</f>
        <v>200</v>
      </c>
      <c r="AS50" s="1">
        <f>M50-L50</f>
        <v>230</v>
      </c>
      <c r="AT50" s="1">
        <f>N50-M50</f>
        <v>220</v>
      </c>
      <c r="AU50" s="1">
        <f>O50-N50</f>
        <v>310</v>
      </c>
      <c r="AV50" s="1">
        <f>P50-O50</f>
        <v>40</v>
      </c>
      <c r="AW50" s="1">
        <f>Q50-P50</f>
        <v>180</v>
      </c>
      <c r="AX50" s="1">
        <f>R50-Q50</f>
        <v>250</v>
      </c>
      <c r="AY50" s="1">
        <f>S50-R50</f>
        <v>240</v>
      </c>
      <c r="AZ50" s="1">
        <f>T50-S50</f>
        <v>160</v>
      </c>
      <c r="BA50" s="1">
        <f>U50-T50</f>
        <v>270</v>
      </c>
      <c r="BB50" s="1">
        <f>V50-U50</f>
        <v>220</v>
      </c>
      <c r="BC50" s="1">
        <f>W50-V50</f>
        <v>230</v>
      </c>
      <c r="BD50" s="1">
        <f>X50-W50</f>
        <v>200</v>
      </c>
      <c r="BE50" s="1">
        <f>Y50-X50</f>
        <v>240</v>
      </c>
      <c r="BF50" s="1">
        <f>Z50-Y50</f>
        <v>440</v>
      </c>
    </row>
    <row r="51" spans="1:58">
      <c r="A51" s="1">
        <v>49</v>
      </c>
      <c r="B51" s="1">
        <v>310690</v>
      </c>
      <c r="C51" s="1">
        <v>310820</v>
      </c>
      <c r="D51" s="1">
        <v>311010</v>
      </c>
      <c r="E51" s="1">
        <v>311250</v>
      </c>
      <c r="F51" s="1">
        <v>311400</v>
      </c>
      <c r="G51" s="1">
        <v>311600</v>
      </c>
      <c r="H51" s="1">
        <v>311860</v>
      </c>
      <c r="I51" s="1">
        <v>311970</v>
      </c>
      <c r="J51" s="1">
        <v>312250</v>
      </c>
      <c r="K51" s="1">
        <v>312540</v>
      </c>
      <c r="L51" s="1">
        <v>312690</v>
      </c>
      <c r="M51" s="1">
        <v>312920</v>
      </c>
      <c r="N51" s="1">
        <v>313230</v>
      </c>
      <c r="O51" s="1">
        <v>313380</v>
      </c>
      <c r="P51" s="1">
        <v>313530</v>
      </c>
      <c r="Q51" s="1">
        <v>313750</v>
      </c>
      <c r="R51" s="1">
        <v>313950</v>
      </c>
      <c r="S51" s="1">
        <v>314060</v>
      </c>
      <c r="T51" s="1">
        <v>314310</v>
      </c>
      <c r="U51" s="1">
        <v>314550</v>
      </c>
      <c r="V51" s="1">
        <v>314780</v>
      </c>
      <c r="W51" s="1">
        <v>314970</v>
      </c>
      <c r="X51" s="1">
        <v>315180</v>
      </c>
      <c r="Y51" s="1">
        <v>315460</v>
      </c>
      <c r="Z51" s="1">
        <v>315910</v>
      </c>
      <c r="AA51" s="5">
        <f>AVERAGE(B51:Y51)</f>
        <v>313006.25</v>
      </c>
      <c r="AB51" s="5">
        <f>(AA52-AA50)/2</f>
        <v>5245.416666666657</v>
      </c>
      <c r="AC51" s="14">
        <f>AB51/(23+AB151)</f>
        <v>210.13488235070261</v>
      </c>
      <c r="AD51" s="5">
        <f>AA51-AA50</f>
        <v>5228.3333333333139</v>
      </c>
      <c r="AE51" s="1">
        <f>AD51-AD50</f>
        <v>-15.416666666686069</v>
      </c>
      <c r="AG51" s="5">
        <f>Z51-Y51</f>
        <v>450</v>
      </c>
      <c r="AI51" s="1">
        <f>C51-B51</f>
        <v>130</v>
      </c>
      <c r="AJ51" s="1">
        <f>D51-C51</f>
        <v>190</v>
      </c>
      <c r="AK51" s="1">
        <f>E51-D51</f>
        <v>240</v>
      </c>
      <c r="AL51" s="1">
        <f>F51-E51</f>
        <v>150</v>
      </c>
      <c r="AM51" s="1">
        <f>G51-F51</f>
        <v>200</v>
      </c>
      <c r="AN51" s="1">
        <f>H51-G51</f>
        <v>260</v>
      </c>
      <c r="AO51" s="1">
        <f>I51-H51</f>
        <v>110</v>
      </c>
      <c r="AP51" s="1">
        <f>J51-I51</f>
        <v>280</v>
      </c>
      <c r="AQ51" s="1">
        <f>K51-J51</f>
        <v>290</v>
      </c>
      <c r="AR51" s="1">
        <f>L51-K51</f>
        <v>150</v>
      </c>
      <c r="AS51" s="1">
        <f>M51-L51</f>
        <v>230</v>
      </c>
      <c r="AT51" s="1">
        <f>N51-M51</f>
        <v>310</v>
      </c>
      <c r="AU51" s="1">
        <f>O51-N51</f>
        <v>150</v>
      </c>
      <c r="AV51" s="1">
        <f>P51-O51</f>
        <v>150</v>
      </c>
      <c r="AW51" s="1">
        <f>Q51-P51</f>
        <v>220</v>
      </c>
      <c r="AX51" s="1">
        <f>R51-Q51</f>
        <v>200</v>
      </c>
      <c r="AY51" s="1">
        <f>S51-R51</f>
        <v>110</v>
      </c>
      <c r="AZ51" s="1">
        <f>T51-S51</f>
        <v>250</v>
      </c>
      <c r="BA51" s="1">
        <f>U51-T51</f>
        <v>240</v>
      </c>
      <c r="BB51" s="1">
        <f>V51-U51</f>
        <v>230</v>
      </c>
      <c r="BC51" s="1">
        <f>W51-V51</f>
        <v>190</v>
      </c>
      <c r="BD51" s="1">
        <f>X51-W51</f>
        <v>210</v>
      </c>
      <c r="BE51" s="1">
        <f>Y51-X51</f>
        <v>280</v>
      </c>
      <c r="BF51" s="1">
        <f>Z51-Y51</f>
        <v>450</v>
      </c>
    </row>
    <row r="52" spans="1:58">
      <c r="A52" s="1">
        <v>50</v>
      </c>
      <c r="B52" s="1">
        <v>315910</v>
      </c>
      <c r="C52" s="1">
        <v>316140</v>
      </c>
      <c r="D52" s="1">
        <v>316350</v>
      </c>
      <c r="E52" s="1">
        <v>316570</v>
      </c>
      <c r="F52" s="1">
        <v>316680</v>
      </c>
      <c r="G52" s="1">
        <v>316860</v>
      </c>
      <c r="H52" s="1">
        <v>317100</v>
      </c>
      <c r="I52" s="1">
        <v>317300</v>
      </c>
      <c r="J52" s="1">
        <v>317530</v>
      </c>
      <c r="K52" s="1">
        <v>317740</v>
      </c>
      <c r="L52" s="1">
        <v>317910</v>
      </c>
      <c r="M52" s="1">
        <v>318140</v>
      </c>
      <c r="N52" s="1">
        <v>318400</v>
      </c>
      <c r="O52" s="1">
        <v>318580</v>
      </c>
      <c r="P52" s="1">
        <v>318740</v>
      </c>
      <c r="Q52" s="1">
        <v>319020</v>
      </c>
      <c r="R52" s="1">
        <v>319240</v>
      </c>
      <c r="S52" s="1">
        <v>319420</v>
      </c>
      <c r="T52" s="1">
        <v>319600</v>
      </c>
      <c r="U52" s="1">
        <v>319820</v>
      </c>
      <c r="V52" s="1">
        <v>320010</v>
      </c>
      <c r="W52" s="1">
        <v>320240</v>
      </c>
      <c r="X52" s="1">
        <v>320450</v>
      </c>
      <c r="Y52" s="1">
        <v>320700</v>
      </c>
      <c r="Z52" s="1">
        <v>321140</v>
      </c>
      <c r="AA52" s="5">
        <f>AVERAGE(B52:Y52)</f>
        <v>318268.75</v>
      </c>
      <c r="AB52" s="5">
        <f>(AA53-AA51)/2</f>
        <v>5255</v>
      </c>
      <c r="AC52" s="14">
        <f>AB52/(23+AB151)</f>
        <v>210.5187970614875</v>
      </c>
      <c r="AD52" s="5">
        <f>AA52-AA51</f>
        <v>5262.5</v>
      </c>
      <c r="AE52" s="1">
        <f>AD52-AD51</f>
        <v>34.166666666686069</v>
      </c>
      <c r="AG52" s="5">
        <f>Z52-Y52</f>
        <v>440</v>
      </c>
      <c r="AI52" s="1">
        <f>C52-B52</f>
        <v>230</v>
      </c>
      <c r="AJ52" s="1">
        <f>D52-C52</f>
        <v>210</v>
      </c>
      <c r="AK52" s="1">
        <f>E52-D52</f>
        <v>220</v>
      </c>
      <c r="AL52" s="1">
        <f>F52-E52</f>
        <v>110</v>
      </c>
      <c r="AM52" s="1">
        <f>G52-F52</f>
        <v>180</v>
      </c>
      <c r="AN52" s="1">
        <f>H52-G52</f>
        <v>240</v>
      </c>
      <c r="AO52" s="1">
        <f>I52-H52</f>
        <v>200</v>
      </c>
      <c r="AP52" s="1">
        <f>J52-I52</f>
        <v>230</v>
      </c>
      <c r="AQ52" s="1">
        <f>K52-J52</f>
        <v>210</v>
      </c>
      <c r="AR52" s="1">
        <f>L52-K52</f>
        <v>170</v>
      </c>
      <c r="AS52" s="1">
        <f>M52-L52</f>
        <v>230</v>
      </c>
      <c r="AT52" s="1">
        <f>N52-M52</f>
        <v>260</v>
      </c>
      <c r="AU52" s="1">
        <f>O52-N52</f>
        <v>180</v>
      </c>
      <c r="AV52" s="1">
        <f>P52-O52</f>
        <v>160</v>
      </c>
      <c r="AW52" s="1">
        <f>Q52-P52</f>
        <v>280</v>
      </c>
      <c r="AX52" s="1">
        <f>R52-Q52</f>
        <v>220</v>
      </c>
      <c r="AY52" s="1">
        <f>S52-R52</f>
        <v>180</v>
      </c>
      <c r="AZ52" s="1">
        <f>T52-S52</f>
        <v>180</v>
      </c>
      <c r="BA52" s="1">
        <f>U52-T52</f>
        <v>220</v>
      </c>
      <c r="BB52" s="1">
        <f>V52-U52</f>
        <v>190</v>
      </c>
      <c r="BC52" s="1">
        <f>W52-V52</f>
        <v>230</v>
      </c>
      <c r="BD52" s="1">
        <f>X52-W52</f>
        <v>210</v>
      </c>
      <c r="BE52" s="1">
        <f>Y52-X52</f>
        <v>250</v>
      </c>
      <c r="BF52" s="1">
        <f>Z52-Y52</f>
        <v>440</v>
      </c>
    </row>
    <row r="53" spans="1:58">
      <c r="A53" s="1">
        <v>51</v>
      </c>
      <c r="B53" s="1">
        <v>321140</v>
      </c>
      <c r="C53" s="1">
        <v>321320</v>
      </c>
      <c r="D53" s="1">
        <v>321550</v>
      </c>
      <c r="E53" s="1">
        <v>321760</v>
      </c>
      <c r="F53" s="1">
        <v>321960</v>
      </c>
      <c r="G53" s="1">
        <v>322160</v>
      </c>
      <c r="H53" s="1">
        <v>322370</v>
      </c>
      <c r="I53" s="1">
        <v>322500</v>
      </c>
      <c r="J53" s="1">
        <v>322760</v>
      </c>
      <c r="K53" s="1">
        <v>322870</v>
      </c>
      <c r="L53" s="1">
        <v>323170</v>
      </c>
      <c r="M53" s="1">
        <v>323390</v>
      </c>
      <c r="N53" s="1">
        <v>323750</v>
      </c>
      <c r="O53" s="1">
        <v>323860</v>
      </c>
      <c r="P53" s="1">
        <v>324080</v>
      </c>
      <c r="Q53" s="1">
        <v>324270</v>
      </c>
      <c r="R53" s="1">
        <v>324450</v>
      </c>
      <c r="S53" s="1">
        <v>324680</v>
      </c>
      <c r="T53" s="1">
        <v>324900</v>
      </c>
      <c r="U53" s="1">
        <v>325010</v>
      </c>
      <c r="V53" s="1">
        <v>325230</v>
      </c>
      <c r="W53" s="1">
        <v>325500</v>
      </c>
      <c r="X53" s="1">
        <v>325740</v>
      </c>
      <c r="Y53" s="1">
        <v>325970</v>
      </c>
      <c r="Z53" s="1">
        <v>326330</v>
      </c>
      <c r="AA53" s="5">
        <f>AVERAGE(B53:Y53)</f>
        <v>323516.25</v>
      </c>
      <c r="AB53" s="5">
        <f>(AA54-AA52)/2</f>
        <v>5253.958333333343</v>
      </c>
      <c r="AC53" s="14">
        <f>AB53/(23+AB151)</f>
        <v>210.47706720162</v>
      </c>
      <c r="AD53" s="5">
        <f>AA53-AA52</f>
        <v>5247.5</v>
      </c>
      <c r="AE53" s="1">
        <f>AD53-AD52</f>
        <v>-15</v>
      </c>
      <c r="AG53" s="5">
        <f>Z53-Y53</f>
        <v>360</v>
      </c>
      <c r="AI53" s="1">
        <f>C53-B53</f>
        <v>180</v>
      </c>
      <c r="AJ53" s="1">
        <f>D53-C53</f>
        <v>230</v>
      </c>
      <c r="AK53" s="1">
        <f>E53-D53</f>
        <v>210</v>
      </c>
      <c r="AL53" s="1">
        <f>F53-E53</f>
        <v>200</v>
      </c>
      <c r="AM53" s="1">
        <f>G53-F53</f>
        <v>200</v>
      </c>
      <c r="AN53" s="1">
        <f>H53-G53</f>
        <v>210</v>
      </c>
      <c r="AO53" s="1">
        <f>I53-H53</f>
        <v>130</v>
      </c>
      <c r="AP53" s="1">
        <f>J53-I53</f>
        <v>260</v>
      </c>
      <c r="AQ53" s="1">
        <f>K53-J53</f>
        <v>110</v>
      </c>
      <c r="AR53" s="1">
        <f>L53-K53</f>
        <v>300</v>
      </c>
      <c r="AS53" s="1">
        <f>M53-L53</f>
        <v>220</v>
      </c>
      <c r="AT53" s="1">
        <f>N53-M53</f>
        <v>360</v>
      </c>
      <c r="AU53" s="1">
        <f>O53-N53</f>
        <v>110</v>
      </c>
      <c r="AV53" s="1">
        <f>P53-O53</f>
        <v>220</v>
      </c>
      <c r="AW53" s="1">
        <f>Q53-P53</f>
        <v>190</v>
      </c>
      <c r="AX53" s="1">
        <f>R53-Q53</f>
        <v>180</v>
      </c>
      <c r="AY53" s="1">
        <f>S53-R53</f>
        <v>230</v>
      </c>
      <c r="AZ53" s="1">
        <f>T53-S53</f>
        <v>220</v>
      </c>
      <c r="BA53" s="1">
        <f>U53-T53</f>
        <v>110</v>
      </c>
      <c r="BB53" s="1">
        <f>V53-U53</f>
        <v>220</v>
      </c>
      <c r="BC53" s="1">
        <f>W53-V53</f>
        <v>270</v>
      </c>
      <c r="BD53" s="1">
        <f>X53-W53</f>
        <v>240</v>
      </c>
      <c r="BE53" s="1">
        <f>Y53-X53</f>
        <v>230</v>
      </c>
      <c r="BF53" s="1">
        <f>Z53-Y53</f>
        <v>360</v>
      </c>
    </row>
    <row r="54" spans="1:58">
      <c r="A54" s="1">
        <v>52</v>
      </c>
      <c r="B54" s="1">
        <v>326330</v>
      </c>
      <c r="C54" s="1">
        <v>326570</v>
      </c>
      <c r="D54" s="1">
        <v>326800</v>
      </c>
      <c r="E54" s="1">
        <v>327020</v>
      </c>
      <c r="F54" s="1">
        <v>327290</v>
      </c>
      <c r="G54" s="1">
        <v>327420</v>
      </c>
      <c r="H54" s="1">
        <v>327620</v>
      </c>
      <c r="I54" s="1">
        <v>327750</v>
      </c>
      <c r="J54" s="1">
        <v>328020</v>
      </c>
      <c r="K54" s="1">
        <v>328190</v>
      </c>
      <c r="L54" s="1">
        <v>328480</v>
      </c>
      <c r="M54" s="1">
        <v>328730</v>
      </c>
      <c r="N54" s="1">
        <v>328840</v>
      </c>
      <c r="O54" s="1">
        <v>329130</v>
      </c>
      <c r="P54" s="1">
        <v>329380</v>
      </c>
      <c r="Q54" s="1">
        <v>329510</v>
      </c>
      <c r="R54" s="1">
        <v>329750</v>
      </c>
      <c r="S54" s="1">
        <v>329940</v>
      </c>
      <c r="T54" s="1">
        <v>330090</v>
      </c>
      <c r="U54" s="1">
        <v>330360</v>
      </c>
      <c r="V54" s="1">
        <v>330510</v>
      </c>
      <c r="W54" s="1">
        <v>330760</v>
      </c>
      <c r="X54" s="1">
        <v>330940</v>
      </c>
      <c r="Y54" s="1">
        <v>331210</v>
      </c>
      <c r="Z54" s="1">
        <v>331620</v>
      </c>
      <c r="AA54" s="5">
        <f>AVERAGE(B54:Y54)</f>
        <v>328776.66666666669</v>
      </c>
      <c r="AB54" s="5">
        <f>(AA55-AA53)/2</f>
        <v>5261.041666666657</v>
      </c>
      <c r="AC54" s="14">
        <f>AB54/(23+AB151)</f>
        <v>210.76083024872082</v>
      </c>
      <c r="AD54" s="5">
        <f>AA54-AA53</f>
        <v>5260.4166666666861</v>
      </c>
      <c r="AE54" s="1">
        <f>AD54-AD53</f>
        <v>12.916666666686069</v>
      </c>
      <c r="AG54" s="5">
        <f>Z54-Y54</f>
        <v>410</v>
      </c>
      <c r="AI54" s="1">
        <f>C54-B54</f>
        <v>240</v>
      </c>
      <c r="AJ54" s="1">
        <f>D54-C54</f>
        <v>230</v>
      </c>
      <c r="AK54" s="1">
        <f>E54-D54</f>
        <v>220</v>
      </c>
      <c r="AL54" s="1">
        <f>F54-E54</f>
        <v>270</v>
      </c>
      <c r="AM54" s="1">
        <f>G54-F54</f>
        <v>130</v>
      </c>
      <c r="AN54" s="1">
        <f>H54-G54</f>
        <v>200</v>
      </c>
      <c r="AO54" s="1">
        <f>I54-H54</f>
        <v>130</v>
      </c>
      <c r="AP54" s="1">
        <f>J54-I54</f>
        <v>270</v>
      </c>
      <c r="AQ54" s="1">
        <f>K54-J54</f>
        <v>170</v>
      </c>
      <c r="AR54" s="1">
        <f>L54-K54</f>
        <v>290</v>
      </c>
      <c r="AS54" s="1">
        <f>M54-L54</f>
        <v>250</v>
      </c>
      <c r="AT54" s="1">
        <f>N54-M54</f>
        <v>110</v>
      </c>
      <c r="AU54" s="1">
        <f>O54-N54</f>
        <v>290</v>
      </c>
      <c r="AV54" s="1">
        <f>P54-O54</f>
        <v>250</v>
      </c>
      <c r="AW54" s="1">
        <f>Q54-P54</f>
        <v>130</v>
      </c>
      <c r="AX54" s="1">
        <f>R54-Q54</f>
        <v>240</v>
      </c>
      <c r="AY54" s="1">
        <f>S54-R54</f>
        <v>190</v>
      </c>
      <c r="AZ54" s="1">
        <f>T54-S54</f>
        <v>150</v>
      </c>
      <c r="BA54" s="1">
        <f>U54-T54</f>
        <v>270</v>
      </c>
      <c r="BB54" s="1">
        <f>V54-U54</f>
        <v>150</v>
      </c>
      <c r="BC54" s="1">
        <f>W54-V54</f>
        <v>250</v>
      </c>
      <c r="BD54" s="1">
        <f>X54-W54</f>
        <v>180</v>
      </c>
      <c r="BE54" s="1">
        <f>Y54-X54</f>
        <v>270</v>
      </c>
      <c r="BF54" s="1">
        <f>Z54-Y54</f>
        <v>410</v>
      </c>
    </row>
    <row r="55" spans="1:58">
      <c r="A55" s="1">
        <v>53</v>
      </c>
      <c r="B55" s="1">
        <v>331620</v>
      </c>
      <c r="C55" s="1">
        <v>331830</v>
      </c>
      <c r="D55" s="1">
        <v>332110</v>
      </c>
      <c r="E55" s="1">
        <v>332290</v>
      </c>
      <c r="F55" s="1">
        <v>332490</v>
      </c>
      <c r="G55" s="1">
        <v>332710</v>
      </c>
      <c r="H55" s="1">
        <v>332860</v>
      </c>
      <c r="I55" s="1">
        <v>333050</v>
      </c>
      <c r="J55" s="1">
        <v>333290</v>
      </c>
      <c r="K55" s="1">
        <v>333420</v>
      </c>
      <c r="L55" s="1">
        <v>333680</v>
      </c>
      <c r="M55" s="1">
        <v>333850</v>
      </c>
      <c r="N55" s="1">
        <v>334170</v>
      </c>
      <c r="O55" s="1">
        <v>334400</v>
      </c>
      <c r="P55" s="1">
        <v>334540</v>
      </c>
      <c r="Q55" s="1">
        <v>334790</v>
      </c>
      <c r="R55" s="1">
        <v>335030</v>
      </c>
      <c r="S55" s="1">
        <v>335230</v>
      </c>
      <c r="T55" s="1">
        <v>335410</v>
      </c>
      <c r="U55" s="1">
        <v>335640</v>
      </c>
      <c r="V55" s="1">
        <v>335800</v>
      </c>
      <c r="W55" s="1">
        <v>336040</v>
      </c>
      <c r="X55" s="1">
        <v>336220</v>
      </c>
      <c r="Y55" s="1">
        <v>336450</v>
      </c>
      <c r="Z55" s="1">
        <v>336870</v>
      </c>
      <c r="AA55" s="5">
        <f>AVERAGE(B55:Y55)</f>
        <v>334038.33333333331</v>
      </c>
      <c r="AB55" s="5">
        <f>(AA56-AA54)/2</f>
        <v>5256.041666666657</v>
      </c>
      <c r="AC55" s="14">
        <f>AB55/(23+AB151)</f>
        <v>210.56052692135498</v>
      </c>
      <c r="AD55" s="5">
        <f>AA55-AA54</f>
        <v>5261.6666666666279</v>
      </c>
      <c r="AE55" s="1">
        <f>AD55-AD54</f>
        <v>1.2499999999417923</v>
      </c>
      <c r="AG55" s="5">
        <f>Z55-Y55</f>
        <v>420</v>
      </c>
      <c r="AI55" s="1">
        <f>C55-B55</f>
        <v>210</v>
      </c>
      <c r="AJ55" s="1">
        <f>D55-C55</f>
        <v>280</v>
      </c>
      <c r="AK55" s="1">
        <f>E55-D55</f>
        <v>180</v>
      </c>
      <c r="AL55" s="1">
        <f>F55-E55</f>
        <v>200</v>
      </c>
      <c r="AM55" s="1">
        <f>G55-F55</f>
        <v>220</v>
      </c>
      <c r="AN55" s="1">
        <f>H55-G55</f>
        <v>150</v>
      </c>
      <c r="AO55" s="1">
        <f>I55-H55</f>
        <v>190</v>
      </c>
      <c r="AP55" s="1">
        <f>J55-I55</f>
        <v>240</v>
      </c>
      <c r="AQ55" s="1">
        <f>K55-J55</f>
        <v>130</v>
      </c>
      <c r="AR55" s="1">
        <f>L55-K55</f>
        <v>260</v>
      </c>
      <c r="AS55" s="1">
        <f>M55-L55</f>
        <v>170</v>
      </c>
      <c r="AT55" s="1">
        <f>N55-M55</f>
        <v>320</v>
      </c>
      <c r="AU55" s="1">
        <f>O55-N55</f>
        <v>230</v>
      </c>
      <c r="AV55" s="1">
        <f>P55-O55</f>
        <v>140</v>
      </c>
      <c r="AW55" s="1">
        <f>Q55-P55</f>
        <v>250</v>
      </c>
      <c r="AX55" s="1">
        <f>R55-Q55</f>
        <v>240</v>
      </c>
      <c r="AY55" s="1">
        <f>S55-R55</f>
        <v>200</v>
      </c>
      <c r="AZ55" s="1">
        <f>T55-S55</f>
        <v>180</v>
      </c>
      <c r="BA55" s="1">
        <f>U55-T55</f>
        <v>230</v>
      </c>
      <c r="BB55" s="1">
        <f>V55-U55</f>
        <v>160</v>
      </c>
      <c r="BC55" s="1">
        <f>W55-V55</f>
        <v>240</v>
      </c>
      <c r="BD55" s="1">
        <f>X55-W55</f>
        <v>180</v>
      </c>
      <c r="BE55" s="1">
        <f>Y55-X55</f>
        <v>230</v>
      </c>
      <c r="BF55" s="1">
        <f>Z55-Y55</f>
        <v>420</v>
      </c>
    </row>
    <row r="56" spans="1:58">
      <c r="A56" s="1">
        <v>54</v>
      </c>
      <c r="B56" s="1">
        <v>336870</v>
      </c>
      <c r="C56" s="1">
        <v>337090</v>
      </c>
      <c r="D56" s="1">
        <v>337310</v>
      </c>
      <c r="E56" s="1">
        <v>337520</v>
      </c>
      <c r="F56" s="1">
        <v>337760</v>
      </c>
      <c r="G56" s="1">
        <v>337980</v>
      </c>
      <c r="H56" s="1">
        <v>338120</v>
      </c>
      <c r="I56" s="1">
        <v>338370</v>
      </c>
      <c r="J56" s="1">
        <v>338570</v>
      </c>
      <c r="K56" s="1">
        <v>338740</v>
      </c>
      <c r="L56" s="1">
        <v>338910</v>
      </c>
      <c r="M56" s="1">
        <v>339110</v>
      </c>
      <c r="N56" s="1">
        <v>339440</v>
      </c>
      <c r="O56" s="1">
        <v>339650</v>
      </c>
      <c r="P56" s="1">
        <v>339760</v>
      </c>
      <c r="Q56" s="1">
        <v>340010</v>
      </c>
      <c r="R56" s="1">
        <v>340260</v>
      </c>
      <c r="S56" s="1">
        <v>340430</v>
      </c>
      <c r="T56" s="1">
        <v>340660</v>
      </c>
      <c r="U56" s="1">
        <v>340840</v>
      </c>
      <c r="V56" s="1">
        <v>341060</v>
      </c>
      <c r="W56" s="1">
        <v>341270</v>
      </c>
      <c r="X56" s="1">
        <v>341480</v>
      </c>
      <c r="Y56" s="1">
        <v>341720</v>
      </c>
      <c r="Z56" s="1">
        <v>342120</v>
      </c>
      <c r="AA56" s="5">
        <f>AVERAGE(B56:Y56)</f>
        <v>339288.75</v>
      </c>
      <c r="AB56" s="5">
        <f>(AA57-AA55)/2</f>
        <v>5248.5416666666861</v>
      </c>
      <c r="AC56" s="14">
        <f>AB56/(23+AB151)</f>
        <v>210.26007193030742</v>
      </c>
      <c r="AD56" s="5">
        <f>AA56-AA55</f>
        <v>5250.4166666666861</v>
      </c>
      <c r="AE56" s="1">
        <f>AD56-AD55</f>
        <v>-11.249999999941792</v>
      </c>
      <c r="AG56" s="5">
        <f>Z56-Y56</f>
        <v>400</v>
      </c>
      <c r="AI56" s="1">
        <f>C56-B56</f>
        <v>220</v>
      </c>
      <c r="AJ56" s="1">
        <f>D56-C56</f>
        <v>220</v>
      </c>
      <c r="AK56" s="1">
        <f>E56-D56</f>
        <v>210</v>
      </c>
      <c r="AL56" s="1">
        <f>F56-E56</f>
        <v>240</v>
      </c>
      <c r="AM56" s="1">
        <f>G56-F56</f>
        <v>220</v>
      </c>
      <c r="AN56" s="1">
        <f>H56-G56</f>
        <v>140</v>
      </c>
      <c r="AO56" s="1">
        <f>I56-H56</f>
        <v>250</v>
      </c>
      <c r="AP56" s="1">
        <f>J56-I56</f>
        <v>200</v>
      </c>
      <c r="AQ56" s="1">
        <f>K56-J56</f>
        <v>170</v>
      </c>
      <c r="AR56" s="1">
        <f>L56-K56</f>
        <v>170</v>
      </c>
      <c r="AS56" s="1">
        <f>M56-L56</f>
        <v>200</v>
      </c>
      <c r="AT56" s="1">
        <f>N56-M56</f>
        <v>330</v>
      </c>
      <c r="AU56" s="1">
        <f>O56-N56</f>
        <v>210</v>
      </c>
      <c r="AV56" s="1">
        <f>P56-O56</f>
        <v>110</v>
      </c>
      <c r="AW56" s="1">
        <f>Q56-P56</f>
        <v>250</v>
      </c>
      <c r="AX56" s="1">
        <f>R56-Q56</f>
        <v>250</v>
      </c>
      <c r="AY56" s="1">
        <f>S56-R56</f>
        <v>170</v>
      </c>
      <c r="AZ56" s="1">
        <f>T56-S56</f>
        <v>230</v>
      </c>
      <c r="BA56" s="1">
        <f>U56-T56</f>
        <v>180</v>
      </c>
      <c r="BB56" s="1">
        <f>V56-U56</f>
        <v>220</v>
      </c>
      <c r="BC56" s="1">
        <f>W56-V56</f>
        <v>210</v>
      </c>
      <c r="BD56" s="1">
        <f>X56-W56</f>
        <v>210</v>
      </c>
      <c r="BE56" s="1">
        <f>Y56-X56</f>
        <v>240</v>
      </c>
      <c r="BF56" s="1">
        <f>Z56-Y56</f>
        <v>400</v>
      </c>
    </row>
    <row r="57" spans="1:58">
      <c r="A57" s="1">
        <v>55</v>
      </c>
      <c r="B57" s="1">
        <v>342120</v>
      </c>
      <c r="C57" s="1">
        <v>342320</v>
      </c>
      <c r="D57" s="1">
        <v>342520</v>
      </c>
      <c r="E57" s="1">
        <v>342740</v>
      </c>
      <c r="F57" s="1">
        <v>343010</v>
      </c>
      <c r="G57" s="1">
        <v>343240</v>
      </c>
      <c r="H57" s="1">
        <v>343360</v>
      </c>
      <c r="I57" s="1">
        <v>343520</v>
      </c>
      <c r="J57" s="1">
        <v>343800</v>
      </c>
      <c r="K57" s="1">
        <v>344020</v>
      </c>
      <c r="L57" s="1">
        <v>344200</v>
      </c>
      <c r="M57" s="1">
        <v>344360</v>
      </c>
      <c r="N57" s="1">
        <v>344670</v>
      </c>
      <c r="O57" s="1">
        <v>344840</v>
      </c>
      <c r="P57" s="1">
        <v>345100</v>
      </c>
      <c r="Q57" s="1">
        <v>345300</v>
      </c>
      <c r="R57" s="1">
        <v>345510</v>
      </c>
      <c r="S57" s="1">
        <v>345710</v>
      </c>
      <c r="T57" s="1">
        <v>345920</v>
      </c>
      <c r="U57" s="1">
        <v>346130</v>
      </c>
      <c r="V57" s="1">
        <v>346280</v>
      </c>
      <c r="W57" s="1">
        <v>346510</v>
      </c>
      <c r="X57" s="1">
        <v>346710</v>
      </c>
      <c r="Y57" s="1">
        <v>346960</v>
      </c>
      <c r="Z57" s="1">
        <v>347400</v>
      </c>
      <c r="AA57" s="5">
        <f>AVERAGE(B57:Y57)</f>
        <v>344535.41666666669</v>
      </c>
      <c r="AB57" s="5">
        <f>(AA58-AA56)/2</f>
        <v>5264.791666666657</v>
      </c>
      <c r="AC57" s="14">
        <f>AB57/(23+AB151)</f>
        <v>210.9110577442452</v>
      </c>
      <c r="AD57" s="5">
        <f>AA57-AA56</f>
        <v>5246.6666666666861</v>
      </c>
      <c r="AE57" s="1">
        <f>AD57-AD56</f>
        <v>-3.75</v>
      </c>
      <c r="AG57" s="5">
        <f>Z57-Y57</f>
        <v>440</v>
      </c>
      <c r="AI57" s="1">
        <f>C57-B57</f>
        <v>200</v>
      </c>
      <c r="AJ57" s="1">
        <f>D57-C57</f>
        <v>200</v>
      </c>
      <c r="AK57" s="1">
        <f>E57-D57</f>
        <v>220</v>
      </c>
      <c r="AL57" s="1">
        <f>F57-E57</f>
        <v>270</v>
      </c>
      <c r="AM57" s="1">
        <f>G57-F57</f>
        <v>230</v>
      </c>
      <c r="AN57" s="1">
        <f>H57-G57</f>
        <v>120</v>
      </c>
      <c r="AO57" s="1">
        <f>I57-H57</f>
        <v>160</v>
      </c>
      <c r="AP57" s="1">
        <f>J57-I57</f>
        <v>280</v>
      </c>
      <c r="AQ57" s="1">
        <f>K57-J57</f>
        <v>220</v>
      </c>
      <c r="AR57" s="1">
        <f>L57-K57</f>
        <v>180</v>
      </c>
      <c r="AS57" s="1">
        <f>M57-L57</f>
        <v>160</v>
      </c>
      <c r="AT57" s="1">
        <f>N57-M57</f>
        <v>310</v>
      </c>
      <c r="AU57" s="1">
        <f>O57-N57</f>
        <v>170</v>
      </c>
      <c r="AV57" s="1">
        <f>P57-O57</f>
        <v>260</v>
      </c>
      <c r="AW57" s="1">
        <f>Q57-P57</f>
        <v>200</v>
      </c>
      <c r="AX57" s="1">
        <f>R57-Q57</f>
        <v>210</v>
      </c>
      <c r="AY57" s="1">
        <f>S57-R57</f>
        <v>200</v>
      </c>
      <c r="AZ57" s="1">
        <f>T57-S57</f>
        <v>210</v>
      </c>
      <c r="BA57" s="1">
        <f>U57-T57</f>
        <v>210</v>
      </c>
      <c r="BB57" s="1">
        <f>V57-U57</f>
        <v>150</v>
      </c>
      <c r="BC57" s="1">
        <f>W57-V57</f>
        <v>230</v>
      </c>
      <c r="BD57" s="1">
        <f>X57-W57</f>
        <v>200</v>
      </c>
      <c r="BE57" s="1">
        <f>Y57-X57</f>
        <v>250</v>
      </c>
      <c r="BF57" s="1">
        <f>Z57-Y57</f>
        <v>440</v>
      </c>
    </row>
    <row r="58" spans="1:58">
      <c r="A58" s="1">
        <v>56</v>
      </c>
      <c r="B58" s="1">
        <v>347400</v>
      </c>
      <c r="C58" s="1">
        <v>347570</v>
      </c>
      <c r="D58" s="1">
        <v>347850</v>
      </c>
      <c r="E58" s="1">
        <v>347990</v>
      </c>
      <c r="F58" s="1">
        <v>348280</v>
      </c>
      <c r="G58" s="1">
        <v>348480</v>
      </c>
      <c r="H58" s="1">
        <v>348690</v>
      </c>
      <c r="I58" s="1">
        <v>348910</v>
      </c>
      <c r="J58" s="1">
        <v>349060</v>
      </c>
      <c r="K58" s="1">
        <v>349290</v>
      </c>
      <c r="L58" s="1">
        <v>349470</v>
      </c>
      <c r="M58" s="1">
        <v>349670</v>
      </c>
      <c r="N58" s="1">
        <v>349960</v>
      </c>
      <c r="O58" s="1">
        <v>350120</v>
      </c>
      <c r="P58" s="1">
        <v>350360</v>
      </c>
      <c r="Q58" s="1">
        <v>350570</v>
      </c>
      <c r="R58" s="1">
        <v>350710</v>
      </c>
      <c r="S58" s="1">
        <v>351000</v>
      </c>
      <c r="T58" s="1">
        <v>351230</v>
      </c>
      <c r="U58" s="1">
        <v>351400</v>
      </c>
      <c r="V58" s="1">
        <v>351610</v>
      </c>
      <c r="W58" s="1">
        <v>351770</v>
      </c>
      <c r="X58" s="1">
        <v>352010</v>
      </c>
      <c r="Y58" s="1">
        <v>352240</v>
      </c>
      <c r="Z58" s="1">
        <v>352690</v>
      </c>
      <c r="AA58" s="5">
        <f>AVERAGE(B58:Y58)</f>
        <v>349818.33333333331</v>
      </c>
      <c r="AB58" s="5">
        <f>(AA59-AA57)/2</f>
        <v>5273.9583333333139</v>
      </c>
      <c r="AC58" s="14">
        <f>AB58/(23+AB151)</f>
        <v>211.27828051108216</v>
      </c>
      <c r="AD58" s="5">
        <f>AA58-AA57</f>
        <v>5282.9166666666279</v>
      </c>
      <c r="AE58" s="1">
        <f>AD58-AD57</f>
        <v>36.249999999941792</v>
      </c>
      <c r="AG58" s="5">
        <f>Z58-Y58</f>
        <v>450</v>
      </c>
      <c r="AI58" s="1">
        <f>C58-B58</f>
        <v>170</v>
      </c>
      <c r="AJ58" s="1">
        <f>D58-C58</f>
        <v>280</v>
      </c>
      <c r="AK58" s="1">
        <f>E58-D58</f>
        <v>140</v>
      </c>
      <c r="AL58" s="1">
        <f>F58-E58</f>
        <v>290</v>
      </c>
      <c r="AM58" s="1">
        <f>G58-F58</f>
        <v>200</v>
      </c>
      <c r="AN58" s="1">
        <f>H58-G58</f>
        <v>210</v>
      </c>
      <c r="AO58" s="1">
        <f>I58-H58</f>
        <v>220</v>
      </c>
      <c r="AP58" s="1">
        <f>J58-I58</f>
        <v>150</v>
      </c>
      <c r="AQ58" s="1">
        <f>K58-J58</f>
        <v>230</v>
      </c>
      <c r="AR58" s="1">
        <f>L58-K58</f>
        <v>180</v>
      </c>
      <c r="AS58" s="1">
        <f>M58-L58</f>
        <v>200</v>
      </c>
      <c r="AT58" s="1">
        <f>N58-M58</f>
        <v>290</v>
      </c>
      <c r="AU58" s="1">
        <f>O58-N58</f>
        <v>160</v>
      </c>
      <c r="AV58" s="1">
        <f>P58-O58</f>
        <v>240</v>
      </c>
      <c r="AW58" s="1">
        <f>Q58-P58</f>
        <v>210</v>
      </c>
      <c r="AX58" s="1">
        <f>R58-Q58</f>
        <v>140</v>
      </c>
      <c r="AY58" s="1">
        <f>S58-R58</f>
        <v>290</v>
      </c>
      <c r="AZ58" s="1">
        <f>T58-S58</f>
        <v>230</v>
      </c>
      <c r="BA58" s="1">
        <f>U58-T58</f>
        <v>170</v>
      </c>
      <c r="BB58" s="1">
        <f>V58-U58</f>
        <v>210</v>
      </c>
      <c r="BC58" s="1">
        <f>W58-V58</f>
        <v>160</v>
      </c>
      <c r="BD58" s="1">
        <f>X58-W58</f>
        <v>240</v>
      </c>
      <c r="BE58" s="1">
        <f>Y58-X58</f>
        <v>230</v>
      </c>
      <c r="BF58" s="1">
        <f>Z58-Y58</f>
        <v>450</v>
      </c>
    </row>
    <row r="59" spans="1:58">
      <c r="A59" s="1">
        <v>57</v>
      </c>
      <c r="B59" s="1">
        <v>352690</v>
      </c>
      <c r="C59" s="1">
        <v>352880</v>
      </c>
      <c r="D59" s="1">
        <v>353110</v>
      </c>
      <c r="E59" s="1">
        <v>353250</v>
      </c>
      <c r="F59" s="1">
        <v>353480</v>
      </c>
      <c r="G59" s="1">
        <v>353680</v>
      </c>
      <c r="H59" s="1">
        <v>353970</v>
      </c>
      <c r="I59" s="1">
        <v>354180</v>
      </c>
      <c r="J59" s="1">
        <v>354310</v>
      </c>
      <c r="K59" s="1">
        <v>354510</v>
      </c>
      <c r="L59" s="1">
        <v>354740</v>
      </c>
      <c r="M59" s="1">
        <v>354990</v>
      </c>
      <c r="N59" s="1">
        <v>355250</v>
      </c>
      <c r="O59" s="1">
        <v>355450</v>
      </c>
      <c r="P59" s="1">
        <v>355630</v>
      </c>
      <c r="Q59" s="1">
        <v>355860</v>
      </c>
      <c r="R59" s="1">
        <v>355970</v>
      </c>
      <c r="S59" s="1">
        <v>356230</v>
      </c>
      <c r="T59" s="1">
        <v>356430</v>
      </c>
      <c r="U59" s="1">
        <v>356680</v>
      </c>
      <c r="V59" s="1">
        <v>356920</v>
      </c>
      <c r="W59" s="1">
        <v>357050</v>
      </c>
      <c r="X59" s="1">
        <v>357250</v>
      </c>
      <c r="Y59" s="1">
        <v>357490</v>
      </c>
      <c r="Z59" s="1">
        <v>357940</v>
      </c>
      <c r="AA59" s="5">
        <f>AVERAGE(B59:Y59)</f>
        <v>355083.33333333331</v>
      </c>
      <c r="AB59" s="5">
        <f>(AA60-AA58)/2</f>
        <v>5258.75</v>
      </c>
      <c r="AC59" s="14">
        <f>AB59/(23+AB151)</f>
        <v>210.66902455701188</v>
      </c>
      <c r="AD59" s="5">
        <f>AA59-AA58</f>
        <v>5265</v>
      </c>
      <c r="AE59" s="1">
        <f>AD59-AD58</f>
        <v>-17.916666666627862</v>
      </c>
      <c r="AG59" s="5">
        <f>Z59-Y59</f>
        <v>450</v>
      </c>
      <c r="AI59" s="1">
        <f>C59-B59</f>
        <v>190</v>
      </c>
      <c r="AJ59" s="1">
        <f>D59-C59</f>
        <v>230</v>
      </c>
      <c r="AK59" s="1">
        <f>E59-D59</f>
        <v>140</v>
      </c>
      <c r="AL59" s="1">
        <f>F59-E59</f>
        <v>230</v>
      </c>
      <c r="AM59" s="1">
        <f>G59-F59</f>
        <v>200</v>
      </c>
      <c r="AN59" s="1">
        <f>H59-G59</f>
        <v>290</v>
      </c>
      <c r="AO59" s="1">
        <f>I59-H59</f>
        <v>210</v>
      </c>
      <c r="AP59" s="1">
        <f>J59-I59</f>
        <v>130</v>
      </c>
      <c r="AQ59" s="1">
        <f>K59-J59</f>
        <v>200</v>
      </c>
      <c r="AR59" s="1">
        <f>L59-K59</f>
        <v>230</v>
      </c>
      <c r="AS59" s="1">
        <f>M59-L59</f>
        <v>250</v>
      </c>
      <c r="AT59" s="1">
        <f>N59-M59</f>
        <v>260</v>
      </c>
      <c r="AU59" s="1">
        <f>O59-N59</f>
        <v>200</v>
      </c>
      <c r="AV59" s="1">
        <f>P59-O59</f>
        <v>180</v>
      </c>
      <c r="AW59" s="1">
        <f>Q59-P59</f>
        <v>230</v>
      </c>
      <c r="AX59" s="1">
        <f>R59-Q59</f>
        <v>110</v>
      </c>
      <c r="AY59" s="1">
        <f>S59-R59</f>
        <v>260</v>
      </c>
      <c r="AZ59" s="1">
        <f>T59-S59</f>
        <v>200</v>
      </c>
      <c r="BA59" s="1">
        <f>U59-T59</f>
        <v>250</v>
      </c>
      <c r="BB59" s="1">
        <f>V59-U59</f>
        <v>240</v>
      </c>
      <c r="BC59" s="1">
        <f>W59-V59</f>
        <v>130</v>
      </c>
      <c r="BD59" s="1">
        <f>X59-W59</f>
        <v>200</v>
      </c>
      <c r="BE59" s="1">
        <f>Y59-X59</f>
        <v>240</v>
      </c>
      <c r="BF59" s="1">
        <f>Z59-Y59</f>
        <v>450</v>
      </c>
    </row>
    <row r="60" spans="1:58">
      <c r="A60" s="1">
        <v>58</v>
      </c>
      <c r="B60" s="1">
        <v>357940</v>
      </c>
      <c r="C60" s="1">
        <v>358140</v>
      </c>
      <c r="D60" s="1">
        <v>358380</v>
      </c>
      <c r="E60" s="1">
        <v>358530</v>
      </c>
      <c r="F60" s="1">
        <v>358780</v>
      </c>
      <c r="G60" s="1">
        <v>359030</v>
      </c>
      <c r="H60" s="1">
        <v>359130</v>
      </c>
      <c r="I60" s="1">
        <v>359400</v>
      </c>
      <c r="J60" s="1">
        <v>359590</v>
      </c>
      <c r="K60" s="1">
        <v>359820</v>
      </c>
      <c r="L60" s="1">
        <v>359980</v>
      </c>
      <c r="M60" s="1">
        <v>360240</v>
      </c>
      <c r="N60" s="1">
        <v>360420</v>
      </c>
      <c r="O60" s="1">
        <v>360700</v>
      </c>
      <c r="P60" s="1">
        <v>360920</v>
      </c>
      <c r="Q60" s="1">
        <v>361120</v>
      </c>
      <c r="R60" s="1">
        <v>361300</v>
      </c>
      <c r="S60" s="1">
        <v>361430</v>
      </c>
      <c r="T60" s="1">
        <v>361590</v>
      </c>
      <c r="U60" s="1">
        <v>361920</v>
      </c>
      <c r="V60" s="1">
        <v>362160</v>
      </c>
      <c r="W60" s="1">
        <v>362280</v>
      </c>
      <c r="X60" s="1">
        <v>362540</v>
      </c>
      <c r="Y60" s="1">
        <v>362720</v>
      </c>
      <c r="Z60" s="1">
        <v>363170</v>
      </c>
      <c r="AA60" s="5">
        <f>AVERAGE(B60:Y60)</f>
        <v>360335.83333333331</v>
      </c>
      <c r="AB60" s="5">
        <f>(AA61-AA59)/2</f>
        <v>5253.125</v>
      </c>
      <c r="AC60" s="14">
        <f>AB60/(23+AB151)</f>
        <v>210.4436833137253</v>
      </c>
      <c r="AD60" s="5">
        <f>AA60-AA59</f>
        <v>5252.5</v>
      </c>
      <c r="AE60" s="1">
        <f>AD60-AD59</f>
        <v>-12.5</v>
      </c>
      <c r="AG60" s="5">
        <f>Z60-Y60</f>
        <v>450</v>
      </c>
      <c r="AI60" s="1">
        <f>C60-B60</f>
        <v>200</v>
      </c>
      <c r="AJ60" s="1">
        <f>D60-C60</f>
        <v>240</v>
      </c>
      <c r="AK60" s="1">
        <f>E60-D60</f>
        <v>150</v>
      </c>
      <c r="AL60" s="1">
        <f>F60-E60</f>
        <v>250</v>
      </c>
      <c r="AM60" s="1">
        <f>G60-F60</f>
        <v>250</v>
      </c>
      <c r="AN60" s="1">
        <f>H60-G60</f>
        <v>100</v>
      </c>
      <c r="AO60" s="1">
        <f>I60-H60</f>
        <v>270</v>
      </c>
      <c r="AP60" s="1">
        <f>J60-I60</f>
        <v>190</v>
      </c>
      <c r="AQ60" s="1">
        <f>K60-J60</f>
        <v>230</v>
      </c>
      <c r="AR60" s="1">
        <f>L60-K60</f>
        <v>160</v>
      </c>
      <c r="AS60" s="1">
        <f>M60-L60</f>
        <v>260</v>
      </c>
      <c r="AT60" s="1">
        <f>N60-M60</f>
        <v>180</v>
      </c>
      <c r="AU60" s="1">
        <f>O60-N60</f>
        <v>280</v>
      </c>
      <c r="AV60" s="1">
        <f>P60-O60</f>
        <v>220</v>
      </c>
      <c r="AW60" s="1">
        <f>Q60-P60</f>
        <v>200</v>
      </c>
      <c r="AX60" s="1">
        <f>R60-Q60</f>
        <v>180</v>
      </c>
      <c r="AY60" s="1">
        <f>S60-R60</f>
        <v>130</v>
      </c>
      <c r="AZ60" s="1">
        <f>T60-S60</f>
        <v>160</v>
      </c>
      <c r="BA60" s="1">
        <f>U60-T60</f>
        <v>330</v>
      </c>
      <c r="BB60" s="1">
        <f>V60-U60</f>
        <v>240</v>
      </c>
      <c r="BC60" s="1">
        <f>W60-V60</f>
        <v>120</v>
      </c>
      <c r="BD60" s="1">
        <f>X60-W60</f>
        <v>260</v>
      </c>
      <c r="BE60" s="1">
        <f>Y60-X60</f>
        <v>180</v>
      </c>
      <c r="BF60" s="1">
        <f>Z60-Y60</f>
        <v>450</v>
      </c>
    </row>
    <row r="61" spans="1:58">
      <c r="A61" s="1">
        <v>59</v>
      </c>
      <c r="B61" s="1">
        <v>363170</v>
      </c>
      <c r="C61" s="1">
        <v>363380</v>
      </c>
      <c r="D61" s="1">
        <v>363620</v>
      </c>
      <c r="E61" s="1">
        <v>363820</v>
      </c>
      <c r="F61" s="1">
        <v>363970</v>
      </c>
      <c r="G61" s="1">
        <v>364170</v>
      </c>
      <c r="H61" s="1">
        <v>364400</v>
      </c>
      <c r="I61" s="1">
        <v>364680</v>
      </c>
      <c r="J61" s="1">
        <v>364820</v>
      </c>
      <c r="K61" s="1">
        <v>365080</v>
      </c>
      <c r="L61" s="1">
        <v>365240</v>
      </c>
      <c r="M61" s="1">
        <v>365510</v>
      </c>
      <c r="N61" s="1">
        <v>365740</v>
      </c>
      <c r="O61" s="1">
        <v>365980</v>
      </c>
      <c r="P61" s="1">
        <v>366140</v>
      </c>
      <c r="Q61" s="1">
        <v>366320</v>
      </c>
      <c r="R61" s="1">
        <v>366560</v>
      </c>
      <c r="S61" s="1">
        <v>366690</v>
      </c>
      <c r="T61" s="1">
        <v>366920</v>
      </c>
      <c r="U61" s="1">
        <v>367160</v>
      </c>
      <c r="V61" s="1">
        <v>367370</v>
      </c>
      <c r="W61" s="1">
        <v>367580</v>
      </c>
      <c r="X61" s="1">
        <v>367780</v>
      </c>
      <c r="Y61" s="1">
        <v>368050</v>
      </c>
      <c r="Z61" s="1">
        <v>368480</v>
      </c>
      <c r="AA61" s="5">
        <f>AVERAGE(B61:Y61)</f>
        <v>365589.58333333331</v>
      </c>
      <c r="AB61" s="5">
        <f>(AA62-AA60)/2</f>
        <v>5258.125</v>
      </c>
      <c r="AC61" s="14">
        <f>AB61/(23+AB151)</f>
        <v>210.64398664109115</v>
      </c>
      <c r="AD61" s="5">
        <f>AA61-AA60</f>
        <v>5253.75</v>
      </c>
      <c r="AE61" s="1">
        <f>AD61-AD60</f>
        <v>1.25</v>
      </c>
      <c r="AG61" s="5">
        <f>Z61-Y61</f>
        <v>430</v>
      </c>
      <c r="AI61" s="1">
        <f>C61-B61</f>
        <v>210</v>
      </c>
      <c r="AJ61" s="1">
        <f>D61-C61</f>
        <v>240</v>
      </c>
      <c r="AK61" s="1">
        <f>E61-D61</f>
        <v>200</v>
      </c>
      <c r="AL61" s="1">
        <f>F61-E61</f>
        <v>150</v>
      </c>
      <c r="AM61" s="1">
        <f>G61-F61</f>
        <v>200</v>
      </c>
      <c r="AN61" s="1">
        <f>H61-G61</f>
        <v>230</v>
      </c>
      <c r="AO61" s="1">
        <f>I61-H61</f>
        <v>280</v>
      </c>
      <c r="AP61" s="1">
        <f>J61-I61</f>
        <v>140</v>
      </c>
      <c r="AQ61" s="1">
        <f>K61-J61</f>
        <v>260</v>
      </c>
      <c r="AR61" s="1">
        <f>L61-K61</f>
        <v>160</v>
      </c>
      <c r="AS61" s="1">
        <f>M61-L61</f>
        <v>270</v>
      </c>
      <c r="AT61" s="1">
        <f>N61-M61</f>
        <v>230</v>
      </c>
      <c r="AU61" s="1">
        <f>O61-N61</f>
        <v>240</v>
      </c>
      <c r="AV61" s="1">
        <f>P61-O61</f>
        <v>160</v>
      </c>
      <c r="AW61" s="1">
        <f>Q61-P61</f>
        <v>180</v>
      </c>
      <c r="AX61" s="1">
        <f>R61-Q61</f>
        <v>240</v>
      </c>
      <c r="AY61" s="1">
        <f>S61-R61</f>
        <v>130</v>
      </c>
      <c r="AZ61" s="1">
        <f>T61-S61</f>
        <v>230</v>
      </c>
      <c r="BA61" s="1">
        <f>U61-T61</f>
        <v>240</v>
      </c>
      <c r="BB61" s="1">
        <f>V61-U61</f>
        <v>210</v>
      </c>
      <c r="BC61" s="1">
        <f>W61-V61</f>
        <v>210</v>
      </c>
      <c r="BD61" s="1">
        <f>X61-W61</f>
        <v>200</v>
      </c>
      <c r="BE61" s="1">
        <f>Y61-X61</f>
        <v>270</v>
      </c>
      <c r="BF61" s="1">
        <f>Z61-Y61</f>
        <v>430</v>
      </c>
    </row>
    <row r="62" spans="1:58">
      <c r="A62" s="1">
        <v>60</v>
      </c>
      <c r="B62" s="1">
        <v>368480</v>
      </c>
      <c r="C62" s="1">
        <v>368670</v>
      </c>
      <c r="D62" s="1">
        <v>368860</v>
      </c>
      <c r="E62" s="1">
        <v>369070</v>
      </c>
      <c r="F62" s="1">
        <v>369210</v>
      </c>
      <c r="G62" s="1">
        <v>369460</v>
      </c>
      <c r="H62" s="1">
        <v>369680</v>
      </c>
      <c r="I62" s="1">
        <v>369940</v>
      </c>
      <c r="J62" s="1">
        <v>370080</v>
      </c>
      <c r="K62" s="1">
        <v>370320</v>
      </c>
      <c r="L62" s="1">
        <v>370610</v>
      </c>
      <c r="M62" s="1">
        <v>370810</v>
      </c>
      <c r="N62" s="1">
        <v>370960</v>
      </c>
      <c r="O62" s="1">
        <v>371200</v>
      </c>
      <c r="P62" s="1">
        <v>371370</v>
      </c>
      <c r="Q62" s="1">
        <v>371570</v>
      </c>
      <c r="R62" s="1">
        <v>371780</v>
      </c>
      <c r="S62" s="1">
        <v>371990</v>
      </c>
      <c r="T62" s="1">
        <v>372240</v>
      </c>
      <c r="U62" s="1">
        <v>372450</v>
      </c>
      <c r="V62" s="1">
        <v>372540</v>
      </c>
      <c r="W62" s="1">
        <v>372840</v>
      </c>
      <c r="X62" s="1">
        <v>373050</v>
      </c>
      <c r="Y62" s="1">
        <v>373270</v>
      </c>
      <c r="Z62" s="1">
        <v>373740</v>
      </c>
      <c r="AA62" s="5">
        <f>AVERAGE(B62:Y62)</f>
        <v>370852.08333333331</v>
      </c>
      <c r="AB62" s="5">
        <f>(AA63-AA61)/2</f>
        <v>5254.7916666666861</v>
      </c>
      <c r="AC62" s="14">
        <f>AB62/(23+AB151)</f>
        <v>210.5104510895147</v>
      </c>
      <c r="AD62" s="5">
        <f>AA62-AA61</f>
        <v>5262.5</v>
      </c>
      <c r="AE62" s="1">
        <f>AD62-AD61</f>
        <v>8.75</v>
      </c>
      <c r="AG62" s="5">
        <f>Z62-Y62</f>
        <v>470</v>
      </c>
      <c r="AI62" s="1">
        <f>C62-B62</f>
        <v>190</v>
      </c>
      <c r="AJ62" s="1">
        <f>D62-C62</f>
        <v>190</v>
      </c>
      <c r="AK62" s="1">
        <f>E62-D62</f>
        <v>210</v>
      </c>
      <c r="AL62" s="1">
        <f>F62-E62</f>
        <v>140</v>
      </c>
      <c r="AM62" s="1">
        <f>G62-F62</f>
        <v>250</v>
      </c>
      <c r="AN62" s="1">
        <f>H62-G62</f>
        <v>220</v>
      </c>
      <c r="AO62" s="1">
        <f>I62-H62</f>
        <v>260</v>
      </c>
      <c r="AP62" s="1">
        <f>J62-I62</f>
        <v>140</v>
      </c>
      <c r="AQ62" s="1">
        <f>K62-J62</f>
        <v>240</v>
      </c>
      <c r="AR62" s="1">
        <f>L62-K62</f>
        <v>290</v>
      </c>
      <c r="AS62" s="1">
        <f>M62-L62</f>
        <v>200</v>
      </c>
      <c r="AT62" s="1">
        <f>N62-M62</f>
        <v>150</v>
      </c>
      <c r="AU62" s="1">
        <f>O62-N62</f>
        <v>240</v>
      </c>
      <c r="AV62" s="1">
        <f>P62-O62</f>
        <v>170</v>
      </c>
      <c r="AW62" s="1">
        <f>Q62-P62</f>
        <v>200</v>
      </c>
      <c r="AX62" s="1">
        <f>R62-Q62</f>
        <v>210</v>
      </c>
      <c r="AY62" s="1">
        <f>S62-R62</f>
        <v>210</v>
      </c>
      <c r="AZ62" s="1">
        <f>T62-S62</f>
        <v>250</v>
      </c>
      <c r="BA62" s="1">
        <f>U62-T62</f>
        <v>210</v>
      </c>
      <c r="BB62" s="1">
        <f>V62-U62</f>
        <v>90</v>
      </c>
      <c r="BC62" s="1">
        <f>W62-V62</f>
        <v>300</v>
      </c>
      <c r="BD62" s="1">
        <f>X62-W62</f>
        <v>210</v>
      </c>
      <c r="BE62" s="1">
        <f>Y62-X62</f>
        <v>220</v>
      </c>
      <c r="BF62" s="1">
        <f>Z62-Y62</f>
        <v>470</v>
      </c>
    </row>
    <row r="63" spans="1:58">
      <c r="A63" s="1">
        <v>61</v>
      </c>
      <c r="B63" s="1">
        <v>373740</v>
      </c>
      <c r="C63" s="1">
        <v>373920</v>
      </c>
      <c r="D63" s="1">
        <v>374090</v>
      </c>
      <c r="E63" s="1">
        <v>374340</v>
      </c>
      <c r="F63" s="1">
        <v>374530</v>
      </c>
      <c r="G63" s="1">
        <v>374720</v>
      </c>
      <c r="H63" s="1">
        <v>374980</v>
      </c>
      <c r="I63" s="1">
        <v>375100</v>
      </c>
      <c r="J63" s="1">
        <v>375330</v>
      </c>
      <c r="K63" s="1">
        <v>375510</v>
      </c>
      <c r="L63" s="1">
        <v>375820</v>
      </c>
      <c r="M63" s="1">
        <v>375980</v>
      </c>
      <c r="N63" s="1">
        <v>376230</v>
      </c>
      <c r="O63" s="1">
        <v>376470</v>
      </c>
      <c r="P63" s="1">
        <v>376590</v>
      </c>
      <c r="Q63" s="1">
        <v>376820</v>
      </c>
      <c r="R63" s="1">
        <v>377080</v>
      </c>
      <c r="S63" s="1">
        <v>377290</v>
      </c>
      <c r="T63" s="1">
        <v>377500</v>
      </c>
      <c r="U63" s="1">
        <v>377640</v>
      </c>
      <c r="V63" s="1">
        <v>377750</v>
      </c>
      <c r="W63" s="1">
        <v>378040</v>
      </c>
      <c r="X63" s="1">
        <v>378310</v>
      </c>
      <c r="Y63" s="1">
        <v>378600</v>
      </c>
      <c r="Z63" s="1">
        <v>379010</v>
      </c>
      <c r="AA63" s="5">
        <f>AVERAGE(B63:Y63)</f>
        <v>376099.16666666669</v>
      </c>
      <c r="AB63" s="5">
        <f>(AA64-AA62)/2</f>
        <v>5253.333333333343</v>
      </c>
      <c r="AC63" s="14">
        <f>AB63/(23+AB151)</f>
        <v>210.45202928569927</v>
      </c>
      <c r="AD63" s="5">
        <f>AA63-AA62</f>
        <v>5247.0833333333721</v>
      </c>
      <c r="AE63" s="1">
        <f>AD63-AD62</f>
        <v>-15.416666666627862</v>
      </c>
      <c r="AG63" s="5">
        <f>Z63-Y63</f>
        <v>410</v>
      </c>
      <c r="AI63" s="1">
        <f>C63-B63</f>
        <v>180</v>
      </c>
      <c r="AJ63" s="1">
        <f>D63-C63</f>
        <v>170</v>
      </c>
      <c r="AK63" s="1">
        <f>E63-D63</f>
        <v>250</v>
      </c>
      <c r="AL63" s="1">
        <f>F63-E63</f>
        <v>190</v>
      </c>
      <c r="AM63" s="1">
        <f>G63-F63</f>
        <v>190</v>
      </c>
      <c r="AN63" s="1">
        <f>H63-G63</f>
        <v>260</v>
      </c>
      <c r="AO63" s="1">
        <f>I63-H63</f>
        <v>120</v>
      </c>
      <c r="AP63" s="1">
        <f>J63-I63</f>
        <v>230</v>
      </c>
      <c r="AQ63" s="1">
        <f>K63-J63</f>
        <v>180</v>
      </c>
      <c r="AR63" s="1">
        <f>L63-K63</f>
        <v>310</v>
      </c>
      <c r="AS63" s="1">
        <f>M63-L63</f>
        <v>160</v>
      </c>
      <c r="AT63" s="1">
        <f>N63-M63</f>
        <v>250</v>
      </c>
      <c r="AU63" s="1">
        <f>O63-N63</f>
        <v>240</v>
      </c>
      <c r="AV63" s="1">
        <f>P63-O63</f>
        <v>120</v>
      </c>
      <c r="AW63" s="1">
        <f>Q63-P63</f>
        <v>230</v>
      </c>
      <c r="AX63" s="1">
        <f>R63-Q63</f>
        <v>260</v>
      </c>
      <c r="AY63" s="1">
        <f>S63-R63</f>
        <v>210</v>
      </c>
      <c r="AZ63" s="1">
        <f>T63-S63</f>
        <v>210</v>
      </c>
      <c r="BA63" s="1">
        <f>U63-T63</f>
        <v>140</v>
      </c>
      <c r="BB63" s="1">
        <f>V63-U63</f>
        <v>110</v>
      </c>
      <c r="BC63" s="1">
        <f>W63-V63</f>
        <v>290</v>
      </c>
      <c r="BD63" s="1">
        <f>X63-W63</f>
        <v>270</v>
      </c>
      <c r="BE63" s="1">
        <f>Y63-X63</f>
        <v>290</v>
      </c>
      <c r="BF63" s="1">
        <f>Z63-Y63</f>
        <v>410</v>
      </c>
    </row>
    <row r="64" spans="1:58">
      <c r="A64" s="1">
        <v>62</v>
      </c>
      <c r="B64" s="1">
        <v>379010</v>
      </c>
      <c r="C64" s="1">
        <v>379180</v>
      </c>
      <c r="D64" s="1">
        <v>379380</v>
      </c>
      <c r="E64" s="1">
        <v>379560</v>
      </c>
      <c r="F64" s="1">
        <v>379820</v>
      </c>
      <c r="G64" s="1">
        <v>380010</v>
      </c>
      <c r="H64" s="1">
        <v>380150</v>
      </c>
      <c r="I64" s="1">
        <v>380360</v>
      </c>
      <c r="J64" s="1">
        <v>380580</v>
      </c>
      <c r="K64" s="1">
        <v>380790</v>
      </c>
      <c r="L64" s="1">
        <v>381000</v>
      </c>
      <c r="M64" s="1">
        <v>381350</v>
      </c>
      <c r="N64" s="1">
        <v>381470</v>
      </c>
      <c r="O64" s="1">
        <v>381720</v>
      </c>
      <c r="P64" s="1">
        <v>381890</v>
      </c>
      <c r="Q64" s="1">
        <v>382100</v>
      </c>
      <c r="R64" s="1">
        <v>382300</v>
      </c>
      <c r="S64" s="1">
        <v>382510</v>
      </c>
      <c r="T64" s="1">
        <v>382680</v>
      </c>
      <c r="U64" s="1">
        <v>382920</v>
      </c>
      <c r="V64" s="1">
        <v>383140</v>
      </c>
      <c r="W64" s="1">
        <v>383280</v>
      </c>
      <c r="X64" s="1">
        <v>383590</v>
      </c>
      <c r="Y64" s="1">
        <v>383820</v>
      </c>
      <c r="Z64" s="1">
        <v>384210</v>
      </c>
      <c r="AA64" s="5">
        <f>AVERAGE(B64:Y64)</f>
        <v>381358.75</v>
      </c>
      <c r="AB64" s="5">
        <f>(AA65-AA63)/2</f>
        <v>5258.3333333333139</v>
      </c>
      <c r="AC64" s="14">
        <f>AB64/(23+AB151)</f>
        <v>210.65233261306395</v>
      </c>
      <c r="AD64" s="5">
        <f>AA64-AA63</f>
        <v>5259.5833333333139</v>
      </c>
      <c r="AE64" s="1">
        <f>AD64-AD63</f>
        <v>12.499999999941792</v>
      </c>
      <c r="AG64" s="5">
        <f>Z64-Y64</f>
        <v>390</v>
      </c>
      <c r="AI64" s="1">
        <f>C64-B64</f>
        <v>170</v>
      </c>
      <c r="AJ64" s="1">
        <f>D64-C64</f>
        <v>200</v>
      </c>
      <c r="AK64" s="1">
        <f>E64-D64</f>
        <v>180</v>
      </c>
      <c r="AL64" s="1">
        <f>F64-E64</f>
        <v>260</v>
      </c>
      <c r="AM64" s="1">
        <f>G64-F64</f>
        <v>190</v>
      </c>
      <c r="AN64" s="1">
        <f>H64-G64</f>
        <v>140</v>
      </c>
      <c r="AO64" s="1">
        <f>I64-H64</f>
        <v>210</v>
      </c>
      <c r="AP64" s="1">
        <f>J64-I64</f>
        <v>220</v>
      </c>
      <c r="AQ64" s="1">
        <f>K64-J64</f>
        <v>210</v>
      </c>
      <c r="AR64" s="1">
        <f>L64-K64</f>
        <v>210</v>
      </c>
      <c r="AS64" s="1">
        <f>M64-L64</f>
        <v>350</v>
      </c>
      <c r="AT64" s="1">
        <f>N64-M64</f>
        <v>120</v>
      </c>
      <c r="AU64" s="1">
        <f>O64-N64</f>
        <v>250</v>
      </c>
      <c r="AV64" s="1">
        <f>P64-O64</f>
        <v>170</v>
      </c>
      <c r="AW64" s="1">
        <f>Q64-P64</f>
        <v>210</v>
      </c>
      <c r="AX64" s="1">
        <f>R64-Q64</f>
        <v>200</v>
      </c>
      <c r="AY64" s="1">
        <f>S64-R64</f>
        <v>210</v>
      </c>
      <c r="AZ64" s="1">
        <f>T64-S64</f>
        <v>170</v>
      </c>
      <c r="BA64" s="1">
        <f>U64-T64</f>
        <v>240</v>
      </c>
      <c r="BB64" s="1">
        <f>V64-U64</f>
        <v>220</v>
      </c>
      <c r="BC64" s="1">
        <f>W64-V64</f>
        <v>140</v>
      </c>
      <c r="BD64" s="1">
        <f>X64-W64</f>
        <v>310</v>
      </c>
      <c r="BE64" s="1">
        <f>Y64-X64</f>
        <v>230</v>
      </c>
      <c r="BF64" s="1">
        <f>Z64-Y64</f>
        <v>390</v>
      </c>
    </row>
    <row r="65" spans="1:58">
      <c r="A65" s="1">
        <v>63</v>
      </c>
      <c r="B65" s="1">
        <v>384210</v>
      </c>
      <c r="C65" s="1">
        <v>384420</v>
      </c>
      <c r="D65" s="1">
        <v>384640</v>
      </c>
      <c r="E65" s="1">
        <v>384850</v>
      </c>
      <c r="F65" s="1">
        <v>385060</v>
      </c>
      <c r="G65" s="1">
        <v>385310</v>
      </c>
      <c r="H65" s="1">
        <v>385500</v>
      </c>
      <c r="I65" s="1">
        <v>385690</v>
      </c>
      <c r="J65" s="1">
        <v>385890</v>
      </c>
      <c r="K65" s="1">
        <v>386020</v>
      </c>
      <c r="L65" s="1">
        <v>386300</v>
      </c>
      <c r="M65" s="1">
        <v>386460</v>
      </c>
      <c r="N65" s="1">
        <v>386680</v>
      </c>
      <c r="O65" s="1">
        <v>386890</v>
      </c>
      <c r="P65" s="1">
        <v>387110</v>
      </c>
      <c r="Q65" s="1">
        <v>387360</v>
      </c>
      <c r="R65" s="1">
        <v>387530</v>
      </c>
      <c r="S65" s="1">
        <v>387790</v>
      </c>
      <c r="T65" s="1">
        <v>387870</v>
      </c>
      <c r="U65" s="1">
        <v>388220</v>
      </c>
      <c r="V65" s="1">
        <v>388410</v>
      </c>
      <c r="W65" s="1">
        <v>388670</v>
      </c>
      <c r="X65" s="1">
        <v>388860</v>
      </c>
      <c r="Y65" s="1">
        <v>389040</v>
      </c>
      <c r="Z65" s="1">
        <v>389460</v>
      </c>
      <c r="AA65" s="5">
        <f>AVERAGE(B65:Y65)</f>
        <v>386615.83333333331</v>
      </c>
      <c r="AB65" s="5">
        <f>(AA66-AA64)/2</f>
        <v>5262.083333333343</v>
      </c>
      <c r="AC65" s="14">
        <f>AB65/(23+AB151)</f>
        <v>210.80256010858949</v>
      </c>
      <c r="AD65" s="5">
        <f>AA65-AA64</f>
        <v>5257.0833333333139</v>
      </c>
      <c r="AE65" s="1">
        <f>AD65-AD64</f>
        <v>-2.5</v>
      </c>
      <c r="AG65" s="5">
        <f>Z65-Y65</f>
        <v>420</v>
      </c>
      <c r="AI65" s="1">
        <f>C65-B65</f>
        <v>210</v>
      </c>
      <c r="AJ65" s="1">
        <f>D65-C65</f>
        <v>220</v>
      </c>
      <c r="AK65" s="1">
        <f>E65-D65</f>
        <v>210</v>
      </c>
      <c r="AL65" s="1">
        <f>F65-E65</f>
        <v>210</v>
      </c>
      <c r="AM65" s="1">
        <f>G65-F65</f>
        <v>250</v>
      </c>
      <c r="AN65" s="1">
        <f>H65-G65</f>
        <v>190</v>
      </c>
      <c r="AO65" s="1">
        <f>I65-H65</f>
        <v>190</v>
      </c>
      <c r="AP65" s="1">
        <f>J65-I65</f>
        <v>200</v>
      </c>
      <c r="AQ65" s="1">
        <f>K65-J65</f>
        <v>130</v>
      </c>
      <c r="AR65" s="1">
        <f>L65-K65</f>
        <v>280</v>
      </c>
      <c r="AS65" s="1">
        <f>M65-L65</f>
        <v>160</v>
      </c>
      <c r="AT65" s="1">
        <f>N65-M65</f>
        <v>220</v>
      </c>
      <c r="AU65" s="1">
        <f>O65-N65</f>
        <v>210</v>
      </c>
      <c r="AV65" s="1">
        <f>P65-O65</f>
        <v>220</v>
      </c>
      <c r="AW65" s="1">
        <f>Q65-P65</f>
        <v>250</v>
      </c>
      <c r="AX65" s="1">
        <f>R65-Q65</f>
        <v>170</v>
      </c>
      <c r="AY65" s="1">
        <f>S65-R65</f>
        <v>260</v>
      </c>
      <c r="AZ65" s="1">
        <f>T65-S65</f>
        <v>80</v>
      </c>
      <c r="BA65" s="1">
        <f>U65-T65</f>
        <v>350</v>
      </c>
      <c r="BB65" s="1">
        <f>V65-U65</f>
        <v>190</v>
      </c>
      <c r="BC65" s="1">
        <f>W65-V65</f>
        <v>260</v>
      </c>
      <c r="BD65" s="1">
        <f>X65-W65</f>
        <v>190</v>
      </c>
      <c r="BE65" s="1">
        <f>Y65-X65</f>
        <v>180</v>
      </c>
      <c r="BF65" s="1">
        <f>Z65-Y65</f>
        <v>420</v>
      </c>
    </row>
    <row r="66" spans="1:58">
      <c r="A66" s="1">
        <v>64</v>
      </c>
      <c r="B66" s="1">
        <v>389460</v>
      </c>
      <c r="C66" s="1">
        <v>389660</v>
      </c>
      <c r="D66" s="1">
        <v>389900</v>
      </c>
      <c r="E66" s="1">
        <v>390160</v>
      </c>
      <c r="F66" s="1">
        <v>390260</v>
      </c>
      <c r="G66" s="1">
        <v>390460</v>
      </c>
      <c r="H66" s="1">
        <v>390740</v>
      </c>
      <c r="I66" s="1">
        <v>390930</v>
      </c>
      <c r="J66" s="1">
        <v>391120</v>
      </c>
      <c r="K66" s="1">
        <v>391380</v>
      </c>
      <c r="L66" s="1">
        <v>391540</v>
      </c>
      <c r="M66" s="1">
        <v>391770</v>
      </c>
      <c r="N66" s="1">
        <v>391970</v>
      </c>
      <c r="O66" s="1">
        <v>392230</v>
      </c>
      <c r="P66" s="1">
        <v>392440</v>
      </c>
      <c r="Q66" s="1">
        <v>392580</v>
      </c>
      <c r="R66" s="1">
        <v>392790</v>
      </c>
      <c r="S66" s="1">
        <v>393050</v>
      </c>
      <c r="T66" s="1">
        <v>393240</v>
      </c>
      <c r="U66" s="1">
        <v>393420</v>
      </c>
      <c r="V66" s="1">
        <v>393680</v>
      </c>
      <c r="W66" s="1">
        <v>393900</v>
      </c>
      <c r="X66" s="1">
        <v>394150</v>
      </c>
      <c r="Y66" s="1">
        <v>394360</v>
      </c>
      <c r="Z66" s="1">
        <v>394730</v>
      </c>
      <c r="AA66" s="5">
        <f>AVERAGE(B66:Y66)</f>
        <v>391882.91666666669</v>
      </c>
      <c r="AB66" s="5">
        <f>(AA67-AA65)/2</f>
        <v>5256.458333333343</v>
      </c>
      <c r="AC66" s="14">
        <f>AB66/(23+AB151)</f>
        <v>210.57721886530291</v>
      </c>
      <c r="AD66" s="5">
        <f>AA66-AA65</f>
        <v>5267.0833333333721</v>
      </c>
      <c r="AE66" s="1">
        <f>AD66-AD65</f>
        <v>10.000000000058208</v>
      </c>
      <c r="AG66" s="5">
        <f>Z66-Y66</f>
        <v>370</v>
      </c>
      <c r="AI66" s="1">
        <f>C66-B66</f>
        <v>200</v>
      </c>
      <c r="AJ66" s="1">
        <f>D66-C66</f>
        <v>240</v>
      </c>
      <c r="AK66" s="1">
        <f>E66-D66</f>
        <v>260</v>
      </c>
      <c r="AL66" s="1">
        <f>F66-E66</f>
        <v>100</v>
      </c>
      <c r="AM66" s="1">
        <f>G66-F66</f>
        <v>200</v>
      </c>
      <c r="AN66" s="1">
        <f>H66-G66</f>
        <v>280</v>
      </c>
      <c r="AO66" s="1">
        <f>I66-H66</f>
        <v>190</v>
      </c>
      <c r="AP66" s="1">
        <f>J66-I66</f>
        <v>190</v>
      </c>
      <c r="AQ66" s="1">
        <f>K66-J66</f>
        <v>260</v>
      </c>
      <c r="AR66" s="1">
        <f>L66-K66</f>
        <v>160</v>
      </c>
      <c r="AS66" s="1">
        <f>M66-L66</f>
        <v>230</v>
      </c>
      <c r="AT66" s="1">
        <f>N66-M66</f>
        <v>200</v>
      </c>
      <c r="AU66" s="1">
        <f>O66-N66</f>
        <v>260</v>
      </c>
      <c r="AV66" s="1">
        <f>P66-O66</f>
        <v>210</v>
      </c>
      <c r="AW66" s="1">
        <f>Q66-P66</f>
        <v>140</v>
      </c>
      <c r="AX66" s="1">
        <f>R66-Q66</f>
        <v>210</v>
      </c>
      <c r="AY66" s="1">
        <f>S66-R66</f>
        <v>260</v>
      </c>
      <c r="AZ66" s="1">
        <f>T66-S66</f>
        <v>190</v>
      </c>
      <c r="BA66" s="1">
        <f>U66-T66</f>
        <v>180</v>
      </c>
      <c r="BB66" s="1">
        <f>V66-U66</f>
        <v>260</v>
      </c>
      <c r="BC66" s="1">
        <f>W66-V66</f>
        <v>220</v>
      </c>
      <c r="BD66" s="1">
        <f>X66-W66</f>
        <v>250</v>
      </c>
      <c r="BE66" s="1">
        <f>Y66-X66</f>
        <v>210</v>
      </c>
      <c r="BF66" s="1">
        <f>Z66-Y66</f>
        <v>370</v>
      </c>
    </row>
    <row r="67" spans="1:58">
      <c r="A67" s="1">
        <v>65</v>
      </c>
      <c r="B67" s="1">
        <v>394730</v>
      </c>
      <c r="C67" s="1">
        <v>394900</v>
      </c>
      <c r="D67" s="1">
        <v>395080</v>
      </c>
      <c r="E67" s="1">
        <v>395340</v>
      </c>
      <c r="F67" s="1">
        <v>395580</v>
      </c>
      <c r="G67" s="1">
        <v>395770</v>
      </c>
      <c r="H67" s="1">
        <v>396010</v>
      </c>
      <c r="I67" s="1">
        <v>396170</v>
      </c>
      <c r="J67" s="1">
        <v>396360</v>
      </c>
      <c r="K67" s="1">
        <v>396580</v>
      </c>
      <c r="L67" s="1">
        <v>396810</v>
      </c>
      <c r="M67" s="1">
        <v>396990</v>
      </c>
      <c r="N67" s="1">
        <v>397240</v>
      </c>
      <c r="O67" s="1">
        <v>397470</v>
      </c>
      <c r="P67" s="1">
        <v>397660</v>
      </c>
      <c r="Q67" s="1">
        <v>397820</v>
      </c>
      <c r="R67" s="1">
        <v>398000</v>
      </c>
      <c r="S67" s="1">
        <v>398310</v>
      </c>
      <c r="T67" s="1">
        <v>398520</v>
      </c>
      <c r="U67" s="1">
        <v>398750</v>
      </c>
      <c r="V67" s="1">
        <v>398890</v>
      </c>
      <c r="W67" s="1">
        <v>399110</v>
      </c>
      <c r="X67" s="1">
        <v>399390</v>
      </c>
      <c r="Y67" s="1">
        <v>399610</v>
      </c>
      <c r="Z67" s="1">
        <v>399980</v>
      </c>
      <c r="AA67" s="5">
        <f>AVERAGE(B67:Y67)</f>
        <v>397128.75</v>
      </c>
      <c r="AB67" s="5">
        <f>(AA68-AA66)/2</f>
        <v>5253.541666666657</v>
      </c>
      <c r="AC67" s="14">
        <f>AB67/(23+AB151)</f>
        <v>210.46037525767207</v>
      </c>
      <c r="AD67" s="5">
        <f>AA67-AA66</f>
        <v>5245.8333333333139</v>
      </c>
      <c r="AE67" s="1">
        <f>AD67-AD66</f>
        <v>-21.250000000058208</v>
      </c>
      <c r="AG67" s="5">
        <f>Z67-Y67</f>
        <v>370</v>
      </c>
      <c r="AI67" s="1">
        <f>C67-B67</f>
        <v>170</v>
      </c>
      <c r="AJ67" s="1">
        <f>D67-C67</f>
        <v>180</v>
      </c>
      <c r="AK67" s="1">
        <f>E67-D67</f>
        <v>260</v>
      </c>
      <c r="AL67" s="1">
        <f>F67-E67</f>
        <v>240</v>
      </c>
      <c r="AM67" s="1">
        <f>G67-F67</f>
        <v>190</v>
      </c>
      <c r="AN67" s="1">
        <f>H67-G67</f>
        <v>240</v>
      </c>
      <c r="AO67" s="1">
        <f>I67-H67</f>
        <v>160</v>
      </c>
      <c r="AP67" s="1">
        <f>J67-I67</f>
        <v>190</v>
      </c>
      <c r="AQ67" s="1">
        <f>K67-J67</f>
        <v>220</v>
      </c>
      <c r="AR67" s="1">
        <f>L67-K67</f>
        <v>230</v>
      </c>
      <c r="AS67" s="1">
        <f>M67-L67</f>
        <v>180</v>
      </c>
      <c r="AT67" s="1">
        <f>N67-M67</f>
        <v>250</v>
      </c>
      <c r="AU67" s="1">
        <f>O67-N67</f>
        <v>230</v>
      </c>
      <c r="AV67" s="1">
        <f>P67-O67</f>
        <v>190</v>
      </c>
      <c r="AW67" s="1">
        <f>Q67-P67</f>
        <v>160</v>
      </c>
      <c r="AX67" s="1">
        <f>R67-Q67</f>
        <v>180</v>
      </c>
      <c r="AY67" s="1">
        <f>S67-R67</f>
        <v>310</v>
      </c>
      <c r="AZ67" s="1">
        <f>T67-S67</f>
        <v>210</v>
      </c>
      <c r="BA67" s="1">
        <f>U67-T67</f>
        <v>230</v>
      </c>
      <c r="BB67" s="1">
        <f>V67-U67</f>
        <v>140</v>
      </c>
      <c r="BC67" s="1">
        <f>W67-V67</f>
        <v>220</v>
      </c>
      <c r="BD67" s="1">
        <f>X67-W67</f>
        <v>280</v>
      </c>
      <c r="BE67" s="1">
        <f>Y67-X67</f>
        <v>220</v>
      </c>
      <c r="BF67" s="1">
        <f>Z67-Y67</f>
        <v>370</v>
      </c>
    </row>
    <row r="68" spans="1:58">
      <c r="A68" s="1">
        <v>66</v>
      </c>
      <c r="B68" s="1">
        <v>399980</v>
      </c>
      <c r="C68" s="1">
        <v>400100</v>
      </c>
      <c r="D68" s="1">
        <v>400350</v>
      </c>
      <c r="E68" s="1">
        <v>400600</v>
      </c>
      <c r="F68" s="1">
        <v>400840</v>
      </c>
      <c r="G68" s="1">
        <v>401070</v>
      </c>
      <c r="H68" s="1">
        <v>401210</v>
      </c>
      <c r="I68" s="1">
        <v>401450</v>
      </c>
      <c r="J68" s="1">
        <v>401610</v>
      </c>
      <c r="K68" s="1">
        <v>401830</v>
      </c>
      <c r="L68" s="1">
        <v>402050</v>
      </c>
      <c r="M68" s="1">
        <v>402280</v>
      </c>
      <c r="N68" s="1">
        <v>402510</v>
      </c>
      <c r="O68" s="1">
        <v>402700</v>
      </c>
      <c r="P68" s="1">
        <v>402880</v>
      </c>
      <c r="Q68" s="1">
        <v>403160</v>
      </c>
      <c r="R68" s="1">
        <v>403350</v>
      </c>
      <c r="S68" s="1">
        <v>403600</v>
      </c>
      <c r="T68" s="1">
        <v>403810</v>
      </c>
      <c r="U68" s="1">
        <v>404060</v>
      </c>
      <c r="V68" s="1">
        <v>404120</v>
      </c>
      <c r="W68" s="1">
        <v>404380</v>
      </c>
      <c r="X68" s="1">
        <v>404580</v>
      </c>
      <c r="Y68" s="1">
        <v>404840</v>
      </c>
      <c r="Z68" s="1">
        <v>405230</v>
      </c>
      <c r="AA68" s="5">
        <f>AVERAGE(B68:Y68)</f>
        <v>402390</v>
      </c>
      <c r="AB68" s="5">
        <f>(AA69-AA67)/2</f>
        <v>5273.75</v>
      </c>
      <c r="AC68" s="14">
        <f>AB68/(23+AB151)</f>
        <v>211.26993453910936</v>
      </c>
      <c r="AD68" s="5">
        <f>AA68-AA67</f>
        <v>5261.25</v>
      </c>
      <c r="AE68" s="1">
        <f>AD68-AD67</f>
        <v>15.416666666686069</v>
      </c>
      <c r="AG68" s="5">
        <f>Z68-Y68</f>
        <v>390</v>
      </c>
      <c r="AI68" s="1">
        <f>C68-B68</f>
        <v>120</v>
      </c>
      <c r="AJ68" s="1">
        <f>D68-C68</f>
        <v>250</v>
      </c>
      <c r="AK68" s="1">
        <f>E68-D68</f>
        <v>250</v>
      </c>
      <c r="AL68" s="1">
        <f>F68-E68</f>
        <v>240</v>
      </c>
      <c r="AM68" s="1">
        <f>G68-F68</f>
        <v>230</v>
      </c>
      <c r="AN68" s="1">
        <f>H68-G68</f>
        <v>140</v>
      </c>
      <c r="AO68" s="1">
        <f>I68-H68</f>
        <v>240</v>
      </c>
      <c r="AP68" s="1">
        <f>J68-I68</f>
        <v>160</v>
      </c>
      <c r="AQ68" s="1">
        <f>K68-J68</f>
        <v>220</v>
      </c>
      <c r="AR68" s="1">
        <f>L68-K68</f>
        <v>220</v>
      </c>
      <c r="AS68" s="1">
        <f>M68-L68</f>
        <v>230</v>
      </c>
      <c r="AT68" s="1">
        <f>N68-M68</f>
        <v>230</v>
      </c>
      <c r="AU68" s="1">
        <f>O68-N68</f>
        <v>190</v>
      </c>
      <c r="AV68" s="1">
        <f>P68-O68</f>
        <v>180</v>
      </c>
      <c r="AW68" s="1">
        <f>Q68-P68</f>
        <v>280</v>
      </c>
      <c r="AX68" s="1">
        <f>R68-Q68</f>
        <v>190</v>
      </c>
      <c r="AY68" s="1">
        <f>S68-R68</f>
        <v>250</v>
      </c>
      <c r="AZ68" s="1">
        <f>T68-S68</f>
        <v>210</v>
      </c>
      <c r="BA68" s="1">
        <f>U68-T68</f>
        <v>250</v>
      </c>
      <c r="BB68" s="1">
        <f>V68-U68</f>
        <v>60</v>
      </c>
      <c r="BC68" s="1">
        <f>W68-V68</f>
        <v>260</v>
      </c>
      <c r="BD68" s="1">
        <f>X68-W68</f>
        <v>200</v>
      </c>
      <c r="BE68" s="1">
        <f>Y68-X68</f>
        <v>260</v>
      </c>
      <c r="BF68" s="1">
        <f>Z68-Y68</f>
        <v>390</v>
      </c>
    </row>
    <row r="69" spans="1:58">
      <c r="A69" s="1">
        <v>67</v>
      </c>
      <c r="B69" s="1">
        <v>405230</v>
      </c>
      <c r="C69" s="1">
        <v>405520</v>
      </c>
      <c r="D69" s="1">
        <v>405700</v>
      </c>
      <c r="E69" s="1">
        <v>405820</v>
      </c>
      <c r="F69" s="1">
        <v>406160</v>
      </c>
      <c r="G69" s="1">
        <v>406340</v>
      </c>
      <c r="H69" s="1">
        <v>406500</v>
      </c>
      <c r="I69" s="1">
        <v>406750</v>
      </c>
      <c r="J69" s="1">
        <v>406870</v>
      </c>
      <c r="K69" s="1">
        <v>407130</v>
      </c>
      <c r="L69" s="1">
        <v>407330</v>
      </c>
      <c r="M69" s="1">
        <v>407600</v>
      </c>
      <c r="N69" s="1">
        <v>407790</v>
      </c>
      <c r="O69" s="1">
        <v>407960</v>
      </c>
      <c r="P69" s="1">
        <v>408180</v>
      </c>
      <c r="Q69" s="1">
        <v>408430</v>
      </c>
      <c r="R69" s="1">
        <v>408710</v>
      </c>
      <c r="S69" s="1">
        <v>408860</v>
      </c>
      <c r="T69" s="1">
        <v>409070</v>
      </c>
      <c r="U69" s="1">
        <v>409290</v>
      </c>
      <c r="V69" s="1">
        <v>409500</v>
      </c>
      <c r="W69" s="1">
        <v>409630</v>
      </c>
      <c r="X69" s="1">
        <v>409810</v>
      </c>
      <c r="Y69" s="1">
        <v>410050</v>
      </c>
      <c r="Z69" s="1">
        <v>410460</v>
      </c>
      <c r="AA69" s="5">
        <f>AVERAGE(B69:Y69)</f>
        <v>407676.25</v>
      </c>
      <c r="AB69" s="5">
        <f>(AA70-AA68)/2</f>
        <v>5270.625</v>
      </c>
      <c r="AC69" s="14">
        <f>AB69/(23+AB151)</f>
        <v>211.14474495950572</v>
      </c>
      <c r="AD69" s="5">
        <f>AA69-AA68</f>
        <v>5286.25</v>
      </c>
      <c r="AE69" s="1">
        <f>AD69-AD68</f>
        <v>25</v>
      </c>
      <c r="AG69" s="5">
        <f>Z69-Y69</f>
        <v>410</v>
      </c>
      <c r="AI69" s="1">
        <f>C69-B69</f>
        <v>290</v>
      </c>
      <c r="AJ69" s="1">
        <f>D69-C69</f>
        <v>180</v>
      </c>
      <c r="AK69" s="1">
        <f>E69-D69</f>
        <v>120</v>
      </c>
      <c r="AL69" s="1">
        <f>F69-E69</f>
        <v>340</v>
      </c>
      <c r="AM69" s="1">
        <f>G69-F69</f>
        <v>180</v>
      </c>
      <c r="AN69" s="1">
        <f>H69-G69</f>
        <v>160</v>
      </c>
      <c r="AO69" s="1">
        <f>I69-H69</f>
        <v>250</v>
      </c>
      <c r="AP69" s="1">
        <f>J69-I69</f>
        <v>120</v>
      </c>
      <c r="AQ69" s="1">
        <f>K69-J69</f>
        <v>260</v>
      </c>
      <c r="AR69" s="1">
        <f>L69-K69</f>
        <v>200</v>
      </c>
      <c r="AS69" s="1">
        <f>M69-L69</f>
        <v>270</v>
      </c>
      <c r="AT69" s="1">
        <f>N69-M69</f>
        <v>190</v>
      </c>
      <c r="AU69" s="1">
        <f>O69-N69</f>
        <v>170</v>
      </c>
      <c r="AV69" s="1">
        <f>P69-O69</f>
        <v>220</v>
      </c>
      <c r="AW69" s="1">
        <f>Q69-P69</f>
        <v>250</v>
      </c>
      <c r="AX69" s="1">
        <f>R69-Q69</f>
        <v>280</v>
      </c>
      <c r="AY69" s="1">
        <f>S69-R69</f>
        <v>150</v>
      </c>
      <c r="AZ69" s="1">
        <f>T69-S69</f>
        <v>210</v>
      </c>
      <c r="BA69" s="1">
        <f>U69-T69</f>
        <v>220</v>
      </c>
      <c r="BB69" s="1">
        <f>V69-U69</f>
        <v>210</v>
      </c>
      <c r="BC69" s="1">
        <f>W69-V69</f>
        <v>130</v>
      </c>
      <c r="BD69" s="1">
        <f>X69-W69</f>
        <v>180</v>
      </c>
      <c r="BE69" s="1">
        <f>Y69-X69</f>
        <v>240</v>
      </c>
      <c r="BF69" s="1">
        <f>Z69-Y69</f>
        <v>410</v>
      </c>
    </row>
    <row r="70" spans="1:58">
      <c r="A70" s="1">
        <v>68</v>
      </c>
      <c r="B70" s="1">
        <v>410460</v>
      </c>
      <c r="C70" s="1">
        <v>410740</v>
      </c>
      <c r="D70" s="1">
        <v>410960</v>
      </c>
      <c r="E70" s="1">
        <v>411120</v>
      </c>
      <c r="F70" s="1">
        <v>411370</v>
      </c>
      <c r="G70" s="1">
        <v>411630</v>
      </c>
      <c r="H70" s="1">
        <v>411830</v>
      </c>
      <c r="I70" s="1">
        <v>412030</v>
      </c>
      <c r="J70" s="1">
        <v>412140</v>
      </c>
      <c r="K70" s="1">
        <v>412360</v>
      </c>
      <c r="L70" s="1">
        <v>412540</v>
      </c>
      <c r="M70" s="1">
        <v>412730</v>
      </c>
      <c r="N70" s="1">
        <v>412990</v>
      </c>
      <c r="O70" s="1">
        <v>413280</v>
      </c>
      <c r="P70" s="1">
        <v>413490</v>
      </c>
      <c r="Q70" s="1">
        <v>413690</v>
      </c>
      <c r="R70" s="1">
        <v>413950</v>
      </c>
      <c r="S70" s="1">
        <v>414160</v>
      </c>
      <c r="T70" s="1">
        <v>414320</v>
      </c>
      <c r="U70" s="1">
        <v>414490</v>
      </c>
      <c r="V70" s="1">
        <v>414730</v>
      </c>
      <c r="W70" s="1">
        <v>414930</v>
      </c>
      <c r="X70" s="1">
        <v>415060</v>
      </c>
      <c r="Y70" s="1">
        <v>415350</v>
      </c>
      <c r="Z70" s="1">
        <v>415720</v>
      </c>
      <c r="AA70" s="5">
        <f>AVERAGE(B70:Y70)</f>
        <v>412931.25</v>
      </c>
      <c r="AB70" s="5">
        <f>(AA71-AA69)/2</f>
        <v>5253.75</v>
      </c>
      <c r="AC70" s="14">
        <f>AB70/(23+AB151)</f>
        <v>210.46872122964604</v>
      </c>
      <c r="AD70" s="5">
        <f>AA70-AA69</f>
        <v>5255</v>
      </c>
      <c r="AE70" s="1">
        <f>AD70-AD69</f>
        <v>-31.25</v>
      </c>
      <c r="AG70" s="5">
        <f>Z70-Y70</f>
        <v>370</v>
      </c>
      <c r="AI70" s="1">
        <f>C70-B70</f>
        <v>280</v>
      </c>
      <c r="AJ70" s="1">
        <f>D70-C70</f>
        <v>220</v>
      </c>
      <c r="AK70" s="1">
        <f>E70-D70</f>
        <v>160</v>
      </c>
      <c r="AL70" s="1">
        <f>F70-E70</f>
        <v>250</v>
      </c>
      <c r="AM70" s="1">
        <f>G70-F70</f>
        <v>260</v>
      </c>
      <c r="AN70" s="1">
        <f>H70-G70</f>
        <v>200</v>
      </c>
      <c r="AO70" s="1">
        <f>I70-H70</f>
        <v>200</v>
      </c>
      <c r="AP70" s="1">
        <f>J70-I70</f>
        <v>110</v>
      </c>
      <c r="AQ70" s="1">
        <f>K70-J70</f>
        <v>220</v>
      </c>
      <c r="AR70" s="1">
        <f>L70-K70</f>
        <v>180</v>
      </c>
      <c r="AS70" s="1">
        <f>M70-L70</f>
        <v>190</v>
      </c>
      <c r="AT70" s="1">
        <f>N70-M70</f>
        <v>260</v>
      </c>
      <c r="AU70" s="1">
        <f>O70-N70</f>
        <v>290</v>
      </c>
      <c r="AV70" s="1">
        <f>P70-O70</f>
        <v>210</v>
      </c>
      <c r="AW70" s="1">
        <f>Q70-P70</f>
        <v>200</v>
      </c>
      <c r="AX70" s="1">
        <f>R70-Q70</f>
        <v>260</v>
      </c>
      <c r="AY70" s="1">
        <f>S70-R70</f>
        <v>210</v>
      </c>
      <c r="AZ70" s="1">
        <f>T70-S70</f>
        <v>160</v>
      </c>
      <c r="BA70" s="1">
        <f>U70-T70</f>
        <v>170</v>
      </c>
      <c r="BB70" s="1">
        <f>V70-U70</f>
        <v>240</v>
      </c>
      <c r="BC70" s="1">
        <f>W70-V70</f>
        <v>200</v>
      </c>
      <c r="BD70" s="1">
        <f>X70-W70</f>
        <v>130</v>
      </c>
      <c r="BE70" s="1">
        <f>Y70-X70</f>
        <v>290</v>
      </c>
      <c r="BF70" s="1">
        <f>Z70-Y70</f>
        <v>370</v>
      </c>
    </row>
    <row r="71" spans="1:58">
      <c r="A71" s="1">
        <v>69</v>
      </c>
      <c r="B71" s="1">
        <v>415720</v>
      </c>
      <c r="C71" s="1">
        <v>415890</v>
      </c>
      <c r="D71" s="1">
        <v>416150</v>
      </c>
      <c r="E71" s="1">
        <v>416440</v>
      </c>
      <c r="F71" s="1">
        <v>416610</v>
      </c>
      <c r="G71" s="1">
        <v>416870</v>
      </c>
      <c r="H71" s="1">
        <v>417040</v>
      </c>
      <c r="I71" s="1">
        <v>417240</v>
      </c>
      <c r="J71" s="1">
        <v>417420</v>
      </c>
      <c r="K71" s="1">
        <v>417660</v>
      </c>
      <c r="L71" s="1">
        <v>417830</v>
      </c>
      <c r="M71" s="1">
        <v>418020</v>
      </c>
      <c r="N71" s="1">
        <v>418250</v>
      </c>
      <c r="O71" s="1">
        <v>418440</v>
      </c>
      <c r="P71" s="1">
        <v>418660</v>
      </c>
      <c r="Q71" s="1">
        <v>418950</v>
      </c>
      <c r="R71" s="1">
        <v>419150</v>
      </c>
      <c r="S71" s="1">
        <v>419380</v>
      </c>
      <c r="T71" s="1">
        <v>419590</v>
      </c>
      <c r="U71" s="1">
        <v>419820</v>
      </c>
      <c r="V71" s="1">
        <v>419990</v>
      </c>
      <c r="W71" s="1">
        <v>420160</v>
      </c>
      <c r="X71" s="1">
        <v>420410</v>
      </c>
      <c r="Y71" s="1">
        <v>420720</v>
      </c>
      <c r="Z71" s="1">
        <v>421040</v>
      </c>
      <c r="AA71" s="5">
        <f>AVERAGE(B71:Y71)</f>
        <v>418183.75</v>
      </c>
      <c r="AB71" s="5">
        <f>(AA72-AA70)/2</f>
        <v>5248.75</v>
      </c>
      <c r="AC71" s="14">
        <f>AB71/(23+AB151)</f>
        <v>210.26841790228022</v>
      </c>
      <c r="AD71" s="5">
        <f>AA71-AA70</f>
        <v>5252.5</v>
      </c>
      <c r="AE71" s="1">
        <f>AD71-AD70</f>
        <v>-2.5</v>
      </c>
      <c r="AG71" s="5">
        <f>Z71-Y71</f>
        <v>320</v>
      </c>
      <c r="AI71" s="1">
        <f>C71-B71</f>
        <v>170</v>
      </c>
      <c r="AJ71" s="1">
        <f>D71-C71</f>
        <v>260</v>
      </c>
      <c r="AK71" s="1">
        <f>E71-D71</f>
        <v>290</v>
      </c>
      <c r="AL71" s="1">
        <f>F71-E71</f>
        <v>170</v>
      </c>
      <c r="AM71" s="1">
        <f>G71-F71</f>
        <v>260</v>
      </c>
      <c r="AN71" s="1">
        <f>H71-G71</f>
        <v>170</v>
      </c>
      <c r="AO71" s="1">
        <f>I71-H71</f>
        <v>200</v>
      </c>
      <c r="AP71" s="1">
        <f>J71-I71</f>
        <v>180</v>
      </c>
      <c r="AQ71" s="1">
        <f>K71-J71</f>
        <v>240</v>
      </c>
      <c r="AR71" s="1">
        <f>L71-K71</f>
        <v>170</v>
      </c>
      <c r="AS71" s="1">
        <f>M71-L71</f>
        <v>190</v>
      </c>
      <c r="AT71" s="1">
        <f>N71-M71</f>
        <v>230</v>
      </c>
      <c r="AU71" s="1">
        <f>O71-N71</f>
        <v>190</v>
      </c>
      <c r="AV71" s="1">
        <f>P71-O71</f>
        <v>220</v>
      </c>
      <c r="AW71" s="1">
        <f>Q71-P71</f>
        <v>290</v>
      </c>
      <c r="AX71" s="1">
        <f>R71-Q71</f>
        <v>200</v>
      </c>
      <c r="AY71" s="1">
        <f>S71-R71</f>
        <v>230</v>
      </c>
      <c r="AZ71" s="1">
        <f>T71-S71</f>
        <v>210</v>
      </c>
      <c r="BA71" s="1">
        <f>U71-T71</f>
        <v>230</v>
      </c>
      <c r="BB71" s="1">
        <f>V71-U71</f>
        <v>170</v>
      </c>
      <c r="BC71" s="1">
        <f>W71-V71</f>
        <v>170</v>
      </c>
      <c r="BD71" s="1">
        <f>X71-W71</f>
        <v>250</v>
      </c>
      <c r="BE71" s="1">
        <f>Y71-X71</f>
        <v>310</v>
      </c>
      <c r="BF71" s="1">
        <f>Z71-Y71</f>
        <v>320</v>
      </c>
    </row>
    <row r="72" spans="1:58">
      <c r="A72" s="1">
        <v>70</v>
      </c>
      <c r="B72" s="1">
        <v>421040</v>
      </c>
      <c r="C72" s="1">
        <v>421190</v>
      </c>
      <c r="D72" s="1">
        <v>421380</v>
      </c>
      <c r="E72" s="1">
        <v>421560</v>
      </c>
      <c r="F72" s="1">
        <v>421810</v>
      </c>
      <c r="G72" s="1">
        <v>422100</v>
      </c>
      <c r="H72" s="1">
        <v>422290</v>
      </c>
      <c r="I72" s="1">
        <v>422460</v>
      </c>
      <c r="J72" s="1">
        <v>422650</v>
      </c>
      <c r="K72" s="1">
        <v>422930</v>
      </c>
      <c r="L72" s="1">
        <v>423130</v>
      </c>
      <c r="M72" s="1">
        <v>423300</v>
      </c>
      <c r="N72" s="1">
        <v>423540</v>
      </c>
      <c r="O72" s="1">
        <v>423760</v>
      </c>
      <c r="P72" s="1">
        <v>423980</v>
      </c>
      <c r="Q72" s="1">
        <v>424230</v>
      </c>
      <c r="R72" s="1">
        <v>424350</v>
      </c>
      <c r="S72" s="1">
        <v>424580</v>
      </c>
      <c r="T72" s="1">
        <v>424790</v>
      </c>
      <c r="U72" s="1">
        <v>425050</v>
      </c>
      <c r="V72" s="1">
        <v>425230</v>
      </c>
      <c r="W72" s="1">
        <v>425460</v>
      </c>
      <c r="X72" s="1">
        <v>425640</v>
      </c>
      <c r="Y72" s="1">
        <v>425840</v>
      </c>
      <c r="Z72" s="1">
        <v>426260</v>
      </c>
      <c r="AA72" s="5">
        <f>AVERAGE(B72:Y72)</f>
        <v>423428.75</v>
      </c>
      <c r="AB72" s="5">
        <f>(AA73-AA71)/2</f>
        <v>5256.875</v>
      </c>
      <c r="AC72" s="14">
        <f>AB72/(23+AB151)</f>
        <v>210.59391080924968</v>
      </c>
      <c r="AD72" s="5">
        <f>AA72-AA71</f>
        <v>5245</v>
      </c>
      <c r="AE72" s="1">
        <f>AD72-AD71</f>
        <v>-7.5</v>
      </c>
      <c r="AG72" s="5">
        <f>Z72-Y72</f>
        <v>420</v>
      </c>
      <c r="AI72" s="1">
        <f>C72-B72</f>
        <v>150</v>
      </c>
      <c r="AJ72" s="1">
        <f>D72-C72</f>
        <v>190</v>
      </c>
      <c r="AK72" s="1">
        <f>E72-D72</f>
        <v>180</v>
      </c>
      <c r="AL72" s="1">
        <f>F72-E72</f>
        <v>250</v>
      </c>
      <c r="AM72" s="1">
        <f>G72-F72</f>
        <v>290</v>
      </c>
      <c r="AN72" s="1">
        <f>H72-G72</f>
        <v>190</v>
      </c>
      <c r="AO72" s="1">
        <f>I72-H72</f>
        <v>170</v>
      </c>
      <c r="AP72" s="1">
        <f>J72-I72</f>
        <v>190</v>
      </c>
      <c r="AQ72" s="1">
        <f>K72-J72</f>
        <v>280</v>
      </c>
      <c r="AR72" s="1">
        <f>L72-K72</f>
        <v>200</v>
      </c>
      <c r="AS72" s="1">
        <f>M72-L72</f>
        <v>170</v>
      </c>
      <c r="AT72" s="1">
        <f>N72-M72</f>
        <v>240</v>
      </c>
      <c r="AU72" s="1">
        <f>O72-N72</f>
        <v>220</v>
      </c>
      <c r="AV72" s="1">
        <f>P72-O72</f>
        <v>220</v>
      </c>
      <c r="AW72" s="1">
        <f>Q72-P72</f>
        <v>250</v>
      </c>
      <c r="AX72" s="1">
        <f>R72-Q72</f>
        <v>120</v>
      </c>
      <c r="AY72" s="1">
        <f>S72-R72</f>
        <v>230</v>
      </c>
      <c r="AZ72" s="1">
        <f>T72-S72</f>
        <v>210</v>
      </c>
      <c r="BA72" s="1">
        <f>U72-T72</f>
        <v>260</v>
      </c>
      <c r="BB72" s="1">
        <f>V72-U72</f>
        <v>180</v>
      </c>
      <c r="BC72" s="1">
        <f>W72-V72</f>
        <v>230</v>
      </c>
      <c r="BD72" s="1">
        <f>X72-W72</f>
        <v>180</v>
      </c>
      <c r="BE72" s="1">
        <f>Y72-X72</f>
        <v>200</v>
      </c>
      <c r="BF72" s="1">
        <f>Z72-Y72</f>
        <v>420</v>
      </c>
    </row>
    <row r="73" spans="1:58">
      <c r="A73" s="1">
        <v>71</v>
      </c>
      <c r="B73" s="1">
        <v>426260</v>
      </c>
      <c r="C73" s="1">
        <v>426480</v>
      </c>
      <c r="D73" s="1">
        <v>426700</v>
      </c>
      <c r="E73" s="1">
        <v>426860</v>
      </c>
      <c r="F73" s="1">
        <v>427140</v>
      </c>
      <c r="G73" s="1">
        <v>427410</v>
      </c>
      <c r="H73" s="1">
        <v>427550</v>
      </c>
      <c r="I73" s="1">
        <v>427820</v>
      </c>
      <c r="J73" s="1">
        <v>427890</v>
      </c>
      <c r="K73" s="1">
        <v>428130</v>
      </c>
      <c r="L73" s="1">
        <v>428360</v>
      </c>
      <c r="M73" s="1">
        <v>428620</v>
      </c>
      <c r="N73" s="1">
        <v>428780</v>
      </c>
      <c r="O73" s="1">
        <v>429040</v>
      </c>
      <c r="P73" s="1">
        <v>429210</v>
      </c>
      <c r="Q73" s="1">
        <v>429380</v>
      </c>
      <c r="R73" s="1">
        <v>429700</v>
      </c>
      <c r="S73" s="1">
        <v>429860</v>
      </c>
      <c r="T73" s="1">
        <v>430050</v>
      </c>
      <c r="U73" s="1">
        <v>430280</v>
      </c>
      <c r="V73" s="1">
        <v>430480</v>
      </c>
      <c r="W73" s="1">
        <v>430710</v>
      </c>
      <c r="X73" s="1">
        <v>430920</v>
      </c>
      <c r="Y73" s="1">
        <v>431110</v>
      </c>
      <c r="Z73" s="1">
        <v>431560</v>
      </c>
      <c r="AA73" s="5">
        <f>AVERAGE(B73:Y73)</f>
        <v>428697.5</v>
      </c>
      <c r="AB73" s="5">
        <f>(AA74-AA72)/2</f>
        <v>5270</v>
      </c>
      <c r="AC73" s="14">
        <f>AB73/(23+AB151)</f>
        <v>211.11970704358498</v>
      </c>
      <c r="AD73" s="5">
        <f>AA73-AA72</f>
        <v>5268.75</v>
      </c>
      <c r="AE73" s="1">
        <f>AD73-AD72</f>
        <v>23.75</v>
      </c>
      <c r="AG73" s="5">
        <f>Z73-Y73</f>
        <v>450</v>
      </c>
      <c r="AI73" s="1">
        <f>C73-B73</f>
        <v>220</v>
      </c>
      <c r="AJ73" s="1">
        <f>D73-C73</f>
        <v>220</v>
      </c>
      <c r="AK73" s="1">
        <f>E73-D73</f>
        <v>160</v>
      </c>
      <c r="AL73" s="1">
        <f>F73-E73</f>
        <v>280</v>
      </c>
      <c r="AM73" s="1">
        <f>G73-F73</f>
        <v>270</v>
      </c>
      <c r="AN73" s="1">
        <f>H73-G73</f>
        <v>140</v>
      </c>
      <c r="AO73" s="1">
        <f>I73-H73</f>
        <v>270</v>
      </c>
      <c r="AP73" s="1">
        <f>J73-I73</f>
        <v>70</v>
      </c>
      <c r="AQ73" s="1">
        <f>K73-J73</f>
        <v>240</v>
      </c>
      <c r="AR73" s="1">
        <f>L73-K73</f>
        <v>230</v>
      </c>
      <c r="AS73" s="1">
        <f>M73-L73</f>
        <v>260</v>
      </c>
      <c r="AT73" s="1">
        <f>N73-M73</f>
        <v>160</v>
      </c>
      <c r="AU73" s="1">
        <f>O73-N73</f>
        <v>260</v>
      </c>
      <c r="AV73" s="1">
        <f>P73-O73</f>
        <v>170</v>
      </c>
      <c r="AW73" s="1">
        <f>Q73-P73</f>
        <v>170</v>
      </c>
      <c r="AX73" s="1">
        <f>R73-Q73</f>
        <v>320</v>
      </c>
      <c r="AY73" s="1">
        <f>S73-R73</f>
        <v>160</v>
      </c>
      <c r="AZ73" s="1">
        <f>T73-S73</f>
        <v>190</v>
      </c>
      <c r="BA73" s="1">
        <f>U73-T73</f>
        <v>230</v>
      </c>
      <c r="BB73" s="1">
        <f>V73-U73</f>
        <v>200</v>
      </c>
      <c r="BC73" s="1">
        <f>W73-V73</f>
        <v>230</v>
      </c>
      <c r="BD73" s="1">
        <f>X73-W73</f>
        <v>210</v>
      </c>
      <c r="BE73" s="1">
        <f>Y73-X73</f>
        <v>190</v>
      </c>
      <c r="BF73" s="1">
        <f>Z73-Y73</f>
        <v>450</v>
      </c>
    </row>
    <row r="74" spans="1:58">
      <c r="A74" s="1">
        <v>72</v>
      </c>
      <c r="B74" s="1">
        <v>431560</v>
      </c>
      <c r="C74" s="1">
        <v>431650</v>
      </c>
      <c r="D74" s="1">
        <v>431950</v>
      </c>
      <c r="E74" s="1">
        <v>432170</v>
      </c>
      <c r="F74" s="1">
        <v>432410</v>
      </c>
      <c r="G74" s="1">
        <v>432680</v>
      </c>
      <c r="H74" s="1">
        <v>432840</v>
      </c>
      <c r="I74" s="1">
        <v>433050</v>
      </c>
      <c r="J74" s="1">
        <v>433220</v>
      </c>
      <c r="K74" s="1">
        <v>433400</v>
      </c>
      <c r="L74" s="1">
        <v>433620</v>
      </c>
      <c r="M74" s="1">
        <v>433860</v>
      </c>
      <c r="N74" s="1">
        <v>434030</v>
      </c>
      <c r="O74" s="1">
        <v>434270</v>
      </c>
      <c r="P74" s="1">
        <v>434410</v>
      </c>
      <c r="Q74" s="1">
        <v>434750</v>
      </c>
      <c r="R74" s="1">
        <v>434910</v>
      </c>
      <c r="S74" s="1">
        <v>435190</v>
      </c>
      <c r="T74" s="1">
        <v>435410</v>
      </c>
      <c r="U74" s="1">
        <v>435590</v>
      </c>
      <c r="V74" s="1">
        <v>435760</v>
      </c>
      <c r="W74" s="1">
        <v>435940</v>
      </c>
      <c r="X74" s="1">
        <v>436160</v>
      </c>
      <c r="Y74" s="1">
        <v>436420</v>
      </c>
      <c r="Z74" s="1">
        <v>436830</v>
      </c>
      <c r="AA74" s="5">
        <f>AVERAGE(B74:Y74)</f>
        <v>433968.75</v>
      </c>
      <c r="AB74" s="5">
        <f>(AA75-AA73)/2</f>
        <v>5267.291666666657</v>
      </c>
      <c r="AC74" s="14">
        <f>AB74/(23+AB151)</f>
        <v>211.01120940792811</v>
      </c>
      <c r="AD74" s="5">
        <f>AA74-AA73</f>
        <v>5271.25</v>
      </c>
      <c r="AE74" s="1">
        <f>AD74-AD73</f>
        <v>2.5</v>
      </c>
      <c r="AG74" s="5">
        <f>Z74-Y74</f>
        <v>410</v>
      </c>
      <c r="AI74" s="1">
        <f>C74-B74</f>
        <v>90</v>
      </c>
      <c r="AJ74" s="1">
        <f>D74-C74</f>
        <v>300</v>
      </c>
      <c r="AK74" s="1">
        <f>E74-D74</f>
        <v>220</v>
      </c>
      <c r="AL74" s="1">
        <f>F74-E74</f>
        <v>240</v>
      </c>
      <c r="AM74" s="1">
        <f>G74-F74</f>
        <v>270</v>
      </c>
      <c r="AN74" s="1">
        <f>H74-G74</f>
        <v>160</v>
      </c>
      <c r="AO74" s="1">
        <f>I74-H74</f>
        <v>210</v>
      </c>
      <c r="AP74" s="1">
        <f>J74-I74</f>
        <v>170</v>
      </c>
      <c r="AQ74" s="1">
        <f>K74-J74</f>
        <v>180</v>
      </c>
      <c r="AR74" s="1">
        <f>L74-K74</f>
        <v>220</v>
      </c>
      <c r="AS74" s="1">
        <f>M74-L74</f>
        <v>240</v>
      </c>
      <c r="AT74" s="1">
        <f>N74-M74</f>
        <v>170</v>
      </c>
      <c r="AU74" s="1">
        <f>O74-N74</f>
        <v>240</v>
      </c>
      <c r="AV74" s="1">
        <f>P74-O74</f>
        <v>140</v>
      </c>
      <c r="AW74" s="1">
        <f>Q74-P74</f>
        <v>340</v>
      </c>
      <c r="AX74" s="1">
        <f>R74-Q74</f>
        <v>160</v>
      </c>
      <c r="AY74" s="1">
        <f>S74-R74</f>
        <v>280</v>
      </c>
      <c r="AZ74" s="1">
        <f>T74-S74</f>
        <v>220</v>
      </c>
      <c r="BA74" s="1">
        <f>U74-T74</f>
        <v>180</v>
      </c>
      <c r="BB74" s="1">
        <f>V74-U74</f>
        <v>170</v>
      </c>
      <c r="BC74" s="1">
        <f>W74-V74</f>
        <v>180</v>
      </c>
      <c r="BD74" s="1">
        <f>X74-W74</f>
        <v>220</v>
      </c>
      <c r="BE74" s="1">
        <f>Y74-X74</f>
        <v>260</v>
      </c>
      <c r="BF74" s="1">
        <f>Z74-Y74</f>
        <v>410</v>
      </c>
    </row>
    <row r="75" spans="1:58">
      <c r="A75" s="1">
        <v>73</v>
      </c>
      <c r="B75" s="1">
        <v>436830</v>
      </c>
      <c r="C75" s="1">
        <v>436980</v>
      </c>
      <c r="D75" s="1">
        <v>437240</v>
      </c>
      <c r="E75" s="1">
        <v>437450</v>
      </c>
      <c r="F75" s="1">
        <v>437650</v>
      </c>
      <c r="G75" s="1">
        <v>437880</v>
      </c>
      <c r="H75" s="1">
        <v>438070</v>
      </c>
      <c r="I75" s="1">
        <v>438260</v>
      </c>
      <c r="J75" s="1">
        <v>438460</v>
      </c>
      <c r="K75" s="1">
        <v>438750</v>
      </c>
      <c r="L75" s="1">
        <v>438960</v>
      </c>
      <c r="M75" s="1">
        <v>439110</v>
      </c>
      <c r="N75" s="1">
        <v>439380</v>
      </c>
      <c r="O75" s="1">
        <v>439530</v>
      </c>
      <c r="P75" s="1">
        <v>439730</v>
      </c>
      <c r="Q75" s="1">
        <v>439960</v>
      </c>
      <c r="R75" s="1">
        <v>440160</v>
      </c>
      <c r="S75" s="1">
        <v>440410</v>
      </c>
      <c r="T75" s="1">
        <v>440590</v>
      </c>
      <c r="U75" s="1">
        <v>440820</v>
      </c>
      <c r="V75" s="1">
        <v>441030</v>
      </c>
      <c r="W75" s="1">
        <v>441220</v>
      </c>
      <c r="X75" s="1">
        <v>441430</v>
      </c>
      <c r="Y75" s="1">
        <v>441670</v>
      </c>
      <c r="Z75" s="1">
        <v>442040</v>
      </c>
      <c r="AA75" s="5">
        <f>AVERAGE(B75:Y75)</f>
        <v>439232.08333333331</v>
      </c>
      <c r="AB75" s="5">
        <f>(AA76-AA74)/2</f>
        <v>5258.333333333343</v>
      </c>
      <c r="AC75" s="14">
        <f>AB75/(23+AB151)</f>
        <v>210.65233261306511</v>
      </c>
      <c r="AD75" s="5">
        <f>AA75-AA74</f>
        <v>5263.3333333333139</v>
      </c>
      <c r="AE75" s="1">
        <f>AD75-AD74</f>
        <v>-7.9166666666860692</v>
      </c>
      <c r="AG75" s="5">
        <f>Z75-Y75</f>
        <v>370</v>
      </c>
      <c r="AI75" s="1">
        <f>C75-B75</f>
        <v>150</v>
      </c>
      <c r="AJ75" s="1">
        <f>D75-C75</f>
        <v>260</v>
      </c>
      <c r="AK75" s="1">
        <f>E75-D75</f>
        <v>210</v>
      </c>
      <c r="AL75" s="1">
        <f>F75-E75</f>
        <v>200</v>
      </c>
      <c r="AM75" s="1">
        <f>G75-F75</f>
        <v>230</v>
      </c>
      <c r="AN75" s="1">
        <f>H75-G75</f>
        <v>190</v>
      </c>
      <c r="AO75" s="1">
        <f>I75-H75</f>
        <v>190</v>
      </c>
      <c r="AP75" s="1">
        <f>J75-I75</f>
        <v>200</v>
      </c>
      <c r="AQ75" s="1">
        <f>K75-J75</f>
        <v>290</v>
      </c>
      <c r="AR75" s="1">
        <f>L75-K75</f>
        <v>210</v>
      </c>
      <c r="AS75" s="1">
        <f>M75-L75</f>
        <v>150</v>
      </c>
      <c r="AT75" s="1">
        <f>N75-M75</f>
        <v>270</v>
      </c>
      <c r="AU75" s="1">
        <f>O75-N75</f>
        <v>150</v>
      </c>
      <c r="AV75" s="1">
        <f>P75-O75</f>
        <v>200</v>
      </c>
      <c r="AW75" s="1">
        <f>Q75-P75</f>
        <v>230</v>
      </c>
      <c r="AX75" s="1">
        <f>R75-Q75</f>
        <v>200</v>
      </c>
      <c r="AY75" s="1">
        <f>S75-R75</f>
        <v>250</v>
      </c>
      <c r="AZ75" s="1">
        <f>T75-S75</f>
        <v>180</v>
      </c>
      <c r="BA75" s="1">
        <f>U75-T75</f>
        <v>230</v>
      </c>
      <c r="BB75" s="1">
        <f>V75-U75</f>
        <v>210</v>
      </c>
      <c r="BC75" s="1">
        <f>W75-V75</f>
        <v>190</v>
      </c>
      <c r="BD75" s="1">
        <f>X75-W75</f>
        <v>210</v>
      </c>
      <c r="BE75" s="1">
        <f>Y75-X75</f>
        <v>240</v>
      </c>
      <c r="BF75" s="1">
        <f>Z75-Y75</f>
        <v>370</v>
      </c>
    </row>
    <row r="76" spans="1:58">
      <c r="A76" s="1">
        <v>74</v>
      </c>
      <c r="B76" s="1">
        <v>442040</v>
      </c>
      <c r="C76" s="1">
        <v>442200</v>
      </c>
      <c r="D76" s="1">
        <v>442520</v>
      </c>
      <c r="E76" s="1">
        <v>442740</v>
      </c>
      <c r="F76" s="1">
        <v>442860</v>
      </c>
      <c r="G76" s="1">
        <v>443170</v>
      </c>
      <c r="H76" s="1">
        <v>443310</v>
      </c>
      <c r="I76" s="1">
        <v>443560</v>
      </c>
      <c r="J76" s="1">
        <v>443760</v>
      </c>
      <c r="K76" s="1">
        <v>443980</v>
      </c>
      <c r="L76" s="1">
        <v>444170</v>
      </c>
      <c r="M76" s="1">
        <v>444340</v>
      </c>
      <c r="N76" s="1">
        <v>444600</v>
      </c>
      <c r="O76" s="1">
        <v>444740</v>
      </c>
      <c r="P76" s="1">
        <v>444990</v>
      </c>
      <c r="Q76" s="1">
        <v>445200</v>
      </c>
      <c r="R76" s="1">
        <v>445420</v>
      </c>
      <c r="S76" s="1">
        <v>445570</v>
      </c>
      <c r="T76" s="1">
        <v>445870</v>
      </c>
      <c r="U76" s="1">
        <v>446080</v>
      </c>
      <c r="V76" s="1">
        <v>446350</v>
      </c>
      <c r="W76" s="1">
        <v>446550</v>
      </c>
      <c r="X76" s="1">
        <v>446710</v>
      </c>
      <c r="Y76" s="1">
        <v>446920</v>
      </c>
      <c r="Z76" s="1">
        <v>447280</v>
      </c>
      <c r="AA76" s="5">
        <f>AVERAGE(B76:Y76)</f>
        <v>444485.41666666669</v>
      </c>
      <c r="AB76" s="5">
        <f>(AA77-AA75)/2</f>
        <v>5252.5</v>
      </c>
      <c r="AC76" s="14">
        <f>AB76/(23+AB151)</f>
        <v>210.4186453978046</v>
      </c>
      <c r="AD76" s="5">
        <f>AA76-AA75</f>
        <v>5253.3333333333721</v>
      </c>
      <c r="AE76" s="1">
        <f>AD76-AD75</f>
        <v>-9.9999999999417923</v>
      </c>
      <c r="AG76" s="5">
        <f>Z76-Y76</f>
        <v>360</v>
      </c>
      <c r="AI76" s="1">
        <f>C76-B76</f>
        <v>160</v>
      </c>
      <c r="AJ76" s="1">
        <f>D76-C76</f>
        <v>320</v>
      </c>
      <c r="AK76" s="1">
        <f>E76-D76</f>
        <v>220</v>
      </c>
      <c r="AL76" s="1">
        <f>F76-E76</f>
        <v>120</v>
      </c>
      <c r="AM76" s="1">
        <f>G76-F76</f>
        <v>310</v>
      </c>
      <c r="AN76" s="1">
        <f>H76-G76</f>
        <v>140</v>
      </c>
      <c r="AO76" s="1">
        <f>I76-H76</f>
        <v>250</v>
      </c>
      <c r="AP76" s="1">
        <f>J76-I76</f>
        <v>200</v>
      </c>
      <c r="AQ76" s="1">
        <f>K76-J76</f>
        <v>220</v>
      </c>
      <c r="AR76" s="1">
        <f>L76-K76</f>
        <v>190</v>
      </c>
      <c r="AS76" s="1">
        <f>M76-L76</f>
        <v>170</v>
      </c>
      <c r="AT76" s="1">
        <f>N76-M76</f>
        <v>260</v>
      </c>
      <c r="AU76" s="1">
        <f>O76-N76</f>
        <v>140</v>
      </c>
      <c r="AV76" s="1">
        <f>P76-O76</f>
        <v>250</v>
      </c>
      <c r="AW76" s="1">
        <f>Q76-P76</f>
        <v>210</v>
      </c>
      <c r="AX76" s="1">
        <f>R76-Q76</f>
        <v>220</v>
      </c>
      <c r="AY76" s="1">
        <f>S76-R76</f>
        <v>150</v>
      </c>
      <c r="AZ76" s="1">
        <f>T76-S76</f>
        <v>300</v>
      </c>
      <c r="BA76" s="1">
        <f>U76-T76</f>
        <v>210</v>
      </c>
      <c r="BB76" s="1">
        <f>V76-U76</f>
        <v>270</v>
      </c>
      <c r="BC76" s="1">
        <f>W76-V76</f>
        <v>200</v>
      </c>
      <c r="BD76" s="1">
        <f>X76-W76</f>
        <v>160</v>
      </c>
      <c r="BE76" s="1">
        <f>Y76-X76</f>
        <v>210</v>
      </c>
      <c r="BF76" s="1">
        <f>Z76-Y76</f>
        <v>360</v>
      </c>
    </row>
    <row r="77" spans="1:58">
      <c r="A77" s="1">
        <v>75</v>
      </c>
      <c r="B77" s="1">
        <v>447280</v>
      </c>
      <c r="C77" s="1">
        <v>447430</v>
      </c>
      <c r="D77" s="1">
        <v>447660</v>
      </c>
      <c r="E77" s="1">
        <v>447960</v>
      </c>
      <c r="F77" s="1">
        <v>448140</v>
      </c>
      <c r="G77" s="1">
        <v>448340</v>
      </c>
      <c r="H77" s="1">
        <v>448560</v>
      </c>
      <c r="I77" s="1">
        <v>448840</v>
      </c>
      <c r="J77" s="1">
        <v>449020</v>
      </c>
      <c r="K77" s="1">
        <v>449210</v>
      </c>
      <c r="L77" s="1">
        <v>449430</v>
      </c>
      <c r="M77" s="1">
        <v>449650</v>
      </c>
      <c r="N77" s="1">
        <v>449810</v>
      </c>
      <c r="O77" s="1">
        <v>450030</v>
      </c>
      <c r="P77" s="1">
        <v>450280</v>
      </c>
      <c r="Q77" s="1">
        <v>450490</v>
      </c>
      <c r="R77" s="1">
        <v>450690</v>
      </c>
      <c r="S77" s="1">
        <v>450850</v>
      </c>
      <c r="T77" s="1">
        <v>451130</v>
      </c>
      <c r="U77" s="1">
        <v>451340</v>
      </c>
      <c r="V77" s="1">
        <v>451580</v>
      </c>
      <c r="W77" s="1">
        <v>451780</v>
      </c>
      <c r="X77" s="1">
        <v>452000</v>
      </c>
      <c r="Y77" s="1">
        <v>452190</v>
      </c>
      <c r="Z77" s="1">
        <v>452580</v>
      </c>
      <c r="AA77" s="5">
        <f>AVERAGE(B77:Y77)</f>
        <v>449737.08333333331</v>
      </c>
      <c r="AB77" s="5">
        <f>(AA78-AA76)/2</f>
        <v>5259.5833333333139</v>
      </c>
      <c r="AC77" s="14">
        <f>AB77/(23+AB151)</f>
        <v>210.70240844490539</v>
      </c>
      <c r="AD77" s="5">
        <f>AA77-AA76</f>
        <v>5251.6666666666279</v>
      </c>
      <c r="AE77" s="1">
        <f>AD77-AD76</f>
        <v>-1.6666666667442769</v>
      </c>
      <c r="AG77" s="5">
        <f>Z77-Y77</f>
        <v>390</v>
      </c>
      <c r="AI77" s="1">
        <f>C77-B77</f>
        <v>150</v>
      </c>
      <c r="AJ77" s="1">
        <f>D77-C77</f>
        <v>230</v>
      </c>
      <c r="AK77" s="1">
        <f>E77-D77</f>
        <v>300</v>
      </c>
      <c r="AL77" s="1">
        <f>F77-E77</f>
        <v>180</v>
      </c>
      <c r="AM77" s="1">
        <f>G77-F77</f>
        <v>200</v>
      </c>
      <c r="AN77" s="1">
        <f>H77-G77</f>
        <v>220</v>
      </c>
      <c r="AO77" s="1">
        <f>I77-H77</f>
        <v>280</v>
      </c>
      <c r="AP77" s="1">
        <f>J77-I77</f>
        <v>180</v>
      </c>
      <c r="AQ77" s="1">
        <f>K77-J77</f>
        <v>190</v>
      </c>
      <c r="AR77" s="1">
        <f>L77-K77</f>
        <v>220</v>
      </c>
      <c r="AS77" s="1">
        <f>M77-L77</f>
        <v>220</v>
      </c>
      <c r="AT77" s="1">
        <f>N77-M77</f>
        <v>160</v>
      </c>
      <c r="AU77" s="1">
        <f>O77-N77</f>
        <v>220</v>
      </c>
      <c r="AV77" s="1">
        <f>P77-O77</f>
        <v>250</v>
      </c>
      <c r="AW77" s="1">
        <f>Q77-P77</f>
        <v>210</v>
      </c>
      <c r="AX77" s="1">
        <f>R77-Q77</f>
        <v>200</v>
      </c>
      <c r="AY77" s="1">
        <f>S77-R77</f>
        <v>160</v>
      </c>
      <c r="AZ77" s="1">
        <f>T77-S77</f>
        <v>280</v>
      </c>
      <c r="BA77" s="1">
        <f>U77-T77</f>
        <v>210</v>
      </c>
      <c r="BB77" s="1">
        <f>V77-U77</f>
        <v>240</v>
      </c>
      <c r="BC77" s="1">
        <f>W77-V77</f>
        <v>200</v>
      </c>
      <c r="BD77" s="1">
        <f>X77-W77</f>
        <v>220</v>
      </c>
      <c r="BE77" s="1">
        <f>Y77-X77</f>
        <v>190</v>
      </c>
      <c r="BF77" s="1">
        <f>Z77-Y77</f>
        <v>390</v>
      </c>
    </row>
    <row r="78" spans="1:58">
      <c r="A78" s="1">
        <v>76</v>
      </c>
      <c r="B78" s="1">
        <v>452580</v>
      </c>
      <c r="C78" s="1">
        <v>452710</v>
      </c>
      <c r="D78" s="1">
        <v>453000</v>
      </c>
      <c r="E78" s="1">
        <v>453190</v>
      </c>
      <c r="F78" s="1">
        <v>453440</v>
      </c>
      <c r="G78" s="1">
        <v>453610</v>
      </c>
      <c r="H78" s="1">
        <v>453820</v>
      </c>
      <c r="I78" s="1">
        <v>454100</v>
      </c>
      <c r="J78" s="1">
        <v>454270</v>
      </c>
      <c r="K78" s="1">
        <v>454490</v>
      </c>
      <c r="L78" s="1">
        <v>454730</v>
      </c>
      <c r="M78" s="1">
        <v>454900</v>
      </c>
      <c r="N78" s="1">
        <v>455180</v>
      </c>
      <c r="O78" s="1">
        <v>455280</v>
      </c>
      <c r="P78" s="1">
        <v>455590</v>
      </c>
      <c r="Q78" s="1">
        <v>455730</v>
      </c>
      <c r="R78" s="1">
        <v>455910</v>
      </c>
      <c r="S78" s="1">
        <v>456170</v>
      </c>
      <c r="T78" s="1">
        <v>456300</v>
      </c>
      <c r="U78" s="1">
        <v>456560</v>
      </c>
      <c r="V78" s="1">
        <v>456800</v>
      </c>
      <c r="W78" s="1">
        <v>457030</v>
      </c>
      <c r="X78" s="1">
        <v>457230</v>
      </c>
      <c r="Y78" s="1">
        <v>457490</v>
      </c>
      <c r="Z78" s="1">
        <v>457820</v>
      </c>
      <c r="AA78" s="5">
        <f>AVERAGE(B78:Y78)</f>
        <v>455004.58333333331</v>
      </c>
      <c r="AB78" s="5">
        <f>(AA79-AA77)/2</f>
        <v>5263.125</v>
      </c>
      <c r="AC78" s="14">
        <f>AB78/(23+AB151)</f>
        <v>210.84428996845696</v>
      </c>
      <c r="AD78" s="5">
        <f>AA78-AA77</f>
        <v>5267.5</v>
      </c>
      <c r="AE78" s="1">
        <f>AD78-AD77</f>
        <v>15.833333333372138</v>
      </c>
      <c r="AG78" s="5">
        <f>Z78-Y78</f>
        <v>330</v>
      </c>
      <c r="AI78" s="1">
        <f>C78-B78</f>
        <v>130</v>
      </c>
      <c r="AJ78" s="1">
        <f>D78-C78</f>
        <v>290</v>
      </c>
      <c r="AK78" s="1">
        <f>E78-D78</f>
        <v>190</v>
      </c>
      <c r="AL78" s="1">
        <f>F78-E78</f>
        <v>250</v>
      </c>
      <c r="AM78" s="1">
        <f>G78-F78</f>
        <v>170</v>
      </c>
      <c r="AN78" s="1">
        <f>H78-G78</f>
        <v>210</v>
      </c>
      <c r="AO78" s="1">
        <f>I78-H78</f>
        <v>280</v>
      </c>
      <c r="AP78" s="1">
        <f>J78-I78</f>
        <v>170</v>
      </c>
      <c r="AQ78" s="1">
        <f>K78-J78</f>
        <v>220</v>
      </c>
      <c r="AR78" s="1">
        <f>L78-K78</f>
        <v>240</v>
      </c>
      <c r="AS78" s="1">
        <f>M78-L78</f>
        <v>170</v>
      </c>
      <c r="AT78" s="1">
        <f>N78-M78</f>
        <v>280</v>
      </c>
      <c r="AU78" s="1">
        <f>O78-N78</f>
        <v>100</v>
      </c>
      <c r="AV78" s="1">
        <f>P78-O78</f>
        <v>310</v>
      </c>
      <c r="AW78" s="1">
        <f>Q78-P78</f>
        <v>140</v>
      </c>
      <c r="AX78" s="1">
        <f>R78-Q78</f>
        <v>180</v>
      </c>
      <c r="AY78" s="1">
        <f>S78-R78</f>
        <v>260</v>
      </c>
      <c r="AZ78" s="1">
        <f>T78-S78</f>
        <v>130</v>
      </c>
      <c r="BA78" s="1">
        <f>U78-T78</f>
        <v>260</v>
      </c>
      <c r="BB78" s="1">
        <f>V78-U78</f>
        <v>240</v>
      </c>
      <c r="BC78" s="1">
        <f>W78-V78</f>
        <v>230</v>
      </c>
      <c r="BD78" s="1">
        <f>X78-W78</f>
        <v>200</v>
      </c>
      <c r="BE78" s="1">
        <f>Y78-X78</f>
        <v>260</v>
      </c>
      <c r="BF78" s="1">
        <f>Z78-Y78</f>
        <v>330</v>
      </c>
    </row>
    <row r="79" spans="1:58">
      <c r="A79" s="1">
        <v>77</v>
      </c>
      <c r="B79" s="1">
        <v>457820</v>
      </c>
      <c r="C79" s="1">
        <v>458040</v>
      </c>
      <c r="D79" s="1">
        <v>458250</v>
      </c>
      <c r="E79" s="1">
        <v>458450</v>
      </c>
      <c r="F79" s="1">
        <v>458700</v>
      </c>
      <c r="G79" s="1">
        <v>458950</v>
      </c>
      <c r="H79" s="1">
        <v>459130</v>
      </c>
      <c r="I79" s="1">
        <v>459260</v>
      </c>
      <c r="J79" s="1">
        <v>459510</v>
      </c>
      <c r="K79" s="1">
        <v>459740</v>
      </c>
      <c r="L79" s="1">
        <v>459910</v>
      </c>
      <c r="M79" s="1">
        <v>460140</v>
      </c>
      <c r="N79" s="1">
        <v>460420</v>
      </c>
      <c r="O79" s="1">
        <v>460540</v>
      </c>
      <c r="P79" s="1">
        <v>460800</v>
      </c>
      <c r="Q79" s="1">
        <v>460990</v>
      </c>
      <c r="R79" s="1">
        <v>461210</v>
      </c>
      <c r="S79" s="1">
        <v>461440</v>
      </c>
      <c r="T79" s="1">
        <v>461650</v>
      </c>
      <c r="U79" s="1">
        <v>461840</v>
      </c>
      <c r="V79" s="1">
        <v>462050</v>
      </c>
      <c r="W79" s="1">
        <v>462290</v>
      </c>
      <c r="X79" s="1">
        <v>462460</v>
      </c>
      <c r="Y79" s="1">
        <v>462730</v>
      </c>
      <c r="Z79" s="1">
        <v>463360</v>
      </c>
      <c r="AA79" s="5">
        <f>AVERAGE(B79:Y79)</f>
        <v>460263.33333333331</v>
      </c>
      <c r="AB79" s="5">
        <f>(AA80-AA78)/2</f>
        <v>5277.5</v>
      </c>
      <c r="AC79" s="14">
        <f>AB79/(23+AB151)</f>
        <v>211.42016203463373</v>
      </c>
      <c r="AD79" s="5">
        <f>AA79-AA78</f>
        <v>5258.75</v>
      </c>
      <c r="AE79" s="1">
        <f>AD79-AD78</f>
        <v>-8.75</v>
      </c>
      <c r="AG79" s="5">
        <f>Z79-Y79</f>
        <v>630</v>
      </c>
      <c r="AI79" s="1">
        <f>C79-B79</f>
        <v>220</v>
      </c>
      <c r="AJ79" s="1">
        <f>D79-C79</f>
        <v>210</v>
      </c>
      <c r="AK79" s="1">
        <f>E79-D79</f>
        <v>200</v>
      </c>
      <c r="AL79" s="1">
        <f>F79-E79</f>
        <v>250</v>
      </c>
      <c r="AM79" s="1">
        <f>G79-F79</f>
        <v>250</v>
      </c>
      <c r="AN79" s="1">
        <f>H79-G79</f>
        <v>180</v>
      </c>
      <c r="AO79" s="1">
        <f>I79-H79</f>
        <v>130</v>
      </c>
      <c r="AP79" s="1">
        <f>J79-I79</f>
        <v>250</v>
      </c>
      <c r="AQ79" s="1">
        <f>K79-J79</f>
        <v>230</v>
      </c>
      <c r="AR79" s="1">
        <f>L79-K79</f>
        <v>170</v>
      </c>
      <c r="AS79" s="1">
        <f>M79-L79</f>
        <v>230</v>
      </c>
      <c r="AT79" s="1">
        <f>N79-M79</f>
        <v>280</v>
      </c>
      <c r="AU79" s="1">
        <f>O79-N79</f>
        <v>120</v>
      </c>
      <c r="AV79" s="1">
        <f>P79-O79</f>
        <v>260</v>
      </c>
      <c r="AW79" s="1">
        <f>Q79-P79</f>
        <v>190</v>
      </c>
      <c r="AX79" s="1">
        <f>R79-Q79</f>
        <v>220</v>
      </c>
      <c r="AY79" s="1">
        <f>S79-R79</f>
        <v>230</v>
      </c>
      <c r="AZ79" s="1">
        <f>T79-S79</f>
        <v>210</v>
      </c>
      <c r="BA79" s="1">
        <f>U79-T79</f>
        <v>190</v>
      </c>
      <c r="BB79" s="1">
        <f>V79-U79</f>
        <v>210</v>
      </c>
      <c r="BC79" s="1">
        <f>W79-V79</f>
        <v>240</v>
      </c>
      <c r="BD79" s="1">
        <f>X79-W79</f>
        <v>170</v>
      </c>
      <c r="BE79" s="1">
        <f>Y79-X79</f>
        <v>270</v>
      </c>
      <c r="BF79" s="1">
        <f>Z79-Y79</f>
        <v>630</v>
      </c>
    </row>
    <row r="80" spans="1:58">
      <c r="A80" s="1">
        <v>78</v>
      </c>
      <c r="B80" s="1">
        <v>463360</v>
      </c>
      <c r="C80" s="1">
        <v>463420</v>
      </c>
      <c r="D80" s="1">
        <v>463480</v>
      </c>
      <c r="E80" s="1">
        <v>463820</v>
      </c>
      <c r="F80" s="1">
        <v>463950</v>
      </c>
      <c r="G80" s="1">
        <v>464180</v>
      </c>
      <c r="H80" s="1">
        <v>464400</v>
      </c>
      <c r="I80" s="1">
        <v>464550</v>
      </c>
      <c r="J80" s="1">
        <v>464830</v>
      </c>
      <c r="K80" s="1">
        <v>465050</v>
      </c>
      <c r="L80" s="1">
        <v>465230</v>
      </c>
      <c r="M80" s="1">
        <v>465420</v>
      </c>
      <c r="N80" s="1">
        <v>465710</v>
      </c>
      <c r="O80" s="1">
        <v>465780</v>
      </c>
      <c r="P80" s="1">
        <v>466070</v>
      </c>
      <c r="Q80" s="1">
        <v>466290</v>
      </c>
      <c r="R80" s="1">
        <v>466540</v>
      </c>
      <c r="S80" s="1">
        <v>466700</v>
      </c>
      <c r="T80" s="1">
        <v>466890</v>
      </c>
      <c r="U80" s="1">
        <v>467150</v>
      </c>
      <c r="V80" s="1">
        <v>467220</v>
      </c>
      <c r="W80" s="1">
        <v>467560</v>
      </c>
      <c r="X80" s="1">
        <v>467810</v>
      </c>
      <c r="Y80" s="1">
        <v>468020</v>
      </c>
      <c r="Z80" s="1">
        <v>468270</v>
      </c>
      <c r="AA80" s="5">
        <f>AVERAGE(B80:Y80)</f>
        <v>465559.58333333331</v>
      </c>
      <c r="AB80" s="5">
        <f>(AA81-AA79)/2</f>
        <v>5265.208333333343</v>
      </c>
      <c r="AC80" s="14">
        <f>AB80/(23+AB151)</f>
        <v>210.92774968819313</v>
      </c>
      <c r="AD80" s="5">
        <f>AA80-AA79</f>
        <v>5296.25</v>
      </c>
      <c r="AE80" s="1">
        <f>AD80-AD79</f>
        <v>37.5</v>
      </c>
      <c r="AG80" s="5">
        <f>Z80-Y80</f>
        <v>250</v>
      </c>
      <c r="AI80" s="1">
        <f>C80-B80</f>
        <v>60</v>
      </c>
      <c r="AJ80" s="1">
        <f>D80-C80</f>
        <v>60</v>
      </c>
      <c r="AK80" s="1">
        <f>E80-D80</f>
        <v>340</v>
      </c>
      <c r="AL80" s="1">
        <f>F80-E80</f>
        <v>130</v>
      </c>
      <c r="AM80" s="1">
        <f>G80-F80</f>
        <v>230</v>
      </c>
      <c r="AN80" s="1">
        <f>H80-G80</f>
        <v>220</v>
      </c>
      <c r="AO80" s="1">
        <f>I80-H80</f>
        <v>150</v>
      </c>
      <c r="AP80" s="1">
        <f>J80-I80</f>
        <v>280</v>
      </c>
      <c r="AQ80" s="1">
        <f>K80-J80</f>
        <v>220</v>
      </c>
      <c r="AR80" s="1">
        <f>L80-K80</f>
        <v>180</v>
      </c>
      <c r="AS80" s="1">
        <f>M80-L80</f>
        <v>190</v>
      </c>
      <c r="AT80" s="1">
        <f>N80-M80</f>
        <v>290</v>
      </c>
      <c r="AU80" s="1">
        <f>O80-N80</f>
        <v>70</v>
      </c>
      <c r="AV80" s="1">
        <f>P80-O80</f>
        <v>290</v>
      </c>
      <c r="AW80" s="1">
        <f>Q80-P80</f>
        <v>220</v>
      </c>
      <c r="AX80" s="1">
        <f>R80-Q80</f>
        <v>250</v>
      </c>
      <c r="AY80" s="1">
        <f>S80-R80</f>
        <v>160</v>
      </c>
      <c r="AZ80" s="1">
        <f>T80-S80</f>
        <v>190</v>
      </c>
      <c r="BA80" s="1">
        <f>U80-T80</f>
        <v>260</v>
      </c>
      <c r="BB80" s="1">
        <f>V80-U80</f>
        <v>70</v>
      </c>
      <c r="BC80" s="1">
        <f>W80-V80</f>
        <v>340</v>
      </c>
      <c r="BD80" s="1">
        <f>X80-W80</f>
        <v>250</v>
      </c>
      <c r="BE80" s="1">
        <f>Y80-X80</f>
        <v>210</v>
      </c>
      <c r="BF80" s="1">
        <f>Z80-Y80</f>
        <v>250</v>
      </c>
    </row>
    <row r="81" spans="1:58">
      <c r="A81" s="1">
        <v>79</v>
      </c>
      <c r="B81" s="1">
        <v>468270</v>
      </c>
      <c r="C81" s="1">
        <v>468490</v>
      </c>
      <c r="D81" s="1">
        <v>468830</v>
      </c>
      <c r="E81" s="1">
        <v>468990</v>
      </c>
      <c r="F81" s="1">
        <v>469280</v>
      </c>
      <c r="G81" s="1">
        <v>469500</v>
      </c>
      <c r="H81" s="1">
        <v>469720</v>
      </c>
      <c r="I81" s="1">
        <v>469920</v>
      </c>
      <c r="J81" s="1">
        <v>470060</v>
      </c>
      <c r="K81" s="1">
        <v>470210</v>
      </c>
      <c r="L81" s="1">
        <v>470430</v>
      </c>
      <c r="M81" s="1">
        <v>470690</v>
      </c>
      <c r="N81" s="1">
        <v>470830</v>
      </c>
      <c r="O81" s="1">
        <v>470970</v>
      </c>
      <c r="P81" s="1">
        <v>471330</v>
      </c>
      <c r="Q81" s="1">
        <v>471580</v>
      </c>
      <c r="R81" s="1">
        <v>471740</v>
      </c>
      <c r="S81" s="1">
        <v>471980</v>
      </c>
      <c r="T81" s="1">
        <v>472220</v>
      </c>
      <c r="U81" s="1">
        <v>472430</v>
      </c>
      <c r="V81" s="1">
        <v>472560</v>
      </c>
      <c r="W81" s="1">
        <v>472780</v>
      </c>
      <c r="X81" s="1">
        <v>473000</v>
      </c>
      <c r="Y81" s="1">
        <v>473240</v>
      </c>
      <c r="Z81" s="1">
        <v>473520</v>
      </c>
      <c r="AA81" s="5">
        <f>AVERAGE(B81:Y81)</f>
        <v>470793.75</v>
      </c>
      <c r="AB81" s="5">
        <f>(AA82-AA80)/2</f>
        <v>5224.7916666666861</v>
      </c>
      <c r="AC81" s="14">
        <f>AB81/(23+AB151)</f>
        <v>209.30863112531972</v>
      </c>
      <c r="AD81" s="5">
        <f>AA81-AA80</f>
        <v>5234.1666666666861</v>
      </c>
      <c r="AE81" s="1">
        <f>AD81-AD80</f>
        <v>-62.083333333313931</v>
      </c>
      <c r="AG81" s="5">
        <f>Z81-Y81</f>
        <v>280</v>
      </c>
      <c r="AI81" s="1">
        <f>C81-B81</f>
        <v>220</v>
      </c>
      <c r="AJ81" s="1">
        <f>D81-C81</f>
        <v>340</v>
      </c>
      <c r="AK81" s="1">
        <f>E81-D81</f>
        <v>160</v>
      </c>
      <c r="AL81" s="1">
        <f>F81-E81</f>
        <v>290</v>
      </c>
      <c r="AM81" s="1">
        <f>G81-F81</f>
        <v>220</v>
      </c>
      <c r="AN81" s="1">
        <f>H81-G81</f>
        <v>220</v>
      </c>
      <c r="AO81" s="1">
        <f>I81-H81</f>
        <v>200</v>
      </c>
      <c r="AP81" s="1">
        <f>J81-I81</f>
        <v>140</v>
      </c>
      <c r="AQ81" s="1">
        <f>K81-J81</f>
        <v>150</v>
      </c>
      <c r="AR81" s="1">
        <f>L81-K81</f>
        <v>220</v>
      </c>
      <c r="AS81" s="1">
        <f>M81-L81</f>
        <v>260</v>
      </c>
      <c r="AT81" s="1">
        <f>N81-M81</f>
        <v>140</v>
      </c>
      <c r="AU81" s="1">
        <f>O81-N81</f>
        <v>140</v>
      </c>
      <c r="AV81" s="1">
        <f>P81-O81</f>
        <v>360</v>
      </c>
      <c r="AW81" s="1">
        <f>Q81-P81</f>
        <v>250</v>
      </c>
      <c r="AX81" s="1">
        <f>R81-Q81</f>
        <v>160</v>
      </c>
      <c r="AY81" s="1">
        <f>S81-R81</f>
        <v>240</v>
      </c>
      <c r="AZ81" s="1">
        <f>T81-S81</f>
        <v>240</v>
      </c>
      <c r="BA81" s="1">
        <f>U81-T81</f>
        <v>210</v>
      </c>
      <c r="BB81" s="1">
        <f>V81-U81</f>
        <v>130</v>
      </c>
      <c r="BC81" s="1">
        <f>W81-V81</f>
        <v>220</v>
      </c>
      <c r="BD81" s="1">
        <f>X81-W81</f>
        <v>220</v>
      </c>
      <c r="BE81" s="1">
        <f>Y81-X81</f>
        <v>240</v>
      </c>
      <c r="BF81" s="1">
        <f>Z81-Y81</f>
        <v>280</v>
      </c>
    </row>
    <row r="82" spans="1:58">
      <c r="A82" s="1">
        <v>80</v>
      </c>
      <c r="B82" s="1">
        <v>473520</v>
      </c>
      <c r="C82" s="1">
        <v>473750</v>
      </c>
      <c r="D82" s="1">
        <v>474090</v>
      </c>
      <c r="E82" s="1">
        <v>474210</v>
      </c>
      <c r="F82" s="1">
        <v>474430</v>
      </c>
      <c r="G82" s="1">
        <v>474710</v>
      </c>
      <c r="H82" s="1">
        <v>474940</v>
      </c>
      <c r="I82" s="1">
        <v>475100</v>
      </c>
      <c r="J82" s="1">
        <v>475280</v>
      </c>
      <c r="K82" s="1">
        <v>475460</v>
      </c>
      <c r="L82" s="1">
        <v>475690</v>
      </c>
      <c r="M82" s="1">
        <v>475950</v>
      </c>
      <c r="N82" s="1">
        <v>476070</v>
      </c>
      <c r="O82" s="1">
        <v>476320</v>
      </c>
      <c r="P82" s="1">
        <v>476540</v>
      </c>
      <c r="Q82" s="1">
        <v>476770</v>
      </c>
      <c r="R82" s="1">
        <v>476890</v>
      </c>
      <c r="S82" s="1">
        <v>477130</v>
      </c>
      <c r="T82" s="1">
        <v>477370</v>
      </c>
      <c r="U82" s="1">
        <v>477600</v>
      </c>
      <c r="V82" s="1">
        <v>477810</v>
      </c>
      <c r="W82" s="1">
        <v>478010</v>
      </c>
      <c r="X82" s="1">
        <v>478150</v>
      </c>
      <c r="Y82" s="1">
        <v>478430</v>
      </c>
      <c r="Z82" s="1">
        <v>478940</v>
      </c>
      <c r="AA82" s="5">
        <f>AVERAGE(B82:Y82)</f>
        <v>476009.16666666669</v>
      </c>
      <c r="AB82" s="5">
        <f>(AA83-AA81)/2</f>
        <v>5237.291666666657</v>
      </c>
      <c r="AC82" s="14">
        <f>AB82/(23+AB151)</f>
        <v>209.80938944373312</v>
      </c>
      <c r="AD82" s="5">
        <f>AA82-AA81</f>
        <v>5215.4166666666861</v>
      </c>
      <c r="AE82" s="1">
        <f>AD82-AD81</f>
        <v>-18.75</v>
      </c>
      <c r="AG82" s="5">
        <f>Z82-Y82</f>
        <v>510</v>
      </c>
      <c r="AI82" s="1">
        <f>C82-B82</f>
        <v>230</v>
      </c>
      <c r="AJ82" s="1">
        <f>D82-C82</f>
        <v>340</v>
      </c>
      <c r="AK82" s="1">
        <f>E82-D82</f>
        <v>120</v>
      </c>
      <c r="AL82" s="1">
        <f>F82-E82</f>
        <v>220</v>
      </c>
      <c r="AM82" s="1">
        <f>G82-F82</f>
        <v>280</v>
      </c>
      <c r="AN82" s="1">
        <f>H82-G82</f>
        <v>230</v>
      </c>
      <c r="AO82" s="1">
        <f>I82-H82</f>
        <v>160</v>
      </c>
      <c r="AP82" s="1">
        <f>J82-I82</f>
        <v>180</v>
      </c>
      <c r="AQ82" s="1">
        <f>K82-J82</f>
        <v>180</v>
      </c>
      <c r="AR82" s="1">
        <f>L82-K82</f>
        <v>230</v>
      </c>
      <c r="AS82" s="1">
        <f>M82-L82</f>
        <v>260</v>
      </c>
      <c r="AT82" s="1">
        <f>N82-M82</f>
        <v>120</v>
      </c>
      <c r="AU82" s="1">
        <f>O82-N82</f>
        <v>250</v>
      </c>
      <c r="AV82" s="1">
        <f>P82-O82</f>
        <v>220</v>
      </c>
      <c r="AW82" s="1">
        <f>Q82-P82</f>
        <v>230</v>
      </c>
      <c r="AX82" s="1">
        <f>R82-Q82</f>
        <v>120</v>
      </c>
      <c r="AY82" s="1">
        <f>S82-R82</f>
        <v>240</v>
      </c>
      <c r="AZ82" s="1">
        <f>T82-S82</f>
        <v>240</v>
      </c>
      <c r="BA82" s="1">
        <f>U82-T82</f>
        <v>230</v>
      </c>
      <c r="BB82" s="1">
        <f>V82-U82</f>
        <v>210</v>
      </c>
      <c r="BC82" s="1">
        <f>W82-V82</f>
        <v>200</v>
      </c>
      <c r="BD82" s="1">
        <f>X82-W82</f>
        <v>140</v>
      </c>
      <c r="BE82" s="1">
        <f>Y82-X82</f>
        <v>280</v>
      </c>
      <c r="BF82" s="1">
        <f>Z82-Y82</f>
        <v>510</v>
      </c>
    </row>
    <row r="83" spans="1:58">
      <c r="A83" s="1">
        <v>81</v>
      </c>
      <c r="B83" s="1">
        <v>478940</v>
      </c>
      <c r="C83" s="1">
        <v>479050</v>
      </c>
      <c r="D83" s="1">
        <v>479300</v>
      </c>
      <c r="E83" s="1">
        <v>479450</v>
      </c>
      <c r="F83" s="1">
        <v>479660</v>
      </c>
      <c r="G83" s="1">
        <v>479880</v>
      </c>
      <c r="H83" s="1">
        <v>480140</v>
      </c>
      <c r="I83" s="1">
        <v>480380</v>
      </c>
      <c r="J83" s="1">
        <v>480540</v>
      </c>
      <c r="K83" s="1">
        <v>480760</v>
      </c>
      <c r="L83" s="1">
        <v>480930</v>
      </c>
      <c r="M83" s="1">
        <v>481060</v>
      </c>
      <c r="N83" s="1">
        <v>481420</v>
      </c>
      <c r="O83" s="1">
        <v>481620</v>
      </c>
      <c r="P83" s="1">
        <v>481800</v>
      </c>
      <c r="Q83" s="1">
        <v>481900</v>
      </c>
      <c r="R83" s="1">
        <v>482230</v>
      </c>
      <c r="S83" s="1">
        <v>482440</v>
      </c>
      <c r="T83" s="1">
        <v>482650</v>
      </c>
      <c r="U83" s="1">
        <v>482840</v>
      </c>
      <c r="V83" s="1">
        <v>483080</v>
      </c>
      <c r="W83" s="1">
        <v>483260</v>
      </c>
      <c r="X83" s="1">
        <v>483440</v>
      </c>
      <c r="Y83" s="1">
        <v>483670</v>
      </c>
      <c r="Z83" s="1">
        <v>484170</v>
      </c>
      <c r="AA83" s="5">
        <f>AVERAGE(B83:Y83)</f>
        <v>481268.33333333331</v>
      </c>
      <c r="AB83" s="5">
        <f>(AA84-AA82)/2</f>
        <v>5263.3333333333139</v>
      </c>
      <c r="AC83" s="14">
        <f>AB83/(23+AB151)</f>
        <v>210.85263594042976</v>
      </c>
      <c r="AD83" s="5">
        <f>AA83-AA82</f>
        <v>5259.1666666666279</v>
      </c>
      <c r="AE83" s="1">
        <f>AD83-AD82</f>
        <v>43.749999999941792</v>
      </c>
      <c r="AG83" s="5">
        <f>Z83-Y83</f>
        <v>500</v>
      </c>
      <c r="AI83" s="1">
        <f>C83-B83</f>
        <v>110</v>
      </c>
      <c r="AJ83" s="1">
        <f>D83-C83</f>
        <v>250</v>
      </c>
      <c r="AK83" s="1">
        <f>E83-D83</f>
        <v>150</v>
      </c>
      <c r="AL83" s="1">
        <f>F83-E83</f>
        <v>210</v>
      </c>
      <c r="AM83" s="1">
        <f>G83-F83</f>
        <v>220</v>
      </c>
      <c r="AN83" s="1">
        <f>H83-G83</f>
        <v>260</v>
      </c>
      <c r="AO83" s="1">
        <f>I83-H83</f>
        <v>240</v>
      </c>
      <c r="AP83" s="1">
        <f>J83-I83</f>
        <v>160</v>
      </c>
      <c r="AQ83" s="1">
        <f>K83-J83</f>
        <v>220</v>
      </c>
      <c r="AR83" s="1">
        <f>L83-K83</f>
        <v>170</v>
      </c>
      <c r="AS83" s="1">
        <f>M83-L83</f>
        <v>130</v>
      </c>
      <c r="AT83" s="1">
        <f>N83-M83</f>
        <v>360</v>
      </c>
      <c r="AU83" s="1">
        <f>O83-N83</f>
        <v>200</v>
      </c>
      <c r="AV83" s="1">
        <f>P83-O83</f>
        <v>180</v>
      </c>
      <c r="AW83" s="1">
        <f>Q83-P83</f>
        <v>100</v>
      </c>
      <c r="AX83" s="1">
        <f>R83-Q83</f>
        <v>330</v>
      </c>
      <c r="AY83" s="1">
        <f>S83-R83</f>
        <v>210</v>
      </c>
      <c r="AZ83" s="1">
        <f>T83-S83</f>
        <v>210</v>
      </c>
      <c r="BA83" s="1">
        <f>U83-T83</f>
        <v>190</v>
      </c>
      <c r="BB83" s="1">
        <f>V83-U83</f>
        <v>240</v>
      </c>
      <c r="BC83" s="1">
        <f>W83-V83</f>
        <v>180</v>
      </c>
      <c r="BD83" s="1">
        <f>X83-W83</f>
        <v>180</v>
      </c>
      <c r="BE83" s="1">
        <f>Y83-X83</f>
        <v>230</v>
      </c>
      <c r="BF83" s="1">
        <f>Z83-Y83</f>
        <v>500</v>
      </c>
    </row>
    <row r="84" spans="1:58">
      <c r="A84" s="1">
        <v>82</v>
      </c>
      <c r="B84" s="1">
        <v>484170</v>
      </c>
      <c r="C84" s="1">
        <v>484300</v>
      </c>
      <c r="D84" s="1">
        <v>484480</v>
      </c>
      <c r="E84" s="1">
        <v>484680</v>
      </c>
      <c r="F84" s="1">
        <v>484990</v>
      </c>
      <c r="G84" s="1">
        <v>485150</v>
      </c>
      <c r="H84" s="1">
        <v>485450</v>
      </c>
      <c r="I84" s="1">
        <v>485600</v>
      </c>
      <c r="J84" s="1">
        <v>485800</v>
      </c>
      <c r="K84" s="1">
        <v>486040</v>
      </c>
      <c r="L84" s="1">
        <v>486170</v>
      </c>
      <c r="M84" s="1">
        <v>486370</v>
      </c>
      <c r="N84" s="1">
        <v>486710</v>
      </c>
      <c r="O84" s="1">
        <v>486920</v>
      </c>
      <c r="P84" s="1">
        <v>486980</v>
      </c>
      <c r="Q84" s="1">
        <v>487210</v>
      </c>
      <c r="R84" s="1">
        <v>487450</v>
      </c>
      <c r="S84" s="1">
        <v>487680</v>
      </c>
      <c r="T84" s="1">
        <v>487900</v>
      </c>
      <c r="U84" s="1">
        <v>488140</v>
      </c>
      <c r="V84" s="1">
        <v>488370</v>
      </c>
      <c r="W84" s="1">
        <v>488560</v>
      </c>
      <c r="X84" s="1">
        <v>488770</v>
      </c>
      <c r="Y84" s="1">
        <v>488970</v>
      </c>
      <c r="Z84" s="1">
        <v>489390</v>
      </c>
      <c r="AA84" s="5">
        <f>AVERAGE(B84:Y84)</f>
        <v>486535.83333333331</v>
      </c>
      <c r="AB84" s="5">
        <f>(AA85-AA83)/2</f>
        <v>5260.4166666666861</v>
      </c>
      <c r="AC84" s="14">
        <f>AB84/(23+AB151)</f>
        <v>210.73579233280125</v>
      </c>
      <c r="AD84" s="5">
        <f>AA84-AA83</f>
        <v>5267.5</v>
      </c>
      <c r="AE84" s="1">
        <f>AD84-AD83</f>
        <v>8.3333333333721384</v>
      </c>
      <c r="AG84" s="5">
        <f>Z84-Y84</f>
        <v>420</v>
      </c>
      <c r="AI84" s="1">
        <f>C84-B84</f>
        <v>130</v>
      </c>
      <c r="AJ84" s="1">
        <f>D84-C84</f>
        <v>180</v>
      </c>
      <c r="AK84" s="1">
        <f>E84-D84</f>
        <v>200</v>
      </c>
      <c r="AL84" s="1">
        <f>F84-E84</f>
        <v>310</v>
      </c>
      <c r="AM84" s="1">
        <f>G84-F84</f>
        <v>160</v>
      </c>
      <c r="AN84" s="1">
        <f>H84-G84</f>
        <v>300</v>
      </c>
      <c r="AO84" s="1">
        <f>I84-H84</f>
        <v>150</v>
      </c>
      <c r="AP84" s="1">
        <f>J84-I84</f>
        <v>200</v>
      </c>
      <c r="AQ84" s="1">
        <f>K84-J84</f>
        <v>240</v>
      </c>
      <c r="AR84" s="1">
        <f>L84-K84</f>
        <v>130</v>
      </c>
      <c r="AS84" s="1">
        <f>M84-L84</f>
        <v>200</v>
      </c>
      <c r="AT84" s="1">
        <f>N84-M84</f>
        <v>340</v>
      </c>
      <c r="AU84" s="1">
        <f>O84-N84</f>
        <v>210</v>
      </c>
      <c r="AV84" s="1">
        <f>P84-O84</f>
        <v>60</v>
      </c>
      <c r="AW84" s="1">
        <f>Q84-P84</f>
        <v>230</v>
      </c>
      <c r="AX84" s="1">
        <f>R84-Q84</f>
        <v>240</v>
      </c>
      <c r="AY84" s="1">
        <f>S84-R84</f>
        <v>230</v>
      </c>
      <c r="AZ84" s="1">
        <f>T84-S84</f>
        <v>220</v>
      </c>
      <c r="BA84" s="1">
        <f>U84-T84</f>
        <v>240</v>
      </c>
      <c r="BB84" s="1">
        <f>V84-U84</f>
        <v>230</v>
      </c>
      <c r="BC84" s="1">
        <f>W84-V84</f>
        <v>190</v>
      </c>
      <c r="BD84" s="1">
        <f>X84-W84</f>
        <v>210</v>
      </c>
      <c r="BE84" s="1">
        <f>Y84-X84</f>
        <v>200</v>
      </c>
      <c r="BF84" s="1">
        <f>Z84-Y84</f>
        <v>420</v>
      </c>
    </row>
    <row r="85" spans="1:58">
      <c r="A85" s="1">
        <v>83</v>
      </c>
      <c r="B85" s="1">
        <v>489390</v>
      </c>
      <c r="C85" s="1">
        <v>489610</v>
      </c>
      <c r="D85" s="1">
        <v>489770</v>
      </c>
      <c r="E85" s="1">
        <v>489990</v>
      </c>
      <c r="F85" s="1">
        <v>490160</v>
      </c>
      <c r="G85" s="1">
        <v>490330</v>
      </c>
      <c r="H85" s="1">
        <v>490670</v>
      </c>
      <c r="I85" s="1">
        <v>490780</v>
      </c>
      <c r="J85" s="1">
        <v>491060</v>
      </c>
      <c r="K85" s="1">
        <v>491260</v>
      </c>
      <c r="L85" s="1">
        <v>491460</v>
      </c>
      <c r="M85" s="1">
        <v>491610</v>
      </c>
      <c r="N85" s="1">
        <v>491970</v>
      </c>
      <c r="O85" s="1">
        <v>492160</v>
      </c>
      <c r="P85" s="1">
        <v>492330</v>
      </c>
      <c r="Q85" s="1">
        <v>492560</v>
      </c>
      <c r="R85" s="1">
        <v>492720</v>
      </c>
      <c r="S85" s="1">
        <v>492910</v>
      </c>
      <c r="T85" s="1">
        <v>493170</v>
      </c>
      <c r="U85" s="1">
        <v>493380</v>
      </c>
      <c r="V85" s="1">
        <v>493580</v>
      </c>
      <c r="W85" s="1">
        <v>493840</v>
      </c>
      <c r="X85" s="1">
        <v>494020</v>
      </c>
      <c r="Y85" s="1">
        <v>494210</v>
      </c>
      <c r="Z85" s="1">
        <v>494660</v>
      </c>
      <c r="AA85" s="5">
        <f>AVERAGE(B85:Y85)</f>
        <v>491789.16666666669</v>
      </c>
      <c r="AB85" s="5">
        <f>(AA86-AA84)/2</f>
        <v>5269.583333333343</v>
      </c>
      <c r="AC85" s="14">
        <f>AB85/(23+AB151)</f>
        <v>211.10301509963821</v>
      </c>
      <c r="AD85" s="5">
        <f>AA85-AA84</f>
        <v>5253.3333333333721</v>
      </c>
      <c r="AE85" s="1">
        <f>AD85-AD84</f>
        <v>-14.166666666627862</v>
      </c>
      <c r="AG85" s="5">
        <f>Z85-Y85</f>
        <v>450</v>
      </c>
      <c r="AI85" s="1">
        <f>C85-B85</f>
        <v>220</v>
      </c>
      <c r="AJ85" s="1">
        <f>D85-C85</f>
        <v>160</v>
      </c>
      <c r="AK85" s="1">
        <f>E85-D85</f>
        <v>220</v>
      </c>
      <c r="AL85" s="1">
        <f>F85-E85</f>
        <v>170</v>
      </c>
      <c r="AM85" s="1">
        <f>G85-F85</f>
        <v>170</v>
      </c>
      <c r="AN85" s="1">
        <f>H85-G85</f>
        <v>340</v>
      </c>
      <c r="AO85" s="1">
        <f>I85-H85</f>
        <v>110</v>
      </c>
      <c r="AP85" s="1">
        <f>J85-I85</f>
        <v>280</v>
      </c>
      <c r="AQ85" s="1">
        <f>K85-J85</f>
        <v>200</v>
      </c>
      <c r="AR85" s="1">
        <f>L85-K85</f>
        <v>200</v>
      </c>
      <c r="AS85" s="1">
        <f>M85-L85</f>
        <v>150</v>
      </c>
      <c r="AT85" s="1">
        <f>N85-M85</f>
        <v>360</v>
      </c>
      <c r="AU85" s="1">
        <f>O85-N85</f>
        <v>190</v>
      </c>
      <c r="AV85" s="1">
        <f>P85-O85</f>
        <v>170</v>
      </c>
      <c r="AW85" s="1">
        <f>Q85-P85</f>
        <v>230</v>
      </c>
      <c r="AX85" s="1">
        <f>R85-Q85</f>
        <v>160</v>
      </c>
      <c r="AY85" s="1">
        <f>S85-R85</f>
        <v>190</v>
      </c>
      <c r="AZ85" s="1">
        <f>T85-S85</f>
        <v>260</v>
      </c>
      <c r="BA85" s="1">
        <f>U85-T85</f>
        <v>210</v>
      </c>
      <c r="BB85" s="1">
        <f>V85-U85</f>
        <v>200</v>
      </c>
      <c r="BC85" s="1">
        <f>W85-V85</f>
        <v>260</v>
      </c>
      <c r="BD85" s="1">
        <f>X85-W85</f>
        <v>180</v>
      </c>
      <c r="BE85" s="1">
        <f>Y85-X85</f>
        <v>190</v>
      </c>
      <c r="BF85" s="1">
        <f>Z85-Y85</f>
        <v>450</v>
      </c>
    </row>
    <row r="86" spans="1:58">
      <c r="A86" s="1">
        <v>84</v>
      </c>
      <c r="B86" s="1">
        <v>494660</v>
      </c>
      <c r="C86" s="1">
        <v>494960</v>
      </c>
      <c r="D86" s="1">
        <v>495140</v>
      </c>
      <c r="E86" s="1">
        <v>495350</v>
      </c>
      <c r="F86" s="1">
        <v>495510</v>
      </c>
      <c r="G86" s="1">
        <v>495660</v>
      </c>
      <c r="H86" s="1">
        <v>495850</v>
      </c>
      <c r="I86" s="1">
        <v>496090</v>
      </c>
      <c r="J86" s="1">
        <v>496370</v>
      </c>
      <c r="K86" s="1">
        <v>496550</v>
      </c>
      <c r="L86" s="1">
        <v>496720</v>
      </c>
      <c r="M86" s="1">
        <v>496920</v>
      </c>
      <c r="N86" s="1">
        <v>497230</v>
      </c>
      <c r="O86" s="1">
        <v>497400</v>
      </c>
      <c r="P86" s="1">
        <v>497620</v>
      </c>
      <c r="Q86" s="1">
        <v>497820</v>
      </c>
      <c r="R86" s="1">
        <v>498030</v>
      </c>
      <c r="S86" s="1">
        <v>498200</v>
      </c>
      <c r="T86" s="1">
        <v>498420</v>
      </c>
      <c r="U86" s="1">
        <v>498610</v>
      </c>
      <c r="V86" s="1">
        <v>498870</v>
      </c>
      <c r="W86" s="1">
        <v>499080</v>
      </c>
      <c r="X86" s="1">
        <v>499290</v>
      </c>
      <c r="Y86" s="1">
        <v>499450</v>
      </c>
      <c r="Z86" s="1">
        <v>499890</v>
      </c>
      <c r="AA86" s="5">
        <f>AVERAGE(B86:Y86)</f>
        <v>497075</v>
      </c>
      <c r="AB86" s="5">
        <f>(AA87-AA85)/2</f>
        <v>5267.7083333333139</v>
      </c>
      <c r="AC86" s="14">
        <f>AB86/(23+AB151)</f>
        <v>211.02790135187487</v>
      </c>
      <c r="AD86" s="5">
        <f>AA86-AA85</f>
        <v>5285.8333333333139</v>
      </c>
      <c r="AE86" s="1">
        <f>AD86-AD85</f>
        <v>32.499999999941792</v>
      </c>
      <c r="AG86" s="5">
        <f>Z86-Y86</f>
        <v>440</v>
      </c>
      <c r="AI86" s="1">
        <f>C86-B86</f>
        <v>300</v>
      </c>
      <c r="AJ86" s="1">
        <f>D86-C86</f>
        <v>180</v>
      </c>
      <c r="AK86" s="1">
        <f>E86-D86</f>
        <v>210</v>
      </c>
      <c r="AL86" s="1">
        <f>F86-E86</f>
        <v>160</v>
      </c>
      <c r="AM86" s="1">
        <f>G86-F86</f>
        <v>150</v>
      </c>
      <c r="AN86" s="1">
        <f>H86-G86</f>
        <v>190</v>
      </c>
      <c r="AO86" s="1">
        <f>I86-H86</f>
        <v>240</v>
      </c>
      <c r="AP86" s="1">
        <f>J86-I86</f>
        <v>280</v>
      </c>
      <c r="AQ86" s="1">
        <f>K86-J86</f>
        <v>180</v>
      </c>
      <c r="AR86" s="1">
        <f>L86-K86</f>
        <v>170</v>
      </c>
      <c r="AS86" s="1">
        <f>M86-L86</f>
        <v>200</v>
      </c>
      <c r="AT86" s="1">
        <f>N86-M86</f>
        <v>310</v>
      </c>
      <c r="AU86" s="1">
        <f>O86-N86</f>
        <v>170</v>
      </c>
      <c r="AV86" s="1">
        <f>P86-O86</f>
        <v>220</v>
      </c>
      <c r="AW86" s="1">
        <f>Q86-P86</f>
        <v>200</v>
      </c>
      <c r="AX86" s="1">
        <f>R86-Q86</f>
        <v>210</v>
      </c>
      <c r="AY86" s="1">
        <f>S86-R86</f>
        <v>170</v>
      </c>
      <c r="AZ86" s="1">
        <f>T86-S86</f>
        <v>220</v>
      </c>
      <c r="BA86" s="1">
        <f>U86-T86</f>
        <v>190</v>
      </c>
      <c r="BB86" s="1">
        <f>V86-U86</f>
        <v>260</v>
      </c>
      <c r="BC86" s="1">
        <f>W86-V86</f>
        <v>210</v>
      </c>
      <c r="BD86" s="1">
        <f>X86-W86</f>
        <v>210</v>
      </c>
      <c r="BE86" s="1">
        <f>Y86-X86</f>
        <v>160</v>
      </c>
      <c r="BF86" s="1">
        <f>Z86-Y86</f>
        <v>440</v>
      </c>
    </row>
    <row r="87" spans="1:58">
      <c r="A87" s="1">
        <v>85</v>
      </c>
      <c r="B87" s="1">
        <v>499890</v>
      </c>
      <c r="C87" s="1">
        <v>500100</v>
      </c>
      <c r="D87" s="1">
        <v>500340</v>
      </c>
      <c r="E87" s="1">
        <v>500550</v>
      </c>
      <c r="F87" s="1">
        <v>500780</v>
      </c>
      <c r="G87" s="1">
        <v>500950</v>
      </c>
      <c r="H87" s="1">
        <v>501180</v>
      </c>
      <c r="I87" s="1">
        <v>501330</v>
      </c>
      <c r="J87" s="1">
        <v>501580</v>
      </c>
      <c r="K87" s="1">
        <v>501740</v>
      </c>
      <c r="L87" s="1">
        <v>501980</v>
      </c>
      <c r="M87" s="1">
        <v>502230</v>
      </c>
      <c r="N87" s="1">
        <v>502530</v>
      </c>
      <c r="O87" s="1">
        <v>502680</v>
      </c>
      <c r="P87" s="1">
        <v>502870</v>
      </c>
      <c r="Q87" s="1">
        <v>503110</v>
      </c>
      <c r="R87" s="1">
        <v>503220</v>
      </c>
      <c r="S87" s="1">
        <v>503490</v>
      </c>
      <c r="T87" s="1">
        <v>503710</v>
      </c>
      <c r="U87" s="1">
        <v>503930</v>
      </c>
      <c r="V87" s="1">
        <v>504110</v>
      </c>
      <c r="W87" s="1">
        <v>504290</v>
      </c>
      <c r="X87" s="1">
        <v>504470</v>
      </c>
      <c r="Y87" s="1">
        <v>504730</v>
      </c>
      <c r="Z87" s="1">
        <v>505190</v>
      </c>
      <c r="AA87" s="5">
        <f>AVERAGE(B87:Y87)</f>
        <v>502324.58333333331</v>
      </c>
      <c r="AB87" s="5">
        <f>(AA88-AA86)/2</f>
        <v>5254.583333333343</v>
      </c>
      <c r="AC87" s="14">
        <f>AB87/(23+AB151)</f>
        <v>210.50210511754074</v>
      </c>
      <c r="AD87" s="5">
        <f>AA87-AA86</f>
        <v>5249.5833333333139</v>
      </c>
      <c r="AE87" s="1">
        <f>AD87-AD86</f>
        <v>-36.25</v>
      </c>
      <c r="AG87" s="5">
        <f>Z87-Y87</f>
        <v>460</v>
      </c>
      <c r="AI87" s="1">
        <f>C87-B87</f>
        <v>210</v>
      </c>
      <c r="AJ87" s="1">
        <f>D87-C87</f>
        <v>240</v>
      </c>
      <c r="AK87" s="1">
        <f>E87-D87</f>
        <v>210</v>
      </c>
      <c r="AL87" s="1">
        <f>F87-E87</f>
        <v>230</v>
      </c>
      <c r="AM87" s="1">
        <f>G87-F87</f>
        <v>170</v>
      </c>
      <c r="AN87" s="1">
        <f>H87-G87</f>
        <v>230</v>
      </c>
      <c r="AO87" s="1">
        <f>I87-H87</f>
        <v>150</v>
      </c>
      <c r="AP87" s="1">
        <f>J87-I87</f>
        <v>250</v>
      </c>
      <c r="AQ87" s="1">
        <f>K87-J87</f>
        <v>160</v>
      </c>
      <c r="AR87" s="1">
        <f>L87-K87</f>
        <v>240</v>
      </c>
      <c r="AS87" s="1">
        <f>M87-L87</f>
        <v>250</v>
      </c>
      <c r="AT87" s="1">
        <f>N87-M87</f>
        <v>300</v>
      </c>
      <c r="AU87" s="1">
        <f>O87-N87</f>
        <v>150</v>
      </c>
      <c r="AV87" s="1">
        <f>P87-O87</f>
        <v>190</v>
      </c>
      <c r="AW87" s="1">
        <f>Q87-P87</f>
        <v>240</v>
      </c>
      <c r="AX87" s="1">
        <f>R87-Q87</f>
        <v>110</v>
      </c>
      <c r="AY87" s="1">
        <f>S87-R87</f>
        <v>270</v>
      </c>
      <c r="AZ87" s="1">
        <f>T87-S87</f>
        <v>220</v>
      </c>
      <c r="BA87" s="1">
        <f>U87-T87</f>
        <v>220</v>
      </c>
      <c r="BB87" s="1">
        <f>V87-U87</f>
        <v>180</v>
      </c>
      <c r="BC87" s="1">
        <f>W87-V87</f>
        <v>180</v>
      </c>
      <c r="BD87" s="1">
        <f>X87-W87</f>
        <v>180</v>
      </c>
      <c r="BE87" s="1">
        <f>Y87-X87</f>
        <v>260</v>
      </c>
      <c r="BF87" s="1">
        <f>Z87-Y87</f>
        <v>460</v>
      </c>
    </row>
    <row r="88" spans="1:58">
      <c r="A88" s="1">
        <v>86</v>
      </c>
      <c r="B88" s="1">
        <v>505190</v>
      </c>
      <c r="C88" s="1">
        <v>505380</v>
      </c>
      <c r="D88" s="1">
        <v>505640</v>
      </c>
      <c r="E88" s="1">
        <v>505930</v>
      </c>
      <c r="F88" s="1">
        <v>506080</v>
      </c>
      <c r="G88" s="1">
        <v>506230</v>
      </c>
      <c r="H88" s="1">
        <v>506470</v>
      </c>
      <c r="I88" s="1">
        <v>506600</v>
      </c>
      <c r="J88" s="1">
        <v>506800</v>
      </c>
      <c r="K88" s="1">
        <v>507020</v>
      </c>
      <c r="L88" s="1">
        <v>507190</v>
      </c>
      <c r="M88" s="1">
        <v>507350</v>
      </c>
      <c r="N88" s="1">
        <v>507680</v>
      </c>
      <c r="O88" s="1">
        <v>507930</v>
      </c>
      <c r="P88" s="1">
        <v>508130</v>
      </c>
      <c r="Q88" s="1">
        <v>508340</v>
      </c>
      <c r="R88" s="1">
        <v>508570</v>
      </c>
      <c r="S88" s="1">
        <v>508770</v>
      </c>
      <c r="T88" s="1">
        <v>508880</v>
      </c>
      <c r="U88" s="1">
        <v>509160</v>
      </c>
      <c r="V88" s="1">
        <v>509340</v>
      </c>
      <c r="W88" s="1">
        <v>509550</v>
      </c>
      <c r="X88" s="1">
        <v>509760</v>
      </c>
      <c r="Y88" s="1">
        <v>510030</v>
      </c>
      <c r="Z88" s="1">
        <v>510440</v>
      </c>
      <c r="AA88" s="5">
        <f>AVERAGE(B88:Y88)</f>
        <v>507584.16666666669</v>
      </c>
      <c r="AB88" s="5">
        <f>(AA89-AA87)/2</f>
        <v>5250.4166666666861</v>
      </c>
      <c r="AC88" s="14">
        <f>AB88/(23+AB151)</f>
        <v>210.33518567806959</v>
      </c>
      <c r="AD88" s="5">
        <f>AA88-AA87</f>
        <v>5259.5833333333721</v>
      </c>
      <c r="AE88" s="1">
        <f>AD88-AD87</f>
        <v>10.000000000058208</v>
      </c>
      <c r="AG88" s="5">
        <f>Z88-Y88</f>
        <v>410</v>
      </c>
      <c r="AI88" s="1">
        <f>C88-B88</f>
        <v>190</v>
      </c>
      <c r="AJ88" s="1">
        <f>D88-C88</f>
        <v>260</v>
      </c>
      <c r="AK88" s="1">
        <f>E88-D88</f>
        <v>290</v>
      </c>
      <c r="AL88" s="1">
        <f>F88-E88</f>
        <v>150</v>
      </c>
      <c r="AM88" s="1">
        <f>G88-F88</f>
        <v>150</v>
      </c>
      <c r="AN88" s="1">
        <f>H88-G88</f>
        <v>240</v>
      </c>
      <c r="AO88" s="1">
        <f>I88-H88</f>
        <v>130</v>
      </c>
      <c r="AP88" s="1">
        <f>J88-I88</f>
        <v>200</v>
      </c>
      <c r="AQ88" s="1">
        <f>K88-J88</f>
        <v>220</v>
      </c>
      <c r="AR88" s="1">
        <f>L88-K88</f>
        <v>170</v>
      </c>
      <c r="AS88" s="1">
        <f>M88-L88</f>
        <v>160</v>
      </c>
      <c r="AT88" s="1">
        <f>N88-M88</f>
        <v>330</v>
      </c>
      <c r="AU88" s="1">
        <f>O88-N88</f>
        <v>250</v>
      </c>
      <c r="AV88" s="1">
        <f>P88-O88</f>
        <v>200</v>
      </c>
      <c r="AW88" s="1">
        <f>Q88-P88</f>
        <v>210</v>
      </c>
      <c r="AX88" s="1">
        <f>R88-Q88</f>
        <v>230</v>
      </c>
      <c r="AY88" s="1">
        <f>S88-R88</f>
        <v>200</v>
      </c>
      <c r="AZ88" s="1">
        <f>T88-S88</f>
        <v>110</v>
      </c>
      <c r="BA88" s="1">
        <f>U88-T88</f>
        <v>280</v>
      </c>
      <c r="BB88" s="1">
        <f>V88-U88</f>
        <v>180</v>
      </c>
      <c r="BC88" s="1">
        <f>W88-V88</f>
        <v>210</v>
      </c>
      <c r="BD88" s="1">
        <f>X88-W88</f>
        <v>210</v>
      </c>
      <c r="BE88" s="1">
        <f>Y88-X88</f>
        <v>270</v>
      </c>
      <c r="BF88" s="1">
        <f>Z88-Y88</f>
        <v>410</v>
      </c>
    </row>
    <row r="89" spans="1:58">
      <c r="A89" s="1">
        <v>87</v>
      </c>
      <c r="B89" s="1">
        <v>510440</v>
      </c>
      <c r="C89" s="1">
        <v>510620</v>
      </c>
      <c r="D89" s="1">
        <v>510870</v>
      </c>
      <c r="E89" s="1">
        <v>511040</v>
      </c>
      <c r="F89" s="1">
        <v>511310</v>
      </c>
      <c r="G89" s="1">
        <v>511520</v>
      </c>
      <c r="H89" s="1">
        <v>511660</v>
      </c>
      <c r="I89" s="1">
        <v>511850</v>
      </c>
      <c r="J89" s="1">
        <v>512090</v>
      </c>
      <c r="K89" s="1">
        <v>512230</v>
      </c>
      <c r="L89" s="1">
        <v>512450</v>
      </c>
      <c r="M89" s="1">
        <v>512660</v>
      </c>
      <c r="N89" s="1">
        <v>512930</v>
      </c>
      <c r="O89" s="1">
        <v>513200</v>
      </c>
      <c r="P89" s="1">
        <v>513390</v>
      </c>
      <c r="Q89" s="1">
        <v>513550</v>
      </c>
      <c r="R89" s="1">
        <v>513790</v>
      </c>
      <c r="S89" s="1">
        <v>514080</v>
      </c>
      <c r="T89" s="1">
        <v>514190</v>
      </c>
      <c r="U89" s="1">
        <v>514390</v>
      </c>
      <c r="V89" s="1">
        <v>514620</v>
      </c>
      <c r="W89" s="1">
        <v>514810</v>
      </c>
      <c r="X89" s="1">
        <v>514940</v>
      </c>
      <c r="Y89" s="1">
        <v>515180</v>
      </c>
      <c r="Z89" s="1">
        <v>515680</v>
      </c>
      <c r="AA89" s="5">
        <f>AVERAGE(B89:Y89)</f>
        <v>512825.41666666669</v>
      </c>
      <c r="AB89" s="5">
        <f>(AA90-AA88)/2</f>
        <v>5241.875</v>
      </c>
      <c r="AC89" s="14">
        <f>AB89/(23+AB151)</f>
        <v>209.9930008271522</v>
      </c>
      <c r="AD89" s="5">
        <f>AA89-AA88</f>
        <v>5241.25</v>
      </c>
      <c r="AE89" s="1">
        <f>AD89-AD88</f>
        <v>-18.333333333372138</v>
      </c>
      <c r="AG89" s="5">
        <f>Z89-Y89</f>
        <v>500</v>
      </c>
      <c r="AI89" s="1">
        <f>C89-B89</f>
        <v>180</v>
      </c>
      <c r="AJ89" s="1">
        <f>D89-C89</f>
        <v>250</v>
      </c>
      <c r="AK89" s="1">
        <f>E89-D89</f>
        <v>170</v>
      </c>
      <c r="AL89" s="1">
        <f>F89-E89</f>
        <v>270</v>
      </c>
      <c r="AM89" s="1">
        <f>G89-F89</f>
        <v>210</v>
      </c>
      <c r="AN89" s="1">
        <f>H89-G89</f>
        <v>140</v>
      </c>
      <c r="AO89" s="1">
        <f>I89-H89</f>
        <v>190</v>
      </c>
      <c r="AP89" s="1">
        <f>J89-I89</f>
        <v>240</v>
      </c>
      <c r="AQ89" s="1">
        <f>K89-J89</f>
        <v>140</v>
      </c>
      <c r="AR89" s="1">
        <f>L89-K89</f>
        <v>220</v>
      </c>
      <c r="AS89" s="1">
        <f>M89-L89</f>
        <v>210</v>
      </c>
      <c r="AT89" s="1">
        <f>N89-M89</f>
        <v>270</v>
      </c>
      <c r="AU89" s="1">
        <f>O89-N89</f>
        <v>270</v>
      </c>
      <c r="AV89" s="1">
        <f>P89-O89</f>
        <v>190</v>
      </c>
      <c r="AW89" s="1">
        <f>Q89-P89</f>
        <v>160</v>
      </c>
      <c r="AX89" s="1">
        <f>R89-Q89</f>
        <v>240</v>
      </c>
      <c r="AY89" s="1">
        <f>S89-R89</f>
        <v>290</v>
      </c>
      <c r="AZ89" s="1">
        <f>T89-S89</f>
        <v>110</v>
      </c>
      <c r="BA89" s="1">
        <f>U89-T89</f>
        <v>200</v>
      </c>
      <c r="BB89" s="1">
        <f>V89-U89</f>
        <v>230</v>
      </c>
      <c r="BC89" s="1">
        <f>W89-V89</f>
        <v>190</v>
      </c>
      <c r="BD89" s="1">
        <f>X89-W89</f>
        <v>130</v>
      </c>
      <c r="BE89" s="1">
        <f>Y89-X89</f>
        <v>240</v>
      </c>
      <c r="BF89" s="1">
        <f>Z89-Y89</f>
        <v>500</v>
      </c>
    </row>
    <row r="90" spans="1:58">
      <c r="A90" s="1">
        <v>88</v>
      </c>
      <c r="B90" s="1">
        <v>515680</v>
      </c>
      <c r="C90" s="1">
        <v>515880</v>
      </c>
      <c r="D90" s="1">
        <v>516110</v>
      </c>
      <c r="E90" s="1">
        <v>516310</v>
      </c>
      <c r="F90" s="1">
        <v>516590</v>
      </c>
      <c r="G90" s="1">
        <v>516830</v>
      </c>
      <c r="H90" s="1">
        <v>516900</v>
      </c>
      <c r="I90" s="1">
        <v>517200</v>
      </c>
      <c r="J90" s="1">
        <v>517300</v>
      </c>
      <c r="K90" s="1">
        <v>517510</v>
      </c>
      <c r="L90" s="1">
        <v>517660</v>
      </c>
      <c r="M90" s="1">
        <v>517840</v>
      </c>
      <c r="N90" s="1">
        <v>518200</v>
      </c>
      <c r="O90" s="1">
        <v>518420</v>
      </c>
      <c r="P90" s="1">
        <v>518540</v>
      </c>
      <c r="Q90" s="1">
        <v>518800</v>
      </c>
      <c r="R90" s="1">
        <v>519030</v>
      </c>
      <c r="S90" s="1">
        <v>519190</v>
      </c>
      <c r="T90" s="1">
        <v>519430</v>
      </c>
      <c r="U90" s="1">
        <v>519600</v>
      </c>
      <c r="V90" s="1">
        <v>519860</v>
      </c>
      <c r="W90" s="1">
        <v>520170</v>
      </c>
      <c r="X90" s="1">
        <v>520210</v>
      </c>
      <c r="Y90" s="1">
        <v>520370</v>
      </c>
      <c r="Z90" s="1">
        <v>520890</v>
      </c>
      <c r="AA90" s="5">
        <f>AVERAGE(B90:Y90)</f>
        <v>518067.91666666669</v>
      </c>
      <c r="AB90" s="5">
        <f>(AA91-AA89)/2</f>
        <v>5237.7083333333139</v>
      </c>
      <c r="AC90" s="14">
        <f>AB90/(23+AB151)</f>
        <v>209.82608138767989</v>
      </c>
      <c r="AD90" s="5">
        <f>AA90-AA89</f>
        <v>5242.5</v>
      </c>
      <c r="AE90" s="1">
        <f>AD90-AD89</f>
        <v>1.25</v>
      </c>
      <c r="AG90" s="5">
        <f>Z90-Y90</f>
        <v>520</v>
      </c>
      <c r="AI90" s="1">
        <f>C90-B90</f>
        <v>200</v>
      </c>
      <c r="AJ90" s="1">
        <f>D90-C90</f>
        <v>230</v>
      </c>
      <c r="AK90" s="1">
        <f>E90-D90</f>
        <v>200</v>
      </c>
      <c r="AL90" s="1">
        <f>F90-E90</f>
        <v>280</v>
      </c>
      <c r="AM90" s="1">
        <f>G90-F90</f>
        <v>240</v>
      </c>
      <c r="AN90" s="1">
        <f>H90-G90</f>
        <v>70</v>
      </c>
      <c r="AO90" s="1">
        <f>I90-H90</f>
        <v>300</v>
      </c>
      <c r="AP90" s="1">
        <f>J90-I90</f>
        <v>100</v>
      </c>
      <c r="AQ90" s="1">
        <f>K90-J90</f>
        <v>210</v>
      </c>
      <c r="AR90" s="1">
        <f>L90-K90</f>
        <v>150</v>
      </c>
      <c r="AS90" s="1">
        <f>M90-L90</f>
        <v>180</v>
      </c>
      <c r="AT90" s="1">
        <f>N90-M90</f>
        <v>360</v>
      </c>
      <c r="AU90" s="1">
        <f>O90-N90</f>
        <v>220</v>
      </c>
      <c r="AV90" s="1">
        <f>P90-O90</f>
        <v>120</v>
      </c>
      <c r="AW90" s="1">
        <f>Q90-P90</f>
        <v>260</v>
      </c>
      <c r="AX90" s="1">
        <f>R90-Q90</f>
        <v>230</v>
      </c>
      <c r="AY90" s="1">
        <f>S90-R90</f>
        <v>160</v>
      </c>
      <c r="AZ90" s="1">
        <f>T90-S90</f>
        <v>240</v>
      </c>
      <c r="BA90" s="1">
        <f>U90-T90</f>
        <v>170</v>
      </c>
      <c r="BB90" s="1">
        <f>V90-U90</f>
        <v>260</v>
      </c>
      <c r="BC90" s="1">
        <f>W90-V90</f>
        <v>310</v>
      </c>
      <c r="BD90" s="1">
        <f>X90-W90</f>
        <v>40</v>
      </c>
      <c r="BE90" s="1">
        <f>Y90-X90</f>
        <v>160</v>
      </c>
      <c r="BF90" s="1">
        <f>Z90-Y90</f>
        <v>520</v>
      </c>
    </row>
    <row r="91" spans="1:58">
      <c r="A91" s="1">
        <v>89</v>
      </c>
      <c r="B91" s="1">
        <v>520890</v>
      </c>
      <c r="C91" s="1">
        <v>521120</v>
      </c>
      <c r="D91" s="1">
        <v>521360</v>
      </c>
      <c r="E91" s="1">
        <v>521550</v>
      </c>
      <c r="F91" s="1">
        <v>521760</v>
      </c>
      <c r="G91" s="1">
        <v>521910</v>
      </c>
      <c r="H91" s="1">
        <v>522160</v>
      </c>
      <c r="I91" s="1">
        <v>522400</v>
      </c>
      <c r="J91" s="1">
        <v>522560</v>
      </c>
      <c r="K91" s="1">
        <v>522690</v>
      </c>
      <c r="L91" s="1">
        <v>522870</v>
      </c>
      <c r="M91" s="1">
        <v>523130</v>
      </c>
      <c r="N91" s="1">
        <v>523410</v>
      </c>
      <c r="O91" s="1">
        <v>523600</v>
      </c>
      <c r="P91" s="1">
        <v>523840</v>
      </c>
      <c r="Q91" s="1">
        <v>524040</v>
      </c>
      <c r="R91" s="1">
        <v>524240</v>
      </c>
      <c r="S91" s="1">
        <v>524460</v>
      </c>
      <c r="T91" s="1">
        <v>524660</v>
      </c>
      <c r="U91" s="1">
        <v>525030</v>
      </c>
      <c r="V91" s="1">
        <v>525060</v>
      </c>
      <c r="W91" s="1">
        <v>525270</v>
      </c>
      <c r="X91" s="1">
        <v>525490</v>
      </c>
      <c r="Y91" s="1">
        <v>525720</v>
      </c>
      <c r="Z91" s="1">
        <v>526140</v>
      </c>
      <c r="AA91" s="5">
        <f>AVERAGE(B91:Y91)</f>
        <v>523300.83333333331</v>
      </c>
      <c r="AB91" s="5">
        <f>(AA92-AA90)/2</f>
        <v>5235.6249999999709</v>
      </c>
      <c r="AC91" s="14">
        <f>AB91/(23+AB151)</f>
        <v>209.74262166794375</v>
      </c>
      <c r="AD91" s="5">
        <f>AA91-AA90</f>
        <v>5232.9166666666279</v>
      </c>
      <c r="AE91" s="1">
        <f>AD91-AD90</f>
        <v>-9.5833333333721384</v>
      </c>
      <c r="AG91" s="5">
        <f>Z91-Y91</f>
        <v>420</v>
      </c>
      <c r="AI91" s="1">
        <f>C91-B91</f>
        <v>230</v>
      </c>
      <c r="AJ91" s="1">
        <f>D91-C91</f>
        <v>240</v>
      </c>
      <c r="AK91" s="1">
        <f>E91-D91</f>
        <v>190</v>
      </c>
      <c r="AL91" s="1">
        <f>F91-E91</f>
        <v>210</v>
      </c>
      <c r="AM91" s="1">
        <f>G91-F91</f>
        <v>150</v>
      </c>
      <c r="AN91" s="1">
        <f>H91-G91</f>
        <v>250</v>
      </c>
      <c r="AO91" s="1">
        <f>I91-H91</f>
        <v>240</v>
      </c>
      <c r="AP91" s="1">
        <f>J91-I91</f>
        <v>160</v>
      </c>
      <c r="AQ91" s="1">
        <f>K91-J91</f>
        <v>130</v>
      </c>
      <c r="AR91" s="1">
        <f>L91-K91</f>
        <v>180</v>
      </c>
      <c r="AS91" s="1">
        <f>M91-L91</f>
        <v>260</v>
      </c>
      <c r="AT91" s="1">
        <f>N91-M91</f>
        <v>280</v>
      </c>
      <c r="AU91" s="1">
        <f>O91-N91</f>
        <v>190</v>
      </c>
      <c r="AV91" s="1">
        <f>P91-O91</f>
        <v>240</v>
      </c>
      <c r="AW91" s="1">
        <f>Q91-P91</f>
        <v>200</v>
      </c>
      <c r="AX91" s="1">
        <f>R91-Q91</f>
        <v>200</v>
      </c>
      <c r="AY91" s="1">
        <f>S91-R91</f>
        <v>220</v>
      </c>
      <c r="AZ91" s="1">
        <f>T91-S91</f>
        <v>200</v>
      </c>
      <c r="BA91" s="1">
        <f>U91-T91</f>
        <v>370</v>
      </c>
      <c r="BB91" s="1">
        <f>V91-U91</f>
        <v>30</v>
      </c>
      <c r="BC91" s="1">
        <f>W91-V91</f>
        <v>210</v>
      </c>
      <c r="BD91" s="1">
        <f>X91-W91</f>
        <v>220</v>
      </c>
      <c r="BE91" s="1">
        <f>Y91-X91</f>
        <v>230</v>
      </c>
      <c r="BF91" s="1">
        <f>Z91-Y91</f>
        <v>420</v>
      </c>
    </row>
    <row r="92" spans="1:58">
      <c r="A92" s="1">
        <v>90</v>
      </c>
      <c r="B92" s="1">
        <v>526140</v>
      </c>
      <c r="C92" s="1">
        <v>526350</v>
      </c>
      <c r="D92" s="1">
        <v>526590</v>
      </c>
      <c r="E92" s="1">
        <v>526810</v>
      </c>
      <c r="F92" s="1">
        <v>526990</v>
      </c>
      <c r="G92" s="1">
        <v>527150</v>
      </c>
      <c r="H92" s="1">
        <v>527340</v>
      </c>
      <c r="I92" s="1">
        <v>527640</v>
      </c>
      <c r="J92" s="1">
        <v>527730</v>
      </c>
      <c r="K92" s="1">
        <v>528030</v>
      </c>
      <c r="L92" s="1">
        <v>528190</v>
      </c>
      <c r="M92" s="1">
        <v>528420</v>
      </c>
      <c r="N92" s="1">
        <v>528610</v>
      </c>
      <c r="O92" s="1">
        <v>528850</v>
      </c>
      <c r="P92" s="1">
        <v>529110</v>
      </c>
      <c r="Q92" s="1">
        <v>529300</v>
      </c>
      <c r="R92" s="1">
        <v>529500</v>
      </c>
      <c r="S92" s="1">
        <v>529680</v>
      </c>
      <c r="T92" s="1">
        <v>529890</v>
      </c>
      <c r="U92" s="1">
        <v>530170</v>
      </c>
      <c r="V92" s="1">
        <v>530290</v>
      </c>
      <c r="W92" s="1">
        <v>530510</v>
      </c>
      <c r="X92" s="1">
        <v>530710</v>
      </c>
      <c r="Y92" s="1">
        <v>530940</v>
      </c>
      <c r="Z92" s="1">
        <v>531380</v>
      </c>
      <c r="AA92" s="5">
        <f>AVERAGE(B92:Y92)</f>
        <v>528539.16666666663</v>
      </c>
      <c r="AB92" s="5">
        <f>(AA93-AA91)/2</f>
        <v>5241.2500000000291</v>
      </c>
      <c r="AC92" s="14">
        <f>AB92/(23+AB151)</f>
        <v>209.96796291123263</v>
      </c>
      <c r="AD92" s="5">
        <f>AA92-AA91</f>
        <v>5238.3333333333139</v>
      </c>
      <c r="AE92" s="1">
        <f>AD92-AD91</f>
        <v>5.4166666666860692</v>
      </c>
      <c r="AG92" s="5">
        <f>Z92-Y92</f>
        <v>440</v>
      </c>
      <c r="AI92" s="1">
        <f>C92-B92</f>
        <v>210</v>
      </c>
      <c r="AJ92" s="1">
        <f>D92-C92</f>
        <v>240</v>
      </c>
      <c r="AK92" s="1">
        <f>E92-D92</f>
        <v>220</v>
      </c>
      <c r="AL92" s="1">
        <f>F92-E92</f>
        <v>180</v>
      </c>
      <c r="AM92" s="1">
        <f>G92-F92</f>
        <v>160</v>
      </c>
      <c r="AN92" s="1">
        <f>H92-G92</f>
        <v>190</v>
      </c>
      <c r="AO92" s="1">
        <f>I92-H92</f>
        <v>300</v>
      </c>
      <c r="AP92" s="1">
        <f>J92-I92</f>
        <v>90</v>
      </c>
      <c r="AQ92" s="1">
        <f>K92-J92</f>
        <v>300</v>
      </c>
      <c r="AR92" s="1">
        <f>L92-K92</f>
        <v>160</v>
      </c>
      <c r="AS92" s="1">
        <f>M92-L92</f>
        <v>230</v>
      </c>
      <c r="AT92" s="1">
        <f>N92-M92</f>
        <v>190</v>
      </c>
      <c r="AU92" s="1">
        <f>O92-N92</f>
        <v>240</v>
      </c>
      <c r="AV92" s="1">
        <f>P92-O92</f>
        <v>260</v>
      </c>
      <c r="AW92" s="1">
        <f>Q92-P92</f>
        <v>190</v>
      </c>
      <c r="AX92" s="1">
        <f>R92-Q92</f>
        <v>200</v>
      </c>
      <c r="AY92" s="1">
        <f>S92-R92</f>
        <v>180</v>
      </c>
      <c r="AZ92" s="1">
        <f>T92-S92</f>
        <v>210</v>
      </c>
      <c r="BA92" s="1">
        <f>U92-T92</f>
        <v>280</v>
      </c>
      <c r="BB92" s="1">
        <f>V92-U92</f>
        <v>120</v>
      </c>
      <c r="BC92" s="1">
        <f>W92-V92</f>
        <v>220</v>
      </c>
      <c r="BD92" s="1">
        <f>X92-W92</f>
        <v>200</v>
      </c>
      <c r="BE92" s="1">
        <f>Y92-X92</f>
        <v>230</v>
      </c>
      <c r="BF92" s="1">
        <f>Z92-Y92</f>
        <v>440</v>
      </c>
    </row>
    <row r="93" spans="1:58">
      <c r="A93" s="1">
        <v>91</v>
      </c>
      <c r="B93" s="1">
        <v>531380</v>
      </c>
      <c r="C93" s="1">
        <v>531560</v>
      </c>
      <c r="D93" s="1">
        <v>531820</v>
      </c>
      <c r="E93" s="1">
        <v>532030</v>
      </c>
      <c r="F93" s="1">
        <v>532240</v>
      </c>
      <c r="G93" s="1">
        <v>532440</v>
      </c>
      <c r="H93" s="1">
        <v>532660</v>
      </c>
      <c r="I93" s="1">
        <v>532840</v>
      </c>
      <c r="J93" s="1">
        <v>533030</v>
      </c>
      <c r="K93" s="1">
        <v>533230</v>
      </c>
      <c r="L93" s="1">
        <v>533430</v>
      </c>
      <c r="M93" s="1">
        <v>533690</v>
      </c>
      <c r="N93" s="1">
        <v>533890</v>
      </c>
      <c r="O93" s="1">
        <v>534080</v>
      </c>
      <c r="P93" s="1">
        <v>534320</v>
      </c>
      <c r="Q93" s="1">
        <v>534530</v>
      </c>
      <c r="R93" s="1">
        <v>534770</v>
      </c>
      <c r="S93" s="1">
        <v>534990</v>
      </c>
      <c r="T93" s="1">
        <v>535160</v>
      </c>
      <c r="U93" s="1">
        <v>535300</v>
      </c>
      <c r="V93" s="1">
        <v>535580</v>
      </c>
      <c r="W93" s="1">
        <v>535760</v>
      </c>
      <c r="X93" s="1">
        <v>535960</v>
      </c>
      <c r="Y93" s="1">
        <v>536110</v>
      </c>
      <c r="Z93" s="1">
        <v>536610</v>
      </c>
      <c r="AA93" s="5">
        <f>AVERAGE(B93:Y93)</f>
        <v>533783.33333333337</v>
      </c>
      <c r="AB93" s="5">
        <f>(AA94-AA92)/2</f>
        <v>5236.6666666666861</v>
      </c>
      <c r="AC93" s="14">
        <f>AB93/(23+AB151)</f>
        <v>209.78435152781356</v>
      </c>
      <c r="AD93" s="5">
        <f>AA93-AA92</f>
        <v>5244.1666666667443</v>
      </c>
      <c r="AE93" s="1">
        <f>AD93-AD92</f>
        <v>5.8333333334303461</v>
      </c>
      <c r="AG93" s="5">
        <f>Z93-Y93</f>
        <v>500</v>
      </c>
      <c r="AI93" s="1">
        <f>C93-B93</f>
        <v>180</v>
      </c>
      <c r="AJ93" s="1">
        <f>D93-C93</f>
        <v>260</v>
      </c>
      <c r="AK93" s="1">
        <f>E93-D93</f>
        <v>210</v>
      </c>
      <c r="AL93" s="1">
        <f>F93-E93</f>
        <v>210</v>
      </c>
      <c r="AM93" s="1">
        <f>G93-F93</f>
        <v>200</v>
      </c>
      <c r="AN93" s="1">
        <f>H93-G93</f>
        <v>220</v>
      </c>
      <c r="AO93" s="1">
        <f>I93-H93</f>
        <v>180</v>
      </c>
      <c r="AP93" s="1">
        <f>J93-I93</f>
        <v>190</v>
      </c>
      <c r="AQ93" s="1">
        <f>K93-J93</f>
        <v>200</v>
      </c>
      <c r="AR93" s="1">
        <f>L93-K93</f>
        <v>200</v>
      </c>
      <c r="AS93" s="1">
        <f>M93-L93</f>
        <v>260</v>
      </c>
      <c r="AT93" s="1">
        <f>N93-M93</f>
        <v>200</v>
      </c>
      <c r="AU93" s="1">
        <f>O93-N93</f>
        <v>190</v>
      </c>
      <c r="AV93" s="1">
        <f>P93-O93</f>
        <v>240</v>
      </c>
      <c r="AW93" s="1">
        <f>Q93-P93</f>
        <v>210</v>
      </c>
      <c r="AX93" s="1">
        <f>R93-Q93</f>
        <v>240</v>
      </c>
      <c r="AY93" s="1">
        <f>S93-R93</f>
        <v>220</v>
      </c>
      <c r="AZ93" s="1">
        <f>T93-S93</f>
        <v>170</v>
      </c>
      <c r="BA93" s="1">
        <f>U93-T93</f>
        <v>140</v>
      </c>
      <c r="BB93" s="1">
        <f>V93-U93</f>
        <v>280</v>
      </c>
      <c r="BC93" s="1">
        <f>W93-V93</f>
        <v>180</v>
      </c>
      <c r="BD93" s="1">
        <f>X93-W93</f>
        <v>200</v>
      </c>
      <c r="BE93" s="1">
        <f>Y93-X93</f>
        <v>150</v>
      </c>
      <c r="BF93" s="1">
        <f>Z93-Y93</f>
        <v>500</v>
      </c>
    </row>
    <row r="94" spans="1:58">
      <c r="A94" s="1">
        <v>92</v>
      </c>
      <c r="B94" s="1">
        <v>536610</v>
      </c>
      <c r="C94" s="1">
        <v>536820</v>
      </c>
      <c r="D94" s="1">
        <v>537060</v>
      </c>
      <c r="E94" s="1">
        <v>537250</v>
      </c>
      <c r="F94" s="1">
        <v>537460</v>
      </c>
      <c r="G94" s="1">
        <v>537630</v>
      </c>
      <c r="H94" s="1">
        <v>537840</v>
      </c>
      <c r="I94" s="1">
        <v>538080</v>
      </c>
      <c r="J94" s="1">
        <v>538260</v>
      </c>
      <c r="K94" s="1">
        <v>538460</v>
      </c>
      <c r="L94" s="1">
        <v>538640</v>
      </c>
      <c r="M94" s="1">
        <v>538910</v>
      </c>
      <c r="N94" s="1">
        <v>539120</v>
      </c>
      <c r="O94" s="1">
        <v>539380</v>
      </c>
      <c r="P94" s="1">
        <v>539550</v>
      </c>
      <c r="Q94" s="1">
        <v>539790</v>
      </c>
      <c r="R94" s="1">
        <v>540000</v>
      </c>
      <c r="S94" s="1">
        <v>540220</v>
      </c>
      <c r="T94" s="1">
        <v>540290</v>
      </c>
      <c r="U94" s="1">
        <v>540570</v>
      </c>
      <c r="V94" s="1">
        <v>540740</v>
      </c>
      <c r="W94" s="1">
        <v>540960</v>
      </c>
      <c r="X94" s="1">
        <v>541210</v>
      </c>
      <c r="Y94" s="1">
        <v>541450</v>
      </c>
      <c r="Z94" s="1">
        <v>541880</v>
      </c>
      <c r="AA94" s="5">
        <f>AVERAGE(B94:Y94)</f>
        <v>539012.5</v>
      </c>
      <c r="AB94" s="5">
        <f>(AA95-AA93)/2</f>
        <v>5237.9166666666279</v>
      </c>
      <c r="AC94" s="14">
        <f>AB94/(23+AB151)</f>
        <v>209.83442735965269</v>
      </c>
      <c r="AD94" s="5">
        <f>AA94-AA93</f>
        <v>5229.1666666666279</v>
      </c>
      <c r="AE94" s="1">
        <f>AD94-AD93</f>
        <v>-15.000000000116415</v>
      </c>
      <c r="AG94" s="5">
        <f>Z94-Y94</f>
        <v>430</v>
      </c>
      <c r="AI94" s="1">
        <f>C94-B94</f>
        <v>210</v>
      </c>
      <c r="AJ94" s="1">
        <f>D94-C94</f>
        <v>240</v>
      </c>
      <c r="AK94" s="1">
        <f>E94-D94</f>
        <v>190</v>
      </c>
      <c r="AL94" s="1">
        <f>F94-E94</f>
        <v>210</v>
      </c>
      <c r="AM94" s="1">
        <f>G94-F94</f>
        <v>170</v>
      </c>
      <c r="AN94" s="1">
        <f>H94-G94</f>
        <v>210</v>
      </c>
      <c r="AO94" s="1">
        <f>I94-H94</f>
        <v>240</v>
      </c>
      <c r="AP94" s="1">
        <f>J94-I94</f>
        <v>180</v>
      </c>
      <c r="AQ94" s="1">
        <f>K94-J94</f>
        <v>200</v>
      </c>
      <c r="AR94" s="1">
        <f>L94-K94</f>
        <v>180</v>
      </c>
      <c r="AS94" s="1">
        <f>M94-L94</f>
        <v>270</v>
      </c>
      <c r="AT94" s="1">
        <f>N94-M94</f>
        <v>210</v>
      </c>
      <c r="AU94" s="1">
        <f>O94-N94</f>
        <v>260</v>
      </c>
      <c r="AV94" s="1">
        <f>P94-O94</f>
        <v>170</v>
      </c>
      <c r="AW94" s="1">
        <f>Q94-P94</f>
        <v>240</v>
      </c>
      <c r="AX94" s="1">
        <f>R94-Q94</f>
        <v>210</v>
      </c>
      <c r="AY94" s="1">
        <f>S94-R94</f>
        <v>220</v>
      </c>
      <c r="AZ94" s="1">
        <f>T94-S94</f>
        <v>70</v>
      </c>
      <c r="BA94" s="1">
        <f>U94-T94</f>
        <v>280</v>
      </c>
      <c r="BB94" s="1">
        <f>V94-U94</f>
        <v>170</v>
      </c>
      <c r="BC94" s="1">
        <f>W94-V94</f>
        <v>220</v>
      </c>
      <c r="BD94" s="1">
        <f>X94-W94</f>
        <v>250</v>
      </c>
      <c r="BE94" s="1">
        <f>Y94-X94</f>
        <v>240</v>
      </c>
      <c r="BF94" s="1">
        <f>Z94-Y94</f>
        <v>430</v>
      </c>
    </row>
    <row r="95" spans="1:58">
      <c r="A95" s="1">
        <v>93</v>
      </c>
      <c r="B95" s="1">
        <v>541880</v>
      </c>
      <c r="C95" s="1">
        <v>542070</v>
      </c>
      <c r="D95" s="1">
        <v>542320</v>
      </c>
      <c r="E95" s="1">
        <v>542470</v>
      </c>
      <c r="F95" s="1">
        <v>542730</v>
      </c>
      <c r="G95" s="1">
        <v>542910</v>
      </c>
      <c r="H95" s="1">
        <v>543090</v>
      </c>
      <c r="I95" s="1">
        <v>543310</v>
      </c>
      <c r="J95" s="1">
        <v>543490</v>
      </c>
      <c r="K95" s="1">
        <v>543670</v>
      </c>
      <c r="L95" s="1">
        <v>543930</v>
      </c>
      <c r="M95" s="1">
        <v>544120</v>
      </c>
      <c r="N95" s="1">
        <v>544390</v>
      </c>
      <c r="O95" s="1">
        <v>544620</v>
      </c>
      <c r="P95" s="1">
        <v>544840</v>
      </c>
      <c r="Q95" s="1">
        <v>545080</v>
      </c>
      <c r="R95" s="1">
        <v>545230</v>
      </c>
      <c r="S95" s="1">
        <v>545440</v>
      </c>
      <c r="T95" s="1">
        <v>545640</v>
      </c>
      <c r="U95" s="1">
        <v>545790</v>
      </c>
      <c r="V95" s="1">
        <v>545930</v>
      </c>
      <c r="W95" s="1">
        <v>546170</v>
      </c>
      <c r="X95" s="1">
        <v>546430</v>
      </c>
      <c r="Y95" s="1">
        <v>546670</v>
      </c>
      <c r="Z95" s="1">
        <v>547130</v>
      </c>
      <c r="AA95" s="5">
        <f>AVERAGE(B95:Y95)</f>
        <v>544259.16666666663</v>
      </c>
      <c r="AB95" s="5">
        <f>(AA96-AA94)/2</f>
        <v>5251.875</v>
      </c>
      <c r="AC95" s="14">
        <f>AB95/(23+AB151)</f>
        <v>210.39360748188386</v>
      </c>
      <c r="AD95" s="5">
        <f>AA95-AA94</f>
        <v>5246.6666666666279</v>
      </c>
      <c r="AE95" s="1">
        <f>AD95-AD94</f>
        <v>17.5</v>
      </c>
      <c r="AG95" s="5">
        <f>Z95-Y95</f>
        <v>460</v>
      </c>
      <c r="AI95" s="1">
        <f>C95-B95</f>
        <v>190</v>
      </c>
      <c r="AJ95" s="1">
        <f>D95-C95</f>
        <v>250</v>
      </c>
      <c r="AK95" s="1">
        <f>E95-D95</f>
        <v>150</v>
      </c>
      <c r="AL95" s="1">
        <f>F95-E95</f>
        <v>260</v>
      </c>
      <c r="AM95" s="1">
        <f>G95-F95</f>
        <v>180</v>
      </c>
      <c r="AN95" s="1">
        <f>H95-G95</f>
        <v>180</v>
      </c>
      <c r="AO95" s="1">
        <f>I95-H95</f>
        <v>220</v>
      </c>
      <c r="AP95" s="1">
        <f>J95-I95</f>
        <v>180</v>
      </c>
      <c r="AQ95" s="1">
        <f>K95-J95</f>
        <v>180</v>
      </c>
      <c r="AR95" s="1">
        <f>L95-K95</f>
        <v>260</v>
      </c>
      <c r="AS95" s="1">
        <f>M95-L95</f>
        <v>190</v>
      </c>
      <c r="AT95" s="1">
        <f>N95-M95</f>
        <v>270</v>
      </c>
      <c r="AU95" s="1">
        <f>O95-N95</f>
        <v>230</v>
      </c>
      <c r="AV95" s="1">
        <f>P95-O95</f>
        <v>220</v>
      </c>
      <c r="AW95" s="1">
        <f>Q95-P95</f>
        <v>240</v>
      </c>
      <c r="AX95" s="1">
        <f>R95-Q95</f>
        <v>150</v>
      </c>
      <c r="AY95" s="1">
        <f>S95-R95</f>
        <v>210</v>
      </c>
      <c r="AZ95" s="1">
        <f>T95-S95</f>
        <v>200</v>
      </c>
      <c r="BA95" s="1">
        <f>U95-T95</f>
        <v>150</v>
      </c>
      <c r="BB95" s="1">
        <f>V95-U95</f>
        <v>140</v>
      </c>
      <c r="BC95" s="1">
        <f>W95-V95</f>
        <v>240</v>
      </c>
      <c r="BD95" s="1">
        <f>X95-W95</f>
        <v>260</v>
      </c>
      <c r="BE95" s="1">
        <f>Y95-X95</f>
        <v>240</v>
      </c>
      <c r="BF95" s="1">
        <f>Z95-Y95</f>
        <v>460</v>
      </c>
    </row>
    <row r="96" spans="1:58">
      <c r="A96" s="1">
        <v>94</v>
      </c>
      <c r="B96" s="1">
        <v>547130</v>
      </c>
      <c r="C96" s="1">
        <v>547350</v>
      </c>
      <c r="D96" s="1">
        <v>547530</v>
      </c>
      <c r="E96" s="1">
        <v>547780</v>
      </c>
      <c r="F96" s="1">
        <v>547970</v>
      </c>
      <c r="G96" s="1">
        <v>548200</v>
      </c>
      <c r="H96" s="1">
        <v>548340</v>
      </c>
      <c r="I96" s="1">
        <v>548520</v>
      </c>
      <c r="J96" s="1">
        <v>548730</v>
      </c>
      <c r="K96" s="1">
        <v>548910</v>
      </c>
      <c r="L96" s="1">
        <v>549190</v>
      </c>
      <c r="M96" s="1">
        <v>549340</v>
      </c>
      <c r="N96" s="1">
        <v>549610</v>
      </c>
      <c r="O96" s="1">
        <v>549840</v>
      </c>
      <c r="P96" s="1">
        <v>550080</v>
      </c>
      <c r="Q96" s="1">
        <v>550280</v>
      </c>
      <c r="R96" s="1">
        <v>550480</v>
      </c>
      <c r="S96" s="1">
        <v>550680</v>
      </c>
      <c r="T96" s="1">
        <v>550870</v>
      </c>
      <c r="U96" s="1">
        <v>551140</v>
      </c>
      <c r="V96" s="1">
        <v>551220</v>
      </c>
      <c r="W96" s="1">
        <v>551540</v>
      </c>
      <c r="X96" s="1">
        <v>551720</v>
      </c>
      <c r="Y96" s="1">
        <v>551940</v>
      </c>
      <c r="Z96" s="1">
        <v>552370</v>
      </c>
      <c r="AA96" s="5">
        <f>AVERAGE(B96:Y96)</f>
        <v>549516.25</v>
      </c>
      <c r="AB96" s="5">
        <f>(AA97-AA95)/2</f>
        <v>5265.8333333333721</v>
      </c>
      <c r="AC96" s="14">
        <f>AB96/(23+AB151)</f>
        <v>210.95278760411503</v>
      </c>
      <c r="AD96" s="5">
        <f>AA96-AA95</f>
        <v>5257.0833333333721</v>
      </c>
      <c r="AE96" s="1">
        <f>AD96-AD95</f>
        <v>10.416666666744277</v>
      </c>
      <c r="AG96" s="5">
        <f>Z96-Y96</f>
        <v>430</v>
      </c>
      <c r="AI96" s="1">
        <f>C96-B96</f>
        <v>220</v>
      </c>
      <c r="AJ96" s="1">
        <f>D96-C96</f>
        <v>180</v>
      </c>
      <c r="AK96" s="1">
        <f>E96-D96</f>
        <v>250</v>
      </c>
      <c r="AL96" s="1">
        <f>F96-E96</f>
        <v>190</v>
      </c>
      <c r="AM96" s="1">
        <f>G96-F96</f>
        <v>230</v>
      </c>
      <c r="AN96" s="1">
        <f>H96-G96</f>
        <v>140</v>
      </c>
      <c r="AO96" s="1">
        <f>I96-H96</f>
        <v>180</v>
      </c>
      <c r="AP96" s="1">
        <f>J96-I96</f>
        <v>210</v>
      </c>
      <c r="AQ96" s="1">
        <f>K96-J96</f>
        <v>180</v>
      </c>
      <c r="AR96" s="1">
        <f>L96-K96</f>
        <v>280</v>
      </c>
      <c r="AS96" s="1">
        <f>M96-L96</f>
        <v>150</v>
      </c>
      <c r="AT96" s="1">
        <f>N96-M96</f>
        <v>270</v>
      </c>
      <c r="AU96" s="1">
        <f>O96-N96</f>
        <v>230</v>
      </c>
      <c r="AV96" s="1">
        <f>P96-O96</f>
        <v>240</v>
      </c>
      <c r="AW96" s="1">
        <f>Q96-P96</f>
        <v>200</v>
      </c>
      <c r="AX96" s="1">
        <f>R96-Q96</f>
        <v>200</v>
      </c>
      <c r="AY96" s="1">
        <f>S96-R96</f>
        <v>200</v>
      </c>
      <c r="AZ96" s="1">
        <f>T96-S96</f>
        <v>190</v>
      </c>
      <c r="BA96" s="1">
        <f>U96-T96</f>
        <v>270</v>
      </c>
      <c r="BB96" s="1">
        <f>V96-U96</f>
        <v>80</v>
      </c>
      <c r="BC96" s="1">
        <f>W96-V96</f>
        <v>320</v>
      </c>
      <c r="BD96" s="1">
        <f>X96-W96</f>
        <v>180</v>
      </c>
      <c r="BE96" s="1">
        <f>Y96-X96</f>
        <v>220</v>
      </c>
      <c r="BF96" s="1">
        <f>Z96-Y96</f>
        <v>430</v>
      </c>
    </row>
    <row r="97" spans="1:58">
      <c r="A97" s="1">
        <v>95</v>
      </c>
      <c r="B97" s="1">
        <v>552370</v>
      </c>
      <c r="C97" s="1">
        <v>552600</v>
      </c>
      <c r="D97" s="1">
        <v>552790</v>
      </c>
      <c r="E97" s="1">
        <v>553030</v>
      </c>
      <c r="F97" s="1">
        <v>553150</v>
      </c>
      <c r="G97" s="1">
        <v>553410</v>
      </c>
      <c r="H97" s="1">
        <v>553690</v>
      </c>
      <c r="I97" s="1">
        <v>553890</v>
      </c>
      <c r="J97" s="1">
        <v>554120</v>
      </c>
      <c r="K97" s="1">
        <v>554220</v>
      </c>
      <c r="L97" s="1">
        <v>554460</v>
      </c>
      <c r="M97" s="1">
        <v>554720</v>
      </c>
      <c r="N97" s="1">
        <v>554880</v>
      </c>
      <c r="O97" s="1">
        <v>555150</v>
      </c>
      <c r="P97" s="1">
        <v>555330</v>
      </c>
      <c r="Q97" s="1">
        <v>555530</v>
      </c>
      <c r="R97" s="1">
        <v>555770</v>
      </c>
      <c r="S97" s="1">
        <v>555890</v>
      </c>
      <c r="T97" s="1">
        <v>556150</v>
      </c>
      <c r="U97" s="1">
        <v>556340</v>
      </c>
      <c r="V97" s="1">
        <v>556500</v>
      </c>
      <c r="W97" s="1">
        <v>556810</v>
      </c>
      <c r="X97" s="1">
        <v>556980</v>
      </c>
      <c r="Y97" s="1">
        <v>557200</v>
      </c>
      <c r="Z97" s="1">
        <v>557640</v>
      </c>
      <c r="AA97" s="5">
        <f>AVERAGE(B97:Y97)</f>
        <v>554790.83333333337</v>
      </c>
      <c r="AB97" s="5">
        <f>(AA98-AA96)/2</f>
        <v>5262.5</v>
      </c>
      <c r="AC97" s="14">
        <f>AB97/(23+AB151)</f>
        <v>210.81925205253623</v>
      </c>
      <c r="AD97" s="5">
        <f>AA97-AA96</f>
        <v>5274.5833333333721</v>
      </c>
      <c r="AE97" s="1">
        <f>AD97-AD96</f>
        <v>17.5</v>
      </c>
      <c r="AG97" s="5">
        <f>Z97-Y97</f>
        <v>440</v>
      </c>
      <c r="AI97" s="1">
        <f>C97-B97</f>
        <v>230</v>
      </c>
      <c r="AJ97" s="1">
        <f>D97-C97</f>
        <v>190</v>
      </c>
      <c r="AK97" s="1">
        <f>E97-D97</f>
        <v>240</v>
      </c>
      <c r="AL97" s="1">
        <f>F97-E97</f>
        <v>120</v>
      </c>
      <c r="AM97" s="1">
        <f>G97-F97</f>
        <v>260</v>
      </c>
      <c r="AN97" s="1">
        <f>H97-G97</f>
        <v>280</v>
      </c>
      <c r="AO97" s="1">
        <f>I97-H97</f>
        <v>200</v>
      </c>
      <c r="AP97" s="1">
        <f>J97-I97</f>
        <v>230</v>
      </c>
      <c r="AQ97" s="1">
        <f>K97-J97</f>
        <v>100</v>
      </c>
      <c r="AR97" s="1">
        <f>L97-K97</f>
        <v>240</v>
      </c>
      <c r="AS97" s="1">
        <f>M97-L97</f>
        <v>260</v>
      </c>
      <c r="AT97" s="1">
        <f>N97-M97</f>
        <v>160</v>
      </c>
      <c r="AU97" s="1">
        <f>O97-N97</f>
        <v>270</v>
      </c>
      <c r="AV97" s="1">
        <f>P97-O97</f>
        <v>180</v>
      </c>
      <c r="AW97" s="1">
        <f>Q97-P97</f>
        <v>200</v>
      </c>
      <c r="AX97" s="1">
        <f>R97-Q97</f>
        <v>240</v>
      </c>
      <c r="AY97" s="1">
        <f>S97-R97</f>
        <v>120</v>
      </c>
      <c r="AZ97" s="1">
        <f>T97-S97</f>
        <v>260</v>
      </c>
      <c r="BA97" s="1">
        <f>U97-T97</f>
        <v>190</v>
      </c>
      <c r="BB97" s="1">
        <f>V97-U97</f>
        <v>160</v>
      </c>
      <c r="BC97" s="1">
        <f>W97-V97</f>
        <v>310</v>
      </c>
      <c r="BD97" s="1">
        <f>X97-W97</f>
        <v>170</v>
      </c>
      <c r="BE97" s="1">
        <f>Y97-X97</f>
        <v>220</v>
      </c>
      <c r="BF97" s="1">
        <f>Z97-Y97</f>
        <v>440</v>
      </c>
    </row>
    <row r="98" spans="1:58">
      <c r="A98" s="1">
        <v>96</v>
      </c>
      <c r="B98" s="1">
        <v>557640</v>
      </c>
      <c r="C98" s="1">
        <v>557840</v>
      </c>
      <c r="D98" s="1">
        <v>558040</v>
      </c>
      <c r="E98" s="1">
        <v>558310</v>
      </c>
      <c r="F98" s="1">
        <v>558410</v>
      </c>
      <c r="G98" s="1">
        <v>558620</v>
      </c>
      <c r="H98" s="1">
        <v>558810</v>
      </c>
      <c r="I98" s="1">
        <v>559070</v>
      </c>
      <c r="J98" s="1">
        <v>559350</v>
      </c>
      <c r="K98" s="1">
        <v>559470</v>
      </c>
      <c r="L98" s="1">
        <v>559660</v>
      </c>
      <c r="M98" s="1">
        <v>559930</v>
      </c>
      <c r="N98" s="1">
        <v>560200</v>
      </c>
      <c r="O98" s="1">
        <v>560420</v>
      </c>
      <c r="P98" s="1">
        <v>560620</v>
      </c>
      <c r="Q98" s="1">
        <v>560770</v>
      </c>
      <c r="R98" s="1">
        <v>560990</v>
      </c>
      <c r="S98" s="1">
        <v>561190</v>
      </c>
      <c r="T98" s="1">
        <v>561430</v>
      </c>
      <c r="U98" s="1">
        <v>561620</v>
      </c>
      <c r="V98" s="1">
        <v>561830</v>
      </c>
      <c r="W98" s="1">
        <v>562070</v>
      </c>
      <c r="X98" s="1">
        <v>562220</v>
      </c>
      <c r="Y98" s="1">
        <v>562480</v>
      </c>
      <c r="Z98" s="1">
        <v>562910</v>
      </c>
      <c r="AA98" s="5">
        <f>AVERAGE(B98:Y98)</f>
        <v>560041.25</v>
      </c>
      <c r="AB98" s="5">
        <f>(AA99-AA97)/2</f>
        <v>5248.75</v>
      </c>
      <c r="AC98" s="14">
        <f>AB98/(23+AB151)</f>
        <v>210.26841790228022</v>
      </c>
      <c r="AD98" s="5">
        <f>AA98-AA97</f>
        <v>5250.4166666666279</v>
      </c>
      <c r="AE98" s="1">
        <f>AD98-AD97</f>
        <v>-24.166666666744277</v>
      </c>
      <c r="AG98" s="5">
        <f>Z98-Y98</f>
        <v>430</v>
      </c>
      <c r="AI98" s="1">
        <f>C98-B98</f>
        <v>200</v>
      </c>
      <c r="AJ98" s="1">
        <f>D98-C98</f>
        <v>200</v>
      </c>
      <c r="AK98" s="1">
        <f>E98-D98</f>
        <v>270</v>
      </c>
      <c r="AL98" s="1">
        <f>F98-E98</f>
        <v>100</v>
      </c>
      <c r="AM98" s="1">
        <f>G98-F98</f>
        <v>210</v>
      </c>
      <c r="AN98" s="1">
        <f>H98-G98</f>
        <v>190</v>
      </c>
      <c r="AO98" s="1">
        <f>I98-H98</f>
        <v>260</v>
      </c>
      <c r="AP98" s="1">
        <f>J98-I98</f>
        <v>280</v>
      </c>
      <c r="AQ98" s="1">
        <f>K98-J98</f>
        <v>120</v>
      </c>
      <c r="AR98" s="1">
        <f>L98-K98</f>
        <v>190</v>
      </c>
      <c r="AS98" s="1">
        <f>M98-L98</f>
        <v>270</v>
      </c>
      <c r="AT98" s="1">
        <f>N98-M98</f>
        <v>270</v>
      </c>
      <c r="AU98" s="1">
        <f>O98-N98</f>
        <v>220</v>
      </c>
      <c r="AV98" s="1">
        <f>P98-O98</f>
        <v>200</v>
      </c>
      <c r="AW98" s="1">
        <f>Q98-P98</f>
        <v>150</v>
      </c>
      <c r="AX98" s="1">
        <f>R98-Q98</f>
        <v>220</v>
      </c>
      <c r="AY98" s="1">
        <f>S98-R98</f>
        <v>200</v>
      </c>
      <c r="AZ98" s="1">
        <f>T98-S98</f>
        <v>240</v>
      </c>
      <c r="BA98" s="1">
        <f>U98-T98</f>
        <v>190</v>
      </c>
      <c r="BB98" s="1">
        <f>V98-U98</f>
        <v>210</v>
      </c>
      <c r="BC98" s="1">
        <f>W98-V98</f>
        <v>240</v>
      </c>
      <c r="BD98" s="1">
        <f>X98-W98</f>
        <v>150</v>
      </c>
      <c r="BE98" s="1">
        <f>Y98-X98</f>
        <v>260</v>
      </c>
      <c r="BF98" s="1">
        <f>Z98-Y98</f>
        <v>430</v>
      </c>
    </row>
    <row r="99" spans="1:58">
      <c r="A99" s="1">
        <v>97</v>
      </c>
      <c r="B99" s="1">
        <v>562910</v>
      </c>
      <c r="C99" s="1">
        <v>563120</v>
      </c>
      <c r="D99" s="1">
        <v>563240</v>
      </c>
      <c r="E99" s="1">
        <v>563540</v>
      </c>
      <c r="F99" s="1">
        <v>563700</v>
      </c>
      <c r="G99" s="1">
        <v>563980</v>
      </c>
      <c r="H99" s="1">
        <v>564220</v>
      </c>
      <c r="I99" s="1">
        <v>564360</v>
      </c>
      <c r="J99" s="1">
        <v>564550</v>
      </c>
      <c r="K99" s="1">
        <v>564760</v>
      </c>
      <c r="L99" s="1">
        <v>565000</v>
      </c>
      <c r="M99" s="1">
        <v>565100</v>
      </c>
      <c r="N99" s="1">
        <v>565480</v>
      </c>
      <c r="O99" s="1">
        <v>565600</v>
      </c>
      <c r="P99" s="1">
        <v>565840</v>
      </c>
      <c r="Q99" s="1">
        <v>565970</v>
      </c>
      <c r="R99" s="1">
        <v>566260</v>
      </c>
      <c r="S99" s="1">
        <v>566390</v>
      </c>
      <c r="T99" s="1">
        <v>566400</v>
      </c>
      <c r="U99" s="1">
        <v>566900</v>
      </c>
      <c r="V99" s="1">
        <v>567110</v>
      </c>
      <c r="W99" s="1">
        <v>567280</v>
      </c>
      <c r="X99" s="1">
        <v>567500</v>
      </c>
      <c r="Y99" s="1">
        <v>567710</v>
      </c>
      <c r="Z99" s="1">
        <v>568140</v>
      </c>
      <c r="AA99" s="5">
        <f>AVERAGE(B99:Y99)</f>
        <v>565288.33333333337</v>
      </c>
      <c r="AB99" s="5">
        <f>(AA100-AA98)/2</f>
        <v>5260.2083333333139</v>
      </c>
      <c r="AC99" s="14">
        <f>AB99/(23+AB151)</f>
        <v>210.72744636082612</v>
      </c>
      <c r="AD99" s="5">
        <f>AA99-AA98</f>
        <v>5247.0833333333721</v>
      </c>
      <c r="AE99" s="1">
        <f>AD99-AD98</f>
        <v>-3.3333333332557231</v>
      </c>
      <c r="AG99" s="5">
        <f>Z99-Y99</f>
        <v>430</v>
      </c>
      <c r="AI99" s="1">
        <f>C99-B99</f>
        <v>210</v>
      </c>
      <c r="AJ99" s="1">
        <f>D99-C99</f>
        <v>120</v>
      </c>
      <c r="AK99" s="1">
        <f>E99-D99</f>
        <v>300</v>
      </c>
      <c r="AL99" s="1">
        <f>F99-E99</f>
        <v>160</v>
      </c>
      <c r="AM99" s="1">
        <f>G99-F99</f>
        <v>280</v>
      </c>
      <c r="AN99" s="1">
        <f>H99-G99</f>
        <v>240</v>
      </c>
      <c r="AO99" s="1">
        <f>I99-H99</f>
        <v>140</v>
      </c>
      <c r="AP99" s="1">
        <f>J99-I99</f>
        <v>190</v>
      </c>
      <c r="AQ99" s="1">
        <f>K99-J99</f>
        <v>210</v>
      </c>
      <c r="AR99" s="1">
        <f>L99-K99</f>
        <v>240</v>
      </c>
      <c r="AS99" s="1">
        <f>M99-L99</f>
        <v>100</v>
      </c>
      <c r="AT99" s="1">
        <f>N99-M99</f>
        <v>380</v>
      </c>
      <c r="AU99" s="1">
        <f>O99-N99</f>
        <v>120</v>
      </c>
      <c r="AV99" s="1">
        <f>P99-O99</f>
        <v>240</v>
      </c>
      <c r="AW99" s="1">
        <f>Q99-P99</f>
        <v>130</v>
      </c>
      <c r="AX99" s="1">
        <f>R99-Q99</f>
        <v>290</v>
      </c>
      <c r="AY99" s="1">
        <f>S99-R99</f>
        <v>130</v>
      </c>
      <c r="AZ99" s="1">
        <f>T99-S99</f>
        <v>10</v>
      </c>
      <c r="BA99" s="1">
        <f>U99-T99</f>
        <v>500</v>
      </c>
      <c r="BB99" s="1">
        <f>V99-U99</f>
        <v>210</v>
      </c>
      <c r="BC99" s="1">
        <f>W99-V99</f>
        <v>170</v>
      </c>
      <c r="BD99" s="1">
        <f>X99-W99</f>
        <v>220</v>
      </c>
      <c r="BE99" s="1">
        <f>Y99-X99</f>
        <v>210</v>
      </c>
      <c r="BF99" s="1">
        <f>Z99-Y99</f>
        <v>430</v>
      </c>
    </row>
    <row r="100" spans="1:58">
      <c r="A100" s="1">
        <v>98</v>
      </c>
      <c r="B100" s="1">
        <v>568140</v>
      </c>
      <c r="C100" s="1">
        <v>568380</v>
      </c>
      <c r="D100" s="1">
        <v>568560</v>
      </c>
      <c r="E100" s="1">
        <v>568800</v>
      </c>
      <c r="F100" s="1">
        <v>568910</v>
      </c>
      <c r="G100" s="1">
        <v>569230</v>
      </c>
      <c r="H100" s="1">
        <v>569440</v>
      </c>
      <c r="I100" s="1">
        <v>569620</v>
      </c>
      <c r="J100" s="1">
        <v>569800</v>
      </c>
      <c r="K100" s="1">
        <v>570060</v>
      </c>
      <c r="L100" s="1">
        <v>570190</v>
      </c>
      <c r="M100" s="1">
        <v>570440</v>
      </c>
      <c r="N100" s="1">
        <v>570680</v>
      </c>
      <c r="O100" s="1">
        <v>570850</v>
      </c>
      <c r="P100" s="1">
        <v>571060</v>
      </c>
      <c r="Q100" s="1">
        <v>571290</v>
      </c>
      <c r="R100" s="1">
        <v>571510</v>
      </c>
      <c r="S100" s="1">
        <v>571710</v>
      </c>
      <c r="T100" s="1">
        <v>571970</v>
      </c>
      <c r="U100" s="1">
        <v>572180</v>
      </c>
      <c r="V100" s="1">
        <v>572350</v>
      </c>
      <c r="W100" s="1">
        <v>572550</v>
      </c>
      <c r="X100" s="1">
        <v>572750</v>
      </c>
      <c r="Y100" s="1">
        <v>573010</v>
      </c>
      <c r="Z100" s="1">
        <v>573370</v>
      </c>
      <c r="AA100" s="5">
        <f>AVERAGE(B100:Y100)</f>
        <v>570561.66666666663</v>
      </c>
      <c r="AB100" s="5">
        <f>(AA101-AA99)/2</f>
        <v>5265.4166666666279</v>
      </c>
      <c r="AC100" s="14">
        <f>AB100/(23+AB151)</f>
        <v>210.93609566016477</v>
      </c>
      <c r="AD100" s="5">
        <f>AA100-AA99</f>
        <v>5273.3333333332557</v>
      </c>
      <c r="AE100" s="1">
        <f>AD100-AD99</f>
        <v>26.249999999883585</v>
      </c>
      <c r="AG100" s="5">
        <f>Z100-Y100</f>
        <v>360</v>
      </c>
      <c r="AI100" s="1">
        <f>C100-B100</f>
        <v>240</v>
      </c>
      <c r="AJ100" s="1">
        <f>D100-C100</f>
        <v>180</v>
      </c>
      <c r="AK100" s="1">
        <f>E100-D100</f>
        <v>240</v>
      </c>
      <c r="AL100" s="1">
        <f>F100-E100</f>
        <v>110</v>
      </c>
      <c r="AM100" s="1">
        <f>G100-F100</f>
        <v>320</v>
      </c>
      <c r="AN100" s="1">
        <f>H100-G100</f>
        <v>210</v>
      </c>
      <c r="AO100" s="1">
        <f>I100-H100</f>
        <v>180</v>
      </c>
      <c r="AP100" s="1">
        <f>J100-I100</f>
        <v>180</v>
      </c>
      <c r="AQ100" s="1">
        <f>K100-J100</f>
        <v>260</v>
      </c>
      <c r="AR100" s="1">
        <f>L100-K100</f>
        <v>130</v>
      </c>
      <c r="AS100" s="1">
        <f>M100-L100</f>
        <v>250</v>
      </c>
      <c r="AT100" s="1">
        <f>N100-M100</f>
        <v>240</v>
      </c>
      <c r="AU100" s="1">
        <f>O100-N100</f>
        <v>170</v>
      </c>
      <c r="AV100" s="1">
        <f>P100-O100</f>
        <v>210</v>
      </c>
      <c r="AW100" s="1">
        <f>Q100-P100</f>
        <v>230</v>
      </c>
      <c r="AX100" s="1">
        <f>R100-Q100</f>
        <v>220</v>
      </c>
      <c r="AY100" s="1">
        <f>S100-R100</f>
        <v>200</v>
      </c>
      <c r="AZ100" s="1">
        <f>T100-S100</f>
        <v>260</v>
      </c>
      <c r="BA100" s="1">
        <f>U100-T100</f>
        <v>210</v>
      </c>
      <c r="BB100" s="1">
        <f>V100-U100</f>
        <v>170</v>
      </c>
      <c r="BC100" s="1">
        <f>W100-V100</f>
        <v>200</v>
      </c>
      <c r="BD100" s="1">
        <f>X100-W100</f>
        <v>200</v>
      </c>
      <c r="BE100" s="1">
        <f>Y100-X100</f>
        <v>260</v>
      </c>
      <c r="BF100" s="1">
        <f>Z100-Y100</f>
        <v>360</v>
      </c>
    </row>
    <row r="101" spans="1:58">
      <c r="A101" s="1">
        <v>99</v>
      </c>
      <c r="B101" s="1">
        <v>573370</v>
      </c>
      <c r="C101" s="1">
        <v>573630</v>
      </c>
      <c r="D101" s="1">
        <v>573800</v>
      </c>
      <c r="E101" s="1">
        <v>574000</v>
      </c>
      <c r="F101" s="1">
        <v>574290</v>
      </c>
      <c r="G101" s="1">
        <v>574480</v>
      </c>
      <c r="H101" s="1">
        <v>574680</v>
      </c>
      <c r="I101" s="1">
        <v>574910</v>
      </c>
      <c r="J101" s="1">
        <v>575110</v>
      </c>
      <c r="K101" s="1">
        <v>575260</v>
      </c>
      <c r="L101" s="1">
        <v>575450</v>
      </c>
      <c r="M101" s="1">
        <v>575710</v>
      </c>
      <c r="N101" s="1">
        <v>575860</v>
      </c>
      <c r="O101" s="1">
        <v>576160</v>
      </c>
      <c r="P101" s="1">
        <v>576340</v>
      </c>
      <c r="Q101" s="1">
        <v>576540</v>
      </c>
      <c r="R101" s="1">
        <v>576770</v>
      </c>
      <c r="S101" s="1">
        <v>577000</v>
      </c>
      <c r="T101" s="1">
        <v>577190</v>
      </c>
      <c r="U101" s="1">
        <v>577420</v>
      </c>
      <c r="V101" s="1">
        <v>577600</v>
      </c>
      <c r="W101" s="1">
        <v>577860</v>
      </c>
      <c r="X101" s="1">
        <v>578030</v>
      </c>
      <c r="Y101" s="1">
        <v>578200</v>
      </c>
      <c r="Z101" s="1">
        <v>578650</v>
      </c>
      <c r="AA101" s="5">
        <f>AVERAGE(B101:Y101)</f>
        <v>575819.16666666663</v>
      </c>
      <c r="AB101" s="5">
        <f>(AA102-AA100)/2</f>
        <v>5245.2083333333721</v>
      </c>
      <c r="AC101" s="14">
        <f>AB101/(23+AB151)</f>
        <v>210.12653637873098</v>
      </c>
      <c r="AD101" s="5">
        <f>AA101-AA100</f>
        <v>5257.5</v>
      </c>
      <c r="AE101" s="1">
        <f>AD101-AD100</f>
        <v>-15.833333333255723</v>
      </c>
      <c r="AG101" s="5">
        <f>Z101-Y101</f>
        <v>450</v>
      </c>
      <c r="AI101" s="1">
        <f>C101-B101</f>
        <v>260</v>
      </c>
      <c r="AJ101" s="1">
        <f>D101-C101</f>
        <v>170</v>
      </c>
      <c r="AK101" s="1">
        <f>E101-D101</f>
        <v>200</v>
      </c>
      <c r="AL101" s="1">
        <f>F101-E101</f>
        <v>290</v>
      </c>
      <c r="AM101" s="1">
        <f>G101-F101</f>
        <v>190</v>
      </c>
      <c r="AN101" s="1">
        <f>H101-G101</f>
        <v>200</v>
      </c>
      <c r="AO101" s="1">
        <f>I101-H101</f>
        <v>230</v>
      </c>
      <c r="AP101" s="1">
        <f>J101-I101</f>
        <v>200</v>
      </c>
      <c r="AQ101" s="1">
        <f>K101-J101</f>
        <v>150</v>
      </c>
      <c r="AR101" s="1">
        <f>L101-K101</f>
        <v>190</v>
      </c>
      <c r="AS101" s="1">
        <f>M101-L101</f>
        <v>260</v>
      </c>
      <c r="AT101" s="1">
        <f>N101-M101</f>
        <v>150</v>
      </c>
      <c r="AU101" s="1">
        <f>O101-N101</f>
        <v>300</v>
      </c>
      <c r="AV101" s="1">
        <f>P101-O101</f>
        <v>180</v>
      </c>
      <c r="AW101" s="1">
        <f>Q101-P101</f>
        <v>200</v>
      </c>
      <c r="AX101" s="1">
        <f>R101-Q101</f>
        <v>230</v>
      </c>
      <c r="AY101" s="1">
        <f>S101-R101</f>
        <v>230</v>
      </c>
      <c r="AZ101" s="1">
        <f>T101-S101</f>
        <v>190</v>
      </c>
      <c r="BA101" s="1">
        <f>U101-T101</f>
        <v>230</v>
      </c>
      <c r="BB101" s="1">
        <f>V101-U101</f>
        <v>180</v>
      </c>
      <c r="BC101" s="1">
        <f>W101-V101</f>
        <v>260</v>
      </c>
      <c r="BD101" s="1">
        <f>X101-W101</f>
        <v>170</v>
      </c>
      <c r="BE101" s="1">
        <f>Y101-X101</f>
        <v>170</v>
      </c>
      <c r="BF101" s="1">
        <f>Z101-Y101</f>
        <v>450</v>
      </c>
    </row>
    <row r="102" spans="1:58">
      <c r="A102" s="1">
        <v>100</v>
      </c>
      <c r="B102" s="1">
        <v>578650</v>
      </c>
      <c r="C102" s="1">
        <v>578850</v>
      </c>
      <c r="D102" s="1">
        <v>579000</v>
      </c>
      <c r="E102" s="1">
        <v>579260</v>
      </c>
      <c r="F102" s="1">
        <v>579460</v>
      </c>
      <c r="G102" s="1">
        <v>579720</v>
      </c>
      <c r="H102" s="1">
        <v>579890</v>
      </c>
      <c r="I102" s="1">
        <v>580130</v>
      </c>
      <c r="J102" s="1">
        <v>580350</v>
      </c>
      <c r="K102" s="1">
        <v>580570</v>
      </c>
      <c r="L102" s="1">
        <v>580690</v>
      </c>
      <c r="M102" s="1">
        <v>580930</v>
      </c>
      <c r="N102" s="1">
        <v>581190</v>
      </c>
      <c r="O102" s="1">
        <v>581340</v>
      </c>
      <c r="P102" s="1">
        <v>581560</v>
      </c>
      <c r="Q102" s="1">
        <v>581760</v>
      </c>
      <c r="R102" s="1">
        <v>581950</v>
      </c>
      <c r="S102" s="1">
        <v>582230</v>
      </c>
      <c r="T102" s="1">
        <v>582420</v>
      </c>
      <c r="U102" s="1">
        <v>582640</v>
      </c>
      <c r="V102" s="1">
        <v>582800</v>
      </c>
      <c r="W102" s="1">
        <v>583050</v>
      </c>
      <c r="X102" s="1">
        <v>583300</v>
      </c>
      <c r="Y102" s="1">
        <v>583510</v>
      </c>
      <c r="Z102" s="1">
        <v>583860</v>
      </c>
      <c r="AA102" s="5">
        <f>AVERAGE(B102:Y102)</f>
        <v>581052.08333333337</v>
      </c>
      <c r="AB102" s="5">
        <f>(AA103-AA101)/2</f>
        <v>5231.875</v>
      </c>
      <c r="AC102" s="14">
        <f>AB102/(23+AB151)</f>
        <v>209.59239417242054</v>
      </c>
      <c r="AD102" s="5">
        <f>AA102-AA101</f>
        <v>5232.9166666667443</v>
      </c>
      <c r="AE102" s="1">
        <f>AD102-AD101</f>
        <v>-24.583333333255723</v>
      </c>
      <c r="AG102" s="5">
        <f>Z102-Y102</f>
        <v>350</v>
      </c>
      <c r="AI102" s="1">
        <f>C102-B102</f>
        <v>200</v>
      </c>
      <c r="AJ102" s="1">
        <f>D102-C102</f>
        <v>150</v>
      </c>
      <c r="AK102" s="1">
        <f>E102-D102</f>
        <v>260</v>
      </c>
      <c r="AL102" s="1">
        <f>F102-E102</f>
        <v>200</v>
      </c>
      <c r="AM102" s="1">
        <f>G102-F102</f>
        <v>260</v>
      </c>
      <c r="AN102" s="1">
        <f>H102-G102</f>
        <v>170</v>
      </c>
      <c r="AO102" s="1">
        <f>I102-H102</f>
        <v>240</v>
      </c>
      <c r="AP102" s="1">
        <f>J102-I102</f>
        <v>220</v>
      </c>
      <c r="AQ102" s="1">
        <f>K102-J102</f>
        <v>220</v>
      </c>
      <c r="AR102" s="1">
        <f>L102-K102</f>
        <v>120</v>
      </c>
      <c r="AS102" s="1">
        <f>M102-L102</f>
        <v>240</v>
      </c>
      <c r="AT102" s="1">
        <f>N102-M102</f>
        <v>260</v>
      </c>
      <c r="AU102" s="1">
        <f>O102-N102</f>
        <v>150</v>
      </c>
      <c r="AV102" s="1">
        <f>P102-O102</f>
        <v>220</v>
      </c>
      <c r="AW102" s="1">
        <f>Q102-P102</f>
        <v>200</v>
      </c>
      <c r="AX102" s="1">
        <f>R102-Q102</f>
        <v>190</v>
      </c>
      <c r="AY102" s="1">
        <f>S102-R102</f>
        <v>280</v>
      </c>
      <c r="AZ102" s="1">
        <f>T102-S102</f>
        <v>190</v>
      </c>
      <c r="BA102" s="1">
        <f>U102-T102</f>
        <v>220</v>
      </c>
      <c r="BB102" s="1">
        <f>V102-U102</f>
        <v>160</v>
      </c>
      <c r="BC102" s="1">
        <f>W102-V102</f>
        <v>250</v>
      </c>
      <c r="BD102" s="1">
        <f>X102-W102</f>
        <v>250</v>
      </c>
      <c r="BE102" s="1">
        <f>Y102-X102</f>
        <v>210</v>
      </c>
      <c r="BF102" s="1">
        <f>Z102-Y102</f>
        <v>350</v>
      </c>
    </row>
    <row r="103" spans="1:58">
      <c r="A103" s="1">
        <v>101</v>
      </c>
      <c r="B103" s="1">
        <v>583860</v>
      </c>
      <c r="C103" s="1">
        <v>584040</v>
      </c>
      <c r="D103" s="1">
        <v>584240</v>
      </c>
      <c r="E103" s="1">
        <v>584500</v>
      </c>
      <c r="F103" s="1">
        <v>584700</v>
      </c>
      <c r="G103" s="1">
        <v>584970</v>
      </c>
      <c r="H103" s="1">
        <v>585100</v>
      </c>
      <c r="I103" s="1">
        <v>585330</v>
      </c>
      <c r="J103" s="1">
        <v>585520</v>
      </c>
      <c r="K103" s="1">
        <v>585750</v>
      </c>
      <c r="L103" s="1">
        <v>585990</v>
      </c>
      <c r="M103" s="1">
        <v>586160</v>
      </c>
      <c r="N103" s="1">
        <v>586370</v>
      </c>
      <c r="O103" s="1">
        <v>586610</v>
      </c>
      <c r="P103" s="1">
        <v>586780</v>
      </c>
      <c r="Q103" s="1">
        <v>587060</v>
      </c>
      <c r="R103" s="1">
        <v>587250</v>
      </c>
      <c r="S103" s="1">
        <v>587460</v>
      </c>
      <c r="T103" s="1">
        <v>587630</v>
      </c>
      <c r="U103" s="1">
        <v>587860</v>
      </c>
      <c r="V103" s="1">
        <v>588080</v>
      </c>
      <c r="W103" s="1">
        <v>588320</v>
      </c>
      <c r="X103" s="1">
        <v>588500</v>
      </c>
      <c r="Y103" s="1">
        <v>588710</v>
      </c>
      <c r="Z103" s="1">
        <v>589100</v>
      </c>
      <c r="AA103" s="5">
        <f>AVERAGE(B103:Y103)</f>
        <v>586282.91666666663</v>
      </c>
      <c r="AB103" s="5">
        <f>(AA104-AA102)/2</f>
        <v>5232.0833333333139</v>
      </c>
      <c r="AC103" s="14">
        <f>AB103/(23+AB151)</f>
        <v>209.60074014439334</v>
      </c>
      <c r="AD103" s="5">
        <f>AA103-AA102</f>
        <v>5230.8333333332557</v>
      </c>
      <c r="AE103" s="1">
        <f>AD103-AD102</f>
        <v>-2.0833333334885538</v>
      </c>
      <c r="AG103" s="5">
        <f>Z103-Y103</f>
        <v>390</v>
      </c>
      <c r="AI103" s="1">
        <f>C103-B103</f>
        <v>180</v>
      </c>
      <c r="AJ103" s="1">
        <f>D103-C103</f>
        <v>200</v>
      </c>
      <c r="AK103" s="1">
        <f>E103-D103</f>
        <v>260</v>
      </c>
      <c r="AL103" s="1">
        <f>F103-E103</f>
        <v>200</v>
      </c>
      <c r="AM103" s="1">
        <f>G103-F103</f>
        <v>270</v>
      </c>
      <c r="AN103" s="1">
        <f>H103-G103</f>
        <v>130</v>
      </c>
      <c r="AO103" s="1">
        <f>I103-H103</f>
        <v>230</v>
      </c>
      <c r="AP103" s="1">
        <f>J103-I103</f>
        <v>190</v>
      </c>
      <c r="AQ103" s="1">
        <f>K103-J103</f>
        <v>230</v>
      </c>
      <c r="AR103" s="1">
        <f>L103-K103</f>
        <v>240</v>
      </c>
      <c r="AS103" s="1">
        <f>M103-L103</f>
        <v>170</v>
      </c>
      <c r="AT103" s="1">
        <f>N103-M103</f>
        <v>210</v>
      </c>
      <c r="AU103" s="1">
        <f>O103-N103</f>
        <v>240</v>
      </c>
      <c r="AV103" s="1">
        <f>P103-O103</f>
        <v>170</v>
      </c>
      <c r="AW103" s="1">
        <f>Q103-P103</f>
        <v>280</v>
      </c>
      <c r="AX103" s="1">
        <f>R103-Q103</f>
        <v>190</v>
      </c>
      <c r="AY103" s="1">
        <f>S103-R103</f>
        <v>210</v>
      </c>
      <c r="AZ103" s="1">
        <f>T103-S103</f>
        <v>170</v>
      </c>
      <c r="BA103" s="1">
        <f>U103-T103</f>
        <v>230</v>
      </c>
      <c r="BB103" s="1">
        <f>V103-U103</f>
        <v>220</v>
      </c>
      <c r="BC103" s="1">
        <f>W103-V103</f>
        <v>240</v>
      </c>
      <c r="BD103" s="1">
        <f>X103-W103</f>
        <v>180</v>
      </c>
      <c r="BE103" s="1">
        <f>Y103-X103</f>
        <v>210</v>
      </c>
      <c r="BF103" s="1">
        <f>Z103-Y103</f>
        <v>390</v>
      </c>
    </row>
    <row r="104" spans="1:58">
      <c r="A104" s="1">
        <v>102</v>
      </c>
      <c r="B104" s="1">
        <v>589100</v>
      </c>
      <c r="C104" s="1">
        <v>589230</v>
      </c>
      <c r="D104" s="1">
        <v>589500</v>
      </c>
      <c r="E104" s="1">
        <v>589710</v>
      </c>
      <c r="F104" s="1">
        <v>589970</v>
      </c>
      <c r="G104" s="1">
        <v>590240</v>
      </c>
      <c r="H104" s="1">
        <v>590360</v>
      </c>
      <c r="I104" s="1">
        <v>590560</v>
      </c>
      <c r="J104" s="1">
        <v>590780</v>
      </c>
      <c r="K104" s="1">
        <v>591030</v>
      </c>
      <c r="L104" s="1">
        <v>591260</v>
      </c>
      <c r="M104" s="1">
        <v>591410</v>
      </c>
      <c r="N104" s="1">
        <v>591570</v>
      </c>
      <c r="O104" s="1">
        <v>591830</v>
      </c>
      <c r="P104" s="1">
        <v>591940</v>
      </c>
      <c r="Q104" s="1">
        <v>592200</v>
      </c>
      <c r="R104" s="1">
        <v>592410</v>
      </c>
      <c r="S104" s="1">
        <v>592690</v>
      </c>
      <c r="T104" s="1">
        <v>592860</v>
      </c>
      <c r="U104" s="1">
        <v>593090</v>
      </c>
      <c r="V104" s="1">
        <v>593370</v>
      </c>
      <c r="W104" s="1">
        <v>593600</v>
      </c>
      <c r="X104" s="1">
        <v>593730</v>
      </c>
      <c r="Y104" s="1">
        <v>593950</v>
      </c>
      <c r="Z104" s="1">
        <v>594340</v>
      </c>
      <c r="AA104" s="5">
        <f>AVERAGE(B104:Y104)</f>
        <v>591516.25</v>
      </c>
      <c r="AB104" s="5">
        <f>(AA105-AA103)/2</f>
        <v>5237.9166666666861</v>
      </c>
      <c r="AC104" s="14">
        <f>AB104/(23+AB151)</f>
        <v>209.83442735965502</v>
      </c>
      <c r="AD104" s="5">
        <f>AA104-AA103</f>
        <v>5233.3333333333721</v>
      </c>
      <c r="AE104" s="1">
        <f>AD104-AD103</f>
        <v>2.5000000001164153</v>
      </c>
      <c r="AG104" s="5">
        <f>Z104-Y104</f>
        <v>390</v>
      </c>
      <c r="AI104" s="1">
        <f>C104-B104</f>
        <v>130</v>
      </c>
      <c r="AJ104" s="1">
        <f>D104-C104</f>
        <v>270</v>
      </c>
      <c r="AK104" s="1">
        <f>E104-D104</f>
        <v>210</v>
      </c>
      <c r="AL104" s="1">
        <f>F104-E104</f>
        <v>260</v>
      </c>
      <c r="AM104" s="1">
        <f>G104-F104</f>
        <v>270</v>
      </c>
      <c r="AN104" s="1">
        <f>H104-G104</f>
        <v>120</v>
      </c>
      <c r="AO104" s="1">
        <f>I104-H104</f>
        <v>200</v>
      </c>
      <c r="AP104" s="1">
        <f>J104-I104</f>
        <v>220</v>
      </c>
      <c r="AQ104" s="1">
        <f>K104-J104</f>
        <v>250</v>
      </c>
      <c r="AR104" s="1">
        <f>L104-K104</f>
        <v>230</v>
      </c>
      <c r="AS104" s="1">
        <f>M104-L104</f>
        <v>150</v>
      </c>
      <c r="AT104" s="1">
        <f>N104-M104</f>
        <v>160</v>
      </c>
      <c r="AU104" s="1">
        <f>O104-N104</f>
        <v>260</v>
      </c>
      <c r="AV104" s="1">
        <f>P104-O104</f>
        <v>110</v>
      </c>
      <c r="AW104" s="1">
        <f>Q104-P104</f>
        <v>260</v>
      </c>
      <c r="AX104" s="1">
        <f>R104-Q104</f>
        <v>210</v>
      </c>
      <c r="AY104" s="1">
        <f>S104-R104</f>
        <v>280</v>
      </c>
      <c r="AZ104" s="1">
        <f>T104-S104</f>
        <v>170</v>
      </c>
      <c r="BA104" s="1">
        <f>U104-T104</f>
        <v>230</v>
      </c>
      <c r="BB104" s="1">
        <f>V104-U104</f>
        <v>280</v>
      </c>
      <c r="BC104" s="1">
        <f>W104-V104</f>
        <v>230</v>
      </c>
      <c r="BD104" s="1">
        <f>X104-W104</f>
        <v>130</v>
      </c>
      <c r="BE104" s="1">
        <f>Y104-X104</f>
        <v>220</v>
      </c>
      <c r="BF104" s="1">
        <f>Z104-Y104</f>
        <v>390</v>
      </c>
    </row>
    <row r="105" spans="1:58">
      <c r="A105" s="1">
        <v>103</v>
      </c>
      <c r="B105" s="1">
        <v>594340</v>
      </c>
      <c r="C105" s="1">
        <v>594570</v>
      </c>
      <c r="D105" s="1">
        <v>594760</v>
      </c>
      <c r="E105" s="1">
        <v>594870</v>
      </c>
      <c r="F105" s="1">
        <v>595170</v>
      </c>
      <c r="G105" s="1">
        <v>595350</v>
      </c>
      <c r="H105" s="1">
        <v>595570</v>
      </c>
      <c r="I105" s="1">
        <v>595830</v>
      </c>
      <c r="J105" s="1">
        <v>596060</v>
      </c>
      <c r="K105" s="1">
        <v>596230</v>
      </c>
      <c r="L105" s="1">
        <v>596440</v>
      </c>
      <c r="M105" s="1">
        <v>596660</v>
      </c>
      <c r="N105" s="1">
        <v>596840</v>
      </c>
      <c r="O105" s="1">
        <v>597050</v>
      </c>
      <c r="P105" s="1">
        <v>597290</v>
      </c>
      <c r="Q105" s="1">
        <v>597530</v>
      </c>
      <c r="R105" s="1">
        <v>597670</v>
      </c>
      <c r="S105" s="1">
        <v>597830</v>
      </c>
      <c r="T105" s="1">
        <v>598120</v>
      </c>
      <c r="U105" s="1">
        <v>598350</v>
      </c>
      <c r="V105" s="1">
        <v>598610</v>
      </c>
      <c r="W105" s="1">
        <v>598800</v>
      </c>
      <c r="X105" s="1">
        <v>599040</v>
      </c>
      <c r="Y105" s="1">
        <v>599230</v>
      </c>
      <c r="Z105" s="1">
        <v>599550</v>
      </c>
      <c r="AA105" s="5">
        <f>AVERAGE(B105:Y105)</f>
        <v>596758.75</v>
      </c>
      <c r="AB105" s="5">
        <f>(AA106-AA104)/2</f>
        <v>5259.1666666666861</v>
      </c>
      <c r="AC105" s="14">
        <f>AB105/(23+AB151)</f>
        <v>210.68571650095981</v>
      </c>
      <c r="AD105" s="5">
        <f>AA105-AA104</f>
        <v>5242.5</v>
      </c>
      <c r="AE105" s="1">
        <f>AD105-AD104</f>
        <v>9.1666666666278616</v>
      </c>
      <c r="AG105" s="5">
        <f>Z105-Y105</f>
        <v>320</v>
      </c>
      <c r="AI105" s="1">
        <f>C105-B105</f>
        <v>230</v>
      </c>
      <c r="AJ105" s="1">
        <f>D105-C105</f>
        <v>190</v>
      </c>
      <c r="AK105" s="1">
        <f>E105-D105</f>
        <v>110</v>
      </c>
      <c r="AL105" s="1">
        <f>F105-E105</f>
        <v>300</v>
      </c>
      <c r="AM105" s="1">
        <f>G105-F105</f>
        <v>180</v>
      </c>
      <c r="AN105" s="1">
        <f>H105-G105</f>
        <v>220</v>
      </c>
      <c r="AO105" s="1">
        <f>I105-H105</f>
        <v>260</v>
      </c>
      <c r="AP105" s="1">
        <f>J105-I105</f>
        <v>230</v>
      </c>
      <c r="AQ105" s="1">
        <f>K105-J105</f>
        <v>170</v>
      </c>
      <c r="AR105" s="1">
        <f>L105-K105</f>
        <v>210</v>
      </c>
      <c r="AS105" s="1">
        <f>M105-L105</f>
        <v>220</v>
      </c>
      <c r="AT105" s="1">
        <f>N105-M105</f>
        <v>180</v>
      </c>
      <c r="AU105" s="1">
        <f>O105-N105</f>
        <v>210</v>
      </c>
      <c r="AV105" s="1">
        <f>P105-O105</f>
        <v>240</v>
      </c>
      <c r="AW105" s="1">
        <f>Q105-P105</f>
        <v>240</v>
      </c>
      <c r="AX105" s="1">
        <f>R105-Q105</f>
        <v>140</v>
      </c>
      <c r="AY105" s="1">
        <f>S105-R105</f>
        <v>160</v>
      </c>
      <c r="AZ105" s="1">
        <f>T105-S105</f>
        <v>290</v>
      </c>
      <c r="BA105" s="1">
        <f>U105-T105</f>
        <v>230</v>
      </c>
      <c r="BB105" s="1">
        <f>V105-U105</f>
        <v>260</v>
      </c>
      <c r="BC105" s="1">
        <f>W105-V105</f>
        <v>190</v>
      </c>
      <c r="BD105" s="1">
        <f>X105-W105</f>
        <v>240</v>
      </c>
      <c r="BE105" s="1">
        <f>Y105-X105</f>
        <v>190</v>
      </c>
      <c r="BF105" s="1">
        <f>Z105-Y105</f>
        <v>320</v>
      </c>
    </row>
    <row r="106" spans="1:58">
      <c r="A106" s="1">
        <v>104</v>
      </c>
      <c r="B106" s="1">
        <v>599550</v>
      </c>
      <c r="C106" s="1">
        <v>599820</v>
      </c>
      <c r="D106" s="1">
        <v>600030</v>
      </c>
      <c r="E106" s="1">
        <v>600230</v>
      </c>
      <c r="F106" s="1">
        <v>600370</v>
      </c>
      <c r="G106" s="1">
        <v>600670</v>
      </c>
      <c r="H106" s="1">
        <v>600910</v>
      </c>
      <c r="I106" s="1">
        <v>601100</v>
      </c>
      <c r="J106" s="1">
        <v>601330</v>
      </c>
      <c r="K106" s="1">
        <v>601510</v>
      </c>
      <c r="L106" s="1">
        <v>601720</v>
      </c>
      <c r="M106" s="1">
        <v>601940</v>
      </c>
      <c r="N106" s="1">
        <v>602170</v>
      </c>
      <c r="O106" s="1">
        <v>602360</v>
      </c>
      <c r="P106" s="1">
        <v>602530</v>
      </c>
      <c r="Q106" s="1">
        <v>602720</v>
      </c>
      <c r="R106" s="1">
        <v>602970</v>
      </c>
      <c r="S106" s="1">
        <v>603200</v>
      </c>
      <c r="T106" s="1">
        <v>603410</v>
      </c>
      <c r="U106" s="1">
        <v>603660</v>
      </c>
      <c r="V106" s="1">
        <v>603840</v>
      </c>
      <c r="W106" s="1">
        <v>604050</v>
      </c>
      <c r="X106" s="1">
        <v>604240</v>
      </c>
      <c r="Y106" s="1">
        <v>604500</v>
      </c>
      <c r="Z106" s="1">
        <v>604820</v>
      </c>
      <c r="AA106" s="5">
        <f>AVERAGE(B106:Y106)</f>
        <v>602034.58333333337</v>
      </c>
      <c r="AB106" s="5">
        <f>(AA107-AA105)/2</f>
        <v>5271.25</v>
      </c>
      <c r="AC106" s="14">
        <f>AB106/(23+AB151)</f>
        <v>211.16978287542645</v>
      </c>
      <c r="AD106" s="5">
        <f>AA106-AA105</f>
        <v>5275.8333333333721</v>
      </c>
      <c r="AE106" s="1">
        <f>AD106-AD105</f>
        <v>33.333333333372138</v>
      </c>
      <c r="AG106" s="5">
        <f>Z106-Y106</f>
        <v>320</v>
      </c>
      <c r="AI106" s="1">
        <f>C106-B106</f>
        <v>270</v>
      </c>
      <c r="AJ106" s="1">
        <f>D106-C106</f>
        <v>210</v>
      </c>
      <c r="AK106" s="1">
        <f>E106-D106</f>
        <v>200</v>
      </c>
      <c r="AL106" s="1">
        <f>F106-E106</f>
        <v>140</v>
      </c>
      <c r="AM106" s="1">
        <f>G106-F106</f>
        <v>300</v>
      </c>
      <c r="AN106" s="1">
        <f>H106-G106</f>
        <v>240</v>
      </c>
      <c r="AO106" s="1">
        <f>I106-H106</f>
        <v>190</v>
      </c>
      <c r="AP106" s="1">
        <f>J106-I106</f>
        <v>230</v>
      </c>
      <c r="AQ106" s="1">
        <f>K106-J106</f>
        <v>180</v>
      </c>
      <c r="AR106" s="1">
        <f>L106-K106</f>
        <v>210</v>
      </c>
      <c r="AS106" s="1">
        <f>M106-L106</f>
        <v>220</v>
      </c>
      <c r="AT106" s="1">
        <f>N106-M106</f>
        <v>230</v>
      </c>
      <c r="AU106" s="1">
        <f>O106-N106</f>
        <v>190</v>
      </c>
      <c r="AV106" s="1">
        <f>P106-O106</f>
        <v>170</v>
      </c>
      <c r="AW106" s="1">
        <f>Q106-P106</f>
        <v>190</v>
      </c>
      <c r="AX106" s="1">
        <f>R106-Q106</f>
        <v>250</v>
      </c>
      <c r="AY106" s="1">
        <f>S106-R106</f>
        <v>230</v>
      </c>
      <c r="AZ106" s="1">
        <f>T106-S106</f>
        <v>210</v>
      </c>
      <c r="BA106" s="1">
        <f>U106-T106</f>
        <v>250</v>
      </c>
      <c r="BB106" s="1">
        <f>V106-U106</f>
        <v>180</v>
      </c>
      <c r="BC106" s="1">
        <f>W106-V106</f>
        <v>210</v>
      </c>
      <c r="BD106" s="1">
        <f>X106-W106</f>
        <v>190</v>
      </c>
      <c r="BE106" s="1">
        <f>Y106-X106</f>
        <v>260</v>
      </c>
      <c r="BF106" s="1">
        <f>Z106-Y106</f>
        <v>320</v>
      </c>
    </row>
    <row r="107" spans="1:58">
      <c r="A107" s="1">
        <v>105</v>
      </c>
      <c r="B107" s="1">
        <v>604820</v>
      </c>
      <c r="C107" s="1">
        <v>605030</v>
      </c>
      <c r="D107" s="1">
        <v>605220</v>
      </c>
      <c r="E107" s="1">
        <v>605500</v>
      </c>
      <c r="F107" s="1">
        <v>605740</v>
      </c>
      <c r="G107" s="1">
        <v>605900</v>
      </c>
      <c r="H107" s="1">
        <v>606130</v>
      </c>
      <c r="I107" s="1">
        <v>606390</v>
      </c>
      <c r="J107" s="1">
        <v>606600</v>
      </c>
      <c r="K107" s="1">
        <v>606800</v>
      </c>
      <c r="L107" s="1">
        <v>606950</v>
      </c>
      <c r="M107" s="1">
        <v>607190</v>
      </c>
      <c r="N107" s="1">
        <v>607420</v>
      </c>
      <c r="O107" s="1">
        <v>607570</v>
      </c>
      <c r="P107" s="1">
        <v>607780</v>
      </c>
      <c r="Q107" s="1">
        <v>608020</v>
      </c>
      <c r="R107" s="1">
        <v>608240</v>
      </c>
      <c r="S107" s="1">
        <v>608540</v>
      </c>
      <c r="T107" s="1">
        <v>608660</v>
      </c>
      <c r="U107" s="1">
        <v>608930</v>
      </c>
      <c r="V107" s="1">
        <v>609120</v>
      </c>
      <c r="W107" s="1">
        <v>609350</v>
      </c>
      <c r="X107" s="1">
        <v>609550</v>
      </c>
      <c r="Y107" s="1">
        <v>609780</v>
      </c>
      <c r="Z107" s="1">
        <v>610100</v>
      </c>
      <c r="AA107" s="5">
        <f>AVERAGE(B107:Y107)</f>
        <v>607301.25</v>
      </c>
      <c r="AB107" s="5">
        <f>(AA108-AA106)/2</f>
        <v>5270.4166666666279</v>
      </c>
      <c r="AC107" s="14">
        <f>AB107/(23+AB151)</f>
        <v>211.13639898753058</v>
      </c>
      <c r="AD107" s="5">
        <f>AA107-AA106</f>
        <v>5266.6666666666279</v>
      </c>
      <c r="AE107" s="1">
        <f>AD107-AD106</f>
        <v>-9.1666666667442769</v>
      </c>
      <c r="AG107" s="5">
        <f>Z107-Y107</f>
        <v>320</v>
      </c>
      <c r="AI107" s="1">
        <f>C107-B107</f>
        <v>210</v>
      </c>
      <c r="AJ107" s="1">
        <f>D107-C107</f>
        <v>190</v>
      </c>
      <c r="AK107" s="1">
        <f>E107-D107</f>
        <v>280</v>
      </c>
      <c r="AL107" s="1">
        <f>F107-E107</f>
        <v>240</v>
      </c>
      <c r="AM107" s="1">
        <f>G107-F107</f>
        <v>160</v>
      </c>
      <c r="AN107" s="1">
        <f>H107-G107</f>
        <v>230</v>
      </c>
      <c r="AO107" s="1">
        <f>I107-H107</f>
        <v>260</v>
      </c>
      <c r="AP107" s="1">
        <f>J107-I107</f>
        <v>210</v>
      </c>
      <c r="AQ107" s="1">
        <f>K107-J107</f>
        <v>200</v>
      </c>
      <c r="AR107" s="1">
        <f>L107-K107</f>
        <v>150</v>
      </c>
      <c r="AS107" s="1">
        <f>M107-L107</f>
        <v>240</v>
      </c>
      <c r="AT107" s="1">
        <f>N107-M107</f>
        <v>230</v>
      </c>
      <c r="AU107" s="1">
        <f>O107-N107</f>
        <v>150</v>
      </c>
      <c r="AV107" s="1">
        <f>P107-O107</f>
        <v>210</v>
      </c>
      <c r="AW107" s="1">
        <f>Q107-P107</f>
        <v>240</v>
      </c>
      <c r="AX107" s="1">
        <f>R107-Q107</f>
        <v>220</v>
      </c>
      <c r="AY107" s="1">
        <f>S107-R107</f>
        <v>300</v>
      </c>
      <c r="AZ107" s="1">
        <f>T107-S107</f>
        <v>120</v>
      </c>
      <c r="BA107" s="1">
        <f>U107-T107</f>
        <v>270</v>
      </c>
      <c r="BB107" s="1">
        <f>V107-U107</f>
        <v>190</v>
      </c>
      <c r="BC107" s="1">
        <f>W107-V107</f>
        <v>230</v>
      </c>
      <c r="BD107" s="1">
        <f>X107-W107</f>
        <v>200</v>
      </c>
      <c r="BE107" s="1">
        <f>Y107-X107</f>
        <v>230</v>
      </c>
      <c r="BF107" s="1">
        <f>Z107-Y107</f>
        <v>320</v>
      </c>
    </row>
    <row r="108" spans="1:58">
      <c r="A108" s="1">
        <v>106</v>
      </c>
      <c r="B108" s="1">
        <v>610100</v>
      </c>
      <c r="C108" s="1">
        <v>610300</v>
      </c>
      <c r="D108" s="1">
        <v>610540</v>
      </c>
      <c r="E108" s="1">
        <v>610830</v>
      </c>
      <c r="F108" s="1">
        <v>610980</v>
      </c>
      <c r="G108" s="1">
        <v>611220</v>
      </c>
      <c r="H108" s="1">
        <v>611490</v>
      </c>
      <c r="I108" s="1">
        <v>611700</v>
      </c>
      <c r="J108" s="1">
        <v>611890</v>
      </c>
      <c r="K108" s="1">
        <v>612040</v>
      </c>
      <c r="L108" s="1">
        <v>612210</v>
      </c>
      <c r="M108" s="1">
        <v>612460</v>
      </c>
      <c r="N108" s="1">
        <v>612620</v>
      </c>
      <c r="O108" s="1">
        <v>612890</v>
      </c>
      <c r="P108" s="1">
        <v>613140</v>
      </c>
      <c r="Q108" s="1">
        <v>613280</v>
      </c>
      <c r="R108" s="1">
        <v>613530</v>
      </c>
      <c r="S108" s="1">
        <v>613760</v>
      </c>
      <c r="T108" s="1">
        <v>613900</v>
      </c>
      <c r="U108" s="1">
        <v>614140</v>
      </c>
      <c r="V108" s="1">
        <v>614380</v>
      </c>
      <c r="W108" s="1">
        <v>614590</v>
      </c>
      <c r="X108" s="1">
        <v>614800</v>
      </c>
      <c r="Y108" s="1">
        <v>615020</v>
      </c>
      <c r="Z108" s="1">
        <v>615370</v>
      </c>
      <c r="AA108" s="5">
        <f>AVERAGE(B108:Y108)</f>
        <v>612575.41666666663</v>
      </c>
      <c r="AB108" s="5">
        <f>(AA109-AA107)/2</f>
        <v>5268.125</v>
      </c>
      <c r="AC108" s="14">
        <f>AB108/(23+AB151)</f>
        <v>211.04459329582281</v>
      </c>
      <c r="AD108" s="5">
        <f>AA108-AA107</f>
        <v>5274.1666666666279</v>
      </c>
      <c r="AE108" s="1">
        <f>AD108-AD107</f>
        <v>7.5</v>
      </c>
      <c r="AG108" s="5">
        <f>Z108-Y108</f>
        <v>350</v>
      </c>
      <c r="AI108" s="1">
        <f>C108-B108</f>
        <v>200</v>
      </c>
      <c r="AJ108" s="1">
        <f>D108-C108</f>
        <v>240</v>
      </c>
      <c r="AK108" s="1">
        <f>E108-D108</f>
        <v>290</v>
      </c>
      <c r="AL108" s="1">
        <f>F108-E108</f>
        <v>150</v>
      </c>
      <c r="AM108" s="1">
        <f>G108-F108</f>
        <v>240</v>
      </c>
      <c r="AN108" s="1">
        <f>H108-G108</f>
        <v>270</v>
      </c>
      <c r="AO108" s="1">
        <f>I108-H108</f>
        <v>210</v>
      </c>
      <c r="AP108" s="1">
        <f>J108-I108</f>
        <v>190</v>
      </c>
      <c r="AQ108" s="1">
        <f>K108-J108</f>
        <v>150</v>
      </c>
      <c r="AR108" s="1">
        <f>L108-K108</f>
        <v>170</v>
      </c>
      <c r="AS108" s="1">
        <f>M108-L108</f>
        <v>250</v>
      </c>
      <c r="AT108" s="1">
        <f>N108-M108</f>
        <v>160</v>
      </c>
      <c r="AU108" s="1">
        <f>O108-N108</f>
        <v>270</v>
      </c>
      <c r="AV108" s="1">
        <f>P108-O108</f>
        <v>250</v>
      </c>
      <c r="AW108" s="1">
        <f>Q108-P108</f>
        <v>140</v>
      </c>
      <c r="AX108" s="1">
        <f>R108-Q108</f>
        <v>250</v>
      </c>
      <c r="AY108" s="1">
        <f>S108-R108</f>
        <v>230</v>
      </c>
      <c r="AZ108" s="1">
        <f>T108-S108</f>
        <v>140</v>
      </c>
      <c r="BA108" s="1">
        <f>U108-T108</f>
        <v>240</v>
      </c>
      <c r="BB108" s="1">
        <f>V108-U108</f>
        <v>240</v>
      </c>
      <c r="BC108" s="1">
        <f>W108-V108</f>
        <v>210</v>
      </c>
      <c r="BD108" s="1">
        <f>X108-W108</f>
        <v>210</v>
      </c>
      <c r="BE108" s="1">
        <f>Y108-X108</f>
        <v>220</v>
      </c>
      <c r="BF108" s="1">
        <f>Z108-Y108</f>
        <v>350</v>
      </c>
    </row>
    <row r="109" spans="1:58">
      <c r="A109" s="1">
        <v>107</v>
      </c>
      <c r="B109" s="1">
        <v>615370</v>
      </c>
      <c r="C109" s="1">
        <v>615580</v>
      </c>
      <c r="D109" s="1">
        <v>615860</v>
      </c>
      <c r="E109" s="1">
        <v>615980</v>
      </c>
      <c r="F109" s="1">
        <v>616320</v>
      </c>
      <c r="G109" s="1">
        <v>616500</v>
      </c>
      <c r="H109" s="1">
        <v>616720</v>
      </c>
      <c r="I109" s="1">
        <v>616840</v>
      </c>
      <c r="J109" s="1">
        <v>617120</v>
      </c>
      <c r="K109" s="1">
        <v>617300</v>
      </c>
      <c r="L109" s="1">
        <v>617510</v>
      </c>
      <c r="M109" s="1">
        <v>617710</v>
      </c>
      <c r="N109" s="1">
        <v>617960</v>
      </c>
      <c r="O109" s="1">
        <v>618170</v>
      </c>
      <c r="P109" s="1">
        <v>618360</v>
      </c>
      <c r="Q109" s="1">
        <v>618590</v>
      </c>
      <c r="R109" s="1">
        <v>618840</v>
      </c>
      <c r="S109" s="1">
        <v>619020</v>
      </c>
      <c r="T109" s="1">
        <v>619200</v>
      </c>
      <c r="U109" s="1">
        <v>619390</v>
      </c>
      <c r="V109" s="1">
        <v>619600</v>
      </c>
      <c r="W109" s="1">
        <v>619840</v>
      </c>
      <c r="X109" s="1">
        <v>620050</v>
      </c>
      <c r="Y109" s="1">
        <v>620270</v>
      </c>
      <c r="Z109" s="1">
        <v>620650</v>
      </c>
      <c r="AA109" s="5">
        <f>AVERAGE(B109:Y109)</f>
        <v>617837.5</v>
      </c>
      <c r="AB109" s="5">
        <f>(AA110-AA108)/2</f>
        <v>5273.125</v>
      </c>
      <c r="AC109" s="14">
        <f>AB109/(23+AB151)</f>
        <v>211.24489662318862</v>
      </c>
      <c r="AD109" s="5">
        <f>AA109-AA108</f>
        <v>5262.0833333333721</v>
      </c>
      <c r="AE109" s="1">
        <f>AD109-AD108</f>
        <v>-12.083333333255723</v>
      </c>
      <c r="AG109" s="5">
        <f>Z109-Y109</f>
        <v>380</v>
      </c>
      <c r="AI109" s="1">
        <f>C109-B109</f>
        <v>210</v>
      </c>
      <c r="AJ109" s="1">
        <f>D109-C109</f>
        <v>280</v>
      </c>
      <c r="AK109" s="1">
        <f>E109-D109</f>
        <v>120</v>
      </c>
      <c r="AL109" s="1">
        <f>F109-E109</f>
        <v>340</v>
      </c>
      <c r="AM109" s="1">
        <f>G109-F109</f>
        <v>180</v>
      </c>
      <c r="AN109" s="1">
        <f>H109-G109</f>
        <v>220</v>
      </c>
      <c r="AO109" s="1">
        <f>I109-H109</f>
        <v>120</v>
      </c>
      <c r="AP109" s="1">
        <f>J109-I109</f>
        <v>280</v>
      </c>
      <c r="AQ109" s="1">
        <f>K109-J109</f>
        <v>180</v>
      </c>
      <c r="AR109" s="1">
        <f>L109-K109</f>
        <v>210</v>
      </c>
      <c r="AS109" s="1">
        <f>M109-L109</f>
        <v>200</v>
      </c>
      <c r="AT109" s="1">
        <f>N109-M109</f>
        <v>250</v>
      </c>
      <c r="AU109" s="1">
        <f>O109-N109</f>
        <v>210</v>
      </c>
      <c r="AV109" s="1">
        <f>P109-O109</f>
        <v>190</v>
      </c>
      <c r="AW109" s="1">
        <f>Q109-P109</f>
        <v>230</v>
      </c>
      <c r="AX109" s="1">
        <f>R109-Q109</f>
        <v>250</v>
      </c>
      <c r="AY109" s="1">
        <f>S109-R109</f>
        <v>180</v>
      </c>
      <c r="AZ109" s="1">
        <f>T109-S109</f>
        <v>180</v>
      </c>
      <c r="BA109" s="1">
        <f>U109-T109</f>
        <v>190</v>
      </c>
      <c r="BB109" s="1">
        <f>V109-U109</f>
        <v>210</v>
      </c>
      <c r="BC109" s="1">
        <f>W109-V109</f>
        <v>240</v>
      </c>
      <c r="BD109" s="1">
        <f>X109-W109</f>
        <v>210</v>
      </c>
      <c r="BE109" s="1">
        <f>Y109-X109</f>
        <v>220</v>
      </c>
      <c r="BF109" s="1">
        <f>Z109-Y109</f>
        <v>380</v>
      </c>
    </row>
    <row r="110" spans="1:58">
      <c r="A110" s="1">
        <v>108</v>
      </c>
      <c r="B110" s="1">
        <v>620650</v>
      </c>
      <c r="C110" s="1">
        <v>620890</v>
      </c>
      <c r="D110" s="1">
        <v>621100</v>
      </c>
      <c r="E110" s="1">
        <v>621300</v>
      </c>
      <c r="F110" s="1">
        <v>621580</v>
      </c>
      <c r="G110" s="1">
        <v>621810</v>
      </c>
      <c r="H110" s="1">
        <v>622000</v>
      </c>
      <c r="I110" s="1">
        <v>622150</v>
      </c>
      <c r="J110" s="1">
        <v>622380</v>
      </c>
      <c r="K110" s="1">
        <v>622590</v>
      </c>
      <c r="L110" s="1">
        <v>622810</v>
      </c>
      <c r="M110" s="1">
        <v>623030</v>
      </c>
      <c r="N110" s="1">
        <v>623210</v>
      </c>
      <c r="O110" s="1">
        <v>623390</v>
      </c>
      <c r="P110" s="1">
        <v>623660</v>
      </c>
      <c r="Q110" s="1">
        <v>623860</v>
      </c>
      <c r="R110" s="1">
        <v>624100</v>
      </c>
      <c r="S110" s="1">
        <v>624270</v>
      </c>
      <c r="T110" s="1">
        <v>624500</v>
      </c>
      <c r="U110" s="1">
        <v>624740</v>
      </c>
      <c r="V110" s="1">
        <v>624850</v>
      </c>
      <c r="W110" s="1">
        <v>625090</v>
      </c>
      <c r="X110" s="1">
        <v>625380</v>
      </c>
      <c r="Y110" s="1">
        <v>625580</v>
      </c>
      <c r="Z110" s="1">
        <v>625990</v>
      </c>
      <c r="AA110" s="5">
        <f>AVERAGE(B110:Y110)</f>
        <v>623121.66666666663</v>
      </c>
      <c r="AB110" s="5">
        <f>(AA111-AA109)/2</f>
        <v>5278.5416666666861</v>
      </c>
      <c r="AC110" s="14">
        <f>AB110/(23+AB151)</f>
        <v>211.4618918945024</v>
      </c>
      <c r="AD110" s="5">
        <f>AA110-AA109</f>
        <v>5284.1666666666279</v>
      </c>
      <c r="AE110" s="1">
        <f>AD110-AD109</f>
        <v>22.083333333255723</v>
      </c>
      <c r="AG110" s="5">
        <f>Z110-Y110</f>
        <v>410</v>
      </c>
      <c r="AI110" s="1">
        <f>C110-B110</f>
        <v>240</v>
      </c>
      <c r="AJ110" s="1">
        <f>D110-C110</f>
        <v>210</v>
      </c>
      <c r="AK110" s="1">
        <f>E110-D110</f>
        <v>200</v>
      </c>
      <c r="AL110" s="1">
        <f>F110-E110</f>
        <v>280</v>
      </c>
      <c r="AM110" s="1">
        <f>G110-F110</f>
        <v>230</v>
      </c>
      <c r="AN110" s="1">
        <f>H110-G110</f>
        <v>190</v>
      </c>
      <c r="AO110" s="1">
        <f>I110-H110</f>
        <v>150</v>
      </c>
      <c r="AP110" s="1">
        <f>J110-I110</f>
        <v>230</v>
      </c>
      <c r="AQ110" s="1">
        <f>K110-J110</f>
        <v>210</v>
      </c>
      <c r="AR110" s="1">
        <f>L110-K110</f>
        <v>220</v>
      </c>
      <c r="AS110" s="1">
        <f>M110-L110</f>
        <v>220</v>
      </c>
      <c r="AT110" s="1">
        <f>N110-M110</f>
        <v>180</v>
      </c>
      <c r="AU110" s="1">
        <f>O110-N110</f>
        <v>180</v>
      </c>
      <c r="AV110" s="1">
        <f>P110-O110</f>
        <v>270</v>
      </c>
      <c r="AW110" s="1">
        <f>Q110-P110</f>
        <v>200</v>
      </c>
      <c r="AX110" s="1">
        <f>R110-Q110</f>
        <v>240</v>
      </c>
      <c r="AY110" s="1">
        <f>S110-R110</f>
        <v>170</v>
      </c>
      <c r="AZ110" s="1">
        <f>T110-S110</f>
        <v>230</v>
      </c>
      <c r="BA110" s="1">
        <f>U110-T110</f>
        <v>240</v>
      </c>
      <c r="BB110" s="1">
        <f>V110-U110</f>
        <v>110</v>
      </c>
      <c r="BC110" s="1">
        <f>W110-V110</f>
        <v>240</v>
      </c>
      <c r="BD110" s="1">
        <f>X110-W110</f>
        <v>290</v>
      </c>
      <c r="BE110" s="1">
        <f>Y110-X110</f>
        <v>200</v>
      </c>
      <c r="BF110" s="1">
        <f>Z110-Y110</f>
        <v>410</v>
      </c>
    </row>
    <row r="111" spans="1:58">
      <c r="A111" s="1">
        <v>109</v>
      </c>
      <c r="B111" s="1">
        <v>625990</v>
      </c>
      <c r="C111" s="1">
        <v>626180</v>
      </c>
      <c r="D111" s="1">
        <v>626410</v>
      </c>
      <c r="E111" s="1">
        <v>626610</v>
      </c>
      <c r="F111" s="1">
        <v>626730</v>
      </c>
      <c r="G111" s="1">
        <v>626960</v>
      </c>
      <c r="H111" s="1">
        <v>627200</v>
      </c>
      <c r="I111" s="1">
        <v>627490</v>
      </c>
      <c r="J111" s="1">
        <v>627660</v>
      </c>
      <c r="K111" s="1">
        <v>627790</v>
      </c>
      <c r="L111" s="1">
        <v>628050</v>
      </c>
      <c r="M111" s="1">
        <v>628300</v>
      </c>
      <c r="N111" s="1">
        <v>628610</v>
      </c>
      <c r="O111" s="1">
        <v>628760</v>
      </c>
      <c r="P111" s="1">
        <v>628980</v>
      </c>
      <c r="Q111" s="1">
        <v>629130</v>
      </c>
      <c r="R111" s="1">
        <v>629320</v>
      </c>
      <c r="S111" s="1">
        <v>629540</v>
      </c>
      <c r="T111" s="1">
        <v>629800</v>
      </c>
      <c r="U111" s="1">
        <v>629980</v>
      </c>
      <c r="V111" s="1">
        <v>630150</v>
      </c>
      <c r="W111" s="1">
        <v>630390</v>
      </c>
      <c r="X111" s="1">
        <v>630580</v>
      </c>
      <c r="Y111" s="1">
        <v>630860</v>
      </c>
      <c r="Z111" s="1">
        <v>631270</v>
      </c>
      <c r="AA111" s="5">
        <f>AVERAGE(B111:Y111)</f>
        <v>628394.58333333337</v>
      </c>
      <c r="AB111" s="5">
        <f>(AA112-AA110)/2</f>
        <v>5279.1666666666861</v>
      </c>
      <c r="AC111" s="14">
        <f>AB111/(23+AB151)</f>
        <v>211.48692981042311</v>
      </c>
      <c r="AD111" s="5">
        <f>AA111-AA110</f>
        <v>5272.9166666667443</v>
      </c>
      <c r="AE111" s="1">
        <f>AD111-AD110</f>
        <v>-11.249999999883585</v>
      </c>
      <c r="AG111" s="5">
        <f>Z111-Y111</f>
        <v>410</v>
      </c>
      <c r="AI111" s="1">
        <f>C111-B111</f>
        <v>190</v>
      </c>
      <c r="AJ111" s="1">
        <f>D111-C111</f>
        <v>230</v>
      </c>
      <c r="AK111" s="1">
        <f>E111-D111</f>
        <v>200</v>
      </c>
      <c r="AL111" s="1">
        <f>F111-E111</f>
        <v>120</v>
      </c>
      <c r="AM111" s="1">
        <f>G111-F111</f>
        <v>230</v>
      </c>
      <c r="AN111" s="1">
        <f>H111-G111</f>
        <v>240</v>
      </c>
      <c r="AO111" s="1">
        <f>I111-H111</f>
        <v>290</v>
      </c>
      <c r="AP111" s="1">
        <f>J111-I111</f>
        <v>170</v>
      </c>
      <c r="AQ111" s="1">
        <f>K111-J111</f>
        <v>130</v>
      </c>
      <c r="AR111" s="1">
        <f>L111-K111</f>
        <v>260</v>
      </c>
      <c r="AS111" s="1">
        <f>M111-L111</f>
        <v>250</v>
      </c>
      <c r="AT111" s="1">
        <f>N111-M111</f>
        <v>310</v>
      </c>
      <c r="AU111" s="1">
        <f>O111-N111</f>
        <v>150</v>
      </c>
      <c r="AV111" s="1">
        <f>P111-O111</f>
        <v>220</v>
      </c>
      <c r="AW111" s="1">
        <f>Q111-P111</f>
        <v>150</v>
      </c>
      <c r="AX111" s="1">
        <f>R111-Q111</f>
        <v>190</v>
      </c>
      <c r="AY111" s="1">
        <f>S111-R111</f>
        <v>220</v>
      </c>
      <c r="AZ111" s="1">
        <f>T111-S111</f>
        <v>260</v>
      </c>
      <c r="BA111" s="1">
        <f>U111-T111</f>
        <v>180</v>
      </c>
      <c r="BB111" s="1">
        <f>V111-U111</f>
        <v>170</v>
      </c>
      <c r="BC111" s="1">
        <f>W111-V111</f>
        <v>240</v>
      </c>
      <c r="BD111" s="1">
        <f>X111-W111</f>
        <v>190</v>
      </c>
      <c r="BE111" s="1">
        <f>Y111-X111</f>
        <v>280</v>
      </c>
      <c r="BF111" s="1">
        <f>Z111-Y111</f>
        <v>410</v>
      </c>
    </row>
    <row r="112" spans="1:58">
      <c r="A112" s="1">
        <v>110</v>
      </c>
      <c r="B112" s="1">
        <v>631270</v>
      </c>
      <c r="C112" s="1">
        <v>631430</v>
      </c>
      <c r="D112" s="1">
        <v>631660</v>
      </c>
      <c r="E112" s="1">
        <v>631890</v>
      </c>
      <c r="F112" s="1">
        <v>632200</v>
      </c>
      <c r="G112" s="1">
        <v>632280</v>
      </c>
      <c r="H112" s="1">
        <v>632520</v>
      </c>
      <c r="I112" s="1">
        <v>632820</v>
      </c>
      <c r="J112" s="1">
        <v>632950</v>
      </c>
      <c r="K112" s="1">
        <v>633080</v>
      </c>
      <c r="L112" s="1">
        <v>633290</v>
      </c>
      <c r="M112" s="1">
        <v>633530</v>
      </c>
      <c r="N112" s="1">
        <v>633790</v>
      </c>
      <c r="O112" s="1">
        <v>634030</v>
      </c>
      <c r="P112" s="1">
        <v>634130</v>
      </c>
      <c r="Q112" s="1">
        <v>634410</v>
      </c>
      <c r="R112" s="1">
        <v>634620</v>
      </c>
      <c r="S112" s="1">
        <v>634890</v>
      </c>
      <c r="T112" s="1">
        <v>635100</v>
      </c>
      <c r="U112" s="1">
        <v>635250</v>
      </c>
      <c r="V112" s="1">
        <v>635480</v>
      </c>
      <c r="W112" s="1">
        <v>635650</v>
      </c>
      <c r="X112" s="1">
        <v>635880</v>
      </c>
      <c r="Y112" s="1">
        <v>636170</v>
      </c>
      <c r="Z112" s="1">
        <v>636520</v>
      </c>
      <c r="AA112" s="5">
        <f>AVERAGE(B112:Y112)</f>
        <v>633680</v>
      </c>
      <c r="AB112" s="5">
        <f>(AA113-AA111)/2</f>
        <v>5279.5833333333139</v>
      </c>
      <c r="AC112" s="14">
        <f>AB112/(23+AB151)</f>
        <v>211.50362175436871</v>
      </c>
      <c r="AD112" s="5">
        <f>AA112-AA111</f>
        <v>5285.4166666666279</v>
      </c>
      <c r="AE112" s="1">
        <f>AD112-AD111</f>
        <v>12.499999999883585</v>
      </c>
      <c r="AG112" s="5">
        <f>Z112-Y112</f>
        <v>350</v>
      </c>
      <c r="AI112" s="1">
        <f>C112-B112</f>
        <v>160</v>
      </c>
      <c r="AJ112" s="1">
        <f>D112-C112</f>
        <v>230</v>
      </c>
      <c r="AK112" s="1">
        <f>E112-D112</f>
        <v>230</v>
      </c>
      <c r="AL112" s="1">
        <f>F112-E112</f>
        <v>310</v>
      </c>
      <c r="AM112" s="1">
        <f>G112-F112</f>
        <v>80</v>
      </c>
      <c r="AN112" s="1">
        <f>H112-G112</f>
        <v>240</v>
      </c>
      <c r="AO112" s="1">
        <f>I112-H112</f>
        <v>300</v>
      </c>
      <c r="AP112" s="1">
        <f>J112-I112</f>
        <v>130</v>
      </c>
      <c r="AQ112" s="1">
        <f>K112-J112</f>
        <v>130</v>
      </c>
      <c r="AR112" s="1">
        <f>L112-K112</f>
        <v>210</v>
      </c>
      <c r="AS112" s="1">
        <f>M112-L112</f>
        <v>240</v>
      </c>
      <c r="AT112" s="1">
        <f>N112-M112</f>
        <v>260</v>
      </c>
      <c r="AU112" s="1">
        <f>O112-N112</f>
        <v>240</v>
      </c>
      <c r="AV112" s="1">
        <f>P112-O112</f>
        <v>100</v>
      </c>
      <c r="AW112" s="1">
        <f>Q112-P112</f>
        <v>280</v>
      </c>
      <c r="AX112" s="1">
        <f>R112-Q112</f>
        <v>210</v>
      </c>
      <c r="AY112" s="1">
        <f>S112-R112</f>
        <v>270</v>
      </c>
      <c r="AZ112" s="1">
        <f>T112-S112</f>
        <v>210</v>
      </c>
      <c r="BA112" s="1">
        <f>U112-T112</f>
        <v>150</v>
      </c>
      <c r="BB112" s="1">
        <f>V112-U112</f>
        <v>230</v>
      </c>
      <c r="BC112" s="1">
        <f>W112-V112</f>
        <v>170</v>
      </c>
      <c r="BD112" s="1">
        <f>X112-W112</f>
        <v>230</v>
      </c>
      <c r="BE112" s="1">
        <f>Y112-X112</f>
        <v>290</v>
      </c>
      <c r="BF112" s="1">
        <f>Z112-Y112</f>
        <v>350</v>
      </c>
    </row>
    <row r="113" spans="1:58">
      <c r="A113" s="1">
        <v>111</v>
      </c>
      <c r="B113" s="1">
        <v>636520</v>
      </c>
      <c r="C113" s="1">
        <v>636740</v>
      </c>
      <c r="D113" s="1">
        <v>636950</v>
      </c>
      <c r="E113" s="1">
        <v>637170</v>
      </c>
      <c r="F113" s="1">
        <v>637390</v>
      </c>
      <c r="G113" s="1">
        <v>637630</v>
      </c>
      <c r="H113" s="1">
        <v>637760</v>
      </c>
      <c r="I113" s="1">
        <v>637960</v>
      </c>
      <c r="J113" s="1">
        <v>638180</v>
      </c>
      <c r="K113" s="1">
        <v>638420</v>
      </c>
      <c r="L113" s="1">
        <v>638680</v>
      </c>
      <c r="M113" s="1">
        <v>638840</v>
      </c>
      <c r="N113" s="1">
        <v>639080</v>
      </c>
      <c r="O113" s="1">
        <v>639300</v>
      </c>
      <c r="P113" s="1">
        <v>639450</v>
      </c>
      <c r="Q113" s="1">
        <v>639770</v>
      </c>
      <c r="R113" s="1">
        <v>639860</v>
      </c>
      <c r="S113" s="1">
        <v>640140</v>
      </c>
      <c r="T113" s="1">
        <v>640310</v>
      </c>
      <c r="U113" s="1">
        <v>640560</v>
      </c>
      <c r="V113" s="1">
        <v>640710</v>
      </c>
      <c r="W113" s="1">
        <v>640940</v>
      </c>
      <c r="X113" s="1">
        <v>641120</v>
      </c>
      <c r="Y113" s="1">
        <v>641410</v>
      </c>
      <c r="Z113" s="1">
        <v>641820</v>
      </c>
      <c r="AA113" s="5">
        <f>AVERAGE(B113:Y113)</f>
        <v>638953.75</v>
      </c>
      <c r="AB113" s="5">
        <f>(AA114-AA112)/2</f>
        <v>5280.8333333333139</v>
      </c>
      <c r="AC113" s="14">
        <f>AB113/(23+AB151)</f>
        <v>211.55369758621018</v>
      </c>
      <c r="AD113" s="5">
        <f>AA113-AA112</f>
        <v>5273.75</v>
      </c>
      <c r="AE113" s="1">
        <f>AD113-AD112</f>
        <v>-11.666666666627862</v>
      </c>
      <c r="AG113" s="5">
        <f>Z113-Y113</f>
        <v>410</v>
      </c>
      <c r="AI113" s="1">
        <f>C113-B113</f>
        <v>220</v>
      </c>
      <c r="AJ113" s="1">
        <f>D113-C113</f>
        <v>210</v>
      </c>
      <c r="AK113" s="1">
        <f>E113-D113</f>
        <v>220</v>
      </c>
      <c r="AL113" s="1">
        <f>F113-E113</f>
        <v>220</v>
      </c>
      <c r="AM113" s="1">
        <f>G113-F113</f>
        <v>240</v>
      </c>
      <c r="AN113" s="1">
        <f>H113-G113</f>
        <v>130</v>
      </c>
      <c r="AO113" s="1">
        <f>I113-H113</f>
        <v>200</v>
      </c>
      <c r="AP113" s="1">
        <f>J113-I113</f>
        <v>220</v>
      </c>
      <c r="AQ113" s="1">
        <f>K113-J113</f>
        <v>240</v>
      </c>
      <c r="AR113" s="1">
        <f>L113-K113</f>
        <v>260</v>
      </c>
      <c r="AS113" s="1">
        <f>M113-L113</f>
        <v>160</v>
      </c>
      <c r="AT113" s="1">
        <f>N113-M113</f>
        <v>240</v>
      </c>
      <c r="AU113" s="1">
        <f>O113-N113</f>
        <v>220</v>
      </c>
      <c r="AV113" s="1">
        <f>P113-O113</f>
        <v>150</v>
      </c>
      <c r="AW113" s="1">
        <f>Q113-P113</f>
        <v>320</v>
      </c>
      <c r="AX113" s="1">
        <f>R113-Q113</f>
        <v>90</v>
      </c>
      <c r="AY113" s="1">
        <f>S113-R113</f>
        <v>280</v>
      </c>
      <c r="AZ113" s="1">
        <f>T113-S113</f>
        <v>170</v>
      </c>
      <c r="BA113" s="1">
        <f>U113-T113</f>
        <v>250</v>
      </c>
      <c r="BB113" s="1">
        <f>V113-U113</f>
        <v>150</v>
      </c>
      <c r="BC113" s="1">
        <f>W113-V113</f>
        <v>230</v>
      </c>
      <c r="BD113" s="1">
        <f>X113-W113</f>
        <v>180</v>
      </c>
      <c r="BE113" s="1">
        <f>Y113-X113</f>
        <v>290</v>
      </c>
      <c r="BF113" s="1">
        <f>Z113-Y113</f>
        <v>410</v>
      </c>
    </row>
    <row r="114" spans="1:58">
      <c r="A114" s="1">
        <v>112</v>
      </c>
      <c r="B114" s="1">
        <v>641820</v>
      </c>
      <c r="C114" s="1">
        <v>642150</v>
      </c>
      <c r="D114" s="1">
        <v>642250</v>
      </c>
      <c r="E114" s="1">
        <v>642450</v>
      </c>
      <c r="F114" s="1">
        <v>642670</v>
      </c>
      <c r="G114" s="1">
        <v>642850</v>
      </c>
      <c r="H114" s="1">
        <v>643120</v>
      </c>
      <c r="I114" s="1">
        <v>643240</v>
      </c>
      <c r="J114" s="1">
        <v>643460</v>
      </c>
      <c r="K114" s="1">
        <v>643660</v>
      </c>
      <c r="L114" s="1">
        <v>643860</v>
      </c>
      <c r="M114" s="1">
        <v>644140</v>
      </c>
      <c r="N114" s="1">
        <v>644410</v>
      </c>
      <c r="O114" s="1">
        <v>644500</v>
      </c>
      <c r="P114" s="1">
        <v>644810</v>
      </c>
      <c r="Q114" s="1">
        <v>645000</v>
      </c>
      <c r="R114" s="1">
        <v>645150</v>
      </c>
      <c r="S114" s="1">
        <v>645410</v>
      </c>
      <c r="T114" s="1">
        <v>645600</v>
      </c>
      <c r="U114" s="1">
        <v>645820</v>
      </c>
      <c r="V114" s="1">
        <v>646010</v>
      </c>
      <c r="W114" s="1">
        <v>646290</v>
      </c>
      <c r="X114" s="1">
        <v>646430</v>
      </c>
      <c r="Y114" s="1">
        <v>646700</v>
      </c>
      <c r="Z114" s="1">
        <v>647070</v>
      </c>
      <c r="AA114" s="5">
        <f>AVERAGE(B114:Y114)</f>
        <v>644241.66666666663</v>
      </c>
      <c r="AB114" s="5">
        <f>(AA115-AA113)/2</f>
        <v>5285.625</v>
      </c>
      <c r="AC114" s="14">
        <f>AB114/(23+AB151)</f>
        <v>211.74565494160322</v>
      </c>
      <c r="AD114" s="5">
        <f>AA114-AA113</f>
        <v>5287.9166666666279</v>
      </c>
      <c r="AE114" s="1">
        <f>AD114-AD113</f>
        <v>14.166666666627862</v>
      </c>
      <c r="AG114" s="5">
        <f>Z114-Y114</f>
        <v>370</v>
      </c>
      <c r="AI114" s="1">
        <f>C114-B114</f>
        <v>330</v>
      </c>
      <c r="AJ114" s="1">
        <f>D114-C114</f>
        <v>100</v>
      </c>
      <c r="AK114" s="1">
        <f>E114-D114</f>
        <v>200</v>
      </c>
      <c r="AL114" s="1">
        <f>F114-E114</f>
        <v>220</v>
      </c>
      <c r="AM114" s="1">
        <f>G114-F114</f>
        <v>180</v>
      </c>
      <c r="AN114" s="1">
        <f>H114-G114</f>
        <v>270</v>
      </c>
      <c r="AO114" s="1">
        <f>I114-H114</f>
        <v>120</v>
      </c>
      <c r="AP114" s="1">
        <f>J114-I114</f>
        <v>220</v>
      </c>
      <c r="AQ114" s="1">
        <f>K114-J114</f>
        <v>200</v>
      </c>
      <c r="AR114" s="1">
        <f>L114-K114</f>
        <v>200</v>
      </c>
      <c r="AS114" s="1">
        <f>M114-L114</f>
        <v>280</v>
      </c>
      <c r="AT114" s="1">
        <f>N114-M114</f>
        <v>270</v>
      </c>
      <c r="AU114" s="1">
        <f>O114-N114</f>
        <v>90</v>
      </c>
      <c r="AV114" s="1">
        <f>P114-O114</f>
        <v>310</v>
      </c>
      <c r="AW114" s="1">
        <f>Q114-P114</f>
        <v>190</v>
      </c>
      <c r="AX114" s="1">
        <f>R114-Q114</f>
        <v>150</v>
      </c>
      <c r="AY114" s="1">
        <f>S114-R114</f>
        <v>260</v>
      </c>
      <c r="AZ114" s="1">
        <f>T114-S114</f>
        <v>190</v>
      </c>
      <c r="BA114" s="1">
        <f>U114-T114</f>
        <v>220</v>
      </c>
      <c r="BB114" s="1">
        <f>V114-U114</f>
        <v>190</v>
      </c>
      <c r="BC114" s="1">
        <f>W114-V114</f>
        <v>280</v>
      </c>
      <c r="BD114" s="1">
        <f>X114-W114</f>
        <v>140</v>
      </c>
      <c r="BE114" s="1">
        <f>Y114-X114</f>
        <v>270</v>
      </c>
      <c r="BF114" s="1">
        <f>Z114-Y114</f>
        <v>370</v>
      </c>
    </row>
    <row r="115" spans="1:58">
      <c r="A115" s="1">
        <v>113</v>
      </c>
      <c r="B115" s="1">
        <v>647070</v>
      </c>
      <c r="C115" s="1">
        <v>647300</v>
      </c>
      <c r="D115" s="1">
        <v>647510</v>
      </c>
      <c r="E115" s="1">
        <v>647750</v>
      </c>
      <c r="F115" s="1">
        <v>647940</v>
      </c>
      <c r="G115" s="1">
        <v>648120</v>
      </c>
      <c r="H115" s="1">
        <v>648350</v>
      </c>
      <c r="I115" s="1">
        <v>648510</v>
      </c>
      <c r="J115" s="1">
        <v>648800</v>
      </c>
      <c r="K115" s="1">
        <v>649020</v>
      </c>
      <c r="L115" s="1">
        <v>649130</v>
      </c>
      <c r="M115" s="1">
        <v>649460</v>
      </c>
      <c r="N115" s="1">
        <v>649710</v>
      </c>
      <c r="O115" s="1">
        <v>649870</v>
      </c>
      <c r="P115" s="1">
        <v>650030</v>
      </c>
      <c r="Q115" s="1">
        <v>650280</v>
      </c>
      <c r="R115" s="1">
        <v>650400</v>
      </c>
      <c r="S115" s="1">
        <v>650660</v>
      </c>
      <c r="T115" s="1">
        <v>650910</v>
      </c>
      <c r="U115" s="1">
        <v>651180</v>
      </c>
      <c r="V115" s="1">
        <v>651250</v>
      </c>
      <c r="W115" s="1">
        <v>651540</v>
      </c>
      <c r="X115" s="1">
        <v>651790</v>
      </c>
      <c r="Y115" s="1">
        <v>652020</v>
      </c>
      <c r="Z115" s="1">
        <v>652450</v>
      </c>
      <c r="AA115" s="5">
        <f>AVERAGE(B115:Y115)</f>
        <v>649525</v>
      </c>
      <c r="AB115" s="5">
        <f>(AA116-AA114)/2</f>
        <v>5290</v>
      </c>
      <c r="AC115" s="14">
        <f>AB115/(23+AB151)</f>
        <v>211.9209203530483</v>
      </c>
      <c r="AD115" s="5">
        <f>AA115-AA114</f>
        <v>5283.3333333333721</v>
      </c>
      <c r="AE115" s="1">
        <f>AD115-AD114</f>
        <v>-4.5833333332557231</v>
      </c>
      <c r="AG115" s="5">
        <f>Z115-Y115</f>
        <v>430</v>
      </c>
      <c r="AI115" s="1">
        <f>C115-B115</f>
        <v>230</v>
      </c>
      <c r="AJ115" s="1">
        <f>D115-C115</f>
        <v>210</v>
      </c>
      <c r="AK115" s="1">
        <f>E115-D115</f>
        <v>240</v>
      </c>
      <c r="AL115" s="1">
        <f>F115-E115</f>
        <v>190</v>
      </c>
      <c r="AM115" s="1">
        <f>G115-F115</f>
        <v>180</v>
      </c>
      <c r="AN115" s="1">
        <f>H115-G115</f>
        <v>230</v>
      </c>
      <c r="AO115" s="1">
        <f>I115-H115</f>
        <v>160</v>
      </c>
      <c r="AP115" s="1">
        <f>J115-I115</f>
        <v>290</v>
      </c>
      <c r="AQ115" s="1">
        <f>K115-J115</f>
        <v>220</v>
      </c>
      <c r="AR115" s="1">
        <f>L115-K115</f>
        <v>110</v>
      </c>
      <c r="AS115" s="1">
        <f>M115-L115</f>
        <v>330</v>
      </c>
      <c r="AT115" s="1">
        <f>N115-M115</f>
        <v>250</v>
      </c>
      <c r="AU115" s="1">
        <f>O115-N115</f>
        <v>160</v>
      </c>
      <c r="AV115" s="1">
        <f>P115-O115</f>
        <v>160</v>
      </c>
      <c r="AW115" s="1">
        <f>Q115-P115</f>
        <v>250</v>
      </c>
      <c r="AX115" s="1">
        <f>R115-Q115</f>
        <v>120</v>
      </c>
      <c r="AY115" s="1">
        <f>S115-R115</f>
        <v>260</v>
      </c>
      <c r="AZ115" s="1">
        <f>T115-S115</f>
        <v>250</v>
      </c>
      <c r="BA115" s="1">
        <f>U115-T115</f>
        <v>270</v>
      </c>
      <c r="BB115" s="1">
        <f>V115-U115</f>
        <v>70</v>
      </c>
      <c r="BC115" s="1">
        <f>W115-V115</f>
        <v>290</v>
      </c>
      <c r="BD115" s="1">
        <f>X115-W115</f>
        <v>250</v>
      </c>
      <c r="BE115" s="1">
        <f>Y115-X115</f>
        <v>230</v>
      </c>
      <c r="BF115" s="1">
        <f>Z115-Y115</f>
        <v>430</v>
      </c>
    </row>
    <row r="116" spans="1:58">
      <c r="A116" s="1">
        <v>114</v>
      </c>
      <c r="B116" s="1">
        <v>652450</v>
      </c>
      <c r="C116" s="1">
        <v>652620</v>
      </c>
      <c r="D116" s="1">
        <v>652860</v>
      </c>
      <c r="E116" s="1">
        <v>653100</v>
      </c>
      <c r="F116" s="1">
        <v>653240</v>
      </c>
      <c r="G116" s="1">
        <v>653420</v>
      </c>
      <c r="H116" s="1">
        <v>653670</v>
      </c>
      <c r="I116" s="1">
        <v>653760</v>
      </c>
      <c r="J116" s="1">
        <v>654040</v>
      </c>
      <c r="K116" s="1">
        <v>654270</v>
      </c>
      <c r="L116" s="1">
        <v>654510</v>
      </c>
      <c r="M116" s="1">
        <v>654760</v>
      </c>
      <c r="N116" s="1">
        <v>654920</v>
      </c>
      <c r="O116" s="1">
        <v>655200</v>
      </c>
      <c r="P116" s="1">
        <v>655390</v>
      </c>
      <c r="Q116" s="1">
        <v>655570</v>
      </c>
      <c r="R116" s="1">
        <v>655770</v>
      </c>
      <c r="S116" s="1">
        <v>655910</v>
      </c>
      <c r="T116" s="1">
        <v>656130</v>
      </c>
      <c r="U116" s="1">
        <v>656430</v>
      </c>
      <c r="V116" s="1">
        <v>656580</v>
      </c>
      <c r="W116" s="1">
        <v>656830</v>
      </c>
      <c r="X116" s="1">
        <v>657040</v>
      </c>
      <c r="Y116" s="1">
        <v>657250</v>
      </c>
      <c r="Z116" s="1">
        <v>657690</v>
      </c>
      <c r="AA116" s="5">
        <f>AVERAGE(B116:Y116)</f>
        <v>654821.66666666663</v>
      </c>
      <c r="AB116" s="5">
        <f>(AA117-AA115)/2</f>
        <v>5288.9583333333139</v>
      </c>
      <c r="AC116" s="14">
        <f>AB116/(23+AB151)</f>
        <v>211.87919049317966</v>
      </c>
      <c r="AD116" s="5">
        <f>AA116-AA115</f>
        <v>5296.6666666666279</v>
      </c>
      <c r="AE116" s="1">
        <f>AD116-AD115</f>
        <v>13.333333333255723</v>
      </c>
      <c r="AG116" s="5">
        <f>Z116-Y116</f>
        <v>440</v>
      </c>
      <c r="AI116" s="1">
        <f>C116-B116</f>
        <v>170</v>
      </c>
      <c r="AJ116" s="1">
        <f>D116-C116</f>
        <v>240</v>
      </c>
      <c r="AK116" s="1">
        <f>E116-D116</f>
        <v>240</v>
      </c>
      <c r="AL116" s="1">
        <f>F116-E116</f>
        <v>140</v>
      </c>
      <c r="AM116" s="1">
        <f>G116-F116</f>
        <v>180</v>
      </c>
      <c r="AN116" s="1">
        <f>H116-G116</f>
        <v>250</v>
      </c>
      <c r="AO116" s="1">
        <f>I116-H116</f>
        <v>90</v>
      </c>
      <c r="AP116" s="1">
        <f>J116-I116</f>
        <v>280</v>
      </c>
      <c r="AQ116" s="1">
        <f>K116-J116</f>
        <v>230</v>
      </c>
      <c r="AR116" s="1">
        <f>L116-K116</f>
        <v>240</v>
      </c>
      <c r="AS116" s="1">
        <f>M116-L116</f>
        <v>250</v>
      </c>
      <c r="AT116" s="1">
        <f>N116-M116</f>
        <v>160</v>
      </c>
      <c r="AU116" s="1">
        <f>O116-N116</f>
        <v>280</v>
      </c>
      <c r="AV116" s="1">
        <f>P116-O116</f>
        <v>190</v>
      </c>
      <c r="AW116" s="1">
        <f>Q116-P116</f>
        <v>180</v>
      </c>
      <c r="AX116" s="1">
        <f>R116-Q116</f>
        <v>200</v>
      </c>
      <c r="AY116" s="1">
        <f>S116-R116</f>
        <v>140</v>
      </c>
      <c r="AZ116" s="1">
        <f>T116-S116</f>
        <v>220</v>
      </c>
      <c r="BA116" s="1">
        <f>U116-T116</f>
        <v>300</v>
      </c>
      <c r="BB116" s="1">
        <f>V116-U116</f>
        <v>150</v>
      </c>
      <c r="BC116" s="1">
        <f>W116-V116</f>
        <v>250</v>
      </c>
      <c r="BD116" s="1">
        <f>X116-W116</f>
        <v>210</v>
      </c>
      <c r="BE116" s="1">
        <f>Y116-X116</f>
        <v>210</v>
      </c>
      <c r="BF116" s="1">
        <f>Z116-Y116</f>
        <v>440</v>
      </c>
    </row>
    <row r="117" spans="1:58">
      <c r="A117" s="1">
        <v>115</v>
      </c>
      <c r="B117" s="1">
        <v>657690</v>
      </c>
      <c r="C117" s="1">
        <v>657930</v>
      </c>
      <c r="D117" s="1">
        <v>658140</v>
      </c>
      <c r="E117" s="1">
        <v>658330</v>
      </c>
      <c r="F117" s="1">
        <v>658590</v>
      </c>
      <c r="G117" s="1">
        <v>658750</v>
      </c>
      <c r="H117" s="1">
        <v>658950</v>
      </c>
      <c r="I117" s="1">
        <v>659060</v>
      </c>
      <c r="J117" s="1">
        <v>659250</v>
      </c>
      <c r="K117" s="1">
        <v>659500</v>
      </c>
      <c r="L117" s="1">
        <v>659740</v>
      </c>
      <c r="M117" s="1">
        <v>659940</v>
      </c>
      <c r="N117" s="1">
        <v>660290</v>
      </c>
      <c r="O117" s="1">
        <v>660470</v>
      </c>
      <c r="P117" s="1">
        <v>660660</v>
      </c>
      <c r="Q117" s="1">
        <v>660870</v>
      </c>
      <c r="R117" s="1">
        <v>661040</v>
      </c>
      <c r="S117" s="1">
        <v>661360</v>
      </c>
      <c r="T117" s="1">
        <v>661470</v>
      </c>
      <c r="U117" s="1">
        <v>661660</v>
      </c>
      <c r="V117" s="1">
        <v>661870</v>
      </c>
      <c r="W117" s="1">
        <v>662060</v>
      </c>
      <c r="X117" s="1">
        <v>662280</v>
      </c>
      <c r="Y117" s="1">
        <v>662570</v>
      </c>
      <c r="Z117" s="1">
        <v>662980</v>
      </c>
      <c r="AA117" s="5">
        <f>AVERAGE(B117:Y117)</f>
        <v>660102.91666666663</v>
      </c>
      <c r="AB117" s="5">
        <f>(AA118-AA116)/2</f>
        <v>5278.9583333333721</v>
      </c>
      <c r="AC117" s="14">
        <f>AB117/(23+AB151)</f>
        <v>211.47858383845033</v>
      </c>
      <c r="AD117" s="5">
        <f>AA117-AA116</f>
        <v>5281.25</v>
      </c>
      <c r="AE117" s="1">
        <f>AD117-AD116</f>
        <v>-15.416666666627862</v>
      </c>
      <c r="AG117" s="5">
        <f>Z117-Y117</f>
        <v>410</v>
      </c>
      <c r="AI117" s="1">
        <f>C117-B117</f>
        <v>240</v>
      </c>
      <c r="AJ117" s="1">
        <f>D117-C117</f>
        <v>210</v>
      </c>
      <c r="AK117" s="1">
        <f>E117-D117</f>
        <v>190</v>
      </c>
      <c r="AL117" s="1">
        <f>F117-E117</f>
        <v>260</v>
      </c>
      <c r="AM117" s="1">
        <f>G117-F117</f>
        <v>160</v>
      </c>
      <c r="AN117" s="1">
        <f>H117-G117</f>
        <v>200</v>
      </c>
      <c r="AO117" s="1">
        <f>I117-H117</f>
        <v>110</v>
      </c>
      <c r="AP117" s="1">
        <f>J117-I117</f>
        <v>190</v>
      </c>
      <c r="AQ117" s="1">
        <f>K117-J117</f>
        <v>250</v>
      </c>
      <c r="AR117" s="1">
        <f>L117-K117</f>
        <v>240</v>
      </c>
      <c r="AS117" s="1">
        <f>M117-L117</f>
        <v>200</v>
      </c>
      <c r="AT117" s="1">
        <f>N117-M117</f>
        <v>350</v>
      </c>
      <c r="AU117" s="1">
        <f>O117-N117</f>
        <v>180</v>
      </c>
      <c r="AV117" s="1">
        <f>P117-O117</f>
        <v>190</v>
      </c>
      <c r="AW117" s="1">
        <f>Q117-P117</f>
        <v>210</v>
      </c>
      <c r="AX117" s="1">
        <f>R117-Q117</f>
        <v>170</v>
      </c>
      <c r="AY117" s="1">
        <f>S117-R117</f>
        <v>320</v>
      </c>
      <c r="AZ117" s="1">
        <f>T117-S117</f>
        <v>110</v>
      </c>
      <c r="BA117" s="1">
        <f>U117-T117</f>
        <v>190</v>
      </c>
      <c r="BB117" s="1">
        <f>V117-U117</f>
        <v>210</v>
      </c>
      <c r="BC117" s="1">
        <f>W117-V117</f>
        <v>190</v>
      </c>
      <c r="BD117" s="1">
        <f>X117-W117</f>
        <v>220</v>
      </c>
      <c r="BE117" s="1">
        <f>Y117-X117</f>
        <v>290</v>
      </c>
      <c r="BF117" s="1">
        <f>Z117-Y117</f>
        <v>410</v>
      </c>
    </row>
    <row r="118" spans="1:58">
      <c r="A118" s="1">
        <v>116</v>
      </c>
      <c r="B118" s="1">
        <v>662980</v>
      </c>
      <c r="C118" s="1">
        <v>663240</v>
      </c>
      <c r="D118" s="1">
        <v>663430</v>
      </c>
      <c r="E118" s="1">
        <v>663610</v>
      </c>
      <c r="F118" s="1">
        <v>663840</v>
      </c>
      <c r="G118" s="1">
        <v>663990</v>
      </c>
      <c r="H118" s="1">
        <v>664220</v>
      </c>
      <c r="I118" s="1">
        <v>664430</v>
      </c>
      <c r="J118" s="1">
        <v>664650</v>
      </c>
      <c r="K118" s="1">
        <v>664820</v>
      </c>
      <c r="L118" s="1">
        <v>665070</v>
      </c>
      <c r="M118" s="1">
        <v>665210</v>
      </c>
      <c r="N118" s="1">
        <v>665540</v>
      </c>
      <c r="O118" s="1">
        <v>665760</v>
      </c>
      <c r="P118" s="1">
        <v>665860</v>
      </c>
      <c r="Q118" s="1">
        <v>666100</v>
      </c>
      <c r="R118" s="1">
        <v>666270</v>
      </c>
      <c r="S118" s="1">
        <v>666550</v>
      </c>
      <c r="T118" s="1">
        <v>666730</v>
      </c>
      <c r="U118" s="1">
        <v>666940</v>
      </c>
      <c r="V118" s="1">
        <v>667110</v>
      </c>
      <c r="W118" s="1">
        <v>667340</v>
      </c>
      <c r="X118" s="1">
        <v>667590</v>
      </c>
      <c r="Y118" s="1">
        <v>667830</v>
      </c>
      <c r="Z118" s="1">
        <v>668260</v>
      </c>
      <c r="AA118" s="5">
        <f>AVERAGE(B118:Y118)</f>
        <v>665379.58333333337</v>
      </c>
      <c r="AB118" s="5">
        <f>(AA119-AA117)/2</f>
        <v>5289.5833333333721</v>
      </c>
      <c r="AC118" s="14">
        <f>AB118/(23+AB151)</f>
        <v>211.9042284091027</v>
      </c>
      <c r="AD118" s="5">
        <f>AA118-AA117</f>
        <v>5276.6666666667443</v>
      </c>
      <c r="AE118" s="1">
        <f>AD118-AD117</f>
        <v>-4.5833333332557231</v>
      </c>
      <c r="AG118" s="5">
        <f>Z118-Y118</f>
        <v>430</v>
      </c>
      <c r="AI118" s="1">
        <f>C118-B118</f>
        <v>260</v>
      </c>
      <c r="AJ118" s="1">
        <f>D118-C118</f>
        <v>190</v>
      </c>
      <c r="AK118" s="1">
        <f>E118-D118</f>
        <v>180</v>
      </c>
      <c r="AL118" s="1">
        <f>F118-E118</f>
        <v>230</v>
      </c>
      <c r="AM118" s="1">
        <f>G118-F118</f>
        <v>150</v>
      </c>
      <c r="AN118" s="1">
        <f>H118-G118</f>
        <v>230</v>
      </c>
      <c r="AO118" s="1">
        <f>I118-H118</f>
        <v>210</v>
      </c>
      <c r="AP118" s="1">
        <f>J118-I118</f>
        <v>220</v>
      </c>
      <c r="AQ118" s="1">
        <f>K118-J118</f>
        <v>170</v>
      </c>
      <c r="AR118" s="1">
        <f>L118-K118</f>
        <v>250</v>
      </c>
      <c r="AS118" s="1">
        <f>M118-L118</f>
        <v>140</v>
      </c>
      <c r="AT118" s="1">
        <f>N118-M118</f>
        <v>330</v>
      </c>
      <c r="AU118" s="1">
        <f>O118-N118</f>
        <v>220</v>
      </c>
      <c r="AV118" s="1">
        <f>P118-O118</f>
        <v>100</v>
      </c>
      <c r="AW118" s="1">
        <f>Q118-P118</f>
        <v>240</v>
      </c>
      <c r="AX118" s="1">
        <f>R118-Q118</f>
        <v>170</v>
      </c>
      <c r="AY118" s="1">
        <f>S118-R118</f>
        <v>280</v>
      </c>
      <c r="AZ118" s="1">
        <f>T118-S118</f>
        <v>180</v>
      </c>
      <c r="BA118" s="1">
        <f>U118-T118</f>
        <v>210</v>
      </c>
      <c r="BB118" s="1">
        <f>V118-U118</f>
        <v>170</v>
      </c>
      <c r="BC118" s="1">
        <f>W118-V118</f>
        <v>230</v>
      </c>
      <c r="BD118" s="1">
        <f>X118-W118</f>
        <v>250</v>
      </c>
      <c r="BE118" s="1">
        <f>Y118-X118</f>
        <v>240</v>
      </c>
      <c r="BF118" s="1">
        <f>Z118-Y118</f>
        <v>430</v>
      </c>
    </row>
    <row r="119" spans="1:58">
      <c r="A119" s="1">
        <v>117</v>
      </c>
      <c r="B119" s="1">
        <v>668260</v>
      </c>
      <c r="C119" s="1">
        <v>668520</v>
      </c>
      <c r="D119" s="1">
        <v>668700</v>
      </c>
      <c r="E119" s="1">
        <v>668920</v>
      </c>
      <c r="F119" s="1">
        <v>669100</v>
      </c>
      <c r="G119" s="1">
        <v>669310</v>
      </c>
      <c r="H119" s="1">
        <v>669560</v>
      </c>
      <c r="I119" s="1">
        <v>669670</v>
      </c>
      <c r="J119" s="1">
        <v>669920</v>
      </c>
      <c r="K119" s="1">
        <v>670130</v>
      </c>
      <c r="L119" s="1">
        <v>670370</v>
      </c>
      <c r="M119" s="1">
        <v>670530</v>
      </c>
      <c r="N119" s="1">
        <v>670820</v>
      </c>
      <c r="O119" s="1">
        <v>671030</v>
      </c>
      <c r="P119" s="1">
        <v>671230</v>
      </c>
      <c r="Q119" s="1">
        <v>671480</v>
      </c>
      <c r="R119" s="1">
        <v>671600</v>
      </c>
      <c r="S119" s="1">
        <v>671780</v>
      </c>
      <c r="T119" s="1">
        <v>672060</v>
      </c>
      <c r="U119" s="1">
        <v>672280</v>
      </c>
      <c r="V119" s="1">
        <v>672430</v>
      </c>
      <c r="W119" s="1">
        <v>672690</v>
      </c>
      <c r="X119" s="1">
        <v>672860</v>
      </c>
      <c r="Y119" s="1">
        <v>673120</v>
      </c>
      <c r="Z119" s="1">
        <v>673550</v>
      </c>
      <c r="AA119" s="5">
        <f>AVERAGE(B119:Y119)</f>
        <v>670682.08333333337</v>
      </c>
      <c r="AB119" s="5">
        <f>(AA120-AA118)/2</f>
        <v>5301.6666666666279</v>
      </c>
      <c r="AC119" s="14">
        <f>AB119/(23+AB151)</f>
        <v>212.38829478356703</v>
      </c>
      <c r="AD119" s="5">
        <f>AA119-AA118</f>
        <v>5302.5</v>
      </c>
      <c r="AE119" s="1">
        <f>AD119-AD118</f>
        <v>25.833333333255723</v>
      </c>
      <c r="AG119" s="5">
        <f>Z119-Y119</f>
        <v>430</v>
      </c>
      <c r="AI119" s="1">
        <f>C119-B119</f>
        <v>260</v>
      </c>
      <c r="AJ119" s="1">
        <f>D119-C119</f>
        <v>180</v>
      </c>
      <c r="AK119" s="1">
        <f>E119-D119</f>
        <v>220</v>
      </c>
      <c r="AL119" s="1">
        <f>F119-E119</f>
        <v>180</v>
      </c>
      <c r="AM119" s="1">
        <f>G119-F119</f>
        <v>210</v>
      </c>
      <c r="AN119" s="1">
        <f>H119-G119</f>
        <v>250</v>
      </c>
      <c r="AO119" s="1">
        <f>I119-H119</f>
        <v>110</v>
      </c>
      <c r="AP119" s="1">
        <f>J119-I119</f>
        <v>250</v>
      </c>
      <c r="AQ119" s="1">
        <f>K119-J119</f>
        <v>210</v>
      </c>
      <c r="AR119" s="1">
        <f>L119-K119</f>
        <v>240</v>
      </c>
      <c r="AS119" s="1">
        <f>M119-L119</f>
        <v>160</v>
      </c>
      <c r="AT119" s="1">
        <f>N119-M119</f>
        <v>290</v>
      </c>
      <c r="AU119" s="1">
        <f>O119-N119</f>
        <v>210</v>
      </c>
      <c r="AV119" s="1">
        <f>P119-O119</f>
        <v>200</v>
      </c>
      <c r="AW119" s="1">
        <f>Q119-P119</f>
        <v>250</v>
      </c>
      <c r="AX119" s="1">
        <f>R119-Q119</f>
        <v>120</v>
      </c>
      <c r="AY119" s="1">
        <f>S119-R119</f>
        <v>180</v>
      </c>
      <c r="AZ119" s="1">
        <f>T119-S119</f>
        <v>280</v>
      </c>
      <c r="BA119" s="1">
        <f>U119-T119</f>
        <v>220</v>
      </c>
      <c r="BB119" s="1">
        <f>V119-U119</f>
        <v>150</v>
      </c>
      <c r="BC119" s="1">
        <f>W119-V119</f>
        <v>260</v>
      </c>
      <c r="BD119" s="1">
        <f>X119-W119</f>
        <v>170</v>
      </c>
      <c r="BE119" s="1">
        <f>Y119-X119</f>
        <v>260</v>
      </c>
      <c r="BF119" s="1">
        <f>Z119-Y119</f>
        <v>430</v>
      </c>
    </row>
    <row r="120" spans="1:58">
      <c r="A120" s="1">
        <v>118</v>
      </c>
      <c r="B120" s="1">
        <v>673550</v>
      </c>
      <c r="C120" s="1">
        <v>673790</v>
      </c>
      <c r="D120" s="1">
        <v>673990</v>
      </c>
      <c r="E120" s="1">
        <v>674220</v>
      </c>
      <c r="F120" s="1">
        <v>674390</v>
      </c>
      <c r="G120" s="1">
        <v>674590</v>
      </c>
      <c r="H120" s="1">
        <v>674770</v>
      </c>
      <c r="I120" s="1">
        <v>675000</v>
      </c>
      <c r="J120" s="1">
        <v>675250</v>
      </c>
      <c r="K120" s="1">
        <v>675530</v>
      </c>
      <c r="L120" s="1">
        <v>675650</v>
      </c>
      <c r="M120" s="1">
        <v>675850</v>
      </c>
      <c r="N120" s="1">
        <v>676040</v>
      </c>
      <c r="O120" s="1">
        <v>676330</v>
      </c>
      <c r="P120" s="1">
        <v>676460</v>
      </c>
      <c r="Q120" s="1">
        <v>676730</v>
      </c>
      <c r="R120" s="1">
        <v>676930</v>
      </c>
      <c r="S120" s="1">
        <v>677150</v>
      </c>
      <c r="T120" s="1">
        <v>677330</v>
      </c>
      <c r="U120" s="1">
        <v>677580</v>
      </c>
      <c r="V120" s="1">
        <v>677750</v>
      </c>
      <c r="W120" s="1">
        <v>677980</v>
      </c>
      <c r="X120" s="1">
        <v>678280</v>
      </c>
      <c r="Y120" s="1">
        <v>678450</v>
      </c>
      <c r="Z120" s="1">
        <v>678880</v>
      </c>
      <c r="AA120" s="5">
        <f>AVERAGE(B120:Y120)</f>
        <v>675982.91666666663</v>
      </c>
      <c r="AB120" s="5">
        <f>(AA121-AA119)/2</f>
        <v>5305.625</v>
      </c>
      <c r="AC120" s="14">
        <f>AB120/(23+AB151)</f>
        <v>212.54686825106654</v>
      </c>
      <c r="AD120" s="5">
        <f>AA120-AA119</f>
        <v>5300.8333333332557</v>
      </c>
      <c r="AE120" s="1">
        <f>AD120-AD119</f>
        <v>-1.6666666667442769</v>
      </c>
      <c r="AG120" s="5">
        <f>Z120-Y120</f>
        <v>430</v>
      </c>
      <c r="AI120" s="1">
        <f>C120-B120</f>
        <v>240</v>
      </c>
      <c r="AJ120" s="1">
        <f>D120-C120</f>
        <v>200</v>
      </c>
      <c r="AK120" s="1">
        <f>E120-D120</f>
        <v>230</v>
      </c>
      <c r="AL120" s="1">
        <f>F120-E120</f>
        <v>170</v>
      </c>
      <c r="AM120" s="1">
        <f>G120-F120</f>
        <v>200</v>
      </c>
      <c r="AN120" s="1">
        <f>H120-G120</f>
        <v>180</v>
      </c>
      <c r="AO120" s="1">
        <f>I120-H120</f>
        <v>230</v>
      </c>
      <c r="AP120" s="1">
        <f>J120-I120</f>
        <v>250</v>
      </c>
      <c r="AQ120" s="1">
        <f>K120-J120</f>
        <v>280</v>
      </c>
      <c r="AR120" s="1">
        <f>L120-K120</f>
        <v>120</v>
      </c>
      <c r="AS120" s="1">
        <f>M120-L120</f>
        <v>200</v>
      </c>
      <c r="AT120" s="1">
        <f>N120-M120</f>
        <v>190</v>
      </c>
      <c r="AU120" s="1">
        <f>O120-N120</f>
        <v>290</v>
      </c>
      <c r="AV120" s="1">
        <f>P120-O120</f>
        <v>130</v>
      </c>
      <c r="AW120" s="1">
        <f>Q120-P120</f>
        <v>270</v>
      </c>
      <c r="AX120" s="1">
        <f>R120-Q120</f>
        <v>200</v>
      </c>
      <c r="AY120" s="1">
        <f>S120-R120</f>
        <v>220</v>
      </c>
      <c r="AZ120" s="1">
        <f>T120-S120</f>
        <v>180</v>
      </c>
      <c r="BA120" s="1">
        <f>U120-T120</f>
        <v>250</v>
      </c>
      <c r="BB120" s="1">
        <f>V120-U120</f>
        <v>170</v>
      </c>
      <c r="BC120" s="1">
        <f>W120-V120</f>
        <v>230</v>
      </c>
      <c r="BD120" s="1">
        <f>X120-W120</f>
        <v>300</v>
      </c>
      <c r="BE120" s="1">
        <f>Y120-X120</f>
        <v>170</v>
      </c>
      <c r="BF120" s="1">
        <f>Z120-Y120</f>
        <v>430</v>
      </c>
    </row>
    <row r="121" spans="1:58">
      <c r="A121" s="1">
        <v>119</v>
      </c>
      <c r="B121" s="1">
        <v>678880</v>
      </c>
      <c r="C121" s="1">
        <v>679110</v>
      </c>
      <c r="D121" s="1">
        <v>679270</v>
      </c>
      <c r="E121" s="1">
        <v>679440</v>
      </c>
      <c r="F121" s="1">
        <v>679660</v>
      </c>
      <c r="G121" s="1">
        <v>679860</v>
      </c>
      <c r="H121" s="1">
        <v>680160</v>
      </c>
      <c r="I121" s="1">
        <v>680430</v>
      </c>
      <c r="J121" s="1">
        <v>680560</v>
      </c>
      <c r="K121" s="1">
        <v>680700</v>
      </c>
      <c r="L121" s="1">
        <v>680950</v>
      </c>
      <c r="M121" s="1">
        <v>681230</v>
      </c>
      <c r="N121" s="1">
        <v>681420</v>
      </c>
      <c r="O121" s="1">
        <v>681620</v>
      </c>
      <c r="P121" s="1">
        <v>681880</v>
      </c>
      <c r="Q121" s="1">
        <v>682060</v>
      </c>
      <c r="R121" s="1">
        <v>682290</v>
      </c>
      <c r="S121" s="1">
        <v>682490</v>
      </c>
      <c r="T121" s="1">
        <v>682660</v>
      </c>
      <c r="U121" s="1">
        <v>682880</v>
      </c>
      <c r="V121" s="1">
        <v>683070</v>
      </c>
      <c r="W121" s="1">
        <v>683300</v>
      </c>
      <c r="X121" s="1">
        <v>683450</v>
      </c>
      <c r="Y121" s="1">
        <v>683670</v>
      </c>
      <c r="Z121" s="1">
        <v>684200</v>
      </c>
      <c r="AA121" s="5">
        <f>AVERAGE(B121:Y121)</f>
        <v>681293.33333333337</v>
      </c>
      <c r="AB121" s="5">
        <f>(AA122-AA120)/2</f>
        <v>5306.875</v>
      </c>
      <c r="AC121" s="14">
        <f>AB121/(23+AB151)</f>
        <v>212.59694408290798</v>
      </c>
      <c r="AD121" s="5">
        <f>AA121-AA120</f>
        <v>5310.4166666667443</v>
      </c>
      <c r="AE121" s="1">
        <f>AD121-AD120</f>
        <v>9.5833333334885538</v>
      </c>
      <c r="AG121" s="5">
        <f>Z121-Y121</f>
        <v>530</v>
      </c>
      <c r="AI121" s="1">
        <f>C121-B121</f>
        <v>230</v>
      </c>
      <c r="AJ121" s="1">
        <f>D121-C121</f>
        <v>160</v>
      </c>
      <c r="AK121" s="1">
        <f>E121-D121</f>
        <v>170</v>
      </c>
      <c r="AL121" s="1">
        <f>F121-E121</f>
        <v>220</v>
      </c>
      <c r="AM121" s="1">
        <f>G121-F121</f>
        <v>200</v>
      </c>
      <c r="AN121" s="1">
        <f>H121-G121</f>
        <v>300</v>
      </c>
      <c r="AO121" s="1">
        <f>I121-H121</f>
        <v>270</v>
      </c>
      <c r="AP121" s="1">
        <f>J121-I121</f>
        <v>130</v>
      </c>
      <c r="AQ121" s="1">
        <f>K121-J121</f>
        <v>140</v>
      </c>
      <c r="AR121" s="1">
        <f>L121-K121</f>
        <v>250</v>
      </c>
      <c r="AS121" s="1">
        <f>M121-L121</f>
        <v>280</v>
      </c>
      <c r="AT121" s="1">
        <f>N121-M121</f>
        <v>190</v>
      </c>
      <c r="AU121" s="1">
        <f>O121-N121</f>
        <v>200</v>
      </c>
      <c r="AV121" s="1">
        <f>P121-O121</f>
        <v>260</v>
      </c>
      <c r="AW121" s="1">
        <f>Q121-P121</f>
        <v>180</v>
      </c>
      <c r="AX121" s="1">
        <f>R121-Q121</f>
        <v>230</v>
      </c>
      <c r="AY121" s="1">
        <f>S121-R121</f>
        <v>200</v>
      </c>
      <c r="AZ121" s="1">
        <f>T121-S121</f>
        <v>170</v>
      </c>
      <c r="BA121" s="1">
        <f>U121-T121</f>
        <v>220</v>
      </c>
      <c r="BB121" s="1">
        <f>V121-U121</f>
        <v>190</v>
      </c>
      <c r="BC121" s="1">
        <f>W121-V121</f>
        <v>230</v>
      </c>
      <c r="BD121" s="1">
        <f>X121-W121</f>
        <v>150</v>
      </c>
      <c r="BE121" s="1">
        <f>Y121-X121</f>
        <v>220</v>
      </c>
      <c r="BF121" s="1">
        <f>Z121-Y121</f>
        <v>530</v>
      </c>
    </row>
    <row r="122" spans="1:58">
      <c r="A122" s="1">
        <v>120</v>
      </c>
      <c r="B122" s="1">
        <v>684200</v>
      </c>
      <c r="C122" s="1">
        <v>684510</v>
      </c>
      <c r="D122" s="1">
        <v>684640</v>
      </c>
      <c r="E122" s="1">
        <v>684860</v>
      </c>
      <c r="F122" s="1">
        <v>685020</v>
      </c>
      <c r="G122" s="1">
        <v>685190</v>
      </c>
      <c r="H122" s="1">
        <v>685440</v>
      </c>
      <c r="I122" s="1">
        <v>685620</v>
      </c>
      <c r="J122" s="1">
        <v>685810</v>
      </c>
      <c r="K122" s="1">
        <v>686040</v>
      </c>
      <c r="L122" s="1">
        <v>686200</v>
      </c>
      <c r="M122" s="1">
        <v>686490</v>
      </c>
      <c r="N122" s="1">
        <v>686730</v>
      </c>
      <c r="O122" s="1">
        <v>686960</v>
      </c>
      <c r="P122" s="1">
        <v>687170</v>
      </c>
      <c r="Q122" s="1">
        <v>687330</v>
      </c>
      <c r="R122" s="1">
        <v>687560</v>
      </c>
      <c r="S122" s="1">
        <v>687770</v>
      </c>
      <c r="T122" s="1">
        <v>687920</v>
      </c>
      <c r="U122" s="1">
        <v>688130</v>
      </c>
      <c r="V122" s="1">
        <v>688350</v>
      </c>
      <c r="W122" s="1">
        <v>688550</v>
      </c>
      <c r="X122" s="1">
        <v>688780</v>
      </c>
      <c r="Y122" s="1">
        <v>689050</v>
      </c>
      <c r="Z122" s="1">
        <v>689520</v>
      </c>
      <c r="AA122" s="5">
        <f>AVERAGE(B122:Y122)</f>
        <v>686596.66666666663</v>
      </c>
      <c r="AB122" s="5">
        <f>(AA123-AA121)/2</f>
        <v>5305.2083333333139</v>
      </c>
      <c r="AC122" s="14">
        <f>AB122/(23+AB151)</f>
        <v>212.53017630711861</v>
      </c>
      <c r="AD122" s="5">
        <f>AA122-AA121</f>
        <v>5303.3333333332557</v>
      </c>
      <c r="AE122" s="1">
        <f>AD122-AD121</f>
        <v>-7.0833333334885538</v>
      </c>
      <c r="AG122" s="5">
        <f>Z122-Y122</f>
        <v>470</v>
      </c>
      <c r="AI122" s="1">
        <f>C122-B122</f>
        <v>310</v>
      </c>
      <c r="AJ122" s="1">
        <f>D122-C122</f>
        <v>130</v>
      </c>
      <c r="AK122" s="1">
        <f>E122-D122</f>
        <v>220</v>
      </c>
      <c r="AL122" s="1">
        <f>F122-E122</f>
        <v>160</v>
      </c>
      <c r="AM122" s="1">
        <f>G122-F122</f>
        <v>170</v>
      </c>
      <c r="AN122" s="1">
        <f>H122-G122</f>
        <v>250</v>
      </c>
      <c r="AO122" s="1">
        <f>I122-H122</f>
        <v>180</v>
      </c>
      <c r="AP122" s="1">
        <f>J122-I122</f>
        <v>190</v>
      </c>
      <c r="AQ122" s="1">
        <f>K122-J122</f>
        <v>230</v>
      </c>
      <c r="AR122" s="1">
        <f>L122-K122</f>
        <v>160</v>
      </c>
      <c r="AS122" s="1">
        <f>M122-L122</f>
        <v>290</v>
      </c>
      <c r="AT122" s="1">
        <f>N122-M122</f>
        <v>240</v>
      </c>
      <c r="AU122" s="1">
        <f>O122-N122</f>
        <v>230</v>
      </c>
      <c r="AV122" s="1">
        <f>P122-O122</f>
        <v>210</v>
      </c>
      <c r="AW122" s="1">
        <f>Q122-P122</f>
        <v>160</v>
      </c>
      <c r="AX122" s="1">
        <f>R122-Q122</f>
        <v>230</v>
      </c>
      <c r="AY122" s="1">
        <f>S122-R122</f>
        <v>210</v>
      </c>
      <c r="AZ122" s="1">
        <f>T122-S122</f>
        <v>150</v>
      </c>
      <c r="BA122" s="1">
        <f>U122-T122</f>
        <v>210</v>
      </c>
      <c r="BB122" s="1">
        <f>V122-U122</f>
        <v>220</v>
      </c>
      <c r="BC122" s="1">
        <f>W122-V122</f>
        <v>200</v>
      </c>
      <c r="BD122" s="1">
        <f>X122-W122</f>
        <v>230</v>
      </c>
      <c r="BE122" s="1">
        <f>Y122-X122</f>
        <v>270</v>
      </c>
      <c r="BF122" s="1">
        <f>Z122-Y122</f>
        <v>470</v>
      </c>
    </row>
    <row r="123" spans="1:58">
      <c r="A123" s="1">
        <v>121</v>
      </c>
      <c r="B123" s="1">
        <v>689520</v>
      </c>
      <c r="C123" s="1">
        <v>689750</v>
      </c>
      <c r="D123" s="1">
        <v>689940</v>
      </c>
      <c r="E123" s="1">
        <v>690140</v>
      </c>
      <c r="F123" s="1">
        <v>690340</v>
      </c>
      <c r="G123" s="1">
        <v>690550</v>
      </c>
      <c r="H123" s="1">
        <v>690670</v>
      </c>
      <c r="I123" s="1">
        <v>690900</v>
      </c>
      <c r="J123" s="1">
        <v>691120</v>
      </c>
      <c r="K123" s="1">
        <v>691340</v>
      </c>
      <c r="L123" s="1">
        <v>691570</v>
      </c>
      <c r="M123" s="1">
        <v>691790</v>
      </c>
      <c r="N123" s="1">
        <v>692080</v>
      </c>
      <c r="O123" s="1">
        <v>692270</v>
      </c>
      <c r="P123" s="1">
        <v>692470</v>
      </c>
      <c r="Q123" s="1">
        <v>692660</v>
      </c>
      <c r="R123" s="1">
        <v>692870</v>
      </c>
      <c r="S123" s="1">
        <v>693030</v>
      </c>
      <c r="T123" s="1">
        <v>693290</v>
      </c>
      <c r="U123" s="1">
        <v>693450</v>
      </c>
      <c r="V123" s="1">
        <v>693590</v>
      </c>
      <c r="W123" s="1">
        <v>693880</v>
      </c>
      <c r="X123" s="1">
        <v>694110</v>
      </c>
      <c r="Y123" s="1">
        <v>694360</v>
      </c>
      <c r="Z123" s="1">
        <v>694780</v>
      </c>
      <c r="AA123" s="5">
        <f>AVERAGE(B123:Y123)</f>
        <v>691903.75</v>
      </c>
      <c r="AB123" s="5">
        <f>(AA124-AA122)/2</f>
        <v>5290.8333333333721</v>
      </c>
      <c r="AC123" s="14">
        <f>AB123/(23+AB151)</f>
        <v>211.95430424094417</v>
      </c>
      <c r="AD123" s="5">
        <f>AA123-AA122</f>
        <v>5307.0833333333721</v>
      </c>
      <c r="AE123" s="1">
        <f>AD123-AD122</f>
        <v>3.7500000001164153</v>
      </c>
      <c r="AG123" s="5">
        <f>Z123-Y123</f>
        <v>420</v>
      </c>
      <c r="AI123" s="1">
        <f>C123-B123</f>
        <v>230</v>
      </c>
      <c r="AJ123" s="1">
        <f>D123-C123</f>
        <v>190</v>
      </c>
      <c r="AK123" s="1">
        <f>E123-D123</f>
        <v>200</v>
      </c>
      <c r="AL123" s="1">
        <f>F123-E123</f>
        <v>200</v>
      </c>
      <c r="AM123" s="1">
        <f>G123-F123</f>
        <v>210</v>
      </c>
      <c r="AN123" s="1">
        <f>H123-G123</f>
        <v>120</v>
      </c>
      <c r="AO123" s="1">
        <f>I123-H123</f>
        <v>230</v>
      </c>
      <c r="AP123" s="1">
        <f>J123-I123</f>
        <v>220</v>
      </c>
      <c r="AQ123" s="1">
        <f>K123-J123</f>
        <v>220</v>
      </c>
      <c r="AR123" s="1">
        <f>L123-K123</f>
        <v>230</v>
      </c>
      <c r="AS123" s="1">
        <f>M123-L123</f>
        <v>220</v>
      </c>
      <c r="AT123" s="1">
        <f>N123-M123</f>
        <v>290</v>
      </c>
      <c r="AU123" s="1">
        <f>O123-N123</f>
        <v>190</v>
      </c>
      <c r="AV123" s="1">
        <f>P123-O123</f>
        <v>200</v>
      </c>
      <c r="AW123" s="1">
        <f>Q123-P123</f>
        <v>190</v>
      </c>
      <c r="AX123" s="1">
        <f>R123-Q123</f>
        <v>210</v>
      </c>
      <c r="AY123" s="1">
        <f>S123-R123</f>
        <v>160</v>
      </c>
      <c r="AZ123" s="1">
        <f>T123-S123</f>
        <v>260</v>
      </c>
      <c r="BA123" s="1">
        <f>U123-T123</f>
        <v>160</v>
      </c>
      <c r="BB123" s="1">
        <f>V123-U123</f>
        <v>140</v>
      </c>
      <c r="BC123" s="1">
        <f>W123-V123</f>
        <v>290</v>
      </c>
      <c r="BD123" s="1">
        <f>X123-W123</f>
        <v>230</v>
      </c>
      <c r="BE123" s="1">
        <f>Y123-X123</f>
        <v>250</v>
      </c>
      <c r="BF123" s="1">
        <f>Z123-Y123</f>
        <v>420</v>
      </c>
    </row>
    <row r="124" spans="1:58">
      <c r="A124" s="1">
        <v>122</v>
      </c>
      <c r="B124" s="1">
        <v>694780</v>
      </c>
      <c r="C124" s="1">
        <v>694990</v>
      </c>
      <c r="D124" s="1">
        <v>695220</v>
      </c>
      <c r="E124" s="1">
        <v>695430</v>
      </c>
      <c r="F124" s="1">
        <v>695590</v>
      </c>
      <c r="G124" s="1">
        <v>695820</v>
      </c>
      <c r="H124" s="1">
        <v>696010</v>
      </c>
      <c r="I124" s="1">
        <v>696220</v>
      </c>
      <c r="J124" s="1">
        <v>696430</v>
      </c>
      <c r="K124" s="1">
        <v>696570</v>
      </c>
      <c r="L124" s="1">
        <v>696840</v>
      </c>
      <c r="M124" s="1">
        <v>697090</v>
      </c>
      <c r="N124" s="1">
        <v>697290</v>
      </c>
      <c r="O124" s="1">
        <v>697530</v>
      </c>
      <c r="P124" s="1">
        <v>697740</v>
      </c>
      <c r="Q124" s="1">
        <v>697940</v>
      </c>
      <c r="R124" s="1">
        <v>698150</v>
      </c>
      <c r="S124" s="1">
        <v>698330</v>
      </c>
      <c r="T124" s="1">
        <v>698540</v>
      </c>
      <c r="U124" s="1">
        <v>698750</v>
      </c>
      <c r="V124" s="1">
        <v>698870</v>
      </c>
      <c r="W124" s="1">
        <v>699180</v>
      </c>
      <c r="X124" s="1">
        <v>699310</v>
      </c>
      <c r="Y124" s="1">
        <v>699660</v>
      </c>
      <c r="Z124" s="1">
        <v>700100</v>
      </c>
      <c r="AA124" s="5">
        <f>AVERAGE(B124:Y124)</f>
        <v>697178.33333333337</v>
      </c>
      <c r="AB124" s="5">
        <f>(AA125-AA123)/2</f>
        <v>5283.9583333333139</v>
      </c>
      <c r="AC124" s="14">
        <f>AB124/(23+AB151)</f>
        <v>211.67888716581382</v>
      </c>
      <c r="AD124" s="5">
        <f>AA124-AA123</f>
        <v>5274.5833333333721</v>
      </c>
      <c r="AE124" s="1">
        <f>AD124-AD123</f>
        <v>-32.5</v>
      </c>
      <c r="AG124" s="5">
        <f>Z124-Y124</f>
        <v>440</v>
      </c>
      <c r="AI124" s="1">
        <f>C124-B124</f>
        <v>210</v>
      </c>
      <c r="AJ124" s="1">
        <f>D124-C124</f>
        <v>230</v>
      </c>
      <c r="AK124" s="1">
        <f>E124-D124</f>
        <v>210</v>
      </c>
      <c r="AL124" s="1">
        <f>F124-E124</f>
        <v>160</v>
      </c>
      <c r="AM124" s="1">
        <f>G124-F124</f>
        <v>230</v>
      </c>
      <c r="AN124" s="1">
        <f>H124-G124</f>
        <v>190</v>
      </c>
      <c r="AO124" s="1">
        <f>I124-H124</f>
        <v>210</v>
      </c>
      <c r="AP124" s="1">
        <f>J124-I124</f>
        <v>210</v>
      </c>
      <c r="AQ124" s="1">
        <f>K124-J124</f>
        <v>140</v>
      </c>
      <c r="AR124" s="1">
        <f>L124-K124</f>
        <v>270</v>
      </c>
      <c r="AS124" s="1">
        <f>M124-L124</f>
        <v>250</v>
      </c>
      <c r="AT124" s="1">
        <f>N124-M124</f>
        <v>200</v>
      </c>
      <c r="AU124" s="1">
        <f>O124-N124</f>
        <v>240</v>
      </c>
      <c r="AV124" s="1">
        <f>P124-O124</f>
        <v>210</v>
      </c>
      <c r="AW124" s="1">
        <f>Q124-P124</f>
        <v>200</v>
      </c>
      <c r="AX124" s="1">
        <f>R124-Q124</f>
        <v>210</v>
      </c>
      <c r="AY124" s="1">
        <f>S124-R124</f>
        <v>180</v>
      </c>
      <c r="AZ124" s="1">
        <f>T124-S124</f>
        <v>210</v>
      </c>
      <c r="BA124" s="1">
        <f>U124-T124</f>
        <v>210</v>
      </c>
      <c r="BB124" s="1">
        <f>V124-U124</f>
        <v>120</v>
      </c>
      <c r="BC124" s="1">
        <f>W124-V124</f>
        <v>310</v>
      </c>
      <c r="BD124" s="1">
        <f>X124-W124</f>
        <v>130</v>
      </c>
      <c r="BE124" s="1">
        <f>Y124-X124</f>
        <v>350</v>
      </c>
      <c r="BF124" s="1">
        <f>Z124-Y124</f>
        <v>440</v>
      </c>
    </row>
    <row r="125" spans="1:58">
      <c r="A125" s="1">
        <v>123</v>
      </c>
      <c r="B125" s="1">
        <v>700100</v>
      </c>
      <c r="C125" s="1">
        <v>700270</v>
      </c>
      <c r="D125" s="1">
        <v>700470</v>
      </c>
      <c r="E125" s="1">
        <v>700720</v>
      </c>
      <c r="F125" s="1">
        <v>700880</v>
      </c>
      <c r="G125" s="1">
        <v>701090</v>
      </c>
      <c r="H125" s="1">
        <v>701310</v>
      </c>
      <c r="I125" s="1">
        <v>701520</v>
      </c>
      <c r="J125" s="1">
        <v>701770</v>
      </c>
      <c r="K125" s="1">
        <v>701880</v>
      </c>
      <c r="L125" s="1">
        <v>702130</v>
      </c>
      <c r="M125" s="1">
        <v>702370</v>
      </c>
      <c r="N125" s="1">
        <v>702630</v>
      </c>
      <c r="O125" s="1">
        <v>702840</v>
      </c>
      <c r="P125" s="1">
        <v>703020</v>
      </c>
      <c r="Q125" s="1">
        <v>703220</v>
      </c>
      <c r="R125" s="1">
        <v>703460</v>
      </c>
      <c r="S125" s="1">
        <v>703580</v>
      </c>
      <c r="T125" s="1">
        <v>703840</v>
      </c>
      <c r="U125" s="1">
        <v>704030</v>
      </c>
      <c r="V125" s="1">
        <v>704180</v>
      </c>
      <c r="W125" s="1">
        <v>704510</v>
      </c>
      <c r="X125" s="1">
        <v>704600</v>
      </c>
      <c r="Y125" s="1">
        <v>704900</v>
      </c>
      <c r="Z125" s="1">
        <v>705380</v>
      </c>
      <c r="AA125" s="5">
        <f>AVERAGE(B125:Y125)</f>
        <v>702471.66666666663</v>
      </c>
      <c r="AB125" s="5">
        <f>(AA126-AA124)/2</f>
        <v>5292.7083333333139</v>
      </c>
      <c r="AC125" s="14">
        <f>AB125/(23+AB151)</f>
        <v>212.02941798870401</v>
      </c>
      <c r="AD125" s="5">
        <f>AA125-AA124</f>
        <v>5293.3333333332557</v>
      </c>
      <c r="AE125" s="1">
        <f>AD125-AD124</f>
        <v>18.749999999883585</v>
      </c>
      <c r="AG125" s="5">
        <f>Z125-Y125</f>
        <v>480</v>
      </c>
      <c r="AI125" s="1">
        <f>C125-B125</f>
        <v>170</v>
      </c>
      <c r="AJ125" s="1">
        <f>D125-C125</f>
        <v>200</v>
      </c>
      <c r="AK125" s="1">
        <f>E125-D125</f>
        <v>250</v>
      </c>
      <c r="AL125" s="1">
        <f>F125-E125</f>
        <v>160</v>
      </c>
      <c r="AM125" s="1">
        <f>G125-F125</f>
        <v>210</v>
      </c>
      <c r="AN125" s="1">
        <f>H125-G125</f>
        <v>220</v>
      </c>
      <c r="AO125" s="1">
        <f>I125-H125</f>
        <v>210</v>
      </c>
      <c r="AP125" s="1">
        <f>J125-I125</f>
        <v>250</v>
      </c>
      <c r="AQ125" s="1">
        <f>K125-J125</f>
        <v>110</v>
      </c>
      <c r="AR125" s="1">
        <f>L125-K125</f>
        <v>250</v>
      </c>
      <c r="AS125" s="1">
        <f>M125-L125</f>
        <v>240</v>
      </c>
      <c r="AT125" s="1">
        <f>N125-M125</f>
        <v>260</v>
      </c>
      <c r="AU125" s="1">
        <f>O125-N125</f>
        <v>210</v>
      </c>
      <c r="AV125" s="1">
        <f>P125-O125</f>
        <v>180</v>
      </c>
      <c r="AW125" s="1">
        <f>Q125-P125</f>
        <v>200</v>
      </c>
      <c r="AX125" s="1">
        <f>R125-Q125</f>
        <v>240</v>
      </c>
      <c r="AY125" s="1">
        <f>S125-R125</f>
        <v>120</v>
      </c>
      <c r="AZ125" s="1">
        <f>T125-S125</f>
        <v>260</v>
      </c>
      <c r="BA125" s="1">
        <f>U125-T125</f>
        <v>190</v>
      </c>
      <c r="BB125" s="1">
        <f>V125-U125</f>
        <v>150</v>
      </c>
      <c r="BC125" s="1">
        <f>W125-V125</f>
        <v>330</v>
      </c>
      <c r="BD125" s="1">
        <f>X125-W125</f>
        <v>90</v>
      </c>
      <c r="BE125" s="1">
        <f>Y125-X125</f>
        <v>300</v>
      </c>
      <c r="BF125" s="1">
        <f>Z125-Y125</f>
        <v>480</v>
      </c>
    </row>
    <row r="126" spans="1:58">
      <c r="A126" s="1">
        <v>124</v>
      </c>
      <c r="B126" s="1">
        <v>705380</v>
      </c>
      <c r="C126" s="1">
        <v>705610</v>
      </c>
      <c r="D126" s="1">
        <v>705840</v>
      </c>
      <c r="E126" s="1">
        <v>706060</v>
      </c>
      <c r="F126" s="1">
        <v>706180</v>
      </c>
      <c r="G126" s="1">
        <v>706400</v>
      </c>
      <c r="H126" s="1">
        <v>706570</v>
      </c>
      <c r="I126" s="1">
        <v>706830</v>
      </c>
      <c r="J126" s="1">
        <v>706990</v>
      </c>
      <c r="K126" s="1">
        <v>707180</v>
      </c>
      <c r="L126" s="1">
        <v>707370</v>
      </c>
      <c r="M126" s="1">
        <v>707580</v>
      </c>
      <c r="N126" s="1">
        <v>707850</v>
      </c>
      <c r="O126" s="1">
        <v>708100</v>
      </c>
      <c r="P126" s="1">
        <v>708270</v>
      </c>
      <c r="Q126" s="1">
        <v>708510</v>
      </c>
      <c r="R126" s="1">
        <v>708740</v>
      </c>
      <c r="S126" s="1">
        <v>708970</v>
      </c>
      <c r="T126" s="1">
        <v>709010</v>
      </c>
      <c r="U126" s="1">
        <v>709340</v>
      </c>
      <c r="V126" s="1">
        <v>709590</v>
      </c>
      <c r="W126" s="1">
        <v>709760</v>
      </c>
      <c r="X126" s="1">
        <v>709960</v>
      </c>
      <c r="Y126" s="1">
        <v>710240</v>
      </c>
      <c r="Z126" s="1">
        <v>710620</v>
      </c>
      <c r="AA126" s="5">
        <f>AVERAGE(B126:Y126)</f>
        <v>707763.75</v>
      </c>
      <c r="AB126" s="5">
        <f>(AA127-AA125)/2</f>
        <v>5296.6666666666861</v>
      </c>
      <c r="AC126" s="14">
        <f>AB126/(23+AB151)</f>
        <v>212.18799145620352</v>
      </c>
      <c r="AD126" s="5">
        <f>AA126-AA125</f>
        <v>5292.0833333333721</v>
      </c>
      <c r="AE126" s="1">
        <f>AD126-AD125</f>
        <v>-1.2499999998835847</v>
      </c>
      <c r="AG126" s="5">
        <f>Z126-Y126</f>
        <v>380</v>
      </c>
      <c r="AI126" s="1">
        <f>C126-B126</f>
        <v>230</v>
      </c>
      <c r="AJ126" s="1">
        <f>D126-C126</f>
        <v>230</v>
      </c>
      <c r="AK126" s="1">
        <f>E126-D126</f>
        <v>220</v>
      </c>
      <c r="AL126" s="1">
        <f>F126-E126</f>
        <v>120</v>
      </c>
      <c r="AM126" s="1">
        <f>G126-F126</f>
        <v>220</v>
      </c>
      <c r="AN126" s="1">
        <f>H126-G126</f>
        <v>170</v>
      </c>
      <c r="AO126" s="1">
        <f>I126-H126</f>
        <v>260</v>
      </c>
      <c r="AP126" s="1">
        <f>J126-I126</f>
        <v>160</v>
      </c>
      <c r="AQ126" s="1">
        <f>K126-J126</f>
        <v>190</v>
      </c>
      <c r="AR126" s="1">
        <f>L126-K126</f>
        <v>190</v>
      </c>
      <c r="AS126" s="1">
        <f>M126-L126</f>
        <v>210</v>
      </c>
      <c r="AT126" s="1">
        <f>N126-M126</f>
        <v>270</v>
      </c>
      <c r="AU126" s="1">
        <f>O126-N126</f>
        <v>250</v>
      </c>
      <c r="AV126" s="1">
        <f>P126-O126</f>
        <v>170</v>
      </c>
      <c r="AW126" s="1">
        <f>Q126-P126</f>
        <v>240</v>
      </c>
      <c r="AX126" s="1">
        <f>R126-Q126</f>
        <v>230</v>
      </c>
      <c r="AY126" s="1">
        <f>S126-R126</f>
        <v>230</v>
      </c>
      <c r="AZ126" s="1">
        <f>T126-S126</f>
        <v>40</v>
      </c>
      <c r="BA126" s="1">
        <f>U126-T126</f>
        <v>330</v>
      </c>
      <c r="BB126" s="1">
        <f>V126-U126</f>
        <v>250</v>
      </c>
      <c r="BC126" s="1">
        <f>W126-V126</f>
        <v>170</v>
      </c>
      <c r="BD126" s="1">
        <f>X126-W126</f>
        <v>200</v>
      </c>
      <c r="BE126" s="1">
        <f>Y126-X126</f>
        <v>280</v>
      </c>
      <c r="BF126" s="1">
        <f>Z126-Y126</f>
        <v>380</v>
      </c>
    </row>
    <row r="127" spans="1:58">
      <c r="A127" s="1">
        <v>125</v>
      </c>
      <c r="B127" s="1">
        <v>710620</v>
      </c>
      <c r="C127" s="1">
        <v>710840</v>
      </c>
      <c r="D127" s="1">
        <v>711000</v>
      </c>
      <c r="E127" s="1">
        <v>711290</v>
      </c>
      <c r="F127" s="1">
        <v>711460</v>
      </c>
      <c r="G127" s="1">
        <v>711680</v>
      </c>
      <c r="H127" s="1">
        <v>711900</v>
      </c>
      <c r="I127" s="1">
        <v>712150</v>
      </c>
      <c r="J127" s="1">
        <v>712330</v>
      </c>
      <c r="K127" s="1">
        <v>712580</v>
      </c>
      <c r="L127" s="1">
        <v>712730</v>
      </c>
      <c r="M127" s="1">
        <v>712900</v>
      </c>
      <c r="N127" s="1">
        <v>713170</v>
      </c>
      <c r="O127" s="1">
        <v>713380</v>
      </c>
      <c r="P127" s="1">
        <v>713600</v>
      </c>
      <c r="Q127" s="1">
        <v>713800</v>
      </c>
      <c r="R127" s="1">
        <v>714040</v>
      </c>
      <c r="S127" s="1">
        <v>714210</v>
      </c>
      <c r="T127" s="1">
        <v>714470</v>
      </c>
      <c r="U127" s="1">
        <v>714690</v>
      </c>
      <c r="V127" s="1">
        <v>714920</v>
      </c>
      <c r="W127" s="1">
        <v>715040</v>
      </c>
      <c r="X127" s="1">
        <v>715220</v>
      </c>
      <c r="Y127" s="1">
        <v>715540</v>
      </c>
      <c r="Z127" s="1">
        <v>715930</v>
      </c>
      <c r="AA127" s="5">
        <f>AVERAGE(B127:Y127)</f>
        <v>713065</v>
      </c>
      <c r="AB127" s="5">
        <f>(AA128-AA126)/2</f>
        <v>5296.875</v>
      </c>
      <c r="AC127" s="14">
        <f>AB127/(23+AB151)</f>
        <v>212.19633742817632</v>
      </c>
      <c r="AD127" s="5">
        <f>AA127-AA126</f>
        <v>5301.25</v>
      </c>
      <c r="AE127" s="1">
        <f>AD127-AD126</f>
        <v>9.1666666666278616</v>
      </c>
      <c r="AG127" s="5">
        <f>Z127-Y127</f>
        <v>390</v>
      </c>
      <c r="AI127" s="1">
        <f>C127-B127</f>
        <v>220</v>
      </c>
      <c r="AJ127" s="1">
        <f>D127-C127</f>
        <v>160</v>
      </c>
      <c r="AK127" s="1">
        <f>E127-D127</f>
        <v>290</v>
      </c>
      <c r="AL127" s="1">
        <f>F127-E127</f>
        <v>170</v>
      </c>
      <c r="AM127" s="1">
        <f>G127-F127</f>
        <v>220</v>
      </c>
      <c r="AN127" s="1">
        <f>H127-G127</f>
        <v>220</v>
      </c>
      <c r="AO127" s="1">
        <f>I127-H127</f>
        <v>250</v>
      </c>
      <c r="AP127" s="1">
        <f>J127-I127</f>
        <v>180</v>
      </c>
      <c r="AQ127" s="1">
        <f>K127-J127</f>
        <v>250</v>
      </c>
      <c r="AR127" s="1">
        <f>L127-K127</f>
        <v>150</v>
      </c>
      <c r="AS127" s="1">
        <f>M127-L127</f>
        <v>170</v>
      </c>
      <c r="AT127" s="1">
        <f>N127-M127</f>
        <v>270</v>
      </c>
      <c r="AU127" s="1">
        <f>O127-N127</f>
        <v>210</v>
      </c>
      <c r="AV127" s="1">
        <f>P127-O127</f>
        <v>220</v>
      </c>
      <c r="AW127" s="1">
        <f>Q127-P127</f>
        <v>200</v>
      </c>
      <c r="AX127" s="1">
        <f>R127-Q127</f>
        <v>240</v>
      </c>
      <c r="AY127" s="1">
        <f>S127-R127</f>
        <v>170</v>
      </c>
      <c r="AZ127" s="1">
        <f>T127-S127</f>
        <v>260</v>
      </c>
      <c r="BA127" s="1">
        <f>U127-T127</f>
        <v>220</v>
      </c>
      <c r="BB127" s="1">
        <f>V127-U127</f>
        <v>230</v>
      </c>
      <c r="BC127" s="1">
        <f>W127-V127</f>
        <v>120</v>
      </c>
      <c r="BD127" s="1">
        <f>X127-W127</f>
        <v>180</v>
      </c>
      <c r="BE127" s="1">
        <f>Y127-X127</f>
        <v>320</v>
      </c>
      <c r="BF127" s="1">
        <f>Z127-Y127</f>
        <v>390</v>
      </c>
    </row>
    <row r="128" spans="1:58">
      <c r="A128" s="1">
        <v>126</v>
      </c>
      <c r="B128" s="1">
        <v>715930</v>
      </c>
      <c r="C128" s="1">
        <v>716160</v>
      </c>
      <c r="D128" s="1">
        <v>716310</v>
      </c>
      <c r="E128" s="1">
        <v>716590</v>
      </c>
      <c r="F128" s="1">
        <v>716770</v>
      </c>
      <c r="G128" s="1">
        <v>716970</v>
      </c>
      <c r="H128" s="1">
        <v>717220</v>
      </c>
      <c r="I128" s="1">
        <v>717430</v>
      </c>
      <c r="J128" s="1">
        <v>717570</v>
      </c>
      <c r="K128" s="1">
        <v>717860</v>
      </c>
      <c r="L128" s="1">
        <v>718040</v>
      </c>
      <c r="M128" s="1">
        <v>718260</v>
      </c>
      <c r="N128" s="1">
        <v>718500</v>
      </c>
      <c r="O128" s="1">
        <v>718720</v>
      </c>
      <c r="P128" s="1">
        <v>718850</v>
      </c>
      <c r="Q128" s="1">
        <v>719080</v>
      </c>
      <c r="R128" s="1">
        <v>719320</v>
      </c>
      <c r="S128" s="1">
        <v>719440</v>
      </c>
      <c r="T128" s="1">
        <v>719770</v>
      </c>
      <c r="U128" s="1">
        <v>719930</v>
      </c>
      <c r="V128" s="1">
        <v>720130</v>
      </c>
      <c r="W128" s="1">
        <v>720340</v>
      </c>
      <c r="X128" s="1">
        <v>720580</v>
      </c>
      <c r="Y128" s="1">
        <v>720810</v>
      </c>
      <c r="Z128" s="1">
        <v>721240</v>
      </c>
      <c r="AA128" s="5">
        <f>AVERAGE(B128:Y128)</f>
        <v>718357.5</v>
      </c>
      <c r="AB128" s="5">
        <f>(AA129-AA127)/2</f>
        <v>5298.3333333333139</v>
      </c>
      <c r="AC128" s="14">
        <f>AB128/(23+AB151)</f>
        <v>212.25475923199059</v>
      </c>
      <c r="AD128" s="5">
        <f>AA128-AA127</f>
        <v>5292.5</v>
      </c>
      <c r="AE128" s="1">
        <f>AD128-AD127</f>
        <v>-8.75</v>
      </c>
      <c r="AG128" s="5">
        <f>Z128-Y128</f>
        <v>430</v>
      </c>
      <c r="AI128" s="1">
        <f>C128-B128</f>
        <v>230</v>
      </c>
      <c r="AJ128" s="1">
        <f>D128-C128</f>
        <v>150</v>
      </c>
      <c r="AK128" s="1">
        <f>E128-D128</f>
        <v>280</v>
      </c>
      <c r="AL128" s="1">
        <f>F128-E128</f>
        <v>180</v>
      </c>
      <c r="AM128" s="1">
        <f>G128-F128</f>
        <v>200</v>
      </c>
      <c r="AN128" s="1">
        <f>H128-G128</f>
        <v>250</v>
      </c>
      <c r="AO128" s="1">
        <f>I128-H128</f>
        <v>210</v>
      </c>
      <c r="AP128" s="1">
        <f>J128-I128</f>
        <v>140</v>
      </c>
      <c r="AQ128" s="1">
        <f>K128-J128</f>
        <v>290</v>
      </c>
      <c r="AR128" s="1">
        <f>L128-K128</f>
        <v>180</v>
      </c>
      <c r="AS128" s="1">
        <f>M128-L128</f>
        <v>220</v>
      </c>
      <c r="AT128" s="1">
        <f>N128-M128</f>
        <v>240</v>
      </c>
      <c r="AU128" s="1">
        <f>O128-N128</f>
        <v>220</v>
      </c>
      <c r="AV128" s="1">
        <f>P128-O128</f>
        <v>130</v>
      </c>
      <c r="AW128" s="1">
        <f>Q128-P128</f>
        <v>230</v>
      </c>
      <c r="AX128" s="1">
        <f>R128-Q128</f>
        <v>240</v>
      </c>
      <c r="AY128" s="1">
        <f>S128-R128</f>
        <v>120</v>
      </c>
      <c r="AZ128" s="1">
        <f>T128-S128</f>
        <v>330</v>
      </c>
      <c r="BA128" s="1">
        <f>U128-T128</f>
        <v>160</v>
      </c>
      <c r="BB128" s="1">
        <f>V128-U128</f>
        <v>200</v>
      </c>
      <c r="BC128" s="1">
        <f>W128-V128</f>
        <v>210</v>
      </c>
      <c r="BD128" s="1">
        <f>X128-W128</f>
        <v>240</v>
      </c>
      <c r="BE128" s="1">
        <f>Y128-X128</f>
        <v>230</v>
      </c>
      <c r="BF128" s="1">
        <f>Z128-Y128</f>
        <v>430</v>
      </c>
    </row>
    <row r="129" spans="1:58">
      <c r="A129" s="1">
        <v>127</v>
      </c>
      <c r="B129" s="1">
        <v>721240</v>
      </c>
      <c r="C129" s="1">
        <v>721550</v>
      </c>
      <c r="D129" s="1">
        <v>721700</v>
      </c>
      <c r="E129" s="1">
        <v>721900</v>
      </c>
      <c r="F129" s="1">
        <v>722050</v>
      </c>
      <c r="G129" s="1">
        <v>722300</v>
      </c>
      <c r="H129" s="1">
        <v>722460</v>
      </c>
      <c r="I129" s="1">
        <v>722730</v>
      </c>
      <c r="J129" s="1">
        <v>722900</v>
      </c>
      <c r="K129" s="1">
        <v>723070</v>
      </c>
      <c r="L129" s="1">
        <v>723250</v>
      </c>
      <c r="M129" s="1">
        <v>723550</v>
      </c>
      <c r="N129" s="1">
        <v>723790</v>
      </c>
      <c r="O129" s="1">
        <v>723990</v>
      </c>
      <c r="P129" s="1">
        <v>724230</v>
      </c>
      <c r="Q129" s="1">
        <v>724500</v>
      </c>
      <c r="R129" s="1">
        <v>724630</v>
      </c>
      <c r="S129" s="1">
        <v>724840</v>
      </c>
      <c r="T129" s="1">
        <v>725060</v>
      </c>
      <c r="U129" s="1">
        <v>725210</v>
      </c>
      <c r="V129" s="1">
        <v>725440</v>
      </c>
      <c r="W129" s="1">
        <v>725580</v>
      </c>
      <c r="X129" s="1">
        <v>725830</v>
      </c>
      <c r="Y129" s="1">
        <v>726080</v>
      </c>
      <c r="Z129" s="1">
        <v>726510</v>
      </c>
      <c r="AA129" s="5">
        <f>AVERAGE(B129:Y129)</f>
        <v>723661.66666666663</v>
      </c>
      <c r="AB129" s="5">
        <f>(AA130-AA128)/2</f>
        <v>5293.125</v>
      </c>
      <c r="AC129" s="14">
        <f>AB129/(23+AB151)</f>
        <v>212.04610993265194</v>
      </c>
      <c r="AD129" s="5">
        <f>AA129-AA128</f>
        <v>5304.1666666666279</v>
      </c>
      <c r="AE129" s="1">
        <f>AD129-AD128</f>
        <v>11.666666666627862</v>
      </c>
      <c r="AG129" s="5">
        <f>Z129-Y129</f>
        <v>430</v>
      </c>
      <c r="AI129" s="1">
        <f>C129-B129</f>
        <v>310</v>
      </c>
      <c r="AJ129" s="1">
        <f>D129-C129</f>
        <v>150</v>
      </c>
      <c r="AK129" s="1">
        <f>E129-D129</f>
        <v>200</v>
      </c>
      <c r="AL129" s="1">
        <f>F129-E129</f>
        <v>150</v>
      </c>
      <c r="AM129" s="1">
        <f>G129-F129</f>
        <v>250</v>
      </c>
      <c r="AN129" s="1">
        <f>H129-G129</f>
        <v>160</v>
      </c>
      <c r="AO129" s="1">
        <f>I129-H129</f>
        <v>270</v>
      </c>
      <c r="AP129" s="1">
        <f>J129-I129</f>
        <v>170</v>
      </c>
      <c r="AQ129" s="1">
        <f>K129-J129</f>
        <v>170</v>
      </c>
      <c r="AR129" s="1">
        <f>L129-K129</f>
        <v>180</v>
      </c>
      <c r="AS129" s="1">
        <f>M129-L129</f>
        <v>300</v>
      </c>
      <c r="AT129" s="1">
        <f>N129-M129</f>
        <v>240</v>
      </c>
      <c r="AU129" s="1">
        <f>O129-N129</f>
        <v>200</v>
      </c>
      <c r="AV129" s="1">
        <f>P129-O129</f>
        <v>240</v>
      </c>
      <c r="AW129" s="1">
        <f>Q129-P129</f>
        <v>270</v>
      </c>
      <c r="AX129" s="1">
        <f>R129-Q129</f>
        <v>130</v>
      </c>
      <c r="AY129" s="1">
        <f>S129-R129</f>
        <v>210</v>
      </c>
      <c r="AZ129" s="1">
        <f>T129-S129</f>
        <v>220</v>
      </c>
      <c r="BA129" s="1">
        <f>U129-T129</f>
        <v>150</v>
      </c>
      <c r="BB129" s="1">
        <f>V129-U129</f>
        <v>230</v>
      </c>
      <c r="BC129" s="1">
        <f>W129-V129</f>
        <v>140</v>
      </c>
      <c r="BD129" s="1">
        <f>X129-W129</f>
        <v>250</v>
      </c>
      <c r="BE129" s="1">
        <f>Y129-X129</f>
        <v>250</v>
      </c>
      <c r="BF129" s="1">
        <f>Z129-Y129</f>
        <v>430</v>
      </c>
    </row>
    <row r="130" spans="1:58">
      <c r="A130" s="1">
        <v>128</v>
      </c>
      <c r="B130" s="1">
        <v>726510</v>
      </c>
      <c r="C130" s="1">
        <v>726770</v>
      </c>
      <c r="D130" s="1">
        <v>726970</v>
      </c>
      <c r="E130" s="1">
        <v>727240</v>
      </c>
      <c r="F130" s="1">
        <v>727400</v>
      </c>
      <c r="G130" s="1">
        <v>727570</v>
      </c>
      <c r="H130" s="1">
        <v>727770</v>
      </c>
      <c r="I130" s="1">
        <v>728040</v>
      </c>
      <c r="J130" s="1">
        <v>728120</v>
      </c>
      <c r="K130" s="1">
        <v>728380</v>
      </c>
      <c r="L130" s="1">
        <v>728550</v>
      </c>
      <c r="M130" s="1">
        <v>728830</v>
      </c>
      <c r="N130" s="1">
        <v>729060</v>
      </c>
      <c r="O130" s="1">
        <v>729310</v>
      </c>
      <c r="P130" s="1">
        <v>729490</v>
      </c>
      <c r="Q130" s="1">
        <v>729740</v>
      </c>
      <c r="R130" s="1">
        <v>729910</v>
      </c>
      <c r="S130" s="1">
        <v>730110</v>
      </c>
      <c r="T130" s="1">
        <v>730270</v>
      </c>
      <c r="U130" s="1">
        <v>730540</v>
      </c>
      <c r="V130" s="1">
        <v>730640</v>
      </c>
      <c r="W130" s="1">
        <v>730860</v>
      </c>
      <c r="X130" s="1">
        <v>731170</v>
      </c>
      <c r="Y130" s="1">
        <v>731400</v>
      </c>
      <c r="Z130" s="1">
        <v>731800</v>
      </c>
      <c r="AA130" s="5">
        <f>AVERAGE(B130:Y130)</f>
        <v>728943.75</v>
      </c>
      <c r="AB130" s="5">
        <f>(AA131-AA129)/2</f>
        <v>5268.9583333333721</v>
      </c>
      <c r="AC130" s="14">
        <f>AB130/(23+AB151)</f>
        <v>211.07797718371867</v>
      </c>
      <c r="AD130" s="5">
        <f>AA130-AA129</f>
        <v>5282.0833333333721</v>
      </c>
      <c r="AE130" s="1">
        <f>AD130-AD129</f>
        <v>-22.083333333255723</v>
      </c>
      <c r="AG130" s="5">
        <f>Z130-Y130</f>
        <v>400</v>
      </c>
      <c r="AI130" s="1">
        <f>C130-B130</f>
        <v>260</v>
      </c>
      <c r="AJ130" s="1">
        <f>D130-C130</f>
        <v>200</v>
      </c>
      <c r="AK130" s="1">
        <f>E130-D130</f>
        <v>270</v>
      </c>
      <c r="AL130" s="1">
        <f>F130-E130</f>
        <v>160</v>
      </c>
      <c r="AM130" s="1">
        <f>G130-F130</f>
        <v>170</v>
      </c>
      <c r="AN130" s="1">
        <f>H130-G130</f>
        <v>200</v>
      </c>
      <c r="AO130" s="1">
        <f>I130-H130</f>
        <v>270</v>
      </c>
      <c r="AP130" s="1">
        <f>J130-I130</f>
        <v>80</v>
      </c>
      <c r="AQ130" s="1">
        <f>K130-J130</f>
        <v>260</v>
      </c>
      <c r="AR130" s="1">
        <f>L130-K130</f>
        <v>170</v>
      </c>
      <c r="AS130" s="1">
        <f>M130-L130</f>
        <v>280</v>
      </c>
      <c r="AT130" s="1">
        <f>N130-M130</f>
        <v>230</v>
      </c>
      <c r="AU130" s="1">
        <f>O130-N130</f>
        <v>250</v>
      </c>
      <c r="AV130" s="1">
        <f>P130-O130</f>
        <v>180</v>
      </c>
      <c r="AW130" s="1">
        <f>Q130-P130</f>
        <v>250</v>
      </c>
      <c r="AX130" s="1">
        <f>R130-Q130</f>
        <v>170</v>
      </c>
      <c r="AY130" s="1">
        <f>S130-R130</f>
        <v>200</v>
      </c>
      <c r="AZ130" s="1">
        <f>T130-S130</f>
        <v>160</v>
      </c>
      <c r="BA130" s="1">
        <f>U130-T130</f>
        <v>270</v>
      </c>
      <c r="BB130" s="1">
        <f>V130-U130</f>
        <v>100</v>
      </c>
      <c r="BC130" s="1">
        <f>W130-V130</f>
        <v>220</v>
      </c>
      <c r="BD130" s="1">
        <f>X130-W130</f>
        <v>310</v>
      </c>
      <c r="BE130" s="1">
        <f>Y130-X130</f>
        <v>230</v>
      </c>
      <c r="BF130" s="1">
        <f>Z130-Y130</f>
        <v>400</v>
      </c>
    </row>
    <row r="131" spans="1:58">
      <c r="A131" s="1">
        <v>129</v>
      </c>
      <c r="B131" s="1">
        <v>731800</v>
      </c>
      <c r="C131" s="1">
        <v>731980</v>
      </c>
      <c r="D131" s="1">
        <v>732200</v>
      </c>
      <c r="E131" s="1">
        <v>732440</v>
      </c>
      <c r="F131" s="1">
        <v>732620</v>
      </c>
      <c r="G131" s="1">
        <v>732830</v>
      </c>
      <c r="H131" s="1">
        <v>733090</v>
      </c>
      <c r="I131" s="1">
        <v>733300</v>
      </c>
      <c r="J131" s="1">
        <v>733410</v>
      </c>
      <c r="K131" s="1">
        <v>733620</v>
      </c>
      <c r="L131" s="1">
        <v>733870</v>
      </c>
      <c r="M131" s="1">
        <v>734040</v>
      </c>
      <c r="N131" s="1">
        <v>734320</v>
      </c>
      <c r="O131" s="1">
        <v>734560</v>
      </c>
      <c r="P131" s="1">
        <v>734770</v>
      </c>
      <c r="Q131" s="1">
        <v>734960</v>
      </c>
      <c r="R131" s="1">
        <v>735140</v>
      </c>
      <c r="S131" s="1">
        <v>735340</v>
      </c>
      <c r="T131" s="1">
        <v>735590</v>
      </c>
      <c r="U131" s="1">
        <v>735750</v>
      </c>
      <c r="V131" s="1">
        <v>735990</v>
      </c>
      <c r="W131" s="1">
        <v>736170</v>
      </c>
      <c r="X131" s="1">
        <v>736390</v>
      </c>
      <c r="Y131" s="1">
        <v>736610</v>
      </c>
      <c r="Z131" s="1">
        <v>737000</v>
      </c>
      <c r="AA131" s="5">
        <f>AVERAGE(B131:Y131)</f>
        <v>734199.58333333337</v>
      </c>
      <c r="AB131" s="5">
        <f>(AA132-AA130)/2</f>
        <v>5250.2083333333139</v>
      </c>
      <c r="AC131" s="14">
        <f>AB131/(23+AB151)</f>
        <v>210.32683970609446</v>
      </c>
      <c r="AD131" s="5">
        <f>AA131-AA130</f>
        <v>5255.8333333333721</v>
      </c>
      <c r="AE131" s="1">
        <f>AD131-AD130</f>
        <v>-26.25</v>
      </c>
      <c r="AG131" s="5">
        <f>Z131-Y131</f>
        <v>390</v>
      </c>
      <c r="AI131" s="1">
        <f>C131-B131</f>
        <v>180</v>
      </c>
      <c r="AJ131" s="1">
        <f>D131-C131</f>
        <v>220</v>
      </c>
      <c r="AK131" s="1">
        <f>E131-D131</f>
        <v>240</v>
      </c>
      <c r="AL131" s="1">
        <f>F131-E131</f>
        <v>180</v>
      </c>
      <c r="AM131" s="1">
        <f>G131-F131</f>
        <v>210</v>
      </c>
      <c r="AN131" s="1">
        <f>H131-G131</f>
        <v>260</v>
      </c>
      <c r="AO131" s="1">
        <f>I131-H131</f>
        <v>210</v>
      </c>
      <c r="AP131" s="1">
        <f>J131-I131</f>
        <v>110</v>
      </c>
      <c r="AQ131" s="1">
        <f>K131-J131</f>
        <v>210</v>
      </c>
      <c r="AR131" s="1">
        <f>L131-K131</f>
        <v>250</v>
      </c>
      <c r="AS131" s="1">
        <f>M131-L131</f>
        <v>170</v>
      </c>
      <c r="AT131" s="1">
        <f>N131-M131</f>
        <v>280</v>
      </c>
      <c r="AU131" s="1">
        <f>O131-N131</f>
        <v>240</v>
      </c>
      <c r="AV131" s="1">
        <f>P131-O131</f>
        <v>210</v>
      </c>
      <c r="AW131" s="1">
        <f>Q131-P131</f>
        <v>190</v>
      </c>
      <c r="AX131" s="1">
        <f>R131-Q131</f>
        <v>180</v>
      </c>
      <c r="AY131" s="1">
        <f>S131-R131</f>
        <v>200</v>
      </c>
      <c r="AZ131" s="1">
        <f>T131-S131</f>
        <v>250</v>
      </c>
      <c r="BA131" s="1">
        <f>U131-T131</f>
        <v>160</v>
      </c>
      <c r="BB131" s="1">
        <f>V131-U131</f>
        <v>240</v>
      </c>
      <c r="BC131" s="1">
        <f>W131-V131</f>
        <v>180</v>
      </c>
      <c r="BD131" s="1">
        <f>X131-W131</f>
        <v>220</v>
      </c>
      <c r="BE131" s="1">
        <f>Y131-X131</f>
        <v>220</v>
      </c>
      <c r="BF131" s="1">
        <f>Z131-Y131</f>
        <v>390</v>
      </c>
    </row>
    <row r="132" spans="1:58">
      <c r="A132" s="1">
        <v>130</v>
      </c>
      <c r="B132" s="1">
        <v>737000</v>
      </c>
      <c r="C132" s="1">
        <v>737230</v>
      </c>
      <c r="D132" s="1">
        <v>737410</v>
      </c>
      <c r="E132" s="1">
        <v>737660</v>
      </c>
      <c r="F132" s="1">
        <v>737860</v>
      </c>
      <c r="G132" s="1">
        <v>738100</v>
      </c>
      <c r="H132" s="1">
        <v>738240</v>
      </c>
      <c r="I132" s="1">
        <v>738570</v>
      </c>
      <c r="J132" s="1">
        <v>738720</v>
      </c>
      <c r="K132" s="1">
        <v>738910</v>
      </c>
      <c r="L132" s="1">
        <v>739140</v>
      </c>
      <c r="M132" s="1">
        <v>739310</v>
      </c>
      <c r="N132" s="1">
        <v>739520</v>
      </c>
      <c r="O132" s="1">
        <v>739790</v>
      </c>
      <c r="P132" s="1">
        <v>739940</v>
      </c>
      <c r="Q132" s="1">
        <v>740150</v>
      </c>
      <c r="R132" s="1">
        <v>740370</v>
      </c>
      <c r="S132" s="1">
        <v>740560</v>
      </c>
      <c r="T132" s="1">
        <v>740790</v>
      </c>
      <c r="U132" s="1">
        <v>741070</v>
      </c>
      <c r="V132" s="1">
        <v>741320</v>
      </c>
      <c r="W132" s="1">
        <v>741440</v>
      </c>
      <c r="X132" s="1">
        <v>741670</v>
      </c>
      <c r="Y132" s="1">
        <v>741890</v>
      </c>
      <c r="Z132" s="1">
        <v>742310</v>
      </c>
      <c r="AA132" s="5">
        <f>AVERAGE(B132:Y132)</f>
        <v>739444.16666666663</v>
      </c>
      <c r="AB132" s="5">
        <f>(AA133-AA131)/2</f>
        <v>5259.1666666666279</v>
      </c>
      <c r="AC132" s="14">
        <f>AB132/(23+AB151)</f>
        <v>210.68571650095745</v>
      </c>
      <c r="AD132" s="5">
        <f>AA132-AA131</f>
        <v>5244.5833333332557</v>
      </c>
      <c r="AE132" s="1">
        <f>AD132-AD131</f>
        <v>-11.250000000116415</v>
      </c>
      <c r="AG132" s="5">
        <f>Z132-Y132</f>
        <v>420</v>
      </c>
      <c r="AI132" s="1">
        <f>C132-B132</f>
        <v>230</v>
      </c>
      <c r="AJ132" s="1">
        <f>D132-C132</f>
        <v>180</v>
      </c>
      <c r="AK132" s="1">
        <f>E132-D132</f>
        <v>250</v>
      </c>
      <c r="AL132" s="1">
        <f>F132-E132</f>
        <v>200</v>
      </c>
      <c r="AM132" s="1">
        <f>G132-F132</f>
        <v>240</v>
      </c>
      <c r="AN132" s="1">
        <f>H132-G132</f>
        <v>140</v>
      </c>
      <c r="AO132" s="1">
        <f>I132-H132</f>
        <v>330</v>
      </c>
      <c r="AP132" s="1">
        <f>J132-I132</f>
        <v>150</v>
      </c>
      <c r="AQ132" s="1">
        <f>K132-J132</f>
        <v>190</v>
      </c>
      <c r="AR132" s="1">
        <f>L132-K132</f>
        <v>230</v>
      </c>
      <c r="AS132" s="1">
        <f>M132-L132</f>
        <v>170</v>
      </c>
      <c r="AT132" s="1">
        <f>N132-M132</f>
        <v>210</v>
      </c>
      <c r="AU132" s="1">
        <f>O132-N132</f>
        <v>270</v>
      </c>
      <c r="AV132" s="1">
        <f>P132-O132</f>
        <v>150</v>
      </c>
      <c r="AW132" s="1">
        <f>Q132-P132</f>
        <v>210</v>
      </c>
      <c r="AX132" s="1">
        <f>R132-Q132</f>
        <v>220</v>
      </c>
      <c r="AY132" s="1">
        <f>S132-R132</f>
        <v>190</v>
      </c>
      <c r="AZ132" s="1">
        <f>T132-S132</f>
        <v>230</v>
      </c>
      <c r="BA132" s="1">
        <f>U132-T132</f>
        <v>280</v>
      </c>
      <c r="BB132" s="1">
        <f>V132-U132</f>
        <v>250</v>
      </c>
      <c r="BC132" s="1">
        <f>W132-V132</f>
        <v>120</v>
      </c>
      <c r="BD132" s="1">
        <f>X132-W132</f>
        <v>230</v>
      </c>
      <c r="BE132" s="1">
        <f>Y132-X132</f>
        <v>220</v>
      </c>
      <c r="BF132" s="1">
        <f>Z132-Y132</f>
        <v>420</v>
      </c>
    </row>
    <row r="133" spans="1:58">
      <c r="A133" s="1">
        <v>131</v>
      </c>
      <c r="B133" s="1">
        <v>742310</v>
      </c>
      <c r="C133" s="1">
        <v>742490</v>
      </c>
      <c r="D133" s="1">
        <v>742670</v>
      </c>
      <c r="E133" s="1">
        <v>742850</v>
      </c>
      <c r="F133" s="1">
        <v>743050</v>
      </c>
      <c r="G133" s="1">
        <v>743350</v>
      </c>
      <c r="H133" s="1">
        <v>743590</v>
      </c>
      <c r="I133" s="1">
        <v>743820</v>
      </c>
      <c r="J133" s="1">
        <v>744010</v>
      </c>
      <c r="K133" s="1">
        <v>744190</v>
      </c>
      <c r="L133" s="1">
        <v>744440</v>
      </c>
      <c r="M133" s="1">
        <v>744620</v>
      </c>
      <c r="N133" s="1">
        <v>744810</v>
      </c>
      <c r="O133" s="1">
        <v>745020</v>
      </c>
      <c r="P133" s="1">
        <v>745210</v>
      </c>
      <c r="Q133" s="1">
        <v>745470</v>
      </c>
      <c r="R133" s="1">
        <v>745650</v>
      </c>
      <c r="S133" s="1">
        <v>745860</v>
      </c>
      <c r="T133" s="1">
        <v>746090</v>
      </c>
      <c r="U133" s="1">
        <v>746350</v>
      </c>
      <c r="V133" s="1">
        <v>746440</v>
      </c>
      <c r="W133" s="1">
        <v>746740</v>
      </c>
      <c r="X133" s="1">
        <v>746990</v>
      </c>
      <c r="Y133" s="1">
        <v>747210</v>
      </c>
      <c r="Z133" s="1">
        <v>747560</v>
      </c>
      <c r="AA133" s="5">
        <f>AVERAGE(B133:Y133)</f>
        <v>744717.91666666663</v>
      </c>
      <c r="AB133" s="5">
        <f>(AA134-AA132)/2</f>
        <v>5275.625</v>
      </c>
      <c r="AC133" s="14">
        <f>AB133/(23+AB151)</f>
        <v>211.34504828687156</v>
      </c>
      <c r="AD133" s="5">
        <f>AA133-AA132</f>
        <v>5273.75</v>
      </c>
      <c r="AE133" s="1">
        <f>AD133-AD132</f>
        <v>29.166666666744277</v>
      </c>
      <c r="AG133" s="5">
        <f>Z133-Y133</f>
        <v>350</v>
      </c>
      <c r="AI133" s="1">
        <f>C133-B133</f>
        <v>180</v>
      </c>
      <c r="AJ133" s="1">
        <f>D133-C133</f>
        <v>180</v>
      </c>
      <c r="AK133" s="1">
        <f>E133-D133</f>
        <v>180</v>
      </c>
      <c r="AL133" s="1">
        <f>F133-E133</f>
        <v>200</v>
      </c>
      <c r="AM133" s="1">
        <f>G133-F133</f>
        <v>300</v>
      </c>
      <c r="AN133" s="1">
        <f>H133-G133</f>
        <v>240</v>
      </c>
      <c r="AO133" s="1">
        <f>I133-H133</f>
        <v>230</v>
      </c>
      <c r="AP133" s="1">
        <f>J133-I133</f>
        <v>190</v>
      </c>
      <c r="AQ133" s="1">
        <f>K133-J133</f>
        <v>180</v>
      </c>
      <c r="AR133" s="1">
        <f>L133-K133</f>
        <v>250</v>
      </c>
      <c r="AS133" s="1">
        <f>M133-L133</f>
        <v>180</v>
      </c>
      <c r="AT133" s="1">
        <f>N133-M133</f>
        <v>190</v>
      </c>
      <c r="AU133" s="1">
        <f>O133-N133</f>
        <v>210</v>
      </c>
      <c r="AV133" s="1">
        <f>P133-O133</f>
        <v>190</v>
      </c>
      <c r="AW133" s="1">
        <f>Q133-P133</f>
        <v>260</v>
      </c>
      <c r="AX133" s="1">
        <f>R133-Q133</f>
        <v>180</v>
      </c>
      <c r="AY133" s="1">
        <f>S133-R133</f>
        <v>210</v>
      </c>
      <c r="AZ133" s="1">
        <f>T133-S133</f>
        <v>230</v>
      </c>
      <c r="BA133" s="1">
        <f>U133-T133</f>
        <v>260</v>
      </c>
      <c r="BB133" s="1">
        <f>V133-U133</f>
        <v>90</v>
      </c>
      <c r="BC133" s="1">
        <f>W133-V133</f>
        <v>300</v>
      </c>
      <c r="BD133" s="1">
        <f>X133-W133</f>
        <v>250</v>
      </c>
      <c r="BE133" s="1">
        <f>Y133-X133</f>
        <v>220</v>
      </c>
      <c r="BF133" s="1">
        <f>Z133-Y133</f>
        <v>350</v>
      </c>
    </row>
    <row r="134" spans="1:58">
      <c r="A134" s="1">
        <v>132</v>
      </c>
      <c r="B134" s="1">
        <v>747560</v>
      </c>
      <c r="C134" s="1">
        <v>747770</v>
      </c>
      <c r="D134" s="1">
        <v>747970</v>
      </c>
      <c r="E134" s="1">
        <v>748190</v>
      </c>
      <c r="F134" s="1">
        <v>748330</v>
      </c>
      <c r="G134" s="1">
        <v>748640</v>
      </c>
      <c r="H134" s="1">
        <v>748860</v>
      </c>
      <c r="I134" s="1">
        <v>749090</v>
      </c>
      <c r="J134" s="1">
        <v>749260</v>
      </c>
      <c r="K134" s="1">
        <v>749470</v>
      </c>
      <c r="L134" s="1">
        <v>749680</v>
      </c>
      <c r="M134" s="1">
        <v>749910</v>
      </c>
      <c r="N134" s="1">
        <v>750120</v>
      </c>
      <c r="O134" s="1">
        <v>750350</v>
      </c>
      <c r="P134" s="1">
        <v>750470</v>
      </c>
      <c r="Q134" s="1">
        <v>750720</v>
      </c>
      <c r="R134" s="1">
        <v>750890</v>
      </c>
      <c r="S134" s="1">
        <v>751180</v>
      </c>
      <c r="T134" s="1">
        <v>751350</v>
      </c>
      <c r="U134" s="1">
        <v>751610</v>
      </c>
      <c r="V134" s="1">
        <v>751760</v>
      </c>
      <c r="W134" s="1">
        <v>751960</v>
      </c>
      <c r="X134" s="1">
        <v>752280</v>
      </c>
      <c r="Y134" s="1">
        <v>752470</v>
      </c>
      <c r="Z134" s="1">
        <v>752830</v>
      </c>
      <c r="AA134" s="5">
        <f>AVERAGE(B134:Y134)</f>
        <v>749995.41666666663</v>
      </c>
      <c r="AB134" s="5">
        <f>(AA135-AA133)/2</f>
        <v>5277.2916666666861</v>
      </c>
      <c r="AC134" s="14">
        <f>AB134/(23+AB151)</f>
        <v>211.41181606266093</v>
      </c>
      <c r="AD134" s="5">
        <f>AA134-AA133</f>
        <v>5277.5</v>
      </c>
      <c r="AE134" s="1">
        <f>AD134-AD133</f>
        <v>3.75</v>
      </c>
      <c r="AG134" s="5">
        <f>Z134-Y134</f>
        <v>360</v>
      </c>
      <c r="AI134" s="1">
        <f>C134-B134</f>
        <v>210</v>
      </c>
      <c r="AJ134" s="1">
        <f>D134-C134</f>
        <v>200</v>
      </c>
      <c r="AK134" s="1">
        <f>E134-D134</f>
        <v>220</v>
      </c>
      <c r="AL134" s="1">
        <f>F134-E134</f>
        <v>140</v>
      </c>
      <c r="AM134" s="1">
        <f>G134-F134</f>
        <v>310</v>
      </c>
      <c r="AN134" s="1">
        <f>H134-G134</f>
        <v>220</v>
      </c>
      <c r="AO134" s="1">
        <f>I134-H134</f>
        <v>230</v>
      </c>
      <c r="AP134" s="1">
        <f>J134-I134</f>
        <v>170</v>
      </c>
      <c r="AQ134" s="1">
        <f>K134-J134</f>
        <v>210</v>
      </c>
      <c r="AR134" s="1">
        <f>L134-K134</f>
        <v>210</v>
      </c>
      <c r="AS134" s="1">
        <f>M134-L134</f>
        <v>230</v>
      </c>
      <c r="AT134" s="1">
        <f>N134-M134</f>
        <v>210</v>
      </c>
      <c r="AU134" s="1">
        <f>O134-N134</f>
        <v>230</v>
      </c>
      <c r="AV134" s="1">
        <f>P134-O134</f>
        <v>120</v>
      </c>
      <c r="AW134" s="1">
        <f>Q134-P134</f>
        <v>250</v>
      </c>
      <c r="AX134" s="1">
        <f>R134-Q134</f>
        <v>170</v>
      </c>
      <c r="AY134" s="1">
        <f>S134-R134</f>
        <v>290</v>
      </c>
      <c r="AZ134" s="1">
        <f>T134-S134</f>
        <v>170</v>
      </c>
      <c r="BA134" s="1">
        <f>U134-T134</f>
        <v>260</v>
      </c>
      <c r="BB134" s="1">
        <f>V134-U134</f>
        <v>150</v>
      </c>
      <c r="BC134" s="1">
        <f>W134-V134</f>
        <v>200</v>
      </c>
      <c r="BD134" s="1">
        <f>X134-W134</f>
        <v>320</v>
      </c>
      <c r="BE134" s="1">
        <f>Y134-X134</f>
        <v>190</v>
      </c>
      <c r="BF134" s="1">
        <f>Z134-Y134</f>
        <v>360</v>
      </c>
    </row>
    <row r="135" spans="1:58">
      <c r="A135" s="1">
        <v>133</v>
      </c>
      <c r="B135" s="1">
        <v>752830</v>
      </c>
      <c r="C135" s="1">
        <v>753010</v>
      </c>
      <c r="D135" s="1">
        <v>753240</v>
      </c>
      <c r="E135" s="1">
        <v>753480</v>
      </c>
      <c r="F135" s="1">
        <v>753710</v>
      </c>
      <c r="G135" s="1">
        <v>753870</v>
      </c>
      <c r="H135" s="1">
        <v>754100</v>
      </c>
      <c r="I135" s="1">
        <v>754350</v>
      </c>
      <c r="J135" s="1">
        <v>754540</v>
      </c>
      <c r="K135" s="1">
        <v>754730</v>
      </c>
      <c r="L135" s="1">
        <v>754940</v>
      </c>
      <c r="M135" s="1">
        <v>755200</v>
      </c>
      <c r="N135" s="1">
        <v>755410</v>
      </c>
      <c r="O135" s="1">
        <v>755560</v>
      </c>
      <c r="P135" s="1">
        <v>755780</v>
      </c>
      <c r="Q135" s="1">
        <v>755960</v>
      </c>
      <c r="R135" s="1">
        <v>756190</v>
      </c>
      <c r="S135" s="1">
        <v>756510</v>
      </c>
      <c r="T135" s="1">
        <v>756640</v>
      </c>
      <c r="U135" s="1">
        <v>756870</v>
      </c>
      <c r="V135" s="1">
        <v>757040</v>
      </c>
      <c r="W135" s="1">
        <v>757280</v>
      </c>
      <c r="X135" s="1">
        <v>757530</v>
      </c>
      <c r="Y135" s="1">
        <v>757770</v>
      </c>
      <c r="Z135" s="1">
        <v>758060</v>
      </c>
      <c r="AA135" s="5">
        <f>AVERAGE(B135:Y135)</f>
        <v>755272.5</v>
      </c>
      <c r="AB135" s="5">
        <f>(AA136-AA134)/2</f>
        <v>5271.25</v>
      </c>
      <c r="AC135" s="14">
        <f>AB135/(23+AB151)</f>
        <v>211.16978287542645</v>
      </c>
      <c r="AD135" s="5">
        <f>AA135-AA134</f>
        <v>5277.0833333333721</v>
      </c>
      <c r="AE135" s="1">
        <f>AD135-AD134</f>
        <v>-0.41666666662786156</v>
      </c>
      <c r="AG135" s="5">
        <f>Z135-Y135</f>
        <v>290</v>
      </c>
      <c r="AI135" s="1">
        <f>C135-B135</f>
        <v>180</v>
      </c>
      <c r="AJ135" s="1">
        <f>D135-C135</f>
        <v>230</v>
      </c>
      <c r="AK135" s="1">
        <f>E135-D135</f>
        <v>240</v>
      </c>
      <c r="AL135" s="1">
        <f>F135-E135</f>
        <v>230</v>
      </c>
      <c r="AM135" s="1">
        <f>G135-F135</f>
        <v>160</v>
      </c>
      <c r="AN135" s="1">
        <f>H135-G135</f>
        <v>230</v>
      </c>
      <c r="AO135" s="1">
        <f>I135-H135</f>
        <v>250</v>
      </c>
      <c r="AP135" s="1">
        <f>J135-I135</f>
        <v>190</v>
      </c>
      <c r="AQ135" s="1">
        <f>K135-J135</f>
        <v>190</v>
      </c>
      <c r="AR135" s="1">
        <f>L135-K135</f>
        <v>210</v>
      </c>
      <c r="AS135" s="1">
        <f>M135-L135</f>
        <v>260</v>
      </c>
      <c r="AT135" s="1">
        <f>N135-M135</f>
        <v>210</v>
      </c>
      <c r="AU135" s="1">
        <f>O135-N135</f>
        <v>150</v>
      </c>
      <c r="AV135" s="1">
        <f>P135-O135</f>
        <v>220</v>
      </c>
      <c r="AW135" s="1">
        <f>Q135-P135</f>
        <v>180</v>
      </c>
      <c r="AX135" s="1">
        <f>R135-Q135</f>
        <v>230</v>
      </c>
      <c r="AY135" s="1">
        <f>S135-R135</f>
        <v>320</v>
      </c>
      <c r="AZ135" s="1">
        <f>T135-S135</f>
        <v>130</v>
      </c>
      <c r="BA135" s="1">
        <f>U135-T135</f>
        <v>230</v>
      </c>
      <c r="BB135" s="1">
        <f>V135-U135</f>
        <v>170</v>
      </c>
      <c r="BC135" s="1">
        <f>W135-V135</f>
        <v>240</v>
      </c>
      <c r="BD135" s="1">
        <f>X135-W135</f>
        <v>250</v>
      </c>
      <c r="BE135" s="1">
        <f>Y135-X135</f>
        <v>240</v>
      </c>
      <c r="BF135" s="1">
        <f>Z135-Y135</f>
        <v>290</v>
      </c>
    </row>
    <row r="136" spans="1:58">
      <c r="A136" s="1">
        <v>134</v>
      </c>
      <c r="B136" s="1">
        <v>758060</v>
      </c>
      <c r="C136" s="1">
        <v>758270</v>
      </c>
      <c r="D136" s="1">
        <v>758530</v>
      </c>
      <c r="E136" s="1">
        <v>758780</v>
      </c>
      <c r="F136" s="1">
        <v>758940</v>
      </c>
      <c r="G136" s="1">
        <v>759170</v>
      </c>
      <c r="H136" s="1">
        <v>759400</v>
      </c>
      <c r="I136" s="1">
        <v>759640</v>
      </c>
      <c r="J136" s="1">
        <v>759820</v>
      </c>
      <c r="K136" s="1">
        <v>760050</v>
      </c>
      <c r="L136" s="1">
        <v>760280</v>
      </c>
      <c r="M136" s="1">
        <v>760450</v>
      </c>
      <c r="N136" s="1">
        <v>760580</v>
      </c>
      <c r="O136" s="1">
        <v>760780</v>
      </c>
      <c r="P136" s="1">
        <v>761100</v>
      </c>
      <c r="Q136" s="1">
        <v>761220</v>
      </c>
      <c r="R136" s="1">
        <v>761460</v>
      </c>
      <c r="S136" s="1">
        <v>761760</v>
      </c>
      <c r="T136" s="1">
        <v>761880</v>
      </c>
      <c r="U136" s="1">
        <v>762010</v>
      </c>
      <c r="V136" s="1">
        <v>762320</v>
      </c>
      <c r="W136" s="1">
        <v>762580</v>
      </c>
      <c r="X136" s="1">
        <v>762810</v>
      </c>
      <c r="Y136" s="1">
        <v>763020</v>
      </c>
      <c r="Z136" s="1">
        <v>763400</v>
      </c>
      <c r="AA136" s="5">
        <f>AVERAGE(B136:Y136)</f>
        <v>760537.91666666663</v>
      </c>
      <c r="AB136" s="5">
        <f>(AA137-AA135)/2</f>
        <v>5272.5</v>
      </c>
      <c r="AC136" s="14">
        <f>AB136/(23+AB151)</f>
        <v>211.21985870726789</v>
      </c>
      <c r="AD136" s="5">
        <f>AA136-AA135</f>
        <v>5265.4166666666279</v>
      </c>
      <c r="AE136" s="1">
        <f>AD136-AD135</f>
        <v>-11.666666666744277</v>
      </c>
      <c r="AG136" s="5">
        <f>Z136-Y136</f>
        <v>380</v>
      </c>
      <c r="AI136" s="1">
        <f>C136-B136</f>
        <v>210</v>
      </c>
      <c r="AJ136" s="1">
        <f>D136-C136</f>
        <v>260</v>
      </c>
      <c r="AK136" s="1">
        <f>E136-D136</f>
        <v>250</v>
      </c>
      <c r="AL136" s="1">
        <f>F136-E136</f>
        <v>160</v>
      </c>
      <c r="AM136" s="1">
        <f>G136-F136</f>
        <v>230</v>
      </c>
      <c r="AN136" s="1">
        <f>H136-G136</f>
        <v>230</v>
      </c>
      <c r="AO136" s="1">
        <f>I136-H136</f>
        <v>240</v>
      </c>
      <c r="AP136" s="1">
        <f>J136-I136</f>
        <v>180</v>
      </c>
      <c r="AQ136" s="1">
        <f>K136-J136</f>
        <v>230</v>
      </c>
      <c r="AR136" s="1">
        <f>L136-K136</f>
        <v>230</v>
      </c>
      <c r="AS136" s="1">
        <f>M136-L136</f>
        <v>170</v>
      </c>
      <c r="AT136" s="1">
        <f>N136-M136</f>
        <v>130</v>
      </c>
      <c r="AU136" s="1">
        <f>O136-N136</f>
        <v>200</v>
      </c>
      <c r="AV136" s="1">
        <f>P136-O136</f>
        <v>320</v>
      </c>
      <c r="AW136" s="1">
        <f>Q136-P136</f>
        <v>120</v>
      </c>
      <c r="AX136" s="1">
        <f>R136-Q136</f>
        <v>240</v>
      </c>
      <c r="AY136" s="1">
        <f>S136-R136</f>
        <v>300</v>
      </c>
      <c r="AZ136" s="1">
        <f>T136-S136</f>
        <v>120</v>
      </c>
      <c r="BA136" s="1">
        <f>U136-T136</f>
        <v>130</v>
      </c>
      <c r="BB136" s="1">
        <f>V136-U136</f>
        <v>310</v>
      </c>
      <c r="BC136" s="1">
        <f>W136-V136</f>
        <v>260</v>
      </c>
      <c r="BD136" s="1">
        <f>X136-W136</f>
        <v>230</v>
      </c>
      <c r="BE136" s="1">
        <f>Y136-X136</f>
        <v>210</v>
      </c>
      <c r="BF136" s="1">
        <f>Z136-Y136</f>
        <v>380</v>
      </c>
    </row>
    <row r="137" spans="1:58">
      <c r="A137" s="1">
        <v>135</v>
      </c>
      <c r="B137" s="1">
        <v>763400</v>
      </c>
      <c r="C137" s="1">
        <v>763570</v>
      </c>
      <c r="D137" s="1">
        <v>763820</v>
      </c>
      <c r="E137" s="1">
        <v>764000</v>
      </c>
      <c r="F137" s="1">
        <v>764290</v>
      </c>
      <c r="G137" s="1">
        <v>764460</v>
      </c>
      <c r="H137" s="1">
        <v>764620</v>
      </c>
      <c r="I137" s="1">
        <v>764790</v>
      </c>
      <c r="J137" s="1">
        <v>765090</v>
      </c>
      <c r="K137" s="1">
        <v>765320</v>
      </c>
      <c r="L137" s="1">
        <v>765500</v>
      </c>
      <c r="M137" s="1">
        <v>765710</v>
      </c>
      <c r="N137" s="1">
        <v>765940</v>
      </c>
      <c r="O137" s="1">
        <v>766090</v>
      </c>
      <c r="P137" s="1">
        <v>766350</v>
      </c>
      <c r="Q137" s="1">
        <v>766600</v>
      </c>
      <c r="R137" s="1">
        <v>766850</v>
      </c>
      <c r="S137" s="1">
        <v>767040</v>
      </c>
      <c r="T137" s="1">
        <v>767120</v>
      </c>
      <c r="U137" s="1">
        <v>767320</v>
      </c>
      <c r="V137" s="1">
        <v>767570</v>
      </c>
      <c r="W137" s="1">
        <v>767810</v>
      </c>
      <c r="X137" s="1">
        <v>768060</v>
      </c>
      <c r="Y137" s="1">
        <v>768300</v>
      </c>
      <c r="Z137" s="1">
        <v>768630</v>
      </c>
      <c r="AA137" s="5">
        <f>AVERAGE(B137:Y137)</f>
        <v>765817.5</v>
      </c>
      <c r="AB137" s="5">
        <f>(AA138-AA136)/2</f>
        <v>5268.125</v>
      </c>
      <c r="AC137" s="14">
        <f>AB137/(23+AB151)</f>
        <v>211.04459329582281</v>
      </c>
      <c r="AD137" s="5">
        <f>AA137-AA136</f>
        <v>5279.5833333333721</v>
      </c>
      <c r="AE137" s="1">
        <f>AD137-AD136</f>
        <v>14.166666666744277</v>
      </c>
      <c r="AG137" s="5">
        <f>Z137-Y137</f>
        <v>330</v>
      </c>
      <c r="AI137" s="1">
        <f>C137-B137</f>
        <v>170</v>
      </c>
      <c r="AJ137" s="1">
        <f>D137-C137</f>
        <v>250</v>
      </c>
      <c r="AK137" s="1">
        <f>E137-D137</f>
        <v>180</v>
      </c>
      <c r="AL137" s="1">
        <f>F137-E137</f>
        <v>290</v>
      </c>
      <c r="AM137" s="1">
        <f>G137-F137</f>
        <v>170</v>
      </c>
      <c r="AN137" s="1">
        <f>H137-G137</f>
        <v>160</v>
      </c>
      <c r="AO137" s="1">
        <f>I137-H137</f>
        <v>170</v>
      </c>
      <c r="AP137" s="1">
        <f>J137-I137</f>
        <v>300</v>
      </c>
      <c r="AQ137" s="1">
        <f>K137-J137</f>
        <v>230</v>
      </c>
      <c r="AR137" s="1">
        <f>L137-K137</f>
        <v>180</v>
      </c>
      <c r="AS137" s="1">
        <f>M137-L137</f>
        <v>210</v>
      </c>
      <c r="AT137" s="1">
        <f>N137-M137</f>
        <v>230</v>
      </c>
      <c r="AU137" s="1">
        <f>O137-N137</f>
        <v>150</v>
      </c>
      <c r="AV137" s="1">
        <f>P137-O137</f>
        <v>260</v>
      </c>
      <c r="AW137" s="1">
        <f>Q137-P137</f>
        <v>250</v>
      </c>
      <c r="AX137" s="1">
        <f>R137-Q137</f>
        <v>250</v>
      </c>
      <c r="AY137" s="1">
        <f>S137-R137</f>
        <v>190</v>
      </c>
      <c r="AZ137" s="1">
        <f>T137-S137</f>
        <v>80</v>
      </c>
      <c r="BA137" s="1">
        <f>U137-T137</f>
        <v>200</v>
      </c>
      <c r="BB137" s="1">
        <f>V137-U137</f>
        <v>250</v>
      </c>
      <c r="BC137" s="1">
        <f>W137-V137</f>
        <v>240</v>
      </c>
      <c r="BD137" s="1">
        <f>X137-W137</f>
        <v>250</v>
      </c>
      <c r="BE137" s="1">
        <f>Y137-X137</f>
        <v>240</v>
      </c>
      <c r="BF137" s="1">
        <f>Z137-Y137</f>
        <v>330</v>
      </c>
    </row>
    <row r="138" spans="1:58">
      <c r="A138" s="1">
        <v>136</v>
      </c>
      <c r="B138" s="1">
        <v>768630</v>
      </c>
      <c r="C138" s="1">
        <v>768820</v>
      </c>
      <c r="D138" s="1">
        <v>769070</v>
      </c>
      <c r="E138" s="1">
        <v>769270</v>
      </c>
      <c r="F138" s="1">
        <v>769560</v>
      </c>
      <c r="G138" s="1">
        <v>769690</v>
      </c>
      <c r="H138" s="1">
        <v>769910</v>
      </c>
      <c r="I138" s="1">
        <v>770080</v>
      </c>
      <c r="J138" s="1">
        <v>770250</v>
      </c>
      <c r="K138" s="1">
        <v>770520</v>
      </c>
      <c r="L138" s="1">
        <v>770750</v>
      </c>
      <c r="M138" s="1">
        <v>770960</v>
      </c>
      <c r="N138" s="1">
        <v>771130</v>
      </c>
      <c r="O138" s="1">
        <v>771420</v>
      </c>
      <c r="P138" s="1">
        <v>771640</v>
      </c>
      <c r="Q138" s="1">
        <v>771880</v>
      </c>
      <c r="R138" s="1">
        <v>772070</v>
      </c>
      <c r="S138" s="1">
        <v>772230</v>
      </c>
      <c r="T138" s="1">
        <v>772460</v>
      </c>
      <c r="U138" s="1">
        <v>772640</v>
      </c>
      <c r="V138" s="1">
        <v>772850</v>
      </c>
      <c r="W138" s="1">
        <v>773110</v>
      </c>
      <c r="X138" s="1">
        <v>773310</v>
      </c>
      <c r="Y138" s="1">
        <v>773530</v>
      </c>
      <c r="Z138" s="1">
        <v>773960</v>
      </c>
      <c r="AA138" s="5">
        <f>AVERAGE(B138:Y138)</f>
        <v>771074.16666666663</v>
      </c>
      <c r="AB138" s="5">
        <f>(AA139-AA137)/2</f>
        <v>5280</v>
      </c>
      <c r="AC138" s="14">
        <f>AB138/(23+AB151)</f>
        <v>211.52031369831664</v>
      </c>
      <c r="AD138" s="5">
        <f>AA138-AA137</f>
        <v>5256.6666666666279</v>
      </c>
      <c r="AE138" s="1">
        <f>AD138-AD137</f>
        <v>-22.916666666744277</v>
      </c>
      <c r="AG138" s="5">
        <f>Z138-Y138</f>
        <v>430</v>
      </c>
      <c r="AI138" s="1">
        <f>C138-B138</f>
        <v>190</v>
      </c>
      <c r="AJ138" s="1">
        <f>D138-C138</f>
        <v>250</v>
      </c>
      <c r="AK138" s="1">
        <f>E138-D138</f>
        <v>200</v>
      </c>
      <c r="AL138" s="1">
        <f>F138-E138</f>
        <v>290</v>
      </c>
      <c r="AM138" s="1">
        <f>G138-F138</f>
        <v>130</v>
      </c>
      <c r="AN138" s="1">
        <f>H138-G138</f>
        <v>220</v>
      </c>
      <c r="AO138" s="1">
        <f>I138-H138</f>
        <v>170</v>
      </c>
      <c r="AP138" s="1">
        <f>J138-I138</f>
        <v>170</v>
      </c>
      <c r="AQ138" s="1">
        <f>K138-J138</f>
        <v>270</v>
      </c>
      <c r="AR138" s="1">
        <f>L138-K138</f>
        <v>230</v>
      </c>
      <c r="AS138" s="1">
        <f>M138-L138</f>
        <v>210</v>
      </c>
      <c r="AT138" s="1">
        <f>N138-M138</f>
        <v>170</v>
      </c>
      <c r="AU138" s="1">
        <f>O138-N138</f>
        <v>290</v>
      </c>
      <c r="AV138" s="1">
        <f>P138-O138</f>
        <v>220</v>
      </c>
      <c r="AW138" s="1">
        <f>Q138-P138</f>
        <v>240</v>
      </c>
      <c r="AX138" s="1">
        <f>R138-Q138</f>
        <v>190</v>
      </c>
      <c r="AY138" s="1">
        <f>S138-R138</f>
        <v>160</v>
      </c>
      <c r="AZ138" s="1">
        <f>T138-S138</f>
        <v>230</v>
      </c>
      <c r="BA138" s="1">
        <f>U138-T138</f>
        <v>180</v>
      </c>
      <c r="BB138" s="1">
        <f>V138-U138</f>
        <v>210</v>
      </c>
      <c r="BC138" s="1">
        <f>W138-V138</f>
        <v>260</v>
      </c>
      <c r="BD138" s="1">
        <f>X138-W138</f>
        <v>200</v>
      </c>
      <c r="BE138" s="1">
        <f>Y138-X138</f>
        <v>220</v>
      </c>
      <c r="BF138" s="1">
        <f>Z138-Y138</f>
        <v>430</v>
      </c>
    </row>
    <row r="139" spans="1:58">
      <c r="A139" s="1">
        <v>137</v>
      </c>
      <c r="B139" s="1">
        <v>773960</v>
      </c>
      <c r="C139" s="1">
        <v>774120</v>
      </c>
      <c r="D139" s="1">
        <v>774370</v>
      </c>
      <c r="E139" s="1">
        <v>774580</v>
      </c>
      <c r="F139" s="1">
        <v>774770</v>
      </c>
      <c r="G139" s="1">
        <v>774970</v>
      </c>
      <c r="H139" s="1">
        <v>775210</v>
      </c>
      <c r="I139" s="1">
        <v>775430</v>
      </c>
      <c r="J139" s="1">
        <v>775620</v>
      </c>
      <c r="K139" s="1">
        <v>775850</v>
      </c>
      <c r="L139" s="1">
        <v>776060</v>
      </c>
      <c r="M139" s="1">
        <v>776290</v>
      </c>
      <c r="N139" s="1">
        <v>776590</v>
      </c>
      <c r="O139" s="1">
        <v>776740</v>
      </c>
      <c r="P139" s="1">
        <v>776910</v>
      </c>
      <c r="Q139" s="1">
        <v>777090</v>
      </c>
      <c r="R139" s="1">
        <v>777310</v>
      </c>
      <c r="S139" s="1">
        <v>777510</v>
      </c>
      <c r="T139" s="1">
        <v>777740</v>
      </c>
      <c r="U139" s="1">
        <v>777930</v>
      </c>
      <c r="V139" s="1">
        <v>778150</v>
      </c>
      <c r="W139" s="1">
        <v>778390</v>
      </c>
      <c r="X139" s="1">
        <v>778610</v>
      </c>
      <c r="Y139" s="1">
        <v>778860</v>
      </c>
      <c r="Z139" s="1">
        <v>779290</v>
      </c>
      <c r="AA139" s="5">
        <f>AVERAGE(B139:Y139)</f>
        <v>776377.5</v>
      </c>
      <c r="AB139" s="5">
        <f>(AA140-AA138)/2</f>
        <v>5291.25</v>
      </c>
      <c r="AC139" s="14">
        <f>AB139/(23+AB151)</f>
        <v>211.97099618488977</v>
      </c>
      <c r="AD139" s="5">
        <f>AA139-AA138</f>
        <v>5303.3333333333721</v>
      </c>
      <c r="AE139" s="1">
        <f>AD139-AD138</f>
        <v>46.666666666744277</v>
      </c>
      <c r="AG139" s="5">
        <f>Z139-Y139</f>
        <v>430</v>
      </c>
      <c r="AI139" s="1">
        <f>C139-B139</f>
        <v>160</v>
      </c>
      <c r="AJ139" s="1">
        <f>D139-C139</f>
        <v>250</v>
      </c>
      <c r="AK139" s="1">
        <f>E139-D139</f>
        <v>210</v>
      </c>
      <c r="AL139" s="1">
        <f>F139-E139</f>
        <v>190</v>
      </c>
      <c r="AM139" s="1">
        <f>G139-F139</f>
        <v>200</v>
      </c>
      <c r="AN139" s="1">
        <f>H139-G139</f>
        <v>240</v>
      </c>
      <c r="AO139" s="1">
        <f>I139-H139</f>
        <v>220</v>
      </c>
      <c r="AP139" s="1">
        <f>J139-I139</f>
        <v>190</v>
      </c>
      <c r="AQ139" s="1">
        <f>K139-J139</f>
        <v>230</v>
      </c>
      <c r="AR139" s="1">
        <f>L139-K139</f>
        <v>210</v>
      </c>
      <c r="AS139" s="1">
        <f>M139-L139</f>
        <v>230</v>
      </c>
      <c r="AT139" s="1">
        <f>N139-M139</f>
        <v>300</v>
      </c>
      <c r="AU139" s="1">
        <f>O139-N139</f>
        <v>150</v>
      </c>
      <c r="AV139" s="1">
        <f>P139-O139</f>
        <v>170</v>
      </c>
      <c r="AW139" s="1">
        <f>Q139-P139</f>
        <v>180</v>
      </c>
      <c r="AX139" s="1">
        <f>R139-Q139</f>
        <v>220</v>
      </c>
      <c r="AY139" s="1">
        <f>S139-R139</f>
        <v>200</v>
      </c>
      <c r="AZ139" s="1">
        <f>T139-S139</f>
        <v>230</v>
      </c>
      <c r="BA139" s="1">
        <f>U139-T139</f>
        <v>190</v>
      </c>
      <c r="BB139" s="1">
        <f>V139-U139</f>
        <v>220</v>
      </c>
      <c r="BC139" s="1">
        <f>W139-V139</f>
        <v>240</v>
      </c>
      <c r="BD139" s="1">
        <f>X139-W139</f>
        <v>220</v>
      </c>
      <c r="BE139" s="1">
        <f>Y139-X139</f>
        <v>250</v>
      </c>
      <c r="BF139" s="1">
        <f>Z139-Y139</f>
        <v>430</v>
      </c>
    </row>
    <row r="140" spans="1:58">
      <c r="A140" s="1">
        <v>138</v>
      </c>
      <c r="B140" s="1">
        <v>779290</v>
      </c>
      <c r="C140" s="1">
        <v>779380</v>
      </c>
      <c r="D140" s="1">
        <v>779670</v>
      </c>
      <c r="E140" s="1">
        <v>779860</v>
      </c>
      <c r="F140" s="1">
        <v>780080</v>
      </c>
      <c r="G140" s="1">
        <v>780240</v>
      </c>
      <c r="H140" s="1">
        <v>780480</v>
      </c>
      <c r="I140" s="1">
        <v>780670</v>
      </c>
      <c r="J140" s="1">
        <v>780930</v>
      </c>
      <c r="K140" s="1">
        <v>781050</v>
      </c>
      <c r="L140" s="1">
        <v>781330</v>
      </c>
      <c r="M140" s="1">
        <v>781560</v>
      </c>
      <c r="N140" s="1">
        <v>781820</v>
      </c>
      <c r="O140" s="1">
        <v>782000</v>
      </c>
      <c r="P140" s="1">
        <v>782170</v>
      </c>
      <c r="Q140" s="1">
        <v>782390</v>
      </c>
      <c r="R140" s="1">
        <v>782570</v>
      </c>
      <c r="S140" s="1">
        <v>782790</v>
      </c>
      <c r="T140" s="1">
        <v>783010</v>
      </c>
      <c r="U140" s="1">
        <v>783250</v>
      </c>
      <c r="V140" s="1">
        <v>783450</v>
      </c>
      <c r="W140" s="1">
        <v>783740</v>
      </c>
      <c r="X140" s="1">
        <v>783870</v>
      </c>
      <c r="Y140" s="1">
        <v>784160</v>
      </c>
      <c r="Z140" s="1">
        <v>784500</v>
      </c>
      <c r="AA140" s="5">
        <f>AVERAGE(B140:Y140)</f>
        <v>781656.66666666663</v>
      </c>
      <c r="AB140" s="5">
        <f>(AA141-AA139)/2</f>
        <v>5284.5833333333139</v>
      </c>
      <c r="AC140" s="14">
        <f>AB140/(23+AB151)</f>
        <v>211.70392508173455</v>
      </c>
      <c r="AD140" s="5">
        <f>AA140-AA139</f>
        <v>5279.1666666666279</v>
      </c>
      <c r="AE140" s="1">
        <f>AD140-AD139</f>
        <v>-24.166666666744277</v>
      </c>
      <c r="AG140" s="5">
        <f>Z140-Y140</f>
        <v>340</v>
      </c>
      <c r="AI140" s="1">
        <f>C140-B140</f>
        <v>90</v>
      </c>
      <c r="AJ140" s="1">
        <f>D140-C140</f>
        <v>290</v>
      </c>
      <c r="AK140" s="1">
        <f>E140-D140</f>
        <v>190</v>
      </c>
      <c r="AL140" s="1">
        <f>F140-E140</f>
        <v>220</v>
      </c>
      <c r="AM140" s="1">
        <f>G140-F140</f>
        <v>160</v>
      </c>
      <c r="AN140" s="1">
        <f>H140-G140</f>
        <v>240</v>
      </c>
      <c r="AO140" s="1">
        <f>I140-H140</f>
        <v>190</v>
      </c>
      <c r="AP140" s="1">
        <f>J140-I140</f>
        <v>260</v>
      </c>
      <c r="AQ140" s="1">
        <f>K140-J140</f>
        <v>120</v>
      </c>
      <c r="AR140" s="1">
        <f>L140-K140</f>
        <v>280</v>
      </c>
      <c r="AS140" s="1">
        <f>M140-L140</f>
        <v>230</v>
      </c>
      <c r="AT140" s="1">
        <f>N140-M140</f>
        <v>260</v>
      </c>
      <c r="AU140" s="1">
        <f>O140-N140</f>
        <v>180</v>
      </c>
      <c r="AV140" s="1">
        <f>P140-O140</f>
        <v>170</v>
      </c>
      <c r="AW140" s="1">
        <f>Q140-P140</f>
        <v>220</v>
      </c>
      <c r="AX140" s="1">
        <f>R140-Q140</f>
        <v>180</v>
      </c>
      <c r="AY140" s="1">
        <f>S140-R140</f>
        <v>220</v>
      </c>
      <c r="AZ140" s="1">
        <f>T140-S140</f>
        <v>220</v>
      </c>
      <c r="BA140" s="1">
        <f>U140-T140</f>
        <v>240</v>
      </c>
      <c r="BB140" s="1">
        <f>V140-U140</f>
        <v>200</v>
      </c>
      <c r="BC140" s="1">
        <f>W140-V140</f>
        <v>290</v>
      </c>
      <c r="BD140" s="1">
        <f>X140-W140</f>
        <v>130</v>
      </c>
      <c r="BE140" s="1">
        <f>Y140-X140</f>
        <v>290</v>
      </c>
      <c r="BF140" s="1">
        <f>Z140-Y140</f>
        <v>340</v>
      </c>
    </row>
    <row r="141" spans="1:58">
      <c r="A141" s="1">
        <v>139</v>
      </c>
      <c r="B141" s="1">
        <v>784500</v>
      </c>
      <c r="C141" s="1">
        <v>784730</v>
      </c>
      <c r="D141" s="1">
        <v>784920</v>
      </c>
      <c r="E141" s="1">
        <v>785100</v>
      </c>
      <c r="F141" s="1">
        <v>785280</v>
      </c>
      <c r="G141" s="1">
        <v>785520</v>
      </c>
      <c r="H141" s="1">
        <v>785840</v>
      </c>
      <c r="I141" s="1">
        <v>786010</v>
      </c>
      <c r="J141" s="1">
        <v>786220</v>
      </c>
      <c r="K141" s="1">
        <v>786430</v>
      </c>
      <c r="L141" s="1">
        <v>786630</v>
      </c>
      <c r="M141" s="1">
        <v>786830</v>
      </c>
      <c r="N141" s="1">
        <v>787090</v>
      </c>
      <c r="O141" s="1">
        <v>787320</v>
      </c>
      <c r="P141" s="1">
        <v>787430</v>
      </c>
      <c r="Q141" s="1">
        <v>787670</v>
      </c>
      <c r="R141" s="1">
        <v>787860</v>
      </c>
      <c r="S141" s="1">
        <v>788150</v>
      </c>
      <c r="T141" s="1">
        <v>788250</v>
      </c>
      <c r="U141" s="1">
        <v>788510</v>
      </c>
      <c r="V141" s="1">
        <v>788770</v>
      </c>
      <c r="W141" s="1">
        <v>789010</v>
      </c>
      <c r="X141" s="1">
        <v>789210</v>
      </c>
      <c r="Y141" s="1">
        <v>789440</v>
      </c>
      <c r="Z141" s="1">
        <v>789860</v>
      </c>
      <c r="AA141" s="5">
        <f>AVERAGE(B141:Y141)</f>
        <v>786946.66666666663</v>
      </c>
      <c r="AB141" s="5">
        <f>(AA142-AA140)/2</f>
        <v>5302.5</v>
      </c>
      <c r="AC141" s="14">
        <f>AB141/(23+AB151)</f>
        <v>212.42167867146287</v>
      </c>
      <c r="AD141" s="5">
        <f>AA141-AA140</f>
        <v>5290</v>
      </c>
      <c r="AE141" s="1">
        <f>AD141-AD140</f>
        <v>10.833333333372138</v>
      </c>
      <c r="AG141" s="5">
        <f>Z141-Y141</f>
        <v>420</v>
      </c>
      <c r="AI141" s="1">
        <f>C141-B141</f>
        <v>230</v>
      </c>
      <c r="AJ141" s="1">
        <f>D141-C141</f>
        <v>190</v>
      </c>
      <c r="AK141" s="1">
        <f>E141-D141</f>
        <v>180</v>
      </c>
      <c r="AL141" s="1">
        <f>F141-E141</f>
        <v>180</v>
      </c>
      <c r="AM141" s="1">
        <f>G141-F141</f>
        <v>240</v>
      </c>
      <c r="AN141" s="1">
        <f>H141-G141</f>
        <v>320</v>
      </c>
      <c r="AO141" s="1">
        <f>I141-H141</f>
        <v>170</v>
      </c>
      <c r="AP141" s="1">
        <f>J141-I141</f>
        <v>210</v>
      </c>
      <c r="AQ141" s="1">
        <f>K141-J141</f>
        <v>210</v>
      </c>
      <c r="AR141" s="1">
        <f>L141-K141</f>
        <v>200</v>
      </c>
      <c r="AS141" s="1">
        <f>M141-L141</f>
        <v>200</v>
      </c>
      <c r="AT141" s="1">
        <f>N141-M141</f>
        <v>260</v>
      </c>
      <c r="AU141" s="1">
        <f>O141-N141</f>
        <v>230</v>
      </c>
      <c r="AV141" s="1">
        <f>P141-O141</f>
        <v>110</v>
      </c>
      <c r="AW141" s="1">
        <f>Q141-P141</f>
        <v>240</v>
      </c>
      <c r="AX141" s="1">
        <f>R141-Q141</f>
        <v>190</v>
      </c>
      <c r="AY141" s="1">
        <f>S141-R141</f>
        <v>290</v>
      </c>
      <c r="AZ141" s="1">
        <f>T141-S141</f>
        <v>100</v>
      </c>
      <c r="BA141" s="1">
        <f>U141-T141</f>
        <v>260</v>
      </c>
      <c r="BB141" s="1">
        <f>V141-U141</f>
        <v>260</v>
      </c>
      <c r="BC141" s="1">
        <f>W141-V141</f>
        <v>240</v>
      </c>
      <c r="BD141" s="1">
        <f>X141-W141</f>
        <v>200</v>
      </c>
      <c r="BE141" s="1">
        <f>Y141-X141</f>
        <v>230</v>
      </c>
      <c r="BF141" s="1">
        <f>Z141-Y141</f>
        <v>420</v>
      </c>
    </row>
    <row r="142" spans="1:58">
      <c r="A142" s="1">
        <v>140</v>
      </c>
      <c r="B142" s="1">
        <v>789860</v>
      </c>
      <c r="C142" s="1">
        <v>790070</v>
      </c>
      <c r="D142" s="1">
        <v>790320</v>
      </c>
      <c r="E142" s="1">
        <v>790460</v>
      </c>
      <c r="F142" s="1">
        <v>790680</v>
      </c>
      <c r="G142" s="1">
        <v>790770</v>
      </c>
      <c r="H142" s="1">
        <v>791020</v>
      </c>
      <c r="I142" s="1">
        <v>791230</v>
      </c>
      <c r="J142" s="1">
        <v>791500</v>
      </c>
      <c r="K142" s="1">
        <v>791740</v>
      </c>
      <c r="L142" s="1">
        <v>791950</v>
      </c>
      <c r="M142" s="1">
        <v>792190</v>
      </c>
      <c r="N142" s="1">
        <v>792430</v>
      </c>
      <c r="O142" s="1">
        <v>792600</v>
      </c>
      <c r="P142" s="1">
        <v>792780</v>
      </c>
      <c r="Q142" s="1">
        <v>792930</v>
      </c>
      <c r="R142" s="1">
        <v>793210</v>
      </c>
      <c r="S142" s="1">
        <v>793460</v>
      </c>
      <c r="T142" s="1">
        <v>793600</v>
      </c>
      <c r="U142" s="1">
        <v>793880</v>
      </c>
      <c r="V142" s="1">
        <v>794040</v>
      </c>
      <c r="W142" s="1">
        <v>794270</v>
      </c>
      <c r="X142" s="1">
        <v>794510</v>
      </c>
      <c r="Y142" s="1">
        <v>794780</v>
      </c>
      <c r="Z142" s="1">
        <v>795230</v>
      </c>
      <c r="AA142" s="5">
        <f>AVERAGE(B142:Y142)</f>
        <v>792261.66666666663</v>
      </c>
      <c r="AB142" s="5">
        <f>(AA143-AA141)/2</f>
        <v>5310.4166666666861</v>
      </c>
      <c r="AC142" s="14">
        <f>AB142/(23+AB151)</f>
        <v>212.73882560645956</v>
      </c>
      <c r="AD142" s="5">
        <f>AA142-AA141</f>
        <v>5315</v>
      </c>
      <c r="AE142" s="1">
        <f>AD142-AD141</f>
        <v>25</v>
      </c>
      <c r="AG142" s="5">
        <f>Z142-Y142</f>
        <v>450</v>
      </c>
      <c r="AI142" s="1">
        <f>C142-B142</f>
        <v>210</v>
      </c>
      <c r="AJ142" s="1">
        <f>D142-C142</f>
        <v>250</v>
      </c>
      <c r="AK142" s="1">
        <f>E142-D142</f>
        <v>140</v>
      </c>
      <c r="AL142" s="1">
        <f>F142-E142</f>
        <v>220</v>
      </c>
      <c r="AM142" s="1">
        <f>G142-F142</f>
        <v>90</v>
      </c>
      <c r="AN142" s="1">
        <f>H142-G142</f>
        <v>250</v>
      </c>
      <c r="AO142" s="1">
        <f>I142-H142</f>
        <v>210</v>
      </c>
      <c r="AP142" s="1">
        <f>J142-I142</f>
        <v>270</v>
      </c>
      <c r="AQ142" s="1">
        <f>K142-J142</f>
        <v>240</v>
      </c>
      <c r="AR142" s="1">
        <f>L142-K142</f>
        <v>210</v>
      </c>
      <c r="AS142" s="1">
        <f>M142-L142</f>
        <v>240</v>
      </c>
      <c r="AT142" s="1">
        <f>N142-M142</f>
        <v>240</v>
      </c>
      <c r="AU142" s="1">
        <f>O142-N142</f>
        <v>170</v>
      </c>
      <c r="AV142" s="1">
        <f>P142-O142</f>
        <v>180</v>
      </c>
      <c r="AW142" s="1">
        <f>Q142-P142</f>
        <v>150</v>
      </c>
      <c r="AX142" s="1">
        <f>R142-Q142</f>
        <v>280</v>
      </c>
      <c r="AY142" s="1">
        <f>S142-R142</f>
        <v>250</v>
      </c>
      <c r="AZ142" s="1">
        <f>T142-S142</f>
        <v>140</v>
      </c>
      <c r="BA142" s="1">
        <f>U142-T142</f>
        <v>280</v>
      </c>
      <c r="BB142" s="1">
        <f>V142-U142</f>
        <v>160</v>
      </c>
      <c r="BC142" s="1">
        <f>W142-V142</f>
        <v>230</v>
      </c>
      <c r="BD142" s="1">
        <f>X142-W142</f>
        <v>240</v>
      </c>
      <c r="BE142" s="1">
        <f>Y142-X142</f>
        <v>270</v>
      </c>
      <c r="BF142" s="1">
        <f>Z142-Y142</f>
        <v>450</v>
      </c>
    </row>
    <row r="143" spans="1:58">
      <c r="A143" s="1">
        <v>141</v>
      </c>
      <c r="B143" s="1">
        <v>795230</v>
      </c>
      <c r="C143" s="1">
        <v>795420</v>
      </c>
      <c r="D143" s="1">
        <v>795540</v>
      </c>
      <c r="E143" s="1">
        <v>795770</v>
      </c>
      <c r="F143" s="1">
        <v>796040</v>
      </c>
      <c r="G143" s="1">
        <v>796130</v>
      </c>
      <c r="H143" s="1">
        <v>796400</v>
      </c>
      <c r="I143" s="1">
        <v>796560</v>
      </c>
      <c r="J143" s="1">
        <v>796770</v>
      </c>
      <c r="K143" s="1">
        <v>796980</v>
      </c>
      <c r="L143" s="1">
        <v>797180</v>
      </c>
      <c r="M143" s="1">
        <v>797470</v>
      </c>
      <c r="N143" s="1">
        <v>797740</v>
      </c>
      <c r="O143" s="1">
        <v>797930</v>
      </c>
      <c r="P143" s="1">
        <v>798060</v>
      </c>
      <c r="Q143" s="1">
        <v>798380</v>
      </c>
      <c r="R143" s="1">
        <v>798540</v>
      </c>
      <c r="S143" s="1">
        <v>798780</v>
      </c>
      <c r="T143" s="1">
        <v>798930</v>
      </c>
      <c r="U143" s="1">
        <v>799020</v>
      </c>
      <c r="V143" s="1">
        <v>799340</v>
      </c>
      <c r="W143" s="1">
        <v>799600</v>
      </c>
      <c r="X143" s="1">
        <v>799770</v>
      </c>
      <c r="Y143" s="1">
        <v>800040</v>
      </c>
      <c r="Z143" s="1">
        <v>800460</v>
      </c>
      <c r="AA143" s="5">
        <f>AVERAGE(B143:Y143)</f>
        <v>797567.5</v>
      </c>
      <c r="AB143" s="5">
        <f>(AA144-AA142)/2</f>
        <v>5313.5416666666861</v>
      </c>
      <c r="AC143" s="14">
        <f>AB143/(23+AB151)</f>
        <v>212.8640151860632</v>
      </c>
      <c r="AD143" s="5">
        <f>AA143-AA142</f>
        <v>5305.8333333333721</v>
      </c>
      <c r="AE143" s="1">
        <f>AD143-AD142</f>
        <v>-9.1666666666278616</v>
      </c>
      <c r="AG143" s="5">
        <f>Z143-Y143</f>
        <v>420</v>
      </c>
      <c r="AI143" s="1">
        <f>C143-B143</f>
        <v>190</v>
      </c>
      <c r="AJ143" s="1">
        <f>D143-C143</f>
        <v>120</v>
      </c>
      <c r="AK143" s="1">
        <f>E143-D143</f>
        <v>230</v>
      </c>
      <c r="AL143" s="1">
        <f>F143-E143</f>
        <v>270</v>
      </c>
      <c r="AM143" s="1">
        <f>G143-F143</f>
        <v>90</v>
      </c>
      <c r="AN143" s="1">
        <f>H143-G143</f>
        <v>270</v>
      </c>
      <c r="AO143" s="1">
        <f>I143-H143</f>
        <v>160</v>
      </c>
      <c r="AP143" s="1">
        <f>J143-I143</f>
        <v>210</v>
      </c>
      <c r="AQ143" s="1">
        <f>K143-J143</f>
        <v>210</v>
      </c>
      <c r="AR143" s="1">
        <f>L143-K143</f>
        <v>200</v>
      </c>
      <c r="AS143" s="1">
        <f>M143-L143</f>
        <v>290</v>
      </c>
      <c r="AT143" s="1">
        <f>N143-M143</f>
        <v>270</v>
      </c>
      <c r="AU143" s="1">
        <f>O143-N143</f>
        <v>190</v>
      </c>
      <c r="AV143" s="1">
        <f>P143-O143</f>
        <v>130</v>
      </c>
      <c r="AW143" s="1">
        <f>Q143-P143</f>
        <v>320</v>
      </c>
      <c r="AX143" s="1">
        <f>R143-Q143</f>
        <v>160</v>
      </c>
      <c r="AY143" s="1">
        <f>S143-R143</f>
        <v>240</v>
      </c>
      <c r="AZ143" s="1">
        <f>T143-S143</f>
        <v>150</v>
      </c>
      <c r="BA143" s="1">
        <f>U143-T143</f>
        <v>90</v>
      </c>
      <c r="BB143" s="1">
        <f>V143-U143</f>
        <v>320</v>
      </c>
      <c r="BC143" s="1">
        <f>W143-V143</f>
        <v>260</v>
      </c>
      <c r="BD143" s="1">
        <f>X143-W143</f>
        <v>170</v>
      </c>
      <c r="BE143" s="1">
        <f>Y143-X143</f>
        <v>270</v>
      </c>
      <c r="BF143" s="1">
        <f>Z143-Y143</f>
        <v>420</v>
      </c>
    </row>
    <row r="144" spans="1:58">
      <c r="A144" s="1">
        <v>142</v>
      </c>
      <c r="B144" s="1">
        <v>800460</v>
      </c>
      <c r="C144" s="1">
        <v>800650</v>
      </c>
      <c r="D144" s="1">
        <v>800860</v>
      </c>
      <c r="E144" s="1">
        <v>801120</v>
      </c>
      <c r="F144" s="1">
        <v>801330</v>
      </c>
      <c r="G144" s="1">
        <v>801470</v>
      </c>
      <c r="H144" s="1">
        <v>801770</v>
      </c>
      <c r="I144" s="1">
        <v>801930</v>
      </c>
      <c r="J144" s="1">
        <v>802150</v>
      </c>
      <c r="K144" s="1">
        <v>802300</v>
      </c>
      <c r="L144" s="1">
        <v>802560</v>
      </c>
      <c r="M144" s="1">
        <v>802810</v>
      </c>
      <c r="N144" s="1">
        <v>802960</v>
      </c>
      <c r="O144" s="1">
        <v>803180</v>
      </c>
      <c r="P144" s="1">
        <v>803430</v>
      </c>
      <c r="Q144" s="1">
        <v>803680</v>
      </c>
      <c r="R144" s="1">
        <v>803880</v>
      </c>
      <c r="S144" s="1">
        <v>804090</v>
      </c>
      <c r="T144" s="1">
        <v>804180</v>
      </c>
      <c r="U144" s="1">
        <v>804490</v>
      </c>
      <c r="V144" s="1">
        <v>804690</v>
      </c>
      <c r="W144" s="1">
        <v>804890</v>
      </c>
      <c r="X144" s="1">
        <v>805090</v>
      </c>
      <c r="Y144" s="1">
        <v>805360</v>
      </c>
      <c r="Z144" s="1">
        <v>805840</v>
      </c>
      <c r="AA144" s="5">
        <f>AVERAGE(B144:Y144)</f>
        <v>802888.75</v>
      </c>
      <c r="AB144" s="5">
        <f>(AA145-AA143)/2</f>
        <v>5316.875</v>
      </c>
      <c r="AC144" s="14">
        <f>AB144/(23+AB151)</f>
        <v>212.99755073763964</v>
      </c>
      <c r="AD144" s="5">
        <f>AA144-AA143</f>
        <v>5321.25</v>
      </c>
      <c r="AE144" s="1">
        <f>AD144-AD143</f>
        <v>15.416666666627862</v>
      </c>
      <c r="AG144" s="5">
        <f>Z144-Y144</f>
        <v>480</v>
      </c>
      <c r="AI144" s="1">
        <f>C144-B144</f>
        <v>190</v>
      </c>
      <c r="AJ144" s="1">
        <f>D144-C144</f>
        <v>210</v>
      </c>
      <c r="AK144" s="1">
        <f>E144-D144</f>
        <v>260</v>
      </c>
      <c r="AL144" s="1">
        <f>F144-E144</f>
        <v>210</v>
      </c>
      <c r="AM144" s="1">
        <f>G144-F144</f>
        <v>140</v>
      </c>
      <c r="AN144" s="1">
        <f>H144-G144</f>
        <v>300</v>
      </c>
      <c r="AO144" s="1">
        <f>I144-H144</f>
        <v>160</v>
      </c>
      <c r="AP144" s="1">
        <f>J144-I144</f>
        <v>220</v>
      </c>
      <c r="AQ144" s="1">
        <f>K144-J144</f>
        <v>150</v>
      </c>
      <c r="AR144" s="1">
        <f>L144-K144</f>
        <v>260</v>
      </c>
      <c r="AS144" s="1">
        <f>M144-L144</f>
        <v>250</v>
      </c>
      <c r="AT144" s="1">
        <f>N144-M144</f>
        <v>150</v>
      </c>
      <c r="AU144" s="1">
        <f>O144-N144</f>
        <v>220</v>
      </c>
      <c r="AV144" s="1">
        <f>P144-O144</f>
        <v>250</v>
      </c>
      <c r="AW144" s="1">
        <f>Q144-P144</f>
        <v>250</v>
      </c>
      <c r="AX144" s="1">
        <f>R144-Q144</f>
        <v>200</v>
      </c>
      <c r="AY144" s="1">
        <f>S144-R144</f>
        <v>210</v>
      </c>
      <c r="AZ144" s="1">
        <f>T144-S144</f>
        <v>90</v>
      </c>
      <c r="BA144" s="1">
        <f>U144-T144</f>
        <v>310</v>
      </c>
      <c r="BB144" s="1">
        <f>V144-U144</f>
        <v>200</v>
      </c>
      <c r="BC144" s="1">
        <f>W144-V144</f>
        <v>200</v>
      </c>
      <c r="BD144" s="1">
        <f>X144-W144</f>
        <v>200</v>
      </c>
      <c r="BE144" s="1">
        <f>Y144-X144</f>
        <v>270</v>
      </c>
      <c r="BF144" s="1">
        <f>Z144-Y144</f>
        <v>480</v>
      </c>
    </row>
    <row r="145" spans="1:58">
      <c r="A145" s="1">
        <v>143</v>
      </c>
      <c r="B145" s="1">
        <v>805840</v>
      </c>
      <c r="C145" s="1">
        <v>806070</v>
      </c>
      <c r="D145" s="1">
        <v>806170</v>
      </c>
      <c r="E145" s="1">
        <v>806430</v>
      </c>
      <c r="F145" s="1">
        <v>806640</v>
      </c>
      <c r="G145" s="1">
        <v>806800</v>
      </c>
      <c r="H145" s="1">
        <v>807010</v>
      </c>
      <c r="I145" s="1">
        <v>807240</v>
      </c>
      <c r="J145" s="1">
        <v>807440</v>
      </c>
      <c r="K145" s="1">
        <v>807600</v>
      </c>
      <c r="L145" s="1">
        <v>807860</v>
      </c>
      <c r="M145" s="1">
        <v>808030</v>
      </c>
      <c r="N145" s="1">
        <v>808320</v>
      </c>
      <c r="O145" s="1">
        <v>808580</v>
      </c>
      <c r="P145" s="1">
        <v>808720</v>
      </c>
      <c r="Q145" s="1">
        <v>808850</v>
      </c>
      <c r="R145" s="1">
        <v>809200</v>
      </c>
      <c r="S145" s="1">
        <v>809390</v>
      </c>
      <c r="T145" s="1">
        <v>809610</v>
      </c>
      <c r="U145" s="1">
        <v>809810</v>
      </c>
      <c r="V145" s="1">
        <v>809970</v>
      </c>
      <c r="W145" s="1">
        <v>810170</v>
      </c>
      <c r="X145" s="1">
        <v>810410</v>
      </c>
      <c r="Y145" s="1">
        <v>810670</v>
      </c>
      <c r="Z145" s="1">
        <v>811130</v>
      </c>
      <c r="AA145" s="5">
        <f>AVERAGE(B145:Y145)</f>
        <v>808201.25</v>
      </c>
      <c r="AB145" s="5">
        <f>(AA146-AA144)/2</f>
        <v>5312.0833333333139</v>
      </c>
      <c r="AC145" s="14">
        <f>AB145/(23+AB151)</f>
        <v>212.80559338224663</v>
      </c>
      <c r="AD145" s="5">
        <f>AA145-AA144</f>
        <v>5312.5</v>
      </c>
      <c r="AE145" s="1">
        <f>AD145-AD144</f>
        <v>-8.75</v>
      </c>
      <c r="AG145" s="5">
        <f>Z145-Y145</f>
        <v>460</v>
      </c>
      <c r="AI145" s="1">
        <f>C145-B145</f>
        <v>230</v>
      </c>
      <c r="AJ145" s="1">
        <f>D145-C145</f>
        <v>100</v>
      </c>
      <c r="AK145" s="1">
        <f>E145-D145</f>
        <v>260</v>
      </c>
      <c r="AL145" s="1">
        <f>F145-E145</f>
        <v>210</v>
      </c>
      <c r="AM145" s="1">
        <f>G145-F145</f>
        <v>160</v>
      </c>
      <c r="AN145" s="1">
        <f>H145-G145</f>
        <v>210</v>
      </c>
      <c r="AO145" s="1">
        <f>I145-H145</f>
        <v>230</v>
      </c>
      <c r="AP145" s="1">
        <f>J145-I145</f>
        <v>200</v>
      </c>
      <c r="AQ145" s="1">
        <f>K145-J145</f>
        <v>160</v>
      </c>
      <c r="AR145" s="1">
        <f>L145-K145</f>
        <v>260</v>
      </c>
      <c r="AS145" s="1">
        <f>M145-L145</f>
        <v>170</v>
      </c>
      <c r="AT145" s="1">
        <f>N145-M145</f>
        <v>290</v>
      </c>
      <c r="AU145" s="1">
        <f>O145-N145</f>
        <v>260</v>
      </c>
      <c r="AV145" s="1">
        <f>P145-O145</f>
        <v>140</v>
      </c>
      <c r="AW145" s="1">
        <f>Q145-P145</f>
        <v>130</v>
      </c>
      <c r="AX145" s="1">
        <f>R145-Q145</f>
        <v>350</v>
      </c>
      <c r="AY145" s="1">
        <f>S145-R145</f>
        <v>190</v>
      </c>
      <c r="AZ145" s="1">
        <f>T145-S145</f>
        <v>220</v>
      </c>
      <c r="BA145" s="1">
        <f>U145-T145</f>
        <v>200</v>
      </c>
      <c r="BB145" s="1">
        <f>V145-U145</f>
        <v>160</v>
      </c>
      <c r="BC145" s="1">
        <f>W145-V145</f>
        <v>200</v>
      </c>
      <c r="BD145" s="1">
        <f>X145-W145</f>
        <v>240</v>
      </c>
      <c r="BE145" s="1">
        <f>Y145-X145</f>
        <v>260</v>
      </c>
      <c r="BF145" s="1">
        <f>Z145-Y145</f>
        <v>460</v>
      </c>
    </row>
    <row r="146" spans="1:58">
      <c r="A146" s="1">
        <v>144</v>
      </c>
      <c r="B146" s="1">
        <v>811130</v>
      </c>
      <c r="C146" s="1">
        <v>811360</v>
      </c>
      <c r="D146" s="1">
        <v>811550</v>
      </c>
      <c r="E146" s="1">
        <v>811660</v>
      </c>
      <c r="F146" s="1">
        <v>811900</v>
      </c>
      <c r="G146" s="1">
        <v>812090</v>
      </c>
      <c r="H146" s="1">
        <v>812350</v>
      </c>
      <c r="I146" s="1">
        <v>812650</v>
      </c>
      <c r="J146" s="1">
        <v>812790</v>
      </c>
      <c r="K146" s="1">
        <v>812990</v>
      </c>
      <c r="L146" s="1">
        <v>813170</v>
      </c>
      <c r="M146" s="1">
        <v>813350</v>
      </c>
      <c r="N146" s="1">
        <v>813670</v>
      </c>
      <c r="O146" s="1">
        <v>813840</v>
      </c>
      <c r="P146" s="1">
        <v>814010</v>
      </c>
      <c r="Q146" s="1">
        <v>814270</v>
      </c>
      <c r="R146" s="1">
        <v>814390</v>
      </c>
      <c r="S146" s="1">
        <v>814720</v>
      </c>
      <c r="T146" s="1">
        <v>814860</v>
      </c>
      <c r="U146" s="1">
        <v>815060</v>
      </c>
      <c r="V146" s="1">
        <v>815310</v>
      </c>
      <c r="W146" s="1">
        <v>815500</v>
      </c>
      <c r="X146" s="1">
        <v>815720</v>
      </c>
      <c r="Y146" s="1">
        <v>815970</v>
      </c>
      <c r="Z146" s="1">
        <v>816450</v>
      </c>
      <c r="AA146" s="5">
        <f>AVERAGE(B146:Y146)</f>
        <v>813512.91666666663</v>
      </c>
      <c r="AB146" s="5">
        <f>(AA147-AA145)/2</f>
        <v>5330.625</v>
      </c>
      <c r="AC146" s="14">
        <f>AB146/(23+AB151)</f>
        <v>213.54838488789568</v>
      </c>
      <c r="AD146" s="5">
        <f>AA146-AA145</f>
        <v>5311.6666666666279</v>
      </c>
      <c r="AE146" s="1">
        <f>AD146-AD145</f>
        <v>-0.83333333337213844</v>
      </c>
      <c r="AG146" s="5">
        <f>Z146-Y146</f>
        <v>480</v>
      </c>
      <c r="AI146" s="1">
        <f>C146-B146</f>
        <v>230</v>
      </c>
      <c r="AJ146" s="1">
        <f>D146-C146</f>
        <v>190</v>
      </c>
      <c r="AK146" s="1">
        <f>E146-D146</f>
        <v>110</v>
      </c>
      <c r="AL146" s="1">
        <f>F146-E146</f>
        <v>240</v>
      </c>
      <c r="AM146" s="1">
        <f>G146-F146</f>
        <v>190</v>
      </c>
      <c r="AN146" s="1">
        <f>H146-G146</f>
        <v>260</v>
      </c>
      <c r="AO146" s="1">
        <f>I146-H146</f>
        <v>300</v>
      </c>
      <c r="AP146" s="1">
        <f>J146-I146</f>
        <v>140</v>
      </c>
      <c r="AQ146" s="1">
        <f>K146-J146</f>
        <v>200</v>
      </c>
      <c r="AR146" s="1">
        <f>L146-K146</f>
        <v>180</v>
      </c>
      <c r="AS146" s="1">
        <f>M146-L146</f>
        <v>180</v>
      </c>
      <c r="AT146" s="1">
        <f>N146-M146</f>
        <v>320</v>
      </c>
      <c r="AU146" s="1">
        <f>O146-N146</f>
        <v>170</v>
      </c>
      <c r="AV146" s="1">
        <f>P146-O146</f>
        <v>170</v>
      </c>
      <c r="AW146" s="1">
        <f>Q146-P146</f>
        <v>260</v>
      </c>
      <c r="AX146" s="1">
        <f>R146-Q146</f>
        <v>120</v>
      </c>
      <c r="AY146" s="1">
        <f>S146-R146</f>
        <v>330</v>
      </c>
      <c r="AZ146" s="1">
        <f>T146-S146</f>
        <v>140</v>
      </c>
      <c r="BA146" s="1">
        <f>U146-T146</f>
        <v>200</v>
      </c>
      <c r="BB146" s="1">
        <f>V146-U146</f>
        <v>250</v>
      </c>
      <c r="BC146" s="1">
        <f>W146-V146</f>
        <v>190</v>
      </c>
      <c r="BD146" s="1">
        <f>X146-W146</f>
        <v>220</v>
      </c>
      <c r="BE146" s="1">
        <f>Y146-X146</f>
        <v>250</v>
      </c>
      <c r="BF146" s="1">
        <f>Z146-Y146</f>
        <v>480</v>
      </c>
    </row>
    <row r="147" spans="1:58">
      <c r="A147" s="1">
        <v>145</v>
      </c>
      <c r="B147" s="1">
        <v>816450</v>
      </c>
      <c r="C147" s="1">
        <v>816680</v>
      </c>
      <c r="D147" s="1">
        <v>816860</v>
      </c>
      <c r="E147" s="1">
        <v>817050</v>
      </c>
      <c r="F147" s="1">
        <v>817320</v>
      </c>
      <c r="G147" s="1">
        <v>817490</v>
      </c>
      <c r="H147" s="1">
        <v>817660</v>
      </c>
      <c r="I147" s="1">
        <v>817850</v>
      </c>
      <c r="J147" s="1">
        <v>818060</v>
      </c>
      <c r="K147" s="1">
        <v>818370</v>
      </c>
      <c r="L147" s="1">
        <v>818510</v>
      </c>
      <c r="M147" s="1">
        <v>818700</v>
      </c>
      <c r="N147" s="1">
        <v>819020</v>
      </c>
      <c r="O147" s="1">
        <v>819220</v>
      </c>
      <c r="P147" s="1">
        <v>819430</v>
      </c>
      <c r="Q147" s="1">
        <v>819620</v>
      </c>
      <c r="R147" s="1">
        <v>819820</v>
      </c>
      <c r="S147" s="1">
        <v>820040</v>
      </c>
      <c r="T147" s="1">
        <v>820270</v>
      </c>
      <c r="U147" s="1">
        <v>820450</v>
      </c>
      <c r="V147" s="1">
        <v>820590</v>
      </c>
      <c r="W147" s="1">
        <v>820820</v>
      </c>
      <c r="X147" s="1">
        <v>821100</v>
      </c>
      <c r="Y147" s="1">
        <v>821320</v>
      </c>
      <c r="Z147" s="1">
        <v>821770</v>
      </c>
      <c r="AA147" s="5">
        <f>AVERAGE(B147:Y147)</f>
        <v>818862.5</v>
      </c>
      <c r="AB147" s="5">
        <f>(AA148-AA146)/2</f>
        <v>5344.375</v>
      </c>
      <c r="AC147" s="14">
        <f>AB147/(23+AB151)</f>
        <v>214.09921903815172</v>
      </c>
      <c r="AD147" s="5">
        <f>AA147-AA146</f>
        <v>5349.5833333333721</v>
      </c>
      <c r="AE147" s="1">
        <f>AD147-AD146</f>
        <v>37.916666666744277</v>
      </c>
      <c r="AG147" s="5">
        <f>Z147-Y147</f>
        <v>450</v>
      </c>
      <c r="AI147" s="1">
        <f>C147-B147</f>
        <v>230</v>
      </c>
      <c r="AJ147" s="1">
        <f>D147-C147</f>
        <v>180</v>
      </c>
      <c r="AK147" s="1">
        <f>E147-D147</f>
        <v>190</v>
      </c>
      <c r="AL147" s="1">
        <f>F147-E147</f>
        <v>270</v>
      </c>
      <c r="AM147" s="1">
        <f>G147-F147</f>
        <v>170</v>
      </c>
      <c r="AN147" s="1">
        <f>H147-G147</f>
        <v>170</v>
      </c>
      <c r="AO147" s="1">
        <f>I147-H147</f>
        <v>190</v>
      </c>
      <c r="AP147" s="1">
        <f>J147-I147</f>
        <v>210</v>
      </c>
      <c r="AQ147" s="1">
        <f>K147-J147</f>
        <v>310</v>
      </c>
      <c r="AR147" s="1">
        <f>L147-K147</f>
        <v>140</v>
      </c>
      <c r="AS147" s="1">
        <f>M147-L147</f>
        <v>190</v>
      </c>
      <c r="AT147" s="1">
        <f>N147-M147</f>
        <v>320</v>
      </c>
      <c r="AU147" s="1">
        <f>O147-N147</f>
        <v>200</v>
      </c>
      <c r="AV147" s="1">
        <f>P147-O147</f>
        <v>210</v>
      </c>
      <c r="AW147" s="1">
        <f>Q147-P147</f>
        <v>190</v>
      </c>
      <c r="AX147" s="1">
        <f>R147-Q147</f>
        <v>200</v>
      </c>
      <c r="AY147" s="1">
        <f>S147-R147</f>
        <v>220</v>
      </c>
      <c r="AZ147" s="1">
        <f>T147-S147</f>
        <v>230</v>
      </c>
      <c r="BA147" s="1">
        <f>U147-T147</f>
        <v>180</v>
      </c>
      <c r="BB147" s="1">
        <f>V147-U147</f>
        <v>140</v>
      </c>
      <c r="BC147" s="1">
        <f>W147-V147</f>
        <v>230</v>
      </c>
      <c r="BD147" s="1">
        <f>X147-W147</f>
        <v>280</v>
      </c>
      <c r="BE147" s="1">
        <f>Y147-X147</f>
        <v>220</v>
      </c>
      <c r="BF147" s="1">
        <f>Z147-Y147</f>
        <v>450</v>
      </c>
    </row>
    <row r="148" spans="1:58">
      <c r="A148" s="1">
        <v>146</v>
      </c>
      <c r="B148" s="1">
        <v>821770</v>
      </c>
      <c r="C148" s="1">
        <v>821970</v>
      </c>
      <c r="D148" s="1">
        <v>822210</v>
      </c>
      <c r="E148" s="1">
        <v>822420</v>
      </c>
      <c r="F148" s="1">
        <v>822660</v>
      </c>
      <c r="G148" s="1">
        <v>822940</v>
      </c>
      <c r="H148" s="1">
        <v>823070</v>
      </c>
      <c r="I148" s="1">
        <v>823260</v>
      </c>
      <c r="J148" s="1">
        <v>823400</v>
      </c>
      <c r="K148" s="1">
        <v>823520</v>
      </c>
      <c r="L148" s="1">
        <v>823880</v>
      </c>
      <c r="M148" s="1">
        <v>824060</v>
      </c>
      <c r="N148" s="1">
        <v>824300</v>
      </c>
      <c r="O148" s="1">
        <v>824500</v>
      </c>
      <c r="P148" s="1">
        <v>824750</v>
      </c>
      <c r="Q148" s="1">
        <v>824940</v>
      </c>
      <c r="R148" s="1">
        <v>825120</v>
      </c>
      <c r="S148" s="1">
        <v>825390</v>
      </c>
      <c r="T148" s="1">
        <v>825640</v>
      </c>
      <c r="U148" s="1">
        <v>825810</v>
      </c>
      <c r="V148" s="1">
        <v>825990</v>
      </c>
      <c r="W148" s="1">
        <v>826190</v>
      </c>
      <c r="X148" s="1">
        <v>826400</v>
      </c>
      <c r="Y148" s="1">
        <v>826650</v>
      </c>
      <c r="AA148" s="5">
        <f>AVERAGE(B148:Y148)</f>
        <v>824201.66666666663</v>
      </c>
    </row>
    <row r="150" spans="1:58">
      <c r="B150" s="1">
        <f>AVERAGE(B4:B147)</f>
        <v>439588.26388888888</v>
      </c>
      <c r="C150" s="1">
        <f>AVERAGE(C4:C147)</f>
        <v>439791.52777777775</v>
      </c>
      <c r="D150" s="1">
        <f>AVERAGE(D4:D147)</f>
        <v>440007.77777777775</v>
      </c>
      <c r="E150" s="1">
        <f>AVERAGE(E4:E147)</f>
        <v>440218.88888888888</v>
      </c>
      <c r="F150" s="1">
        <f>AVERAGE(F4:F147)</f>
        <v>440423.68055555556</v>
      </c>
      <c r="G150" s="1">
        <f>AVERAGE(G4:G147)</f>
        <v>440632.5</v>
      </c>
      <c r="H150" s="1">
        <f>AVERAGE(H4:H147)</f>
        <v>440838.19444444444</v>
      </c>
      <c r="I150" s="1">
        <f>AVERAGE(I4:I147)</f>
        <v>441047.36111111112</v>
      </c>
      <c r="J150" s="1">
        <f>AVERAGE(J4:J147)</f>
        <v>441248.81944444444</v>
      </c>
      <c r="K150" s="1">
        <f>AVERAGE(K4:K147)</f>
        <v>441452.01388888888</v>
      </c>
      <c r="L150" s="1">
        <f>AVERAGE(L4:L147)</f>
        <v>441664.44444444444</v>
      </c>
      <c r="M150" s="1">
        <f>AVERAGE(M4:M147)</f>
        <v>441881.31944444444</v>
      </c>
      <c r="N150" s="1">
        <f>AVERAGE(N4:N147)</f>
        <v>442121.94444444444</v>
      </c>
      <c r="O150" s="1">
        <f>AVERAGE(O4:O147)</f>
        <v>442325.55555555556</v>
      </c>
      <c r="P150" s="1">
        <f>AVERAGE(P4:P147)</f>
        <v>442524.93055555556</v>
      </c>
      <c r="Q150" s="1">
        <f>AVERAGE(Q4:Q147)</f>
        <v>442740.41666666669</v>
      </c>
      <c r="R150" s="1">
        <f>AVERAGE(R4:R147)</f>
        <v>442946.66666666669</v>
      </c>
      <c r="S150" s="1">
        <f>AVERAGE(S4:S147)</f>
        <v>443157.15277777775</v>
      </c>
      <c r="T150" s="1">
        <f>AVERAGE(T4:T147)</f>
        <v>443355.97222222225</v>
      </c>
      <c r="U150" s="1">
        <f>AVERAGE(U4:U147)</f>
        <v>443574.44444444444</v>
      </c>
      <c r="V150" s="1">
        <f>AVERAGE(V4:V147)</f>
        <v>443770.13888888888</v>
      </c>
      <c r="W150" s="1">
        <f>AVERAGE(W4:W147)</f>
        <v>443992.98611111112</v>
      </c>
      <c r="X150" s="1">
        <f>AVERAGE(X4:X147)</f>
        <v>444200.27777777775</v>
      </c>
      <c r="Y150" s="1">
        <f>AVERAGE(Y4:Y147)</f>
        <v>444438.19444444444</v>
      </c>
      <c r="Z150" s="1">
        <f>AVERAGE(Z4:Z147)</f>
        <v>444851.94444444444</v>
      </c>
      <c r="AC150" s="14">
        <f>MIN(AC4:AC147)</f>
        <v>209.12501974190008</v>
      </c>
      <c r="AD150" s="5">
        <f>AVERAGE(AD4:AD147)</f>
        <v>5263.8310185185182</v>
      </c>
      <c r="AE150" s="1">
        <f>AVERAGE(AE5:AE147)</f>
        <v>0.21270396270425102</v>
      </c>
      <c r="AG150" s="5">
        <f>AVERAGE(AG4:AG146)</f>
        <v>413.49650349650352</v>
      </c>
      <c r="AI150" s="1">
        <f>AVERAGE(AI4:AI147)</f>
        <v>203.26388888888889</v>
      </c>
      <c r="AJ150" s="1">
        <f>AVERAGE(AJ4:AJ147)</f>
        <v>216.25</v>
      </c>
      <c r="AK150" s="1">
        <f>AVERAGE(AK4:AK147)</f>
        <v>211.11111111111111</v>
      </c>
      <c r="AL150" s="1">
        <f>AVERAGE(AL4:AL147)</f>
        <v>204.79166666666666</v>
      </c>
      <c r="AM150" s="1">
        <f>AVERAGE(AM4:AM147)</f>
        <v>208.81944444444446</v>
      </c>
      <c r="AN150" s="1">
        <f>AVERAGE(AN4:AN147)</f>
        <v>205.69444444444446</v>
      </c>
      <c r="AO150" s="1">
        <f>AVERAGE(AO4:AO147)</f>
        <v>209.16666666666666</v>
      </c>
      <c r="AP150" s="1">
        <f>AVERAGE(AP4:AP147)</f>
        <v>201.45833333333334</v>
      </c>
      <c r="AQ150" s="1">
        <f>AVERAGE(AQ4:AQ147)</f>
        <v>203.19444444444446</v>
      </c>
      <c r="AR150" s="1">
        <f>AVERAGE(AR4:AR147)</f>
        <v>212.43055555555554</v>
      </c>
      <c r="AS150" s="1">
        <f>AVERAGE(AS4:AS147)</f>
        <v>216.875</v>
      </c>
      <c r="AT150" s="1">
        <f>AVERAGE(AT4:AT147)</f>
        <v>240.625</v>
      </c>
      <c r="AU150" s="1">
        <f>AVERAGE(AU4:AU147)</f>
        <v>203.61111111111111</v>
      </c>
      <c r="AV150" s="1">
        <f>AVERAGE(AV4:AV147)</f>
        <v>199.375</v>
      </c>
      <c r="AW150" s="1">
        <f>AVERAGE(AW4:AW147)</f>
        <v>215.48611111111111</v>
      </c>
      <c r="AX150" s="1">
        <f>AVERAGE(AX4:AX147)</f>
        <v>206.25</v>
      </c>
      <c r="AY150" s="1">
        <f>AVERAGE(AY4:AY147)</f>
        <v>210.48611111111111</v>
      </c>
      <c r="AZ150" s="1">
        <f>AVERAGE(AZ4:AZ147)</f>
        <v>198.81944444444446</v>
      </c>
      <c r="BA150" s="1">
        <f>AVERAGE(BA4:BA147)</f>
        <v>218.47222222222223</v>
      </c>
      <c r="BB150" s="1">
        <f>AVERAGE(BB4:BB147)</f>
        <v>195.69444444444446</v>
      </c>
      <c r="BC150" s="1">
        <f>AVERAGE(BC4:BC147)</f>
        <v>222.84722222222223</v>
      </c>
      <c r="BD150" s="1">
        <f>AVERAGE(BD4:BD147)</f>
        <v>207.29166666666666</v>
      </c>
      <c r="BE150" s="1">
        <f>AVERAGE(BE4:BE147)</f>
        <v>237.91666666666666</v>
      </c>
      <c r="BF150" s="1">
        <f>AVERAGE(BF4:BF147)</f>
        <v>413.75</v>
      </c>
    </row>
    <row r="151" spans="1:58">
      <c r="C151" s="1">
        <f>C150-B150</f>
        <v>203.26388888887595</v>
      </c>
      <c r="D151" s="1">
        <f>D150-C150</f>
        <v>216.25</v>
      </c>
      <c r="E151" s="1">
        <f>E150-D150</f>
        <v>211.11111111112405</v>
      </c>
      <c r="F151" s="1">
        <f>F150-E150</f>
        <v>204.79166666668607</v>
      </c>
      <c r="G151" s="1">
        <f>G150-F150</f>
        <v>208.81944444443798</v>
      </c>
      <c r="H151" s="1">
        <f>H150-G150</f>
        <v>205.69444444443798</v>
      </c>
      <c r="I151" s="1">
        <f>I150-H150</f>
        <v>209.16666666668607</v>
      </c>
      <c r="J151" s="1">
        <f>J150-I150</f>
        <v>201.45833333331393</v>
      </c>
      <c r="K151" s="1">
        <f>K150-J150</f>
        <v>203.19444444443798</v>
      </c>
      <c r="L151" s="1">
        <f>L150-K150</f>
        <v>212.43055555556202</v>
      </c>
      <c r="M151" s="1">
        <f>M150-L150</f>
        <v>216.875</v>
      </c>
      <c r="N151" s="1">
        <f>N150-M150</f>
        <v>240.625</v>
      </c>
      <c r="O151" s="1">
        <f>O150-N150</f>
        <v>203.61111111112405</v>
      </c>
      <c r="P151" s="1">
        <f>P150-O150</f>
        <v>199.375</v>
      </c>
      <c r="Q151" s="1">
        <f>Q150-P150</f>
        <v>215.48611111112405</v>
      </c>
      <c r="R151" s="1">
        <f>R150-Q150</f>
        <v>206.25</v>
      </c>
      <c r="S151" s="1">
        <f>S150-R150</f>
        <v>210.48611111106584</v>
      </c>
      <c r="T151" s="1">
        <f>T150-S150</f>
        <v>198.81944444449618</v>
      </c>
      <c r="U151" s="1">
        <f>U150-T150</f>
        <v>218.47222222218988</v>
      </c>
      <c r="V151" s="1">
        <f>V150-U150</f>
        <v>195.69444444443798</v>
      </c>
      <c r="W151" s="1">
        <f>W150-V150</f>
        <v>222.84722222224809</v>
      </c>
      <c r="X151" s="1">
        <f>X150-W150</f>
        <v>207.29166666662786</v>
      </c>
      <c r="Y151" s="1">
        <f>Y150-X150</f>
        <v>237.91666666668607</v>
      </c>
      <c r="Z151" s="1">
        <f>Z150-Y150</f>
        <v>413.75</v>
      </c>
      <c r="AA151" s="5">
        <f>AVERAGE(C151:Y151)</f>
        <v>210.86654589372009</v>
      </c>
      <c r="AB151" s="16">
        <f>Z151/AA151</f>
        <v>1.9621414968713731</v>
      </c>
      <c r="AC151" s="14">
        <f>MAX(AC4:AC147)</f>
        <v>214.09921903815172</v>
      </c>
      <c r="AD151" s="5">
        <f>STDEV(AD4:AD147)</f>
        <v>24.596307359046168</v>
      </c>
      <c r="AE151" s="1">
        <f>STDEV(AE5:AE147)</f>
        <v>20.557259241057668</v>
      </c>
      <c r="AG151" s="5">
        <f>STDEV(AG4:AG146)</f>
        <v>55.617642621626395</v>
      </c>
      <c r="AI151" s="1">
        <f>STDEV(AI4:AI147)</f>
        <v>46.30138213453229</v>
      </c>
      <c r="AJ151" s="1">
        <f>STDEV(AJ4:AJ147)</f>
        <v>55.038130456945972</v>
      </c>
      <c r="AK151" s="1">
        <f>STDEV(AK4:AK147)</f>
        <v>46.214929793517314</v>
      </c>
      <c r="AL151" s="1">
        <f>STDEV(AL4:AL147)</f>
        <v>52.78229134586978</v>
      </c>
      <c r="AM151" s="1">
        <f>STDEV(AM4:AM147)</f>
        <v>47.826851570616</v>
      </c>
      <c r="AN151" s="1">
        <f>STDEV(AN4:AN147)</f>
        <v>52.632155049396829</v>
      </c>
      <c r="AO151" s="1">
        <f>STDEV(AO4:AO147)</f>
        <v>52.403757939234147</v>
      </c>
      <c r="AP151" s="1">
        <f>STDEV(AP4:AP147)</f>
        <v>48.559224167486981</v>
      </c>
      <c r="AQ151" s="1">
        <f>STDEV(AQ4:AQ147)</f>
        <v>45.583286990256155</v>
      </c>
      <c r="AR151" s="1">
        <f>STDEV(AR4:AR147)</f>
        <v>46.53364115486518</v>
      </c>
      <c r="AS151" s="1">
        <f>STDEV(AS4:AS147)</f>
        <v>48.867864510516334</v>
      </c>
      <c r="AT151" s="1">
        <f>STDEV(AT4:AT147)</f>
        <v>62.993159246763547</v>
      </c>
      <c r="AU151" s="1">
        <f>STDEV(AU4:AU147)</f>
        <v>52.124261308325657</v>
      </c>
      <c r="AV151" s="1">
        <f>STDEV(AV4:AV147)</f>
        <v>55.699226620787528</v>
      </c>
      <c r="AW151" s="1">
        <f>STDEV(AW4:AW147)</f>
        <v>45.876542463519925</v>
      </c>
      <c r="AX151" s="1">
        <f>STDEV(AX4:AX147)</f>
        <v>49.78098887272985</v>
      </c>
      <c r="AY151" s="1">
        <f>STDEV(AY4:AY147)</f>
        <v>53.104065416799891</v>
      </c>
      <c r="AZ151" s="1">
        <f>STDEV(AZ4:AZ147)</f>
        <v>54.957027430755993</v>
      </c>
      <c r="BA151" s="1">
        <f>STDEV(BA4:BA147)</f>
        <v>58.898032598536304</v>
      </c>
      <c r="BB151" s="1">
        <f>STDEV(BB4:BB147)</f>
        <v>54.70394288825414</v>
      </c>
      <c r="BC151" s="1">
        <f>STDEV(BC4:BC147)</f>
        <v>52.552513788749501</v>
      </c>
      <c r="BD151" s="1">
        <f>STDEV(BD4:BD147)</f>
        <v>58.801773794662026</v>
      </c>
      <c r="BE151" s="1">
        <f>STDEV(BE4:BE147)</f>
        <v>39.238824073681343</v>
      </c>
      <c r="BF151" s="1">
        <f>STDEV(BF4:BF147)</f>
        <v>55.50625240406756</v>
      </c>
    </row>
    <row r="153" spans="1:58">
      <c r="AI153" s="1">
        <f>COUNTIF(AI4:BE147,"&lt;125")</f>
        <v>185</v>
      </c>
    </row>
  </sheetData>
  <mergeCells count="2">
    <mergeCell ref="AB1:AB2"/>
    <mergeCell ref="AD1:AD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5"/>
  <dimension ref="A1:CF157"/>
  <sheetViews>
    <sheetView workbookViewId="0">
      <pane xSplit="1" ySplit="2" topLeftCell="B3" activePane="bottomRight" state="frozenSplit"/>
      <selection pane="topRight" activeCell="B1" sqref="B1"/>
      <selection pane="bottomLeft" activeCell="A3" sqref="A3"/>
      <selection pane="bottomRight"/>
    </sheetView>
  </sheetViews>
  <sheetFormatPr defaultRowHeight="12.75"/>
  <cols>
    <col min="1" max="1" width="8.85546875" style="1" bestFit="1" customWidth="1"/>
    <col min="2" max="25" width="5.5703125" style="1" bestFit="1" customWidth="1"/>
    <col min="26" max="26" width="9.140625" style="1"/>
    <col min="27" max="27" width="4.5703125" style="1" bestFit="1" customWidth="1"/>
    <col min="28" max="28" width="3.5703125" style="1" bestFit="1" customWidth="1"/>
    <col min="29" max="29" width="9.140625" style="1"/>
    <col min="30" max="53" width="2.42578125" style="1" bestFit="1" customWidth="1"/>
    <col min="54" max="54" width="9.5703125" style="1" bestFit="1" customWidth="1"/>
    <col min="55" max="56" width="5.5703125" style="1" bestFit="1" customWidth="1"/>
    <col min="57" max="58" width="5" style="1" bestFit="1" customWidth="1"/>
    <col min="59" max="64" width="5.5703125" style="1" bestFit="1" customWidth="1"/>
    <col min="65" max="65" width="5" style="1" bestFit="1" customWidth="1"/>
    <col min="66" max="66" width="5.5703125" style="1" bestFit="1" customWidth="1"/>
    <col min="67" max="67" width="6" style="1" bestFit="1" customWidth="1"/>
    <col min="68" max="68" width="5.5703125" style="1" bestFit="1" customWidth="1"/>
    <col min="69" max="70" width="5" style="1" bestFit="1" customWidth="1"/>
    <col min="71" max="71" width="6" style="1" bestFit="1" customWidth="1"/>
    <col min="72" max="72" width="5.5703125" style="1" bestFit="1" customWidth="1"/>
    <col min="73" max="73" width="6" style="1" bestFit="1" customWidth="1"/>
    <col min="74" max="75" width="5.5703125" style="1" bestFit="1" customWidth="1"/>
    <col min="76" max="78" width="6" style="1" bestFit="1" customWidth="1"/>
    <col min="79" max="79" width="9.140625" style="1"/>
    <col min="80" max="80" width="4.7109375" style="1" bestFit="1" customWidth="1"/>
    <col min="81" max="84" width="4" style="1" bestFit="1" customWidth="1"/>
    <col min="85" max="16384" width="9.140625" style="1"/>
  </cols>
  <sheetData>
    <row r="1" spans="1:84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 t="s">
        <v>44</v>
      </c>
      <c r="L1" s="11" t="s">
        <v>45</v>
      </c>
      <c r="M1" s="11" t="s">
        <v>46</v>
      </c>
      <c r="N1" s="17">
        <v>1</v>
      </c>
      <c r="O1" s="17">
        <v>2</v>
      </c>
      <c r="P1" s="17">
        <v>3</v>
      </c>
      <c r="Q1" s="17">
        <v>4</v>
      </c>
      <c r="R1" s="17">
        <v>5</v>
      </c>
      <c r="S1" s="17">
        <v>6</v>
      </c>
      <c r="T1" s="17">
        <v>7</v>
      </c>
      <c r="U1" s="17">
        <v>8</v>
      </c>
      <c r="V1" s="17">
        <v>9</v>
      </c>
      <c r="W1" s="17" t="s">
        <v>44</v>
      </c>
      <c r="X1" s="17" t="s">
        <v>45</v>
      </c>
      <c r="Y1" s="17" t="s">
        <v>46</v>
      </c>
      <c r="BC1" s="11">
        <v>1</v>
      </c>
      <c r="BD1" s="11">
        <v>2</v>
      </c>
      <c r="BE1" s="11">
        <v>3</v>
      </c>
      <c r="BF1" s="11">
        <v>4</v>
      </c>
      <c r="BG1" s="11">
        <v>5</v>
      </c>
      <c r="BH1" s="11">
        <v>6</v>
      </c>
      <c r="BI1" s="11">
        <v>7</v>
      </c>
      <c r="BJ1" s="11">
        <v>8</v>
      </c>
      <c r="BK1" s="11">
        <v>9</v>
      </c>
      <c r="BL1" s="11" t="s">
        <v>44</v>
      </c>
      <c r="BM1" s="11" t="s">
        <v>45</v>
      </c>
      <c r="BN1" s="11" t="s">
        <v>46</v>
      </c>
      <c r="BO1" s="17">
        <v>1</v>
      </c>
      <c r="BP1" s="17">
        <v>2</v>
      </c>
      <c r="BQ1" s="17">
        <v>3</v>
      </c>
      <c r="BR1" s="17">
        <v>4</v>
      </c>
      <c r="BS1" s="17">
        <v>5</v>
      </c>
      <c r="BT1" s="17">
        <v>6</v>
      </c>
      <c r="BU1" s="17">
        <v>7</v>
      </c>
      <c r="BV1" s="17">
        <v>8</v>
      </c>
      <c r="BW1" s="17">
        <v>9</v>
      </c>
      <c r="BX1" s="17" t="s">
        <v>44</v>
      </c>
      <c r="BY1" s="17" t="s">
        <v>45</v>
      </c>
      <c r="BZ1" s="17" t="s">
        <v>46</v>
      </c>
      <c r="CB1" s="1" t="s">
        <v>73</v>
      </c>
      <c r="CC1" s="1" t="s">
        <v>74</v>
      </c>
      <c r="CD1" s="1" t="s">
        <v>75</v>
      </c>
      <c r="CE1" s="1" t="s">
        <v>76</v>
      </c>
      <c r="CF1" s="1" t="s">
        <v>77</v>
      </c>
    </row>
    <row r="4" spans="1:84">
      <c r="A4" s="1">
        <v>1</v>
      </c>
      <c r="B4" s="1">
        <f>'Touch 1 1'!B4-'Touch 1 1'!$AA4-('Touch 1 1'!B$2- 12.5)*'Touch 1 1'!$AC4</f>
        <v>47.09058406005397</v>
      </c>
      <c r="C4" s="1">
        <f>'Touch 1 1'!C4-'Touch 1 1'!$AA4-('Touch 1 1'!C$2- 12.5)*'Touch 1 1'!$AC4</f>
        <v>65.169663707005839</v>
      </c>
      <c r="D4" s="1">
        <f>'Touch 1 1'!D4-'Touch 1 1'!$AA4-('Touch 1 1'!D$2- 12.5)*'Touch 1 1'!$AC4</f>
        <v>63.248743353957479</v>
      </c>
      <c r="E4" s="1">
        <f>'Touch 1 1'!E4-'Touch 1 1'!$AA4-('Touch 1 1'!E$2- 12.5)*'Touch 1 1'!$AC4</f>
        <v>91.327823000909348</v>
      </c>
      <c r="F4" s="1">
        <f>'Touch 1 1'!F4-'Touch 1 1'!$AA4-('Touch 1 1'!F$2- 12.5)*'Touch 1 1'!$AC4</f>
        <v>19.406902647861216</v>
      </c>
      <c r="G4" s="1">
        <f>'Touch 1 1'!G4-'Touch 1 1'!$AA4-('Touch 1 1'!G$2- 12.5)*'Touch 1 1'!$AC4</f>
        <v>-2.5140177051869159</v>
      </c>
      <c r="H4" s="1">
        <f>'Touch 1 1'!H4-'Touch 1 1'!$AA4-('Touch 1 1'!H$2- 12.5)*'Touch 1 1'!$AC4</f>
        <v>45.565061941764952</v>
      </c>
      <c r="I4" s="1">
        <f>'Touch 1 1'!I4-'Touch 1 1'!$AA4-('Touch 1 1'!I$2- 12.5)*'Touch 1 1'!$AC4</f>
        <v>53.644141588716707</v>
      </c>
      <c r="J4" s="1">
        <f>'Touch 1 1'!J4-'Touch 1 1'!$AA4-('Touch 1 1'!J$2- 12.5)*'Touch 1 1'!$AC4</f>
        <v>-68.276778764331425</v>
      </c>
      <c r="K4" s="1">
        <f>'Touch 1 1'!K4-'Touch 1 1'!$AA4-('Touch 1 1'!K$2- 12.5)*'Touch 1 1'!$AC4</f>
        <v>-110.19769911737956</v>
      </c>
      <c r="L4" s="1">
        <f>'Touch 1 1'!L4-'Touch 1 1'!$AA4-('Touch 1 1'!L$2- 12.5)*'Touch 1 1'!$AC4</f>
        <v>-12.118619470427745</v>
      </c>
      <c r="M4" s="1">
        <f>'Touch 1 1'!M4-'Touch 1 1'!$AA4-('Touch 1 1'!M$2- 12.5)*'Touch 1 1'!$AC4</f>
        <v>35.96046017652408</v>
      </c>
      <c r="N4" s="1">
        <f>'Touch 1 1'!N4-'Touch 1 1'!$AA4-('Touch 1 1'!N$2- 12.5)*'Touch 1 1'!$AC4</f>
        <v>24.03953982347592</v>
      </c>
      <c r="O4" s="1">
        <f>'Touch 1 1'!O4-'Touch 1 1'!$AA4-('Touch 1 1'!O$2- 12.5)*'Touch 1 1'!$AC4</f>
        <v>-27.881380529572255</v>
      </c>
      <c r="P4" s="1">
        <f>'Touch 1 1'!P4-'Touch 1 1'!$AA4-('Touch 1 1'!P$2- 12.5)*'Touch 1 1'!$AC4</f>
        <v>30.197699117379557</v>
      </c>
      <c r="Q4" s="1">
        <f>'Touch 1 1'!Q4-'Touch 1 1'!$AA4-('Touch 1 1'!Q$2- 12.5)*'Touch 1 1'!$AC4</f>
        <v>-1.723221235668575</v>
      </c>
      <c r="R4" s="1">
        <f>'Touch 1 1'!R4-'Touch 1 1'!$AA4-('Touch 1 1'!R$2- 12.5)*'Touch 1 1'!$AC4</f>
        <v>56.355858411283293</v>
      </c>
      <c r="S4" s="1">
        <f>'Touch 1 1'!S4-'Touch 1 1'!$AA4-('Touch 1 1'!S$2- 12.5)*'Touch 1 1'!$AC4</f>
        <v>14.434938058235048</v>
      </c>
      <c r="T4" s="1">
        <f>'Touch 1 1'!T4-'Touch 1 1'!$AA4-('Touch 1 1'!T$2- 12.5)*'Touch 1 1'!$AC4</f>
        <v>-147.48598229481308</v>
      </c>
      <c r="U4" s="1">
        <f>'Touch 1 1'!U4-'Touch 1 1'!$AA4-('Touch 1 1'!U$2- 12.5)*'Touch 1 1'!$AC4</f>
        <v>-9.4069026478612159</v>
      </c>
      <c r="V4" s="1">
        <f>'Touch 1 1'!V4-'Touch 1 1'!$AA4-('Touch 1 1'!V$2- 12.5)*'Touch 1 1'!$AC4</f>
        <v>-121.32782300090935</v>
      </c>
      <c r="W4" s="1">
        <f>'Touch 1 1'!W4-'Touch 1 1'!$AA4-('Touch 1 1'!W$2- 12.5)*'Touch 1 1'!$AC4</f>
        <v>-33.248743353957479</v>
      </c>
      <c r="X4" s="1">
        <f>'Touch 1 1'!X4-'Touch 1 1'!$AA4-('Touch 1 1'!X$2- 12.5)*'Touch 1 1'!$AC4</f>
        <v>-65.169663707005839</v>
      </c>
      <c r="Y4" s="1">
        <f>'Touch 1 1'!Y4-'Touch 1 1'!$AA4-('Touch 1 1'!Y$2- 12.5)*'Touch 1 1'!$AC4</f>
        <v>52.90941593994603</v>
      </c>
      <c r="AB4" s="1">
        <f>STDEV(B4:Y4)</f>
        <v>63.504664078932848</v>
      </c>
      <c r="AD4" s="11">
        <v>2</v>
      </c>
      <c r="AE4" s="11">
        <v>1</v>
      </c>
      <c r="AF4" s="11">
        <v>4</v>
      </c>
      <c r="AG4" s="11">
        <v>3</v>
      </c>
      <c r="AH4" s="11">
        <v>6</v>
      </c>
      <c r="AI4" s="11">
        <v>5</v>
      </c>
      <c r="AJ4" s="11">
        <v>8</v>
      </c>
      <c r="AK4" s="11">
        <v>7</v>
      </c>
      <c r="AL4" s="11" t="s">
        <v>44</v>
      </c>
      <c r="AM4" s="11">
        <v>9</v>
      </c>
      <c r="AN4" s="11" t="s">
        <v>46</v>
      </c>
      <c r="AO4" s="11" t="s">
        <v>45</v>
      </c>
      <c r="AP4" s="11">
        <v>1</v>
      </c>
      <c r="AQ4" s="11">
        <v>2</v>
      </c>
      <c r="AR4" s="11">
        <v>4</v>
      </c>
      <c r="AS4" s="11">
        <v>6</v>
      </c>
      <c r="AT4" s="11">
        <v>3</v>
      </c>
      <c r="AU4" s="11">
        <v>8</v>
      </c>
      <c r="AV4" s="11">
        <v>5</v>
      </c>
      <c r="AW4" s="11" t="s">
        <v>44</v>
      </c>
      <c r="AX4" s="11">
        <v>7</v>
      </c>
      <c r="AY4" s="11" t="s">
        <v>46</v>
      </c>
      <c r="AZ4" s="11">
        <v>9</v>
      </c>
      <c r="BA4" s="11" t="s">
        <v>45</v>
      </c>
      <c r="BB4" s="5"/>
      <c r="BC4" s="1">
        <f ca="1">OFFSET(A4,0, 2) -0</f>
        <v>65.169663707005839</v>
      </c>
      <c r="BD4" s="1">
        <f ca="1">OFFSET(A4,0, 1) -0</f>
        <v>47.09058406005397</v>
      </c>
      <c r="BE4" s="1">
        <f ca="1">OFFSET(A4,0, 4) -0</f>
        <v>91.327823000909348</v>
      </c>
      <c r="BF4" s="1">
        <f ca="1">OFFSET(A4,0, 3) -0</f>
        <v>63.248743353957479</v>
      </c>
      <c r="BG4" s="1">
        <f ca="1">OFFSET(A4,0, 6) -0</f>
        <v>-2.5140177051869159</v>
      </c>
      <c r="BH4" s="1">
        <f ca="1">OFFSET(A4,0, 5) -0</f>
        <v>19.406902647861216</v>
      </c>
      <c r="BI4" s="1">
        <f ca="1">OFFSET(A4,0, 8) -0</f>
        <v>53.644141588716707</v>
      </c>
      <c r="BJ4" s="1">
        <f ca="1">OFFSET(A4,0, 7) -0</f>
        <v>45.565061941764952</v>
      </c>
      <c r="BK4" s="1">
        <f ca="1">OFFSET(A4,0, 10) -0</f>
        <v>-110.19769911737956</v>
      </c>
      <c r="BL4" s="1">
        <f ca="1">OFFSET(A4,0, 9) -0</f>
        <v>-68.276778764331425</v>
      </c>
      <c r="BM4" s="1">
        <f ca="1">OFFSET(A4,0, 12) -0</f>
        <v>35.96046017652408</v>
      </c>
      <c r="BN4" s="1">
        <f ca="1">OFFSET(A4,0, 11) -0</f>
        <v>-12.118619470427745</v>
      </c>
      <c r="BO4" s="1">
        <f ca="1">OFFSET(A4,0, 13) -0</f>
        <v>24.03953982347592</v>
      </c>
      <c r="BP4" s="1">
        <f ca="1">OFFSET(A4,0, 14) -0</f>
        <v>-27.881380529572255</v>
      </c>
      <c r="BQ4" s="1">
        <f ca="1">OFFSET(A4,0, 17) -0</f>
        <v>56.355858411283293</v>
      </c>
      <c r="BR4" s="1">
        <f ca="1">OFFSET(A4,0, 15) -0</f>
        <v>30.197699117379557</v>
      </c>
      <c r="BS4" s="1">
        <f ca="1">OFFSET(A4,0, 19) -0</f>
        <v>-147.48598229481308</v>
      </c>
      <c r="BT4" s="1">
        <f ca="1">OFFSET(A4,0, 16) -0</f>
        <v>-1.723221235668575</v>
      </c>
      <c r="BU4" s="1">
        <f ca="1">OFFSET(A4,0, 21) -0</f>
        <v>-121.32782300090935</v>
      </c>
      <c r="BV4" s="1">
        <f ca="1">OFFSET(A4,0, 18) -0</f>
        <v>14.434938058235048</v>
      </c>
      <c r="BW4" s="1">
        <f ca="1">OFFSET(A4,0, 23) -0</f>
        <v>-65.169663707005839</v>
      </c>
      <c r="BX4" s="1">
        <f ca="1">OFFSET(A4,0, 20) -0</f>
        <v>-9.4069026478612159</v>
      </c>
      <c r="BY4" s="1">
        <f ca="1">OFFSET(A4,0, 24) -0</f>
        <v>52.90941593994603</v>
      </c>
      <c r="BZ4" s="1">
        <f ca="1">OFFSET(A4,0, 22) -0</f>
        <v>-33.248743353957479</v>
      </c>
      <c r="CB4" s="1">
        <f>COUNTIF(B4,"&lt;-75")</f>
        <v>0</v>
      </c>
      <c r="CC4" s="1">
        <f ca="1">COUNTIF(BC4:BN4,"&lt;-53")</f>
        <v>2</v>
      </c>
      <c r="CD4" s="1">
        <f ca="1">COUNTIF(BC4:BN4,"&gt;+53")</f>
        <v>4</v>
      </c>
      <c r="CE4" s="1">
        <f ca="1">COUNTIF(BO4:BZ4,"&lt;-53")</f>
        <v>3</v>
      </c>
      <c r="CF4" s="1">
        <f ca="1">COUNTIF(BO4:BZ4,"&gt;+53")</f>
        <v>1</v>
      </c>
    </row>
    <row r="5" spans="1:84">
      <c r="A5" s="1">
        <v>2</v>
      </c>
      <c r="B5" s="1">
        <f>'Touch 1 1'!B5-'Touch 1 1'!$AA5-('Touch 1 1'!B$2- 12.5)*'Touch 1 1'!$AC5</f>
        <v>66.581621799020013</v>
      </c>
      <c r="C5" s="1">
        <f>'Touch 1 1'!C5-'Touch 1 1'!$AA5-('Touch 1 1'!C$2- 12.5)*'Touch 1 1'!$AC5</f>
        <v>36.371625700554887</v>
      </c>
      <c r="D5" s="1">
        <f>'Touch 1 1'!D5-'Touch 1 1'!$AA5-('Touch 1 1'!D$2- 12.5)*'Touch 1 1'!$AC5</f>
        <v>26.161629602089761</v>
      </c>
      <c r="E5" s="1">
        <f>'Touch 1 1'!E5-'Touch 1 1'!$AA5-('Touch 1 1'!E$2- 12.5)*'Touch 1 1'!$AC5</f>
        <v>65.951633503624635</v>
      </c>
      <c r="F5" s="1">
        <f>'Touch 1 1'!F5-'Touch 1 1'!$AA5-('Touch 1 1'!F$2- 12.5)*'Touch 1 1'!$AC5</f>
        <v>45.741637405159508</v>
      </c>
      <c r="G5" s="1">
        <f>'Touch 1 1'!G5-'Touch 1 1'!$AA5-('Touch 1 1'!G$2- 12.5)*'Touch 1 1'!$AC5</f>
        <v>65.531641306694382</v>
      </c>
      <c r="H5" s="1">
        <f>'Touch 1 1'!H5-'Touch 1 1'!$AA5-('Touch 1 1'!H$2- 12.5)*'Touch 1 1'!$AC5</f>
        <v>-74.678354791770516</v>
      </c>
      <c r="I5" s="1">
        <f>'Touch 1 1'!I5-'Touch 1 1'!$AA5-('Touch 1 1'!I$2- 12.5)*'Touch 1 1'!$AC5</f>
        <v>-44.888350890235643</v>
      </c>
      <c r="J5" s="1">
        <f>'Touch 1 1'!J5-'Touch 1 1'!$AA5-('Touch 1 1'!J$2- 12.5)*'Touch 1 1'!$AC5</f>
        <v>-25.098346988700769</v>
      </c>
      <c r="K5" s="1">
        <f>'Touch 1 1'!K5-'Touch 1 1'!$AA5-('Touch 1 1'!K$2- 12.5)*'Touch 1 1'!$AC5</f>
        <v>-85.308343087165781</v>
      </c>
      <c r="L5" s="1">
        <f>'Touch 1 1'!L5-'Touch 1 1'!$AA5-('Touch 1 1'!L$2- 12.5)*'Touch 1 1'!$AC5</f>
        <v>24.481660814369093</v>
      </c>
      <c r="M5" s="1">
        <f>'Touch 1 1'!M5-'Touch 1 1'!$AA5-('Touch 1 1'!M$2- 12.5)*'Touch 1 1'!$AC5</f>
        <v>24.271664715904052</v>
      </c>
      <c r="N5" s="1">
        <f>'Touch 1 1'!N5-'Touch 1 1'!$AA5-('Touch 1 1'!N$2- 12.5)*'Touch 1 1'!$AC5</f>
        <v>84.061668617438983</v>
      </c>
      <c r="O5" s="1">
        <f>'Touch 1 1'!O5-'Touch 1 1'!$AA5-('Touch 1 1'!O$2- 12.5)*'Touch 1 1'!$AC5</f>
        <v>43.851672518973942</v>
      </c>
      <c r="P5" s="1">
        <f>'Touch 1 1'!P5-'Touch 1 1'!$AA5-('Touch 1 1'!P$2- 12.5)*'Touch 1 1'!$AC5</f>
        <v>53.641676420508816</v>
      </c>
      <c r="Q5" s="1">
        <f>'Touch 1 1'!Q5-'Touch 1 1'!$AA5-('Touch 1 1'!Q$2- 12.5)*'Touch 1 1'!$AC5</f>
        <v>43.431680322043803</v>
      </c>
      <c r="R5" s="1">
        <f>'Touch 1 1'!R5-'Touch 1 1'!$AA5-('Touch 1 1'!R$2- 12.5)*'Touch 1 1'!$AC5</f>
        <v>33.221684223578677</v>
      </c>
      <c r="S5" s="1">
        <f>'Touch 1 1'!S5-'Touch 1 1'!$AA5-('Touch 1 1'!S$2- 12.5)*'Touch 1 1'!$AC5</f>
        <v>-56.988311874886449</v>
      </c>
      <c r="T5" s="1">
        <f>'Touch 1 1'!T5-'Touch 1 1'!$AA5-('Touch 1 1'!T$2- 12.5)*'Touch 1 1'!$AC5</f>
        <v>-47.198307973351348</v>
      </c>
      <c r="U5" s="1">
        <f>'Touch 1 1'!U5-'Touch 1 1'!$AA5-('Touch 1 1'!U$2- 12.5)*'Touch 1 1'!$AC5</f>
        <v>-117.40830407181647</v>
      </c>
      <c r="V5" s="1">
        <f>'Touch 1 1'!V5-'Touch 1 1'!$AA5-('Touch 1 1'!V$2- 12.5)*'Touch 1 1'!$AC5</f>
        <v>-197.6183001702816</v>
      </c>
      <c r="W5" s="1">
        <f>'Touch 1 1'!W5-'Touch 1 1'!$AA5-('Touch 1 1'!W$2- 12.5)*'Touch 1 1'!$AC5</f>
        <v>-107.82829626874673</v>
      </c>
      <c r="X5" s="1">
        <f>'Touch 1 1'!X5-'Touch 1 1'!$AA5-('Touch 1 1'!X$2- 12.5)*'Touch 1 1'!$AC5</f>
        <v>41.961707632788148</v>
      </c>
      <c r="Y5" s="1">
        <f>'Touch 1 1'!Y5-'Touch 1 1'!$AA5-('Touch 1 1'!Y$2- 12.5)*'Touch 1 1'!$AC5</f>
        <v>101.75171153432302</v>
      </c>
      <c r="AB5" s="1">
        <f>STDEV(B5:Y5)</f>
        <v>75.404825647573787</v>
      </c>
      <c r="AD5" s="11">
        <v>2</v>
      </c>
      <c r="AE5" s="11">
        <v>1</v>
      </c>
      <c r="AF5" s="11">
        <v>6</v>
      </c>
      <c r="AG5" s="11">
        <v>4</v>
      </c>
      <c r="AH5" s="11">
        <v>8</v>
      </c>
      <c r="AI5" s="11">
        <v>3</v>
      </c>
      <c r="AJ5" s="11" t="s">
        <v>44</v>
      </c>
      <c r="AK5" s="11">
        <v>5</v>
      </c>
      <c r="AL5" s="11" t="s">
        <v>46</v>
      </c>
      <c r="AM5" s="11">
        <v>7</v>
      </c>
      <c r="AN5" s="11" t="s">
        <v>45</v>
      </c>
      <c r="AO5" s="11">
        <v>9</v>
      </c>
      <c r="AP5" s="11">
        <v>2</v>
      </c>
      <c r="AQ5" s="11">
        <v>6</v>
      </c>
      <c r="AR5" s="11">
        <v>1</v>
      </c>
      <c r="AS5" s="11">
        <v>4</v>
      </c>
      <c r="AT5" s="11">
        <v>3</v>
      </c>
      <c r="AU5" s="11">
        <v>8</v>
      </c>
      <c r="AV5" s="11">
        <v>5</v>
      </c>
      <c r="AW5" s="11" t="s">
        <v>44</v>
      </c>
      <c r="AX5" s="11">
        <v>7</v>
      </c>
      <c r="AY5" s="11" t="s">
        <v>46</v>
      </c>
      <c r="AZ5" s="11">
        <v>9</v>
      </c>
      <c r="BA5" s="11" t="s">
        <v>45</v>
      </c>
      <c r="BB5" s="5"/>
      <c r="BC5" s="1">
        <f ca="1">OFFSET(A5,0, 2) -0</f>
        <v>36.371625700554887</v>
      </c>
      <c r="BD5" s="1">
        <f ca="1">OFFSET(A5,0, 1) -0</f>
        <v>66.581621799020013</v>
      </c>
      <c r="BE5" s="1">
        <f ca="1">OFFSET(A5,0, 6) -0</f>
        <v>65.531641306694382</v>
      </c>
      <c r="BF5" s="1">
        <f ca="1">OFFSET(A5,0, 4) -0</f>
        <v>65.951633503624635</v>
      </c>
      <c r="BG5" s="1">
        <f ca="1">OFFSET(A5,0, 8) -0</f>
        <v>-44.888350890235643</v>
      </c>
      <c r="BH5" s="1">
        <f ca="1">OFFSET(A5,0, 3) -0</f>
        <v>26.161629602089761</v>
      </c>
      <c r="BI5" s="1">
        <f ca="1">OFFSET(A5,0, 10) -0</f>
        <v>-85.308343087165781</v>
      </c>
      <c r="BJ5" s="1">
        <f ca="1">OFFSET(A5,0, 5) -0</f>
        <v>45.741637405159508</v>
      </c>
      <c r="BK5" s="1">
        <f ca="1">OFFSET(A5,0, 12) -0</f>
        <v>24.271664715904052</v>
      </c>
      <c r="BL5" s="1">
        <f ca="1">OFFSET(A5,0, 7) -0</f>
        <v>-74.678354791770516</v>
      </c>
      <c r="BM5" s="1">
        <f ca="1">OFFSET(A5,0, 11) -0</f>
        <v>24.481660814369093</v>
      </c>
      <c r="BN5" s="1">
        <f ca="1">OFFSET(A5,0, 9) -0</f>
        <v>-25.098346988700769</v>
      </c>
      <c r="BO5" s="1">
        <f ca="1">OFFSET(A5,0, 15) -0</f>
        <v>53.641676420508816</v>
      </c>
      <c r="BP5" s="1">
        <f ca="1">OFFSET(A5,0, 13) -0</f>
        <v>84.061668617438983</v>
      </c>
      <c r="BQ5" s="1">
        <f ca="1">OFFSET(A5,0, 17) -0</f>
        <v>33.221684223578677</v>
      </c>
      <c r="BR5" s="1">
        <f ca="1">OFFSET(A5,0, 16) -0</f>
        <v>43.431680322043803</v>
      </c>
      <c r="BS5" s="1">
        <f ca="1">OFFSET(A5,0, 19) -0</f>
        <v>-47.198307973351348</v>
      </c>
      <c r="BT5" s="1">
        <f ca="1">OFFSET(A5,0, 14) -0</f>
        <v>43.851672518973942</v>
      </c>
      <c r="BU5" s="1">
        <f ca="1">OFFSET(A5,0, 21) -0</f>
        <v>-197.6183001702816</v>
      </c>
      <c r="BV5" s="1">
        <f ca="1">OFFSET(A5,0, 18) -0</f>
        <v>-56.988311874886449</v>
      </c>
      <c r="BW5" s="1">
        <f ca="1">OFFSET(A5,0, 23) -0</f>
        <v>41.961707632788148</v>
      </c>
      <c r="BX5" s="1">
        <f ca="1">OFFSET(A5,0, 20) -0</f>
        <v>-117.40830407181647</v>
      </c>
      <c r="BY5" s="1">
        <f ca="1">OFFSET(A5,0, 24) -0</f>
        <v>101.75171153432302</v>
      </c>
      <c r="BZ5" s="1">
        <f ca="1">OFFSET(A5,0, 22) -0</f>
        <v>-107.82829626874673</v>
      </c>
      <c r="CB5" s="1">
        <f>COUNTIF(B5,"&lt;-74")</f>
        <v>0</v>
      </c>
      <c r="CC5" s="1">
        <f ca="1">COUNTIF(BC5:BN5,"&lt;-53")</f>
        <v>2</v>
      </c>
      <c r="CD5" s="1">
        <f ca="1">COUNTIF(BC5:BN5,"&gt;+53")</f>
        <v>3</v>
      </c>
      <c r="CE5" s="1">
        <f ca="1">COUNTIF(BO5:BZ5,"&lt;-53")</f>
        <v>4</v>
      </c>
      <c r="CF5" s="1">
        <f ca="1">COUNTIF(BO5:BZ5,"&gt;+53")</f>
        <v>3</v>
      </c>
    </row>
    <row r="6" spans="1:84">
      <c r="A6" s="1">
        <v>3</v>
      </c>
      <c r="B6" s="1">
        <f>'Touch 1 1'!B6-'Touch 1 1'!$AA6-('Touch 1 1'!B$2- 12.5)*'Touch 1 1'!$AC6</f>
        <v>87.05468361765179</v>
      </c>
      <c r="C6" s="1">
        <f>'Touch 1 1'!C6-'Touch 1 1'!$AA6-('Touch 1 1'!C$2- 12.5)*'Touch 1 1'!$AC6</f>
        <v>76.477464752349078</v>
      </c>
      <c r="D6" s="1">
        <f>'Touch 1 1'!D6-'Touch 1 1'!$AA6-('Touch 1 1'!D$2- 12.5)*'Touch 1 1'!$AC6</f>
        <v>55.900245887046367</v>
      </c>
      <c r="E6" s="1">
        <f>'Touch 1 1'!E6-'Touch 1 1'!$AA6-('Touch 1 1'!E$2- 12.5)*'Touch 1 1'!$AC6</f>
        <v>75.323027021743883</v>
      </c>
      <c r="F6" s="1">
        <f>'Touch 1 1'!F6-'Touch 1 1'!$AA6-('Touch 1 1'!F$2- 12.5)*'Touch 1 1'!$AC6</f>
        <v>-5.2541918435588286</v>
      </c>
      <c r="G6" s="1">
        <f>'Touch 1 1'!G6-'Touch 1 1'!$AA6-('Touch 1 1'!G$2- 12.5)*'Touch 1 1'!$AC6</f>
        <v>34.168589291138687</v>
      </c>
      <c r="H6" s="1">
        <f>'Touch 1 1'!H6-'Touch 1 1'!$AA6-('Touch 1 1'!H$2- 12.5)*'Touch 1 1'!$AC6</f>
        <v>-16.408629574164024</v>
      </c>
      <c r="I6" s="1">
        <f>'Touch 1 1'!I6-'Touch 1 1'!$AA6-('Touch 1 1'!I$2- 12.5)*'Touch 1 1'!$AC6</f>
        <v>-46.985848439466622</v>
      </c>
      <c r="J6" s="1">
        <f>'Touch 1 1'!J6-'Touch 1 1'!$AA6-('Touch 1 1'!J$2- 12.5)*'Touch 1 1'!$AC6</f>
        <v>-87.563067304769334</v>
      </c>
      <c r="K6" s="1">
        <f>'Touch 1 1'!K6-'Touch 1 1'!$AA6-('Touch 1 1'!K$2- 12.5)*'Touch 1 1'!$AC6</f>
        <v>-58.140286170071931</v>
      </c>
      <c r="L6" s="1">
        <f>'Touch 1 1'!L6-'Touch 1 1'!$AA6-('Touch 1 1'!L$2- 12.5)*'Touch 1 1'!$AC6</f>
        <v>11.282494964625471</v>
      </c>
      <c r="M6" s="1">
        <f>'Touch 1 1'!M6-'Touch 1 1'!$AA6-('Touch 1 1'!M$2- 12.5)*'Touch 1 1'!$AC6</f>
        <v>-69.29472390067717</v>
      </c>
      <c r="N6" s="1">
        <f>'Touch 1 1'!N6-'Touch 1 1'!$AA6-('Touch 1 1'!N$2- 12.5)*'Touch 1 1'!$AC6</f>
        <v>10.128057234020204</v>
      </c>
      <c r="O6" s="1">
        <f>'Touch 1 1'!O6-'Touch 1 1'!$AA6-('Touch 1 1'!O$2- 12.5)*'Touch 1 1'!$AC6</f>
        <v>-0.44916163128243625</v>
      </c>
      <c r="P6" s="1">
        <f>'Touch 1 1'!P6-'Touch 1 1'!$AA6-('Touch 1 1'!P$2- 12.5)*'Touch 1 1'!$AC6</f>
        <v>88.973619503414966</v>
      </c>
      <c r="Q6" s="1">
        <f>'Touch 1 1'!Q6-'Touch 1 1'!$AA6-('Touch 1 1'!Q$2- 12.5)*'Touch 1 1'!$AC6</f>
        <v>98.396400638112368</v>
      </c>
      <c r="R6" s="1">
        <f>'Touch 1 1'!R6-'Touch 1 1'!$AA6-('Touch 1 1'!R$2- 12.5)*'Touch 1 1'!$AC6</f>
        <v>17.819181772809657</v>
      </c>
      <c r="S6" s="1">
        <f>'Touch 1 1'!S6-'Touch 1 1'!$AA6-('Touch 1 1'!S$2- 12.5)*'Touch 1 1'!$AC6</f>
        <v>17.241962907507059</v>
      </c>
      <c r="T6" s="1">
        <f>'Touch 1 1'!T6-'Touch 1 1'!$AA6-('Touch 1 1'!T$2- 12.5)*'Touch 1 1'!$AC6</f>
        <v>16.664744042204347</v>
      </c>
      <c r="U6" s="1">
        <f>'Touch 1 1'!U6-'Touch 1 1'!$AA6-('Touch 1 1'!U$2- 12.5)*'Touch 1 1'!$AC6</f>
        <v>-73.912474823098137</v>
      </c>
      <c r="V6" s="1">
        <f>'Touch 1 1'!V6-'Touch 1 1'!$AA6-('Touch 1 1'!V$2- 12.5)*'Touch 1 1'!$AC6</f>
        <v>-134.48969368840085</v>
      </c>
      <c r="W6" s="1">
        <f>'Touch 1 1'!W6-'Touch 1 1'!$AA6-('Touch 1 1'!W$2- 12.5)*'Touch 1 1'!$AC6</f>
        <v>54.933087446296668</v>
      </c>
      <c r="X6" s="1">
        <f>'Touch 1 1'!X6-'Touch 1 1'!$AA6-('Touch 1 1'!X$2- 12.5)*'Touch 1 1'!$AC6</f>
        <v>-95.644131419006044</v>
      </c>
      <c r="Y6" s="1">
        <f>'Touch 1 1'!Y6-'Touch 1 1'!$AA6-('Touch 1 1'!Y$2- 12.5)*'Touch 1 1'!$AC6</f>
        <v>-56.221350284308755</v>
      </c>
      <c r="AB6" s="1">
        <f>STDEV(B6:Y6)</f>
        <v>65.721626249808935</v>
      </c>
      <c r="AD6" s="11">
        <v>6</v>
      </c>
      <c r="AE6" s="11">
        <v>2</v>
      </c>
      <c r="AF6" s="11">
        <v>4</v>
      </c>
      <c r="AG6" s="11">
        <v>1</v>
      </c>
      <c r="AH6" s="11">
        <v>8</v>
      </c>
      <c r="AI6" s="11">
        <v>3</v>
      </c>
      <c r="AJ6" s="11" t="s">
        <v>44</v>
      </c>
      <c r="AK6" s="11">
        <v>5</v>
      </c>
      <c r="AL6" s="11" t="s">
        <v>46</v>
      </c>
      <c r="AM6" s="11">
        <v>7</v>
      </c>
      <c r="AN6" s="11" t="s">
        <v>45</v>
      </c>
      <c r="AO6" s="11">
        <v>9</v>
      </c>
      <c r="AP6" s="11">
        <v>6</v>
      </c>
      <c r="AQ6" s="11">
        <v>2</v>
      </c>
      <c r="AR6" s="11">
        <v>1</v>
      </c>
      <c r="AS6" s="11">
        <v>4</v>
      </c>
      <c r="AT6" s="11">
        <v>8</v>
      </c>
      <c r="AU6" s="11" t="s">
        <v>44</v>
      </c>
      <c r="AV6" s="11">
        <v>3</v>
      </c>
      <c r="AW6" s="11" t="s">
        <v>46</v>
      </c>
      <c r="AX6" s="11">
        <v>5</v>
      </c>
      <c r="AY6" s="11" t="s">
        <v>45</v>
      </c>
      <c r="AZ6" s="11">
        <v>7</v>
      </c>
      <c r="BA6" s="11">
        <v>9</v>
      </c>
      <c r="BB6" s="5"/>
      <c r="BC6" s="1">
        <f ca="1">OFFSET(A6,0, 4) -0</f>
        <v>75.323027021743883</v>
      </c>
      <c r="BD6" s="1">
        <f ca="1">OFFSET(A6,0, 2) -0</f>
        <v>76.477464752349078</v>
      </c>
      <c r="BE6" s="1">
        <f ca="1">OFFSET(A6,0, 6) -0</f>
        <v>34.168589291138687</v>
      </c>
      <c r="BF6" s="1">
        <f ca="1">OFFSET(A6,0, 3) -0</f>
        <v>55.900245887046367</v>
      </c>
      <c r="BG6" s="1">
        <f ca="1">OFFSET(A6,0, 8) -0</f>
        <v>-46.985848439466622</v>
      </c>
      <c r="BH6" s="1">
        <f ca="1">OFFSET(A6,0, 1) -0</f>
        <v>87.05468361765179</v>
      </c>
      <c r="BI6" s="1">
        <f ca="1">OFFSET(A6,0, 10) -0</f>
        <v>-58.140286170071931</v>
      </c>
      <c r="BJ6" s="1">
        <f ca="1">OFFSET(A6,0, 5) -0</f>
        <v>-5.2541918435588286</v>
      </c>
      <c r="BK6" s="1">
        <f ca="1">OFFSET(A6,0, 12) -0</f>
        <v>-69.29472390067717</v>
      </c>
      <c r="BL6" s="1">
        <f ca="1">OFFSET(A6,0, 7) -0</f>
        <v>-16.408629574164024</v>
      </c>
      <c r="BM6" s="1">
        <f ca="1">OFFSET(A6,0, 11) -0</f>
        <v>11.282494964625471</v>
      </c>
      <c r="BN6" s="1">
        <f ca="1">OFFSET(A6,0, 9) -0</f>
        <v>-87.563067304769334</v>
      </c>
      <c r="BO6" s="1">
        <f ca="1">OFFSET(A6,0, 15) -0</f>
        <v>88.973619503414966</v>
      </c>
      <c r="BP6" s="1">
        <f ca="1">OFFSET(A6,0, 14) -0</f>
        <v>-0.44916163128243625</v>
      </c>
      <c r="BQ6" s="1">
        <f ca="1">OFFSET(A6,0, 19) -0</f>
        <v>16.664744042204347</v>
      </c>
      <c r="BR6" s="1">
        <f ca="1">OFFSET(A6,0, 16) -0</f>
        <v>98.396400638112368</v>
      </c>
      <c r="BS6" s="1">
        <f ca="1">OFFSET(A6,0, 21) -0</f>
        <v>-134.48969368840085</v>
      </c>
      <c r="BT6" s="1">
        <f ca="1">OFFSET(A6,0, 13) -0</f>
        <v>10.128057234020204</v>
      </c>
      <c r="BU6" s="1">
        <f ca="1">OFFSET(A6,0, 23) -0</f>
        <v>-95.644131419006044</v>
      </c>
      <c r="BV6" s="1">
        <f ca="1">OFFSET(A6,0, 17) -0</f>
        <v>17.819181772809657</v>
      </c>
      <c r="BW6" s="1">
        <f ca="1">OFFSET(A6,0, 24) -0</f>
        <v>-56.221350284308755</v>
      </c>
      <c r="BX6" s="1">
        <f ca="1">OFFSET(A6,0, 18) -0</f>
        <v>17.241962907507059</v>
      </c>
      <c r="BY6" s="1">
        <f ca="1">OFFSET(A6,0, 22) -0</f>
        <v>54.933087446296668</v>
      </c>
      <c r="BZ6" s="1">
        <f ca="1">OFFSET(A6,0, 20) -0</f>
        <v>-73.912474823098137</v>
      </c>
      <c r="CB6" s="1">
        <f>COUNTIF(B6,"&lt;-74")</f>
        <v>0</v>
      </c>
      <c r="CC6" s="1">
        <f ca="1">COUNTIF(BC6:BN6,"&lt;-53")</f>
        <v>3</v>
      </c>
      <c r="CD6" s="1">
        <f ca="1">COUNTIF(BC6:BN6,"&gt;+53")</f>
        <v>4</v>
      </c>
      <c r="CE6" s="1">
        <f ca="1">COUNTIF(BO6:BZ6,"&lt;-53")</f>
        <v>4</v>
      </c>
      <c r="CF6" s="1">
        <f ca="1">COUNTIF(BO6:BZ6,"&gt;+53")</f>
        <v>3</v>
      </c>
    </row>
    <row r="7" spans="1:84">
      <c r="A7" s="1">
        <v>4</v>
      </c>
      <c r="B7" s="1">
        <f>'Touch 1 1'!B7-'Touch 1 1'!$AA7-('Touch 1 1'!B$2- 12.5)*'Touch 1 1'!$AC7</f>
        <v>-20.384366850489641</v>
      </c>
      <c r="C7" s="1">
        <f>'Touch 1 1'!C7-'Touch 1 1'!$AA7-('Touch 1 1'!C$2- 12.5)*'Touch 1 1'!$AC7</f>
        <v>-11.11181321131653</v>
      </c>
      <c r="D7" s="1">
        <f>'Touch 1 1'!D7-'Touch 1 1'!$AA7-('Touch 1 1'!D$2- 12.5)*'Touch 1 1'!$AC7</f>
        <v>18.160740427856581</v>
      </c>
      <c r="E7" s="1">
        <f>'Touch 1 1'!E7-'Touch 1 1'!$AA7-('Touch 1 1'!E$2- 12.5)*'Touch 1 1'!$AC7</f>
        <v>57.433294067029465</v>
      </c>
      <c r="F7" s="1">
        <f>'Touch 1 1'!F7-'Touch 1 1'!$AA7-('Touch 1 1'!F$2- 12.5)*'Touch 1 1'!$AC7</f>
        <v>6.7058477062025759</v>
      </c>
      <c r="G7" s="1">
        <f>'Touch 1 1'!G7-'Touch 1 1'!$AA7-('Touch 1 1'!G$2- 12.5)*'Touch 1 1'!$AC7</f>
        <v>-24.02159865462454</v>
      </c>
      <c r="H7" s="1">
        <f>'Touch 1 1'!H7-'Touch 1 1'!$AA7-('Touch 1 1'!H$2- 12.5)*'Touch 1 1'!$AC7</f>
        <v>-4.7490450154514292</v>
      </c>
      <c r="I7" s="1">
        <f>'Touch 1 1'!I7-'Touch 1 1'!$AA7-('Touch 1 1'!I$2- 12.5)*'Touch 1 1'!$AC7</f>
        <v>-5.4764913762785454</v>
      </c>
      <c r="J7" s="1">
        <f>'Touch 1 1'!J7-'Touch 1 1'!$AA7-('Touch 1 1'!J$2- 12.5)*'Touch 1 1'!$AC7</f>
        <v>33.796062262894566</v>
      </c>
      <c r="K7" s="1">
        <f>'Touch 1 1'!K7-'Touch 1 1'!$AA7-('Touch 1 1'!K$2- 12.5)*'Touch 1 1'!$AC7</f>
        <v>23.068615902067449</v>
      </c>
      <c r="L7" s="1">
        <f>'Touch 1 1'!L7-'Touch 1 1'!$AA7-('Touch 1 1'!L$2- 12.5)*'Touch 1 1'!$AC7</f>
        <v>2.3411695412405038</v>
      </c>
      <c r="M7" s="1">
        <f>'Touch 1 1'!M7-'Touch 1 1'!$AA7-('Touch 1 1'!M$2- 12.5)*'Touch 1 1'!$AC7</f>
        <v>-28.386276819586499</v>
      </c>
      <c r="N7" s="1">
        <f>'Touch 1 1'!N7-'Touch 1 1'!$AA7-('Touch 1 1'!N$2- 12.5)*'Touch 1 1'!$AC7</f>
        <v>-29.113723180413501</v>
      </c>
      <c r="O7" s="1">
        <f>'Touch 1 1'!O7-'Touch 1 1'!$AA7-('Touch 1 1'!O$2- 12.5)*'Touch 1 1'!$AC7</f>
        <v>-49.841169541240504</v>
      </c>
      <c r="P7" s="1">
        <f>'Touch 1 1'!P7-'Touch 1 1'!$AA7-('Touch 1 1'!P$2- 12.5)*'Touch 1 1'!$AC7</f>
        <v>-0.5686159020674495</v>
      </c>
      <c r="Q7" s="1">
        <f>'Touch 1 1'!Q7-'Touch 1 1'!$AA7-('Touch 1 1'!Q$2- 12.5)*'Touch 1 1'!$AC7</f>
        <v>28.703937737105434</v>
      </c>
      <c r="R7" s="1">
        <f>'Touch 1 1'!R7-'Touch 1 1'!$AA7-('Touch 1 1'!R$2- 12.5)*'Touch 1 1'!$AC7</f>
        <v>7.9764913762785454</v>
      </c>
      <c r="S7" s="1">
        <f>'Touch 1 1'!S7-'Touch 1 1'!$AA7-('Touch 1 1'!S$2- 12.5)*'Touch 1 1'!$AC7</f>
        <v>-32.750954984548571</v>
      </c>
      <c r="T7" s="1">
        <f>'Touch 1 1'!T7-'Touch 1 1'!$AA7-('Touch 1 1'!T$2- 12.5)*'Touch 1 1'!$AC7</f>
        <v>-33.47840134537546</v>
      </c>
      <c r="U7" s="1">
        <f>'Touch 1 1'!U7-'Touch 1 1'!$AA7-('Touch 1 1'!U$2- 12.5)*'Touch 1 1'!$AC7</f>
        <v>-44.205847706202576</v>
      </c>
      <c r="V7" s="1">
        <f>'Touch 1 1'!V7-'Touch 1 1'!$AA7-('Touch 1 1'!V$2- 12.5)*'Touch 1 1'!$AC7</f>
        <v>-34.933294067029465</v>
      </c>
      <c r="W7" s="1">
        <f>'Touch 1 1'!W7-'Touch 1 1'!$AA7-('Touch 1 1'!W$2- 12.5)*'Touch 1 1'!$AC7</f>
        <v>134.33925957214342</v>
      </c>
      <c r="X7" s="1">
        <f>'Touch 1 1'!X7-'Touch 1 1'!$AA7-('Touch 1 1'!X$2- 12.5)*'Touch 1 1'!$AC7</f>
        <v>13.61181321131653</v>
      </c>
      <c r="Y7" s="1">
        <f>'Touch 1 1'!Y7-'Touch 1 1'!$AA7-('Touch 1 1'!Y$2- 12.5)*'Touch 1 1'!$AC7</f>
        <v>-7.1156331495103586</v>
      </c>
      <c r="AB7" s="1">
        <f>STDEV(B7:Y7)</f>
        <v>39.119673582491238</v>
      </c>
      <c r="AD7" s="11">
        <v>2</v>
      </c>
      <c r="AE7" s="11">
        <v>6</v>
      </c>
      <c r="AF7" s="11">
        <v>4</v>
      </c>
      <c r="AG7" s="11">
        <v>1</v>
      </c>
      <c r="AH7" s="11" t="s">
        <v>44</v>
      </c>
      <c r="AI7" s="11">
        <v>8</v>
      </c>
      <c r="AJ7" s="11" t="s">
        <v>46</v>
      </c>
      <c r="AK7" s="11">
        <v>3</v>
      </c>
      <c r="AL7" s="11" t="s">
        <v>45</v>
      </c>
      <c r="AM7" s="11">
        <v>5</v>
      </c>
      <c r="AN7" s="11">
        <v>9</v>
      </c>
      <c r="AO7" s="11">
        <v>7</v>
      </c>
      <c r="AP7" s="11">
        <v>6</v>
      </c>
      <c r="AQ7" s="11">
        <v>2</v>
      </c>
      <c r="AR7" s="11">
        <v>4</v>
      </c>
      <c r="AS7" s="11" t="s">
        <v>44</v>
      </c>
      <c r="AT7" s="11">
        <v>1</v>
      </c>
      <c r="AU7" s="11">
        <v>8</v>
      </c>
      <c r="AV7" s="11">
        <v>3</v>
      </c>
      <c r="AW7" s="11" t="s">
        <v>46</v>
      </c>
      <c r="AX7" s="11">
        <v>5</v>
      </c>
      <c r="AY7" s="11" t="s">
        <v>45</v>
      </c>
      <c r="AZ7" s="11">
        <v>7</v>
      </c>
      <c r="BA7" s="11">
        <v>9</v>
      </c>
      <c r="BB7" s="5"/>
      <c r="BC7" s="1">
        <f ca="1">OFFSET(A7,0, 4) -0</f>
        <v>57.433294067029465</v>
      </c>
      <c r="BD7" s="1">
        <f ca="1">OFFSET(A7,0, 1) -0</f>
        <v>-20.384366850489641</v>
      </c>
      <c r="BE7" s="1">
        <f ca="1">OFFSET(A7,0, 8) -0</f>
        <v>-5.4764913762785454</v>
      </c>
      <c r="BF7" s="1">
        <f ca="1">OFFSET(A7,0, 3) -0</f>
        <v>18.160740427856581</v>
      </c>
      <c r="BG7" s="1">
        <f ca="1">OFFSET(A7,0, 10) -0</f>
        <v>23.068615902067449</v>
      </c>
      <c r="BH7" s="1">
        <f ca="1">OFFSET(A7,0, 2) -0</f>
        <v>-11.11181321131653</v>
      </c>
      <c r="BI7" s="1">
        <f ca="1">OFFSET(A7,0, 12) -0</f>
        <v>-28.386276819586499</v>
      </c>
      <c r="BJ7" s="1">
        <f ca="1">OFFSET(A7,0, 6) -0</f>
        <v>-24.02159865462454</v>
      </c>
      <c r="BK7" s="1">
        <f ca="1">OFFSET(A7,0, 11) -0</f>
        <v>2.3411695412405038</v>
      </c>
      <c r="BL7" s="1">
        <f ca="1">OFFSET(A7,0, 5) -0</f>
        <v>6.7058477062025759</v>
      </c>
      <c r="BM7" s="1">
        <f ca="1">OFFSET(A7,0, 9) -0</f>
        <v>33.796062262894566</v>
      </c>
      <c r="BN7" s="1">
        <f ca="1">OFFSET(A7,0, 7) -0</f>
        <v>-4.7490450154514292</v>
      </c>
      <c r="BO7" s="1">
        <f ca="1">OFFSET(A7,0, 17) -0</f>
        <v>7.9764913762785454</v>
      </c>
      <c r="BP7" s="1">
        <f ca="1">OFFSET(A7,0, 14) -0</f>
        <v>-49.841169541240504</v>
      </c>
      <c r="BQ7" s="1">
        <f ca="1">OFFSET(A7,0, 19) -0</f>
        <v>-33.47840134537546</v>
      </c>
      <c r="BR7" s="1">
        <f ca="1">OFFSET(A7,0, 15) -0</f>
        <v>-0.5686159020674495</v>
      </c>
      <c r="BS7" s="1">
        <f ca="1">OFFSET(A7,0, 21) -0</f>
        <v>-34.933294067029465</v>
      </c>
      <c r="BT7" s="1">
        <f ca="1">OFFSET(A7,0, 13) -0</f>
        <v>-29.113723180413501</v>
      </c>
      <c r="BU7" s="1">
        <f ca="1">OFFSET(A7,0, 23) -0</f>
        <v>13.61181321131653</v>
      </c>
      <c r="BV7" s="1">
        <f ca="1">OFFSET(A7,0, 18) -0</f>
        <v>-32.750954984548571</v>
      </c>
      <c r="BW7" s="1">
        <f ca="1">OFFSET(A7,0, 24) -0</f>
        <v>-7.1156331495103586</v>
      </c>
      <c r="BX7" s="1">
        <f ca="1">OFFSET(A7,0, 16) -0</f>
        <v>28.703937737105434</v>
      </c>
      <c r="BY7" s="1">
        <f ca="1">OFFSET(A7,0, 22) -0</f>
        <v>134.33925957214342</v>
      </c>
      <c r="BZ7" s="1">
        <f ca="1">OFFSET(A7,0, 20) -0</f>
        <v>-44.205847706202576</v>
      </c>
      <c r="CB7" s="1">
        <f>COUNTIF(B7,"&lt;-75")</f>
        <v>0</v>
      </c>
      <c r="CC7" s="1">
        <f ca="1">COUNTIF(BC7:BN7,"&lt;-53")</f>
        <v>0</v>
      </c>
      <c r="CD7" s="1">
        <f ca="1">COUNTIF(BC7:BN7,"&gt;+53")</f>
        <v>1</v>
      </c>
      <c r="CE7" s="1">
        <f ca="1">COUNTIF(BO7:BZ7,"&lt;-53")</f>
        <v>0</v>
      </c>
      <c r="CF7" s="1">
        <f ca="1">COUNTIF(BO7:BZ7,"&gt;+53")</f>
        <v>1</v>
      </c>
    </row>
    <row r="8" spans="1:84">
      <c r="A8" s="1">
        <v>5</v>
      </c>
      <c r="B8" s="1">
        <f>'Touch 1 1'!B8-'Touch 1 1'!$AA8-('Touch 1 1'!B$2- 12.5)*'Touch 1 1'!$AC8</f>
        <v>14.430507363967081</v>
      </c>
      <c r="C8" s="1">
        <f>'Touch 1 1'!C8-'Touch 1 1'!$AA8-('Touch 1 1'!C$2- 12.5)*'Touch 1 1'!$AC8</f>
        <v>-35.954754145943298</v>
      </c>
      <c r="D8" s="1">
        <f>'Touch 1 1'!D8-'Touch 1 1'!$AA8-('Touch 1 1'!D$2- 12.5)*'Touch 1 1'!$AC8</f>
        <v>-16.340015655853222</v>
      </c>
      <c r="E8" s="1">
        <f>'Touch 1 1'!E8-'Touch 1 1'!$AA8-('Touch 1 1'!E$2- 12.5)*'Touch 1 1'!$AC8</f>
        <v>23.274722834236627</v>
      </c>
      <c r="F8" s="1">
        <f>'Touch 1 1'!F8-'Touch 1 1'!$AA8-('Touch 1 1'!F$2- 12.5)*'Touch 1 1'!$AC8</f>
        <v>-7.1105386756737516</v>
      </c>
      <c r="G8" s="1">
        <f>'Touch 1 1'!G8-'Touch 1 1'!$AA8-('Touch 1 1'!G$2- 12.5)*'Touch 1 1'!$AC8</f>
        <v>2.5041998144160971</v>
      </c>
      <c r="H8" s="1">
        <f>'Touch 1 1'!H8-'Touch 1 1'!$AA8-('Touch 1 1'!H$2- 12.5)*'Touch 1 1'!$AC8</f>
        <v>-17.881061695494054</v>
      </c>
      <c r="I8" s="1">
        <f>'Touch 1 1'!I8-'Touch 1 1'!$AA8-('Touch 1 1'!I$2- 12.5)*'Touch 1 1'!$AC8</f>
        <v>31.733676794595794</v>
      </c>
      <c r="J8" s="1">
        <f>'Touch 1 1'!J8-'Touch 1 1'!$AA8-('Touch 1 1'!J$2- 12.5)*'Touch 1 1'!$AC8</f>
        <v>101.34841528468564</v>
      </c>
      <c r="K8" s="1">
        <f>'Touch 1 1'!K8-'Touch 1 1'!$AA8-('Touch 1 1'!K$2- 12.5)*'Touch 1 1'!$AC8</f>
        <v>40.963153774775492</v>
      </c>
      <c r="L8" s="1">
        <f>'Touch 1 1'!L8-'Touch 1 1'!$AA8-('Touch 1 1'!L$2- 12.5)*'Touch 1 1'!$AC8</f>
        <v>-49.422107735134716</v>
      </c>
      <c r="M8" s="1">
        <f>'Touch 1 1'!M8-'Touch 1 1'!$AA8-('Touch 1 1'!M$2- 12.5)*'Touch 1 1'!$AC8</f>
        <v>-9.8073692450449101</v>
      </c>
      <c r="N8" s="1">
        <f>'Touch 1 1'!N8-'Touch 1 1'!$AA8-('Touch 1 1'!N$2- 12.5)*'Touch 1 1'!$AC8</f>
        <v>-0.19263075495508986</v>
      </c>
      <c r="O8" s="1">
        <f>'Touch 1 1'!O8-'Touch 1 1'!$AA8-('Touch 1 1'!O$2- 12.5)*'Touch 1 1'!$AC8</f>
        <v>9.4221077351347162</v>
      </c>
      <c r="P8" s="1">
        <f>'Touch 1 1'!P8-'Touch 1 1'!$AA8-('Touch 1 1'!P$2- 12.5)*'Touch 1 1'!$AC8</f>
        <v>-40.963153774775492</v>
      </c>
      <c r="Q8" s="1">
        <f>'Touch 1 1'!Q8-'Touch 1 1'!$AA8-('Touch 1 1'!Q$2- 12.5)*'Touch 1 1'!$AC8</f>
        <v>28.651584715314357</v>
      </c>
      <c r="R8" s="1">
        <f>'Touch 1 1'!R8-'Touch 1 1'!$AA8-('Touch 1 1'!R$2- 12.5)*'Touch 1 1'!$AC8</f>
        <v>28.266323205404206</v>
      </c>
      <c r="S8" s="1">
        <f>'Touch 1 1'!S8-'Touch 1 1'!$AA8-('Touch 1 1'!S$2- 12.5)*'Touch 1 1'!$AC8</f>
        <v>-52.118938304505946</v>
      </c>
      <c r="T8" s="1">
        <f>'Touch 1 1'!T8-'Touch 1 1'!$AA8-('Touch 1 1'!T$2- 12.5)*'Touch 1 1'!$AC8</f>
        <v>-52.504199814416097</v>
      </c>
      <c r="U8" s="1">
        <f>'Touch 1 1'!U8-'Touch 1 1'!$AA8-('Touch 1 1'!U$2- 12.5)*'Touch 1 1'!$AC8</f>
        <v>47.110538675673752</v>
      </c>
      <c r="V8" s="1">
        <f>'Touch 1 1'!V8-'Touch 1 1'!$AA8-('Touch 1 1'!V$2- 12.5)*'Touch 1 1'!$AC8</f>
        <v>36.725277165763373</v>
      </c>
      <c r="W8" s="1">
        <f>'Touch 1 1'!W8-'Touch 1 1'!$AA8-('Touch 1 1'!W$2- 12.5)*'Touch 1 1'!$AC8</f>
        <v>16.340015655853222</v>
      </c>
      <c r="X8" s="1">
        <f>'Touch 1 1'!X8-'Touch 1 1'!$AA8-('Touch 1 1'!X$2- 12.5)*'Touch 1 1'!$AC8</f>
        <v>-94.045245854056702</v>
      </c>
      <c r="Y8" s="1">
        <f>'Touch 1 1'!Y8-'Touch 1 1'!$AA8-('Touch 1 1'!Y$2- 12.5)*'Touch 1 1'!$AC8</f>
        <v>-4.4305073639670809</v>
      </c>
      <c r="AB8" s="1">
        <f>STDEV(B8:Y8)</f>
        <v>41.567410648866634</v>
      </c>
      <c r="AD8" s="11">
        <v>2</v>
      </c>
      <c r="AE8" s="11">
        <v>6</v>
      </c>
      <c r="AF8" s="11" t="s">
        <v>44</v>
      </c>
      <c r="AG8" s="11">
        <v>4</v>
      </c>
      <c r="AH8" s="11">
        <v>8</v>
      </c>
      <c r="AI8" s="11">
        <v>1</v>
      </c>
      <c r="AJ8" s="11" t="s">
        <v>46</v>
      </c>
      <c r="AK8" s="11">
        <v>3</v>
      </c>
      <c r="AL8" s="11" t="s">
        <v>45</v>
      </c>
      <c r="AM8" s="11">
        <v>5</v>
      </c>
      <c r="AN8" s="11">
        <v>9</v>
      </c>
      <c r="AO8" s="11">
        <v>7</v>
      </c>
      <c r="AP8" s="11">
        <v>2</v>
      </c>
      <c r="AQ8" s="11" t="s">
        <v>44</v>
      </c>
      <c r="AR8" s="11">
        <v>6</v>
      </c>
      <c r="AS8" s="11">
        <v>4</v>
      </c>
      <c r="AT8" s="11">
        <v>1</v>
      </c>
      <c r="AU8" s="11">
        <v>8</v>
      </c>
      <c r="AV8" s="11" t="s">
        <v>46</v>
      </c>
      <c r="AW8" s="11" t="s">
        <v>45</v>
      </c>
      <c r="AX8" s="11">
        <v>3</v>
      </c>
      <c r="AY8" s="11">
        <v>9</v>
      </c>
      <c r="AZ8" s="11">
        <v>5</v>
      </c>
      <c r="BA8" s="11">
        <v>7</v>
      </c>
      <c r="BB8" s="5"/>
      <c r="BC8" s="1">
        <f ca="1">OFFSET(A8,0, 6) -0</f>
        <v>2.5041998144160971</v>
      </c>
      <c r="BD8" s="1">
        <f ca="1">OFFSET(A8,0, 1) -0</f>
        <v>14.430507363967081</v>
      </c>
      <c r="BE8" s="1">
        <f ca="1">OFFSET(A8,0, 8) -0</f>
        <v>31.733676794595794</v>
      </c>
      <c r="BF8" s="1">
        <f ca="1">OFFSET(A8,0, 4) -0</f>
        <v>23.274722834236627</v>
      </c>
      <c r="BG8" s="1">
        <f ca="1">OFFSET(A8,0, 10) -0</f>
        <v>40.963153774775492</v>
      </c>
      <c r="BH8" s="1">
        <f ca="1">OFFSET(A8,0, 2) -0</f>
        <v>-35.954754145943298</v>
      </c>
      <c r="BI8" s="1">
        <f ca="1">OFFSET(A8,0, 12) -0</f>
        <v>-9.8073692450449101</v>
      </c>
      <c r="BJ8" s="1">
        <f ca="1">OFFSET(A8,0, 5) -0</f>
        <v>-7.1105386756737516</v>
      </c>
      <c r="BK8" s="1">
        <f ca="1">OFFSET(A8,0, 11) -0</f>
        <v>-49.422107735134716</v>
      </c>
      <c r="BL8" s="1">
        <f ca="1">OFFSET(A8,0, 3) -0</f>
        <v>-16.340015655853222</v>
      </c>
      <c r="BM8" s="1">
        <f ca="1">OFFSET(A8,0, 9) -0</f>
        <v>101.34841528468564</v>
      </c>
      <c r="BN8" s="1">
        <f ca="1">OFFSET(A8,0, 7) -0</f>
        <v>-17.881061695494054</v>
      </c>
      <c r="BO8" s="1">
        <f ca="1">OFFSET(A8,0, 17) -0</f>
        <v>28.266323205404206</v>
      </c>
      <c r="BP8" s="1">
        <f ca="1">OFFSET(A8,0, 13) -0</f>
        <v>-0.19263075495508986</v>
      </c>
      <c r="BQ8" s="1">
        <f ca="1">OFFSET(A8,0, 21) -0</f>
        <v>36.725277165763373</v>
      </c>
      <c r="BR8" s="1">
        <f ca="1">OFFSET(A8,0, 16) -0</f>
        <v>28.651584715314357</v>
      </c>
      <c r="BS8" s="1">
        <f ca="1">OFFSET(A8,0, 23) -0</f>
        <v>-94.045245854056702</v>
      </c>
      <c r="BT8" s="1">
        <f ca="1">OFFSET(A8,0, 15) -0</f>
        <v>-40.963153774775492</v>
      </c>
      <c r="BU8" s="1">
        <f ca="1">OFFSET(A8,0, 24) -0</f>
        <v>-4.4305073639670809</v>
      </c>
      <c r="BV8" s="1">
        <f ca="1">OFFSET(A8,0, 18) -0</f>
        <v>-52.118938304505946</v>
      </c>
      <c r="BW8" s="1">
        <f ca="1">OFFSET(A8,0, 22) -0</f>
        <v>16.340015655853222</v>
      </c>
      <c r="BX8" s="1">
        <f ca="1">OFFSET(A8,0, 14) -0</f>
        <v>9.4221077351347162</v>
      </c>
      <c r="BY8" s="1">
        <f ca="1">OFFSET(A8,0, 20) -0</f>
        <v>47.110538675673752</v>
      </c>
      <c r="BZ8" s="1">
        <f ca="1">OFFSET(A8,0, 19) -0</f>
        <v>-52.504199814416097</v>
      </c>
      <c r="CB8" s="1">
        <f>COUNTIF(B8,"&lt;-74")</f>
        <v>0</v>
      </c>
      <c r="CC8" s="1">
        <f ca="1">COUNTIF(BC8:BN8,"&lt;-53")</f>
        <v>0</v>
      </c>
      <c r="CD8" s="1">
        <f ca="1">COUNTIF(BC8:BN8,"&gt;+53")</f>
        <v>1</v>
      </c>
      <c r="CE8" s="1">
        <f ca="1">COUNTIF(BO8:BZ8,"&lt;-53")</f>
        <v>1</v>
      </c>
      <c r="CF8" s="1">
        <f ca="1">COUNTIF(BO8:BZ8,"&gt;+53")</f>
        <v>0</v>
      </c>
    </row>
    <row r="9" spans="1:84">
      <c r="A9" s="1">
        <v>6</v>
      </c>
      <c r="B9" s="1">
        <f>'Touch 1 1'!B9-'Touch 1 1'!$AA9-('Touch 1 1'!B$2- 12.5)*'Touch 1 1'!$AC9</f>
        <v>-5.9252097708313158</v>
      </c>
      <c r="C9" s="1">
        <f>'Touch 1 1'!C9-'Touch 1 1'!$AA9-('Touch 1 1'!C$2- 12.5)*'Touch 1 1'!$AC9</f>
        <v>-6.4606987762654171</v>
      </c>
      <c r="D9" s="1">
        <f>'Touch 1 1'!D9-'Touch 1 1'!$AA9-('Touch 1 1'!D$2- 12.5)*'Touch 1 1'!$AC9</f>
        <v>63.003812218299799</v>
      </c>
      <c r="E9" s="1">
        <f>'Touch 1 1'!E9-'Touch 1 1'!$AA9-('Touch 1 1'!E$2- 12.5)*'Touch 1 1'!$AC9</f>
        <v>-7.5316767871347565</v>
      </c>
      <c r="F9" s="1">
        <f>'Touch 1 1'!F9-'Touch 1 1'!$AA9-('Touch 1 1'!F$2- 12.5)*'Touch 1 1'!$AC9</f>
        <v>31.932834207430687</v>
      </c>
      <c r="G9" s="1">
        <f>'Touch 1 1'!G9-'Touch 1 1'!$AA9-('Touch 1 1'!G$2- 12.5)*'Touch 1 1'!$AC9</f>
        <v>41.397345201996131</v>
      </c>
      <c r="H9" s="1">
        <f>'Touch 1 1'!H9-'Touch 1 1'!$AA9-('Touch 1 1'!H$2- 12.5)*'Touch 1 1'!$AC9</f>
        <v>0.86185619656157542</v>
      </c>
      <c r="I9" s="1">
        <f>'Touch 1 1'!I9-'Touch 1 1'!$AA9-('Touch 1 1'!I$2- 12.5)*'Touch 1 1'!$AC9</f>
        <v>-49.673632808872981</v>
      </c>
      <c r="J9" s="1">
        <f>'Touch 1 1'!J9-'Touch 1 1'!$AA9-('Touch 1 1'!J$2- 12.5)*'Touch 1 1'!$AC9</f>
        <v>-20.209121814307537</v>
      </c>
      <c r="K9" s="1">
        <f>'Touch 1 1'!K9-'Touch 1 1'!$AA9-('Touch 1 1'!K$2- 12.5)*'Touch 1 1'!$AC9</f>
        <v>19.255389180257907</v>
      </c>
      <c r="L9" s="1">
        <f>'Touch 1 1'!L9-'Touch 1 1'!$AA9-('Touch 1 1'!L$2- 12.5)*'Touch 1 1'!$AC9</f>
        <v>-61.280099825176649</v>
      </c>
      <c r="M9" s="1">
        <f>'Touch 1 1'!M9-'Touch 1 1'!$AA9-('Touch 1 1'!M$2- 12.5)*'Touch 1 1'!$AC9</f>
        <v>18.184411169388795</v>
      </c>
      <c r="N9" s="1">
        <f>'Touch 1 1'!N9-'Touch 1 1'!$AA9-('Touch 1 1'!N$2- 12.5)*'Touch 1 1'!$AC9</f>
        <v>27.648922163954239</v>
      </c>
      <c r="O9" s="1">
        <f>'Touch 1 1'!O9-'Touch 1 1'!$AA9-('Touch 1 1'!O$2- 12.5)*'Touch 1 1'!$AC9</f>
        <v>-82.886566841480317</v>
      </c>
      <c r="P9" s="1">
        <f>'Touch 1 1'!P9-'Touch 1 1'!$AA9-('Touch 1 1'!P$2- 12.5)*'Touch 1 1'!$AC9</f>
        <v>-63.422055846914873</v>
      </c>
      <c r="Q9" s="1">
        <f>'Touch 1 1'!Q9-'Touch 1 1'!$AA9-('Touch 1 1'!Q$2- 12.5)*'Touch 1 1'!$AC9</f>
        <v>36.042455147650571</v>
      </c>
      <c r="R9" s="1">
        <f>'Touch 1 1'!R9-'Touch 1 1'!$AA9-('Touch 1 1'!R$2- 12.5)*'Touch 1 1'!$AC9</f>
        <v>5.5069661422160152</v>
      </c>
      <c r="S9" s="1">
        <f>'Touch 1 1'!S9-'Touch 1 1'!$AA9-('Touch 1 1'!S$2- 12.5)*'Touch 1 1'!$AC9</f>
        <v>14.971477136781459</v>
      </c>
      <c r="T9" s="1">
        <f>'Touch 1 1'!T9-'Touch 1 1'!$AA9-('Touch 1 1'!T$2- 12.5)*'Touch 1 1'!$AC9</f>
        <v>74.435988131346903</v>
      </c>
      <c r="U9" s="1">
        <f>'Touch 1 1'!U9-'Touch 1 1'!$AA9-('Touch 1 1'!U$2- 12.5)*'Touch 1 1'!$AC9</f>
        <v>-16.099500874087653</v>
      </c>
      <c r="V9" s="1">
        <f>'Touch 1 1'!V9-'Touch 1 1'!$AA9-('Touch 1 1'!V$2- 12.5)*'Touch 1 1'!$AC9</f>
        <v>3.3650101204777911</v>
      </c>
      <c r="W9" s="1">
        <f>'Touch 1 1'!W9-'Touch 1 1'!$AA9-('Touch 1 1'!W$2- 12.5)*'Touch 1 1'!$AC9</f>
        <v>-47.170478884956765</v>
      </c>
      <c r="X9" s="1">
        <f>'Touch 1 1'!X9-'Touch 1 1'!$AA9-('Touch 1 1'!X$2- 12.5)*'Touch 1 1'!$AC9</f>
        <v>2.2940321096084517</v>
      </c>
      <c r="Y9" s="1">
        <f>'Touch 1 1'!Y9-'Touch 1 1'!$AA9-('Touch 1 1'!Y$2- 12.5)*'Touch 1 1'!$AC9</f>
        <v>21.75854310417435</v>
      </c>
      <c r="AB9" s="1">
        <f>STDEV(B9:Y9)</f>
        <v>39.505274170275676</v>
      </c>
      <c r="AD9" s="11" t="s">
        <v>44</v>
      </c>
      <c r="AE9" s="11">
        <v>2</v>
      </c>
      <c r="AF9" s="11">
        <v>4</v>
      </c>
      <c r="AG9" s="11">
        <v>6</v>
      </c>
      <c r="AH9" s="11">
        <v>8</v>
      </c>
      <c r="AI9" s="11">
        <v>1</v>
      </c>
      <c r="AJ9" s="11" t="s">
        <v>45</v>
      </c>
      <c r="AK9" s="11" t="s">
        <v>46</v>
      </c>
      <c r="AL9" s="11">
        <v>9</v>
      </c>
      <c r="AM9" s="11">
        <v>3</v>
      </c>
      <c r="AN9" s="11">
        <v>7</v>
      </c>
      <c r="AO9" s="11">
        <v>5</v>
      </c>
      <c r="AP9" s="11">
        <v>2</v>
      </c>
      <c r="AQ9" s="11" t="s">
        <v>44</v>
      </c>
      <c r="AR9" s="11">
        <v>6</v>
      </c>
      <c r="AS9" s="11">
        <v>4</v>
      </c>
      <c r="AT9" s="11">
        <v>8</v>
      </c>
      <c r="AU9" s="11" t="s">
        <v>45</v>
      </c>
      <c r="AV9" s="11">
        <v>1</v>
      </c>
      <c r="AW9" s="11" t="s">
        <v>46</v>
      </c>
      <c r="AX9" s="11">
        <v>3</v>
      </c>
      <c r="AY9" s="11">
        <v>9</v>
      </c>
      <c r="AZ9" s="11">
        <v>5</v>
      </c>
      <c r="BA9" s="11">
        <v>7</v>
      </c>
      <c r="BB9" s="5"/>
      <c r="BC9" s="1">
        <f ca="1">OFFSET(A9,0, 6) -0</f>
        <v>41.397345201996131</v>
      </c>
      <c r="BD9" s="1">
        <f ca="1">OFFSET(A9,0, 2) -0</f>
        <v>-6.4606987762654171</v>
      </c>
      <c r="BE9" s="1">
        <f ca="1">OFFSET(A9,0, 10) -0</f>
        <v>19.255389180257907</v>
      </c>
      <c r="BF9" s="1">
        <f ca="1">OFFSET(A9,0, 3) -0</f>
        <v>63.003812218299799</v>
      </c>
      <c r="BG9" s="1">
        <f ca="1">OFFSET(A9,0, 12) -0</f>
        <v>18.184411169388795</v>
      </c>
      <c r="BH9" s="1">
        <f ca="1">OFFSET(A9,0, 4) -0</f>
        <v>-7.5316767871347565</v>
      </c>
      <c r="BI9" s="1">
        <f ca="1">OFFSET(A9,0, 11) -0</f>
        <v>-61.280099825176649</v>
      </c>
      <c r="BJ9" s="1">
        <f ca="1">OFFSET(A9,0, 5) -0</f>
        <v>31.932834207430687</v>
      </c>
      <c r="BK9" s="1">
        <f ca="1">OFFSET(A9,0, 9) -0</f>
        <v>-20.209121814307537</v>
      </c>
      <c r="BL9" s="1">
        <f ca="1">OFFSET(A9,0, 1) -0</f>
        <v>-5.9252097708313158</v>
      </c>
      <c r="BM9" s="1">
        <f ca="1">OFFSET(A9,0, 7) -0</f>
        <v>0.86185619656157542</v>
      </c>
      <c r="BN9" s="1">
        <f ca="1">OFFSET(A9,0, 8) -0</f>
        <v>-49.673632808872981</v>
      </c>
      <c r="BO9" s="1">
        <f ca="1">OFFSET(A9,0, 19) -0</f>
        <v>74.435988131346903</v>
      </c>
      <c r="BP9" s="1">
        <f ca="1">OFFSET(A9,0, 13) -0</f>
        <v>27.648922163954239</v>
      </c>
      <c r="BQ9" s="1">
        <f ca="1">OFFSET(A9,0, 21) -0</f>
        <v>3.3650101204777911</v>
      </c>
      <c r="BR9" s="1">
        <f ca="1">OFFSET(A9,0, 16) -0</f>
        <v>36.042455147650571</v>
      </c>
      <c r="BS9" s="1">
        <f ca="1">OFFSET(A9,0, 23) -0</f>
        <v>2.2940321096084517</v>
      </c>
      <c r="BT9" s="1">
        <f ca="1">OFFSET(A9,0, 15) -0</f>
        <v>-63.422055846914873</v>
      </c>
      <c r="BU9" s="1">
        <f ca="1">OFFSET(A9,0, 24) -0</f>
        <v>21.75854310417435</v>
      </c>
      <c r="BV9" s="1">
        <f ca="1">OFFSET(A9,0, 17) -0</f>
        <v>5.5069661422160152</v>
      </c>
      <c r="BW9" s="1">
        <f ca="1">OFFSET(A9,0, 22) -0</f>
        <v>-47.170478884956765</v>
      </c>
      <c r="BX9" s="1">
        <f ca="1">OFFSET(A9,0, 14) -0</f>
        <v>-82.886566841480317</v>
      </c>
      <c r="BY9" s="1">
        <f ca="1">OFFSET(A9,0, 18) -0</f>
        <v>14.971477136781459</v>
      </c>
      <c r="BZ9" s="1">
        <f ca="1">OFFSET(A9,0, 20) -0</f>
        <v>-16.099500874087653</v>
      </c>
      <c r="CB9" s="1">
        <f>COUNTIF(B9,"&lt;-74")</f>
        <v>0</v>
      </c>
      <c r="CC9" s="1">
        <f ca="1">COUNTIF(BC9:BN9,"&lt;-53")</f>
        <v>1</v>
      </c>
      <c r="CD9" s="1">
        <f ca="1">COUNTIF(BC9:BN9,"&gt;+53")</f>
        <v>1</v>
      </c>
      <c r="CE9" s="1">
        <f ca="1">COUNTIF(BO9:BZ9,"&lt;-53")</f>
        <v>2</v>
      </c>
      <c r="CF9" s="1">
        <f ca="1">COUNTIF(BO9:BZ9,"&gt;+53")</f>
        <v>1</v>
      </c>
    </row>
    <row r="10" spans="1:84">
      <c r="A10" s="1">
        <v>7</v>
      </c>
      <c r="B10" s="1">
        <f>'Touch 1 1'!B10-'Touch 1 1'!$AA10-('Touch 1 1'!B$2- 12.5)*'Touch 1 1'!$AC10</f>
        <v>-47.266634068623262</v>
      </c>
      <c r="C10" s="1">
        <f>'Touch 1 1'!C10-'Touch 1 1'!$AA10-('Touch 1 1'!C$2- 12.5)*'Touch 1 1'!$AC10</f>
        <v>-27.576781830771324</v>
      </c>
      <c r="D10" s="1">
        <f>'Touch 1 1'!D10-'Touch 1 1'!$AA10-('Touch 1 1'!D$2- 12.5)*'Touch 1 1'!$AC10</f>
        <v>32.113070407080158</v>
      </c>
      <c r="E10" s="1">
        <f>'Touch 1 1'!E10-'Touch 1 1'!$AA10-('Touch 1 1'!E$2- 12.5)*'Touch 1 1'!$AC10</f>
        <v>21.802922644932096</v>
      </c>
      <c r="F10" s="1">
        <f>'Touch 1 1'!F10-'Touch 1 1'!$AA10-('Touch 1 1'!F$2- 12.5)*'Touch 1 1'!$AC10</f>
        <v>51.492774882783579</v>
      </c>
      <c r="G10" s="1">
        <f>'Touch 1 1'!G10-'Touch 1 1'!$AA10-('Touch 1 1'!G$2- 12.5)*'Touch 1 1'!$AC10</f>
        <v>21.182627120635516</v>
      </c>
      <c r="H10" s="1">
        <f>'Touch 1 1'!H10-'Touch 1 1'!$AA10-('Touch 1 1'!H$2- 12.5)*'Touch 1 1'!$AC10</f>
        <v>20.872479358486999</v>
      </c>
      <c r="I10" s="1">
        <f>'Touch 1 1'!I10-'Touch 1 1'!$AA10-('Touch 1 1'!I$2- 12.5)*'Touch 1 1'!$AC10</f>
        <v>-29.437668403661178</v>
      </c>
      <c r="J10" s="1">
        <f>'Touch 1 1'!J10-'Touch 1 1'!$AA10-('Touch 1 1'!J$2- 12.5)*'Touch 1 1'!$AC10</f>
        <v>-79.747816165809468</v>
      </c>
      <c r="K10" s="1">
        <f>'Touch 1 1'!K10-'Touch 1 1'!$AA10-('Touch 1 1'!K$2- 12.5)*'Touch 1 1'!$AC10</f>
        <v>-10.057963927957758</v>
      </c>
      <c r="L10" s="1">
        <f>'Touch 1 1'!L10-'Touch 1 1'!$AA10-('Touch 1 1'!L$2- 12.5)*'Touch 1 1'!$AC10</f>
        <v>-50.368111690106048</v>
      </c>
      <c r="M10" s="1">
        <f>'Touch 1 1'!M10-'Touch 1 1'!$AA10-('Touch 1 1'!M$2- 12.5)*'Touch 1 1'!$AC10</f>
        <v>19.321740547745662</v>
      </c>
      <c r="N10" s="1">
        <f>'Touch 1 1'!N10-'Touch 1 1'!$AA10-('Touch 1 1'!N$2- 12.5)*'Touch 1 1'!$AC10</f>
        <v>29.011592785597372</v>
      </c>
      <c r="O10" s="1">
        <f>'Touch 1 1'!O10-'Touch 1 1'!$AA10-('Touch 1 1'!O$2- 12.5)*'Touch 1 1'!$AC10</f>
        <v>48.701445023449082</v>
      </c>
      <c r="P10" s="1">
        <f>'Touch 1 1'!P10-'Touch 1 1'!$AA10-('Touch 1 1'!P$2- 12.5)*'Touch 1 1'!$AC10</f>
        <v>8.3912972613007923</v>
      </c>
      <c r="Q10" s="1">
        <f>'Touch 1 1'!Q10-'Touch 1 1'!$AA10-('Touch 1 1'!Q$2- 12.5)*'Touch 1 1'!$AC10</f>
        <v>68.081149499152502</v>
      </c>
      <c r="R10" s="1">
        <f>'Touch 1 1'!R10-'Touch 1 1'!$AA10-('Touch 1 1'!R$2- 12.5)*'Touch 1 1'!$AC10</f>
        <v>7.7710017370042124</v>
      </c>
      <c r="S10" s="1">
        <f>'Touch 1 1'!S10-'Touch 1 1'!$AA10-('Touch 1 1'!S$2- 12.5)*'Touch 1 1'!$AC10</f>
        <v>7.4608539748560361</v>
      </c>
      <c r="T10" s="1">
        <f>'Touch 1 1'!T10-'Touch 1 1'!$AA10-('Touch 1 1'!T$2- 12.5)*'Touch 1 1'!$AC10</f>
        <v>-22.849293787292481</v>
      </c>
      <c r="U10" s="1">
        <f>'Touch 1 1'!U10-'Touch 1 1'!$AA10-('Touch 1 1'!U$2- 12.5)*'Touch 1 1'!$AC10</f>
        <v>16.840558450559456</v>
      </c>
      <c r="V10" s="1">
        <f>'Touch 1 1'!V10-'Touch 1 1'!$AA10-('Touch 1 1'!V$2- 12.5)*'Touch 1 1'!$AC10</f>
        <v>16.530410688410939</v>
      </c>
      <c r="W10" s="1">
        <f>'Touch 1 1'!W10-'Touch 1 1'!$AA10-('Touch 1 1'!W$2- 12.5)*'Touch 1 1'!$AC10</f>
        <v>-33.779737073737124</v>
      </c>
      <c r="X10" s="1">
        <f>'Touch 1 1'!X10-'Touch 1 1'!$AA10-('Touch 1 1'!X$2- 12.5)*'Touch 1 1'!$AC10</f>
        <v>-14.089884835885641</v>
      </c>
      <c r="Y10" s="1">
        <f>'Touch 1 1'!Y10-'Touch 1 1'!$AA10-('Touch 1 1'!Y$2- 12.5)*'Touch 1 1'!$AC10</f>
        <v>-54.400032598033704</v>
      </c>
      <c r="AB10" s="1">
        <f>STDEV(B10:Y10)</f>
        <v>37.117762510813662</v>
      </c>
      <c r="AD10" s="11" t="s">
        <v>44</v>
      </c>
      <c r="AE10" s="11">
        <v>2</v>
      </c>
      <c r="AF10" s="11">
        <v>4</v>
      </c>
      <c r="AG10" s="11">
        <v>6</v>
      </c>
      <c r="AH10" s="11" t="s">
        <v>45</v>
      </c>
      <c r="AI10" s="11">
        <v>8</v>
      </c>
      <c r="AJ10" s="11" t="s">
        <v>46</v>
      </c>
      <c r="AK10" s="11">
        <v>1</v>
      </c>
      <c r="AL10" s="11">
        <v>9</v>
      </c>
      <c r="AM10" s="11">
        <v>3</v>
      </c>
      <c r="AN10" s="11">
        <v>7</v>
      </c>
      <c r="AO10" s="11">
        <v>5</v>
      </c>
      <c r="AP10" s="11" t="s">
        <v>44</v>
      </c>
      <c r="AQ10" s="11">
        <v>4</v>
      </c>
      <c r="AR10" s="11">
        <v>2</v>
      </c>
      <c r="AS10" s="11" t="s">
        <v>45</v>
      </c>
      <c r="AT10" s="11">
        <v>6</v>
      </c>
      <c r="AU10" s="11">
        <v>8</v>
      </c>
      <c r="AV10" s="11">
        <v>1</v>
      </c>
      <c r="AW10" s="11" t="s">
        <v>46</v>
      </c>
      <c r="AX10" s="11">
        <v>9</v>
      </c>
      <c r="AY10" s="11">
        <v>7</v>
      </c>
      <c r="AZ10" s="11">
        <v>3</v>
      </c>
      <c r="BA10" s="11">
        <v>5</v>
      </c>
      <c r="BB10" s="5"/>
      <c r="BC10" s="1">
        <f ca="1">OFFSET(A10,0, 8) -0</f>
        <v>-29.437668403661178</v>
      </c>
      <c r="BD10" s="1">
        <f ca="1">OFFSET(A10,0, 2) -0</f>
        <v>-27.576781830771324</v>
      </c>
      <c r="BE10" s="1">
        <f ca="1">OFFSET(A10,0, 10) -0</f>
        <v>-10.057963927957758</v>
      </c>
      <c r="BF10" s="1">
        <f ca="1">OFFSET(A10,0, 3) -0</f>
        <v>32.113070407080158</v>
      </c>
      <c r="BG10" s="1">
        <f ca="1">OFFSET(A10,0, 12) -0</f>
        <v>19.321740547745662</v>
      </c>
      <c r="BH10" s="1">
        <f ca="1">OFFSET(A10,0, 4) -0</f>
        <v>21.802922644932096</v>
      </c>
      <c r="BI10" s="1">
        <f ca="1">OFFSET(A10,0, 11) -0</f>
        <v>-50.368111690106048</v>
      </c>
      <c r="BJ10" s="1">
        <f ca="1">OFFSET(A10,0, 6) -0</f>
        <v>21.182627120635516</v>
      </c>
      <c r="BK10" s="1">
        <f ca="1">OFFSET(A10,0, 9) -0</f>
        <v>-79.747816165809468</v>
      </c>
      <c r="BL10" s="1">
        <f ca="1">OFFSET(A10,0, 1) -0</f>
        <v>-47.266634068623262</v>
      </c>
      <c r="BM10" s="1">
        <f ca="1">OFFSET(A10,0, 5) -0</f>
        <v>51.492774882783579</v>
      </c>
      <c r="BN10" s="1">
        <f ca="1">OFFSET(A10,0, 7) -0</f>
        <v>20.872479358486999</v>
      </c>
      <c r="BO10" s="1">
        <f ca="1">OFFSET(A10,0, 19) -0</f>
        <v>-22.849293787292481</v>
      </c>
      <c r="BP10" s="1">
        <f ca="1">OFFSET(A10,0, 15) -0</f>
        <v>8.3912972613007923</v>
      </c>
      <c r="BQ10" s="1">
        <f ca="1">OFFSET(A10,0, 23) -0</f>
        <v>-14.089884835885641</v>
      </c>
      <c r="BR10" s="1">
        <f ca="1">OFFSET(A10,0, 14) -0</f>
        <v>48.701445023449082</v>
      </c>
      <c r="BS10" s="1">
        <f ca="1">OFFSET(A10,0, 24) -0</f>
        <v>-54.400032598033704</v>
      </c>
      <c r="BT10" s="1">
        <f ca="1">OFFSET(A10,0, 17) -0</f>
        <v>7.7710017370042124</v>
      </c>
      <c r="BU10" s="1">
        <f ca="1">OFFSET(A10,0, 22) -0</f>
        <v>-33.779737073737124</v>
      </c>
      <c r="BV10" s="1">
        <f ca="1">OFFSET(A10,0, 18) -0</f>
        <v>7.4608539748560361</v>
      </c>
      <c r="BW10" s="1">
        <f ca="1">OFFSET(A10,0, 21) -0</f>
        <v>16.530410688410939</v>
      </c>
      <c r="BX10" s="1">
        <f ca="1">OFFSET(A10,0, 13) -0</f>
        <v>29.011592785597372</v>
      </c>
      <c r="BY10" s="1">
        <f ca="1">OFFSET(A10,0, 16) -0</f>
        <v>68.081149499152502</v>
      </c>
      <c r="BZ10" s="1">
        <f ca="1">OFFSET(A10,0, 20) -0</f>
        <v>16.840558450559456</v>
      </c>
      <c r="CB10" s="1">
        <f>COUNTIF(B10,"&lt;-74")</f>
        <v>0</v>
      </c>
      <c r="CC10" s="1">
        <f ca="1">COUNTIF(BC10:BN10,"&lt;-53")</f>
        <v>1</v>
      </c>
      <c r="CD10" s="1">
        <f ca="1">COUNTIF(BC10:BN10,"&gt;+53")</f>
        <v>0</v>
      </c>
      <c r="CE10" s="1">
        <f ca="1">COUNTIF(BO10:BZ10,"&lt;-53")</f>
        <v>1</v>
      </c>
      <c r="CF10" s="1">
        <f ca="1">COUNTIF(BO10:BZ10,"&gt;+53")</f>
        <v>1</v>
      </c>
    </row>
    <row r="11" spans="1:84">
      <c r="A11" s="1">
        <v>8</v>
      </c>
      <c r="B11" s="1">
        <f>'Touch 1 1'!B11-'Touch 1 1'!$AA11-('Touch 1 1'!B$2- 12.5)*'Touch 1 1'!$AC11</f>
        <v>-9.9235622781939128</v>
      </c>
      <c r="C11" s="1">
        <f>'Touch 1 1'!C11-'Touch 1 1'!$AA11-('Touch 1 1'!C$2- 12.5)*'Touch 1 1'!$AC11</f>
        <v>-70.075136572844258</v>
      </c>
      <c r="D11" s="1">
        <f>'Touch 1 1'!D11-'Touch 1 1'!$AA11-('Touch 1 1'!D$2- 12.5)*'Touch 1 1'!$AC11</f>
        <v>99.773289132505624</v>
      </c>
      <c r="E11" s="1">
        <f>'Touch 1 1'!E11-'Touch 1 1'!$AA11-('Touch 1 1'!E$2- 12.5)*'Touch 1 1'!$AC11</f>
        <v>59.621714837855507</v>
      </c>
      <c r="F11" s="1">
        <f>'Touch 1 1'!F11-'Touch 1 1'!$AA11-('Touch 1 1'!F$2- 12.5)*'Touch 1 1'!$AC11</f>
        <v>69.470140543205162</v>
      </c>
      <c r="G11" s="1">
        <f>'Touch 1 1'!G11-'Touch 1 1'!$AA11-('Touch 1 1'!G$2- 12.5)*'Touch 1 1'!$AC11</f>
        <v>-70.681433751444956</v>
      </c>
      <c r="H11" s="1">
        <f>'Touch 1 1'!H11-'Touch 1 1'!$AA11-('Touch 1 1'!H$2- 12.5)*'Touch 1 1'!$AC11</f>
        <v>39.166991953904699</v>
      </c>
      <c r="I11" s="1">
        <f>'Touch 1 1'!I11-'Touch 1 1'!$AA11-('Touch 1 1'!I$2- 12.5)*'Touch 1 1'!$AC11</f>
        <v>-0.98458234074541906</v>
      </c>
      <c r="J11" s="1">
        <f>'Touch 1 1'!J11-'Touch 1 1'!$AA11-('Touch 1 1'!J$2- 12.5)*'Touch 1 1'!$AC11</f>
        <v>-41.136156635395764</v>
      </c>
      <c r="K11" s="1">
        <f>'Touch 1 1'!K11-'Touch 1 1'!$AA11-('Touch 1 1'!K$2- 12.5)*'Touch 1 1'!$AC11</f>
        <v>-61.287730930045882</v>
      </c>
      <c r="L11" s="1">
        <f>'Touch 1 1'!L11-'Touch 1 1'!$AA11-('Touch 1 1'!L$2- 12.5)*'Touch 1 1'!$AC11</f>
        <v>-51.43930522469617</v>
      </c>
      <c r="M11" s="1">
        <f>'Touch 1 1'!M11-'Touch 1 1'!$AA11-('Touch 1 1'!M$2- 12.5)*'Touch 1 1'!$AC11</f>
        <v>38.409120480653598</v>
      </c>
      <c r="N11" s="1">
        <f>'Touch 1 1'!N11-'Touch 1 1'!$AA11-('Touch 1 1'!N$2- 12.5)*'Touch 1 1'!$AC11</f>
        <v>38.257546186003367</v>
      </c>
      <c r="O11" s="1">
        <f>'Touch 1 1'!O11-'Touch 1 1'!$AA11-('Touch 1 1'!O$2- 12.5)*'Touch 1 1'!$AC11</f>
        <v>48.105971891353136</v>
      </c>
      <c r="P11" s="1">
        <f>'Touch 1 1'!P11-'Touch 1 1'!$AA11-('Touch 1 1'!P$2- 12.5)*'Touch 1 1'!$AC11</f>
        <v>7.9543975967028473</v>
      </c>
      <c r="Q11" s="1">
        <f>'Touch 1 1'!Q11-'Touch 1 1'!$AA11-('Touch 1 1'!Q$2- 12.5)*'Touch 1 1'!$AC11</f>
        <v>37.80282330205273</v>
      </c>
      <c r="R11" s="1">
        <f>'Touch 1 1'!R11-'Touch 1 1'!$AA11-('Touch 1 1'!R$2- 12.5)*'Touch 1 1'!$AC11</f>
        <v>7.6512490074023844</v>
      </c>
      <c r="S11" s="1">
        <f>'Touch 1 1'!S11-'Touch 1 1'!$AA11-('Touch 1 1'!S$2- 12.5)*'Touch 1 1'!$AC11</f>
        <v>-42.500325287247733</v>
      </c>
      <c r="T11" s="1">
        <f>'Touch 1 1'!T11-'Touch 1 1'!$AA11-('Touch 1 1'!T$2- 12.5)*'Touch 1 1'!$AC11</f>
        <v>-2.6518995818980784</v>
      </c>
      <c r="U11" s="1">
        <f>'Touch 1 1'!U11-'Touch 1 1'!$AA11-('Touch 1 1'!U$2- 12.5)*'Touch 1 1'!$AC11</f>
        <v>-82.803473876548196</v>
      </c>
      <c r="V11" s="1">
        <f>'Touch 1 1'!V11-'Touch 1 1'!$AA11-('Touch 1 1'!V$2- 12.5)*'Touch 1 1'!$AC11</f>
        <v>-42.955048171198541</v>
      </c>
      <c r="W11" s="1">
        <f>'Touch 1 1'!W11-'Touch 1 1'!$AA11-('Touch 1 1'!W$2- 12.5)*'Touch 1 1'!$AC11</f>
        <v>-23.106622465848659</v>
      </c>
      <c r="X11" s="1">
        <f>'Touch 1 1'!X11-'Touch 1 1'!$AA11-('Touch 1 1'!X$2- 12.5)*'Touch 1 1'!$AC11</f>
        <v>-3.2581967604987767</v>
      </c>
      <c r="Y11" s="1">
        <f>'Touch 1 1'!Y11-'Touch 1 1'!$AA11-('Touch 1 1'!Y$2- 12.5)*'Touch 1 1'!$AC11</f>
        <v>56.590228944850878</v>
      </c>
      <c r="AB11" s="1">
        <f>STDEV(B11:Y11)</f>
        <v>50.663261507558637</v>
      </c>
      <c r="AD11" s="11">
        <v>4</v>
      </c>
      <c r="AE11" s="11" t="s">
        <v>44</v>
      </c>
      <c r="AF11" s="11" t="s">
        <v>45</v>
      </c>
      <c r="AG11" s="11">
        <v>2</v>
      </c>
      <c r="AH11" s="11">
        <v>8</v>
      </c>
      <c r="AI11" s="11">
        <v>6</v>
      </c>
      <c r="AJ11" s="11" t="s">
        <v>46</v>
      </c>
      <c r="AK11" s="11">
        <v>1</v>
      </c>
      <c r="AL11" s="11">
        <v>7</v>
      </c>
      <c r="AM11" s="11">
        <v>9</v>
      </c>
      <c r="AN11" s="11">
        <v>5</v>
      </c>
      <c r="AO11" s="11">
        <v>3</v>
      </c>
      <c r="AP11" s="11" t="s">
        <v>44</v>
      </c>
      <c r="AQ11" s="11">
        <v>4</v>
      </c>
      <c r="AR11" s="11">
        <v>2</v>
      </c>
      <c r="AS11" s="11" t="s">
        <v>45</v>
      </c>
      <c r="AT11" s="11">
        <v>6</v>
      </c>
      <c r="AU11" s="11">
        <v>8</v>
      </c>
      <c r="AV11" s="11" t="s">
        <v>46</v>
      </c>
      <c r="AW11" s="11">
        <v>7</v>
      </c>
      <c r="AX11" s="11">
        <v>1</v>
      </c>
      <c r="AY11" s="11">
        <v>9</v>
      </c>
      <c r="AZ11" s="11">
        <v>3</v>
      </c>
      <c r="BA11" s="11">
        <v>5</v>
      </c>
      <c r="BB11" s="5"/>
      <c r="BC11" s="1">
        <f ca="1">OFFSET(A11,0, 8) -0</f>
        <v>-0.98458234074541906</v>
      </c>
      <c r="BD11" s="1">
        <f ca="1">OFFSET(A11,0, 4) -0</f>
        <v>59.621714837855507</v>
      </c>
      <c r="BE11" s="1">
        <f ca="1">OFFSET(A11,0, 12) -0</f>
        <v>38.409120480653598</v>
      </c>
      <c r="BF11" s="1">
        <f ca="1">OFFSET(A11,0, 1) -0</f>
        <v>-9.9235622781939128</v>
      </c>
      <c r="BG11" s="1">
        <f ca="1">OFFSET(A11,0, 11) -0</f>
        <v>-51.43930522469617</v>
      </c>
      <c r="BH11" s="1">
        <f ca="1">OFFSET(A11,0, 6) -0</f>
        <v>-70.681433751444956</v>
      </c>
      <c r="BI11" s="1">
        <f ca="1">OFFSET(A11,0, 9) -0</f>
        <v>-41.136156635395764</v>
      </c>
      <c r="BJ11" s="1">
        <f ca="1">OFFSET(A11,0, 5) -0</f>
        <v>69.470140543205162</v>
      </c>
      <c r="BK11" s="1">
        <f ca="1">OFFSET(A11,0, 10) -0</f>
        <v>-61.287730930045882</v>
      </c>
      <c r="BL11" s="1">
        <f ca="1">OFFSET(A11,0, 2) -0</f>
        <v>-70.075136572844258</v>
      </c>
      <c r="BM11" s="1">
        <f ca="1">OFFSET(A11,0, 3) -0</f>
        <v>99.773289132505624</v>
      </c>
      <c r="BN11" s="1">
        <f ca="1">OFFSET(A11,0, 7) -0</f>
        <v>39.166991953904699</v>
      </c>
      <c r="BO11" s="1">
        <f ca="1">OFFSET(A11,0, 21) -0</f>
        <v>-42.955048171198541</v>
      </c>
      <c r="BP11" s="1">
        <f ca="1">OFFSET(A11,0, 15) -0</f>
        <v>7.9543975967028473</v>
      </c>
      <c r="BQ11" s="1">
        <f ca="1">OFFSET(A11,0, 23) -0</f>
        <v>-3.2581967604987767</v>
      </c>
      <c r="BR11" s="1">
        <f ca="1">OFFSET(A11,0, 14) -0</f>
        <v>48.105971891353136</v>
      </c>
      <c r="BS11" s="1">
        <f ca="1">OFFSET(A11,0, 24) -0</f>
        <v>56.590228944850878</v>
      </c>
      <c r="BT11" s="1">
        <f ca="1">OFFSET(A11,0, 17) -0</f>
        <v>7.6512490074023844</v>
      </c>
      <c r="BU11" s="1">
        <f ca="1">OFFSET(A11,0, 20) -0</f>
        <v>-82.803473876548196</v>
      </c>
      <c r="BV11" s="1">
        <f ca="1">OFFSET(A11,0, 18) -0</f>
        <v>-42.500325287247733</v>
      </c>
      <c r="BW11" s="1">
        <f ca="1">OFFSET(A11,0, 22) -0</f>
        <v>-23.106622465848659</v>
      </c>
      <c r="BX11" s="1">
        <f ca="1">OFFSET(A11,0, 13) -0</f>
        <v>38.257546186003367</v>
      </c>
      <c r="BY11" s="1">
        <f ca="1">OFFSET(A11,0, 16) -0</f>
        <v>37.80282330205273</v>
      </c>
      <c r="BZ11" s="1">
        <f ca="1">OFFSET(A11,0, 19) -0</f>
        <v>-2.6518995818980784</v>
      </c>
      <c r="CB11" s="1">
        <f>COUNTIF(B11,"&lt;-74")</f>
        <v>0</v>
      </c>
      <c r="CC11" s="1">
        <f ca="1">COUNTIF(BC11:BN11,"&lt;-53")</f>
        <v>3</v>
      </c>
      <c r="CD11" s="1">
        <f ca="1">COUNTIF(BC11:BN11,"&gt;+53")</f>
        <v>3</v>
      </c>
      <c r="CE11" s="1">
        <f ca="1">COUNTIF(BO11:BZ11,"&lt;-53")</f>
        <v>1</v>
      </c>
      <c r="CF11" s="1">
        <f ca="1">COUNTIF(BO11:BZ11,"&gt;+53")</f>
        <v>1</v>
      </c>
    </row>
    <row r="12" spans="1:84">
      <c r="A12" s="1">
        <v>9</v>
      </c>
      <c r="B12" s="1">
        <f>'Touch 1 1'!B12-'Touch 1 1'!$AA12-('Touch 1 1'!B$2- 12.5)*'Touch 1 1'!$AC12</f>
        <v>55.020042569846282</v>
      </c>
      <c r="C12" s="1">
        <f>'Touch 1 1'!C12-'Touch 1 1'!$AA12-('Touch 1 1'!C$2- 12.5)*'Touch 1 1'!$AC12</f>
        <v>-74.764308957966477</v>
      </c>
      <c r="D12" s="1">
        <f>'Touch 1 1'!D12-'Touch 1 1'!$AA12-('Touch 1 1'!D$2- 12.5)*'Touch 1 1'!$AC12</f>
        <v>35.451339514220763</v>
      </c>
      <c r="E12" s="1">
        <f>'Touch 1 1'!E12-'Touch 1 1'!$AA12-('Touch 1 1'!E$2- 12.5)*'Touch 1 1'!$AC12</f>
        <v>25.666987986408003</v>
      </c>
      <c r="F12" s="1">
        <f>'Touch 1 1'!F12-'Touch 1 1'!$AA12-('Touch 1 1'!F$2- 12.5)*'Touch 1 1'!$AC12</f>
        <v>5.8826364585952433</v>
      </c>
      <c r="G12" s="1">
        <f>'Touch 1 1'!G12-'Touch 1 1'!$AA12-('Touch 1 1'!G$2- 12.5)*'Touch 1 1'!$AC12</f>
        <v>-33.901715069217516</v>
      </c>
      <c r="H12" s="1">
        <f>'Touch 1 1'!H12-'Touch 1 1'!$AA12-('Touch 1 1'!H$2- 12.5)*'Touch 1 1'!$AC12</f>
        <v>-73.686066597030049</v>
      </c>
      <c r="I12" s="1">
        <f>'Touch 1 1'!I12-'Touch 1 1'!$AA12-('Touch 1 1'!I$2- 12.5)*'Touch 1 1'!$AC12</f>
        <v>-43.470418124842809</v>
      </c>
      <c r="J12" s="1">
        <f>'Touch 1 1'!J12-'Touch 1 1'!$AA12-('Touch 1 1'!J$2- 12.5)*'Touch 1 1'!$AC12</f>
        <v>-53.254769652655568</v>
      </c>
      <c r="K12" s="1">
        <f>'Touch 1 1'!K12-'Touch 1 1'!$AA12-('Touch 1 1'!K$2- 12.5)*'Touch 1 1'!$AC12</f>
        <v>-83.039121180468214</v>
      </c>
      <c r="L12" s="1">
        <f>'Touch 1 1'!L12-'Touch 1 1'!$AA12-('Touch 1 1'!L$2- 12.5)*'Touch 1 1'!$AC12</f>
        <v>-12.823472708280974</v>
      </c>
      <c r="M12" s="1">
        <f>'Touch 1 1'!M12-'Touch 1 1'!$AA12-('Touch 1 1'!M$2- 12.5)*'Touch 1 1'!$AC12</f>
        <v>57.392175763906351</v>
      </c>
      <c r="N12" s="1">
        <f>'Touch 1 1'!N12-'Touch 1 1'!$AA12-('Touch 1 1'!N$2- 12.5)*'Touch 1 1'!$AC12</f>
        <v>77.607824236093649</v>
      </c>
      <c r="O12" s="1">
        <f>'Touch 1 1'!O12-'Touch 1 1'!$AA12-('Touch 1 1'!O$2- 12.5)*'Touch 1 1'!$AC12</f>
        <v>37.823472708280974</v>
      </c>
      <c r="P12" s="1">
        <f>'Touch 1 1'!P12-'Touch 1 1'!$AA12-('Touch 1 1'!P$2- 12.5)*'Touch 1 1'!$AC12</f>
        <v>38.039121180468214</v>
      </c>
      <c r="Q12" s="1">
        <f>'Touch 1 1'!Q12-'Touch 1 1'!$AA12-('Touch 1 1'!Q$2- 12.5)*'Touch 1 1'!$AC12</f>
        <v>8.2547696526555683</v>
      </c>
      <c r="R12" s="1">
        <f>'Touch 1 1'!R12-'Touch 1 1'!$AA12-('Touch 1 1'!R$2- 12.5)*'Touch 1 1'!$AC12</f>
        <v>58.470418124842809</v>
      </c>
      <c r="S12" s="1">
        <f>'Touch 1 1'!S12-'Touch 1 1'!$AA12-('Touch 1 1'!S$2- 12.5)*'Touch 1 1'!$AC12</f>
        <v>-51.313933402969951</v>
      </c>
      <c r="T12" s="1">
        <f>'Touch 1 1'!T12-'Touch 1 1'!$AA12-('Touch 1 1'!T$2- 12.5)*'Touch 1 1'!$AC12</f>
        <v>-61.098284930782484</v>
      </c>
      <c r="U12" s="1">
        <f>'Touch 1 1'!U12-'Touch 1 1'!$AA12-('Touch 1 1'!U$2- 12.5)*'Touch 1 1'!$AC12</f>
        <v>-50.882636458595243</v>
      </c>
      <c r="V12" s="1">
        <f>'Touch 1 1'!V12-'Touch 1 1'!$AA12-('Touch 1 1'!V$2- 12.5)*'Touch 1 1'!$AC12</f>
        <v>-10.666987986408003</v>
      </c>
      <c r="W12" s="1">
        <f>'Touch 1 1'!W12-'Touch 1 1'!$AA12-('Touch 1 1'!W$2- 12.5)*'Touch 1 1'!$AC12</f>
        <v>89.548660485779237</v>
      </c>
      <c r="X12" s="1">
        <f>'Touch 1 1'!X12-'Touch 1 1'!$AA12-('Touch 1 1'!X$2- 12.5)*'Touch 1 1'!$AC12</f>
        <v>49.764308957966477</v>
      </c>
      <c r="Y12" s="1">
        <f>'Touch 1 1'!Y12-'Touch 1 1'!$AA12-('Touch 1 1'!Y$2- 12.5)*'Touch 1 1'!$AC12</f>
        <v>9.9799574301537177</v>
      </c>
      <c r="AB12" s="1">
        <f>STDEV(B12:Y12)</f>
        <v>52.864512975484303</v>
      </c>
      <c r="AD12" s="11">
        <v>4</v>
      </c>
      <c r="AE12" s="11" t="s">
        <v>44</v>
      </c>
      <c r="AF12" s="11" t="s">
        <v>45</v>
      </c>
      <c r="AG12" s="11">
        <v>2</v>
      </c>
      <c r="AH12" s="11">
        <v>8</v>
      </c>
      <c r="AI12" s="11">
        <v>6</v>
      </c>
      <c r="AJ12" s="11">
        <v>7</v>
      </c>
      <c r="AK12" s="11" t="s">
        <v>46</v>
      </c>
      <c r="AL12" s="11">
        <v>9</v>
      </c>
      <c r="AM12" s="11">
        <v>1</v>
      </c>
      <c r="AN12" s="11">
        <v>5</v>
      </c>
      <c r="AO12" s="11">
        <v>3</v>
      </c>
      <c r="AP12" s="11">
        <v>4</v>
      </c>
      <c r="AQ12" s="11" t="s">
        <v>45</v>
      </c>
      <c r="AR12" s="11" t="s">
        <v>44</v>
      </c>
      <c r="AS12" s="11">
        <v>8</v>
      </c>
      <c r="AT12" s="11">
        <v>2</v>
      </c>
      <c r="AU12" s="11">
        <v>7</v>
      </c>
      <c r="AV12" s="11">
        <v>6</v>
      </c>
      <c r="AW12" s="11" t="s">
        <v>46</v>
      </c>
      <c r="AX12" s="11">
        <v>1</v>
      </c>
      <c r="AY12" s="11">
        <v>9</v>
      </c>
      <c r="AZ12" s="11">
        <v>3</v>
      </c>
      <c r="BA12" s="11">
        <v>5</v>
      </c>
      <c r="BB12" s="5"/>
      <c r="BC12" s="1">
        <f ca="1">OFFSET(A12,0, 10) -0</f>
        <v>-83.039121180468214</v>
      </c>
      <c r="BD12" s="1">
        <f ca="1">OFFSET(A12,0, 4) -0</f>
        <v>25.666987986408003</v>
      </c>
      <c r="BE12" s="1">
        <f ca="1">OFFSET(A12,0, 12) -0</f>
        <v>57.392175763906351</v>
      </c>
      <c r="BF12" s="1">
        <f ca="1">OFFSET(A12,0, 1) -0</f>
        <v>55.020042569846282</v>
      </c>
      <c r="BG12" s="1">
        <f ca="1">OFFSET(A12,0, 11) -0</f>
        <v>-12.823472708280974</v>
      </c>
      <c r="BH12" s="1">
        <f ca="1">OFFSET(A12,0, 6) -0</f>
        <v>-33.901715069217516</v>
      </c>
      <c r="BI12" s="1">
        <f ca="1">OFFSET(A12,0, 7) -0</f>
        <v>-73.686066597030049</v>
      </c>
      <c r="BJ12" s="1">
        <f ca="1">OFFSET(A12,0, 5) -0</f>
        <v>5.8826364585952433</v>
      </c>
      <c r="BK12" s="1">
        <f ca="1">OFFSET(A12,0, 9) -0</f>
        <v>-53.254769652655568</v>
      </c>
      <c r="BL12" s="1">
        <f ca="1">OFFSET(A12,0, 2) -0</f>
        <v>-74.764308957966477</v>
      </c>
      <c r="BM12" s="1">
        <f ca="1">OFFSET(A12,0, 3) -0</f>
        <v>35.451339514220763</v>
      </c>
      <c r="BN12" s="1">
        <f ca="1">OFFSET(A12,0, 8) -0</f>
        <v>-43.470418124842809</v>
      </c>
      <c r="BO12" s="1">
        <f ca="1">OFFSET(A12,0, 21) -0</f>
        <v>-10.666987986408003</v>
      </c>
      <c r="BP12" s="1">
        <f ca="1">OFFSET(A12,0, 17) -0</f>
        <v>58.470418124842809</v>
      </c>
      <c r="BQ12" s="1">
        <f ca="1">OFFSET(A12,0, 23) -0</f>
        <v>49.764308957966477</v>
      </c>
      <c r="BR12" s="1">
        <f ca="1">OFFSET(A12,0, 13) -0</f>
        <v>77.607824236093649</v>
      </c>
      <c r="BS12" s="1">
        <f ca="1">OFFSET(A12,0, 24) -0</f>
        <v>9.9799574301537177</v>
      </c>
      <c r="BT12" s="1">
        <f ca="1">OFFSET(A12,0, 19) -0</f>
        <v>-61.098284930782484</v>
      </c>
      <c r="BU12" s="1">
        <f ca="1">OFFSET(A12,0, 18) -0</f>
        <v>-51.313933402969951</v>
      </c>
      <c r="BV12" s="1">
        <f ca="1">OFFSET(A12,0, 16) -0</f>
        <v>8.2547696526555683</v>
      </c>
      <c r="BW12" s="1">
        <f ca="1">OFFSET(A12,0, 22) -0</f>
        <v>89.548660485779237</v>
      </c>
      <c r="BX12" s="1">
        <f ca="1">OFFSET(A12,0, 15) -0</f>
        <v>38.039121180468214</v>
      </c>
      <c r="BY12" s="1">
        <f ca="1">OFFSET(A12,0, 14) -0</f>
        <v>37.823472708280974</v>
      </c>
      <c r="BZ12" s="1">
        <f ca="1">OFFSET(A12,0, 20) -0</f>
        <v>-50.882636458595243</v>
      </c>
      <c r="CB12" s="1">
        <f>COUNTIF(B12,"&lt;-74")</f>
        <v>0</v>
      </c>
      <c r="CC12" s="1">
        <f ca="1">COUNTIF(BC12:BN12,"&lt;-52")</f>
        <v>4</v>
      </c>
      <c r="CD12" s="1">
        <f ca="1">COUNTIF(BC12:BN12,"&gt;+52")</f>
        <v>2</v>
      </c>
      <c r="CE12" s="1">
        <f ca="1">COUNTIF(BO12:BZ12,"&lt;-52")</f>
        <v>1</v>
      </c>
      <c r="CF12" s="1">
        <f ca="1">COUNTIF(BO12:BZ12,"&gt;+52")</f>
        <v>3</v>
      </c>
    </row>
    <row r="13" spans="1:84">
      <c r="A13" s="1">
        <v>10</v>
      </c>
      <c r="B13" s="1">
        <f>'Touch 1 1'!B13-'Touch 1 1'!$AA13-('Touch 1 1'!B$2- 12.5)*'Touch 1 1'!$AC13</f>
        <v>54.535594801464413</v>
      </c>
      <c r="C13" s="1">
        <f>'Touch 1 1'!C13-'Touch 1 1'!$AA13-('Touch 1 1'!C$2- 12.5)*'Touch 1 1'!$AC13</f>
        <v>134.57597786220686</v>
      </c>
      <c r="D13" s="1">
        <f>'Touch 1 1'!D13-'Touch 1 1'!$AA13-('Touch 1 1'!D$2- 12.5)*'Touch 1 1'!$AC13</f>
        <v>64.616360922948843</v>
      </c>
      <c r="E13" s="1">
        <f>'Touch 1 1'!E13-'Touch 1 1'!$AA13-('Touch 1 1'!E$2- 12.5)*'Touch 1 1'!$AC13</f>
        <v>-5.3432560163087146</v>
      </c>
      <c r="F13" s="1">
        <f>'Touch 1 1'!F13-'Touch 1 1'!$AA13-('Touch 1 1'!F$2- 12.5)*'Touch 1 1'!$AC13</f>
        <v>-115.30287295556673</v>
      </c>
      <c r="G13" s="1">
        <f>'Touch 1 1'!G13-'Touch 1 1'!$AA13-('Touch 1 1'!G$2- 12.5)*'Touch 1 1'!$AC13</f>
        <v>-35.262489894824284</v>
      </c>
      <c r="H13" s="1">
        <f>'Touch 1 1'!H13-'Touch 1 1'!$AA13-('Touch 1 1'!H$2- 12.5)*'Touch 1 1'!$AC13</f>
        <v>-55.222106834082297</v>
      </c>
      <c r="I13" s="1">
        <f>'Touch 1 1'!I13-'Touch 1 1'!$AA13-('Touch 1 1'!I$2- 12.5)*'Touch 1 1'!$AC13</f>
        <v>-15.181723773339968</v>
      </c>
      <c r="J13" s="1">
        <f>'Touch 1 1'!J13-'Touch 1 1'!$AA13-('Touch 1 1'!J$2- 12.5)*'Touch 1 1'!$AC13</f>
        <v>-25.141340712597753</v>
      </c>
      <c r="K13" s="1">
        <f>'Touch 1 1'!K13-'Touch 1 1'!$AA13-('Touch 1 1'!K$2- 12.5)*'Touch 1 1'!$AC13</f>
        <v>44.899042348144462</v>
      </c>
      <c r="L13" s="1">
        <f>'Touch 1 1'!L13-'Touch 1 1'!$AA13-('Touch 1 1'!L$2- 12.5)*'Touch 1 1'!$AC13</f>
        <v>-35.060574591113323</v>
      </c>
      <c r="M13" s="1">
        <f>'Touch 1 1'!M13-'Touch 1 1'!$AA13-('Touch 1 1'!M$2- 12.5)*'Touch 1 1'!$AC13</f>
        <v>54.979808469628892</v>
      </c>
      <c r="N13" s="1">
        <f>'Touch 1 1'!N13-'Touch 1 1'!$AA13-('Touch 1 1'!N$2- 12.5)*'Touch 1 1'!$AC13</f>
        <v>45.020191530371108</v>
      </c>
      <c r="O13" s="1">
        <f>'Touch 1 1'!O13-'Touch 1 1'!$AA13-('Touch 1 1'!O$2- 12.5)*'Touch 1 1'!$AC13</f>
        <v>115.06057459111332</v>
      </c>
      <c r="P13" s="1">
        <f>'Touch 1 1'!P13-'Touch 1 1'!$AA13-('Touch 1 1'!P$2- 12.5)*'Touch 1 1'!$AC13</f>
        <v>55.100957651855538</v>
      </c>
      <c r="Q13" s="1">
        <f>'Touch 1 1'!Q13-'Touch 1 1'!$AA13-('Touch 1 1'!Q$2- 12.5)*'Touch 1 1'!$AC13</f>
        <v>25.141340712597753</v>
      </c>
      <c r="R13" s="1">
        <f>'Touch 1 1'!R13-'Touch 1 1'!$AA13-('Touch 1 1'!R$2- 12.5)*'Touch 1 1'!$AC13</f>
        <v>25.181723773339968</v>
      </c>
      <c r="S13" s="1">
        <f>'Touch 1 1'!S13-'Touch 1 1'!$AA13-('Touch 1 1'!S$2- 12.5)*'Touch 1 1'!$AC13</f>
        <v>-134.7778931659177</v>
      </c>
      <c r="T13" s="1">
        <f>'Touch 1 1'!T13-'Touch 1 1'!$AA13-('Touch 1 1'!T$2- 12.5)*'Touch 1 1'!$AC13</f>
        <v>-104.73751010517572</v>
      </c>
      <c r="U13" s="1">
        <f>'Touch 1 1'!U13-'Touch 1 1'!$AA13-('Touch 1 1'!U$2- 12.5)*'Touch 1 1'!$AC13</f>
        <v>-74.697127044433273</v>
      </c>
      <c r="V13" s="1">
        <f>'Touch 1 1'!V13-'Touch 1 1'!$AA13-('Touch 1 1'!V$2- 12.5)*'Touch 1 1'!$AC13</f>
        <v>-14.656743983691285</v>
      </c>
      <c r="W13" s="1">
        <f>'Touch 1 1'!W13-'Touch 1 1'!$AA13-('Touch 1 1'!W$2- 12.5)*'Touch 1 1'!$AC13</f>
        <v>-74.616360922948843</v>
      </c>
      <c r="X13" s="1">
        <f>'Touch 1 1'!X13-'Touch 1 1'!$AA13-('Touch 1 1'!X$2- 12.5)*'Touch 1 1'!$AC13</f>
        <v>5.4240221377931448</v>
      </c>
      <c r="Y13" s="1">
        <f>'Touch 1 1'!Y13-'Touch 1 1'!$AA13-('Touch 1 1'!Y$2- 12.5)*'Touch 1 1'!$AC13</f>
        <v>65.464405198535587</v>
      </c>
      <c r="AB13" s="1">
        <f>STDEV(B13:Y13)</f>
        <v>70.521978543598166</v>
      </c>
      <c r="AD13" s="11" t="s">
        <v>45</v>
      </c>
      <c r="AE13" s="11">
        <v>4</v>
      </c>
      <c r="AF13" s="11">
        <v>8</v>
      </c>
      <c r="AG13" s="11" t="s">
        <v>44</v>
      </c>
      <c r="AH13" s="11">
        <v>7</v>
      </c>
      <c r="AI13" s="11">
        <v>2</v>
      </c>
      <c r="AJ13" s="11" t="s">
        <v>46</v>
      </c>
      <c r="AK13" s="11">
        <v>6</v>
      </c>
      <c r="AL13" s="11">
        <v>9</v>
      </c>
      <c r="AM13" s="11">
        <v>1</v>
      </c>
      <c r="AN13" s="11">
        <v>5</v>
      </c>
      <c r="AO13" s="11">
        <v>3</v>
      </c>
      <c r="AP13" s="11">
        <v>4</v>
      </c>
      <c r="AQ13" s="11" t="s">
        <v>45</v>
      </c>
      <c r="AR13" s="11" t="s">
        <v>44</v>
      </c>
      <c r="AS13" s="11">
        <v>8</v>
      </c>
      <c r="AT13" s="11">
        <v>2</v>
      </c>
      <c r="AU13" s="11">
        <v>7</v>
      </c>
      <c r="AV13" s="11">
        <v>6</v>
      </c>
      <c r="AW13" s="11" t="s">
        <v>46</v>
      </c>
      <c r="AX13" s="11">
        <v>9</v>
      </c>
      <c r="AY13" s="11">
        <v>5</v>
      </c>
      <c r="AZ13" s="11">
        <v>1</v>
      </c>
      <c r="BA13" s="11">
        <v>3</v>
      </c>
      <c r="BB13" s="5"/>
      <c r="BC13" s="1">
        <f ca="1">OFFSET(A13,0, 10) -0</f>
        <v>44.899042348144462</v>
      </c>
      <c r="BD13" s="1">
        <f ca="1">OFFSET(A13,0, 6) -0</f>
        <v>-35.262489894824284</v>
      </c>
      <c r="BE13" s="1">
        <f ca="1">OFFSET(A13,0, 12) -0</f>
        <v>54.979808469628892</v>
      </c>
      <c r="BF13" s="1">
        <f ca="1">OFFSET(A13,0, 2) -0</f>
        <v>134.57597786220686</v>
      </c>
      <c r="BG13" s="1">
        <f ca="1">OFFSET(A13,0, 11) -0</f>
        <v>-35.060574591113323</v>
      </c>
      <c r="BH13" s="1">
        <f ca="1">OFFSET(A13,0, 8) -0</f>
        <v>-15.181723773339968</v>
      </c>
      <c r="BI13" s="1">
        <f ca="1">OFFSET(A13,0, 5) -0</f>
        <v>-115.30287295556673</v>
      </c>
      <c r="BJ13" s="1">
        <f ca="1">OFFSET(A13,0, 3) -0</f>
        <v>64.616360922948843</v>
      </c>
      <c r="BK13" s="1">
        <f ca="1">OFFSET(A13,0, 9) -0</f>
        <v>-25.141340712597753</v>
      </c>
      <c r="BL13" s="1">
        <f ca="1">OFFSET(A13,0, 4) -0</f>
        <v>-5.3432560163087146</v>
      </c>
      <c r="BM13" s="1">
        <f ca="1">OFFSET(A13,0, 1) -0</f>
        <v>54.535594801464413</v>
      </c>
      <c r="BN13" s="1">
        <f ca="1">OFFSET(A13,0, 7) -0</f>
        <v>-55.222106834082297</v>
      </c>
      <c r="BO13" s="1">
        <f ca="1">OFFSET(A13,0, 23) -0</f>
        <v>5.4240221377931448</v>
      </c>
      <c r="BP13" s="1">
        <f ca="1">OFFSET(A13,0, 17) -0</f>
        <v>25.181723773339968</v>
      </c>
      <c r="BQ13" s="1">
        <f ca="1">OFFSET(A13,0, 24) -0</f>
        <v>65.464405198535587</v>
      </c>
      <c r="BR13" s="1">
        <f ca="1">OFFSET(A13,0, 13) -0</f>
        <v>45.020191530371108</v>
      </c>
      <c r="BS13" s="1">
        <f ca="1">OFFSET(A13,0, 22) -0</f>
        <v>-74.616360922948843</v>
      </c>
      <c r="BT13" s="1">
        <f ca="1">OFFSET(A13,0, 19) -0</f>
        <v>-104.73751010517572</v>
      </c>
      <c r="BU13" s="1">
        <f ca="1">OFFSET(A13,0, 18) -0</f>
        <v>-134.7778931659177</v>
      </c>
      <c r="BV13" s="1">
        <f ca="1">OFFSET(A13,0, 16) -0</f>
        <v>25.141340712597753</v>
      </c>
      <c r="BW13" s="1">
        <f ca="1">OFFSET(A13,0, 21) -0</f>
        <v>-14.656743983691285</v>
      </c>
      <c r="BX13" s="1">
        <f ca="1">OFFSET(A13,0, 15) -0</f>
        <v>55.100957651855538</v>
      </c>
      <c r="BY13" s="1">
        <f ca="1">OFFSET(A13,0, 14) -0</f>
        <v>115.06057459111332</v>
      </c>
      <c r="BZ13" s="1">
        <f ca="1">OFFSET(A13,0, 20) -0</f>
        <v>-74.697127044433273</v>
      </c>
      <c r="CB13" s="1">
        <f>COUNTIF(B13,"&lt;-74")</f>
        <v>0</v>
      </c>
      <c r="CC13" s="1">
        <f ca="1">COUNTIF(BC13:BN13,"&lt;-52")</f>
        <v>2</v>
      </c>
      <c r="CD13" s="1">
        <f ca="1">COUNTIF(BC13:BN13,"&gt;+52")</f>
        <v>4</v>
      </c>
      <c r="CE13" s="1">
        <f ca="1">COUNTIF(BO13:BZ13,"&lt;-52")</f>
        <v>4</v>
      </c>
      <c r="CF13" s="1">
        <f ca="1">COUNTIF(BO13:BZ13,"&gt;+52")</f>
        <v>3</v>
      </c>
    </row>
    <row r="14" spans="1:84">
      <c r="A14" s="1">
        <v>11</v>
      </c>
      <c r="B14" s="1">
        <f>'Touch 1 1'!B14-'Touch 1 1'!$AA14-('Touch 1 1'!B$2- 12.5)*'Touch 1 1'!$AC14</f>
        <v>81.497029071075303</v>
      </c>
      <c r="C14" s="1">
        <f>'Touch 1 1'!C14-'Touch 1 1'!$AA14-('Touch 1 1'!C$2- 12.5)*'Touch 1 1'!$AC14</f>
        <v>71.837867122866555</v>
      </c>
      <c r="D14" s="1">
        <f>'Touch 1 1'!D14-'Touch 1 1'!$AA14-('Touch 1 1'!D$2- 12.5)*'Touch 1 1'!$AC14</f>
        <v>52.178705174657352</v>
      </c>
      <c r="E14" s="1">
        <f>'Touch 1 1'!E14-'Touch 1 1'!$AA14-('Touch 1 1'!E$2- 12.5)*'Touch 1 1'!$AC14</f>
        <v>12.519543226448377</v>
      </c>
      <c r="F14" s="1">
        <f>'Touch 1 1'!F14-'Touch 1 1'!$AA14-('Touch 1 1'!F$2- 12.5)*'Touch 1 1'!$AC14</f>
        <v>-17.139618721760826</v>
      </c>
      <c r="G14" s="1">
        <f>'Touch 1 1'!G14-'Touch 1 1'!$AA14-('Touch 1 1'!G$2- 12.5)*'Touch 1 1'!$AC14</f>
        <v>13.201219330030199</v>
      </c>
      <c r="H14" s="1">
        <f>'Touch 1 1'!H14-'Touch 1 1'!$AA14-('Touch 1 1'!H$2- 12.5)*'Touch 1 1'!$AC14</f>
        <v>-96.457942618178777</v>
      </c>
      <c r="I14" s="1">
        <f>'Touch 1 1'!I14-'Touch 1 1'!$AA14-('Touch 1 1'!I$2- 12.5)*'Touch 1 1'!$AC14</f>
        <v>-96.117104566387866</v>
      </c>
      <c r="J14" s="1">
        <f>'Touch 1 1'!J14-'Touch 1 1'!$AA14-('Touch 1 1'!J$2- 12.5)*'Touch 1 1'!$AC14</f>
        <v>-75.776266514596841</v>
      </c>
      <c r="K14" s="1">
        <f>'Touch 1 1'!K14-'Touch 1 1'!$AA14-('Touch 1 1'!K$2- 12.5)*'Touch 1 1'!$AC14</f>
        <v>-35.43542846280593</v>
      </c>
      <c r="L14" s="1">
        <f>'Touch 1 1'!L14-'Touch 1 1'!$AA14-('Touch 1 1'!L$2- 12.5)*'Touch 1 1'!$AC14</f>
        <v>44.905409588985094</v>
      </c>
      <c r="M14" s="1">
        <f>'Touch 1 1'!M14-'Touch 1 1'!$AA14-('Touch 1 1'!M$2- 12.5)*'Touch 1 1'!$AC14</f>
        <v>5.2462476407760334</v>
      </c>
      <c r="N14" s="1">
        <f>'Touch 1 1'!N14-'Touch 1 1'!$AA14-('Touch 1 1'!N$2- 12.5)*'Touch 1 1'!$AC14</f>
        <v>155.587085692567</v>
      </c>
      <c r="O14" s="1">
        <f>'Touch 1 1'!O14-'Touch 1 1'!$AA14-('Touch 1 1'!O$2- 12.5)*'Touch 1 1'!$AC14</f>
        <v>55.92792374435794</v>
      </c>
      <c r="P14" s="1">
        <f>'Touch 1 1'!P14-'Touch 1 1'!$AA14-('Touch 1 1'!P$2- 12.5)*'Touch 1 1'!$AC14</f>
        <v>-3.731238203851035</v>
      </c>
      <c r="Q14" s="1">
        <f>'Touch 1 1'!Q14-'Touch 1 1'!$AA14-('Touch 1 1'!Q$2- 12.5)*'Touch 1 1'!$AC14</f>
        <v>-53.390400152060124</v>
      </c>
      <c r="R14" s="1">
        <f>'Touch 1 1'!R14-'Touch 1 1'!$AA14-('Touch 1 1'!R$2- 12.5)*'Touch 1 1'!$AC14</f>
        <v>-63.0495621002691</v>
      </c>
      <c r="S14" s="1">
        <f>'Touch 1 1'!S14-'Touch 1 1'!$AA14-('Touch 1 1'!S$2- 12.5)*'Touch 1 1'!$AC14</f>
        <v>-2.7087240484781887</v>
      </c>
      <c r="T14" s="1">
        <f>'Touch 1 1'!T14-'Touch 1 1'!$AA14-('Touch 1 1'!T$2- 12.5)*'Touch 1 1'!$AC14</f>
        <v>-2.3678859966871642</v>
      </c>
      <c r="U14" s="1">
        <f>'Touch 1 1'!U14-'Touch 1 1'!$AA14-('Touch 1 1'!U$2- 12.5)*'Touch 1 1'!$AC14</f>
        <v>-82.02704794489614</v>
      </c>
      <c r="V14" s="1">
        <f>'Touch 1 1'!V14-'Touch 1 1'!$AA14-('Touch 1 1'!V$2- 12.5)*'Touch 1 1'!$AC14</f>
        <v>-21.686209893105342</v>
      </c>
      <c r="W14" s="1">
        <f>'Touch 1 1'!W14-'Touch 1 1'!$AA14-('Touch 1 1'!W$2- 12.5)*'Touch 1 1'!$AC14</f>
        <v>8.6546281586856821</v>
      </c>
      <c r="X14" s="1">
        <f>'Touch 1 1'!X14-'Touch 1 1'!$AA14-('Touch 1 1'!X$2- 12.5)*'Touch 1 1'!$AC14</f>
        <v>28.995466210476479</v>
      </c>
      <c r="Y14" s="1">
        <f>'Touch 1 1'!Y14-'Touch 1 1'!$AA14-('Touch 1 1'!Y$2- 12.5)*'Touch 1 1'!$AC14</f>
        <v>19.336304262267731</v>
      </c>
      <c r="AB14" s="1">
        <f>STDEV(B14:Y14)</f>
        <v>60.938452997973521</v>
      </c>
      <c r="AD14" s="11" t="s">
        <v>45</v>
      </c>
      <c r="AE14" s="11">
        <v>4</v>
      </c>
      <c r="AF14" s="11">
        <v>8</v>
      </c>
      <c r="AG14" s="11" t="s">
        <v>44</v>
      </c>
      <c r="AH14" s="11">
        <v>7</v>
      </c>
      <c r="AI14" s="11">
        <v>2</v>
      </c>
      <c r="AJ14" s="11" t="s">
        <v>46</v>
      </c>
      <c r="AK14" s="11">
        <v>6</v>
      </c>
      <c r="AL14" s="11">
        <v>5</v>
      </c>
      <c r="AM14" s="11">
        <v>9</v>
      </c>
      <c r="AN14" s="11">
        <v>3</v>
      </c>
      <c r="AO14" s="11">
        <v>1</v>
      </c>
      <c r="AP14" s="11" t="s">
        <v>45</v>
      </c>
      <c r="AQ14" s="11">
        <v>8</v>
      </c>
      <c r="AR14" s="11">
        <v>4</v>
      </c>
      <c r="AS14" s="11">
        <v>7</v>
      </c>
      <c r="AT14" s="11" t="s">
        <v>44</v>
      </c>
      <c r="AU14" s="11" t="s">
        <v>46</v>
      </c>
      <c r="AV14" s="11">
        <v>2</v>
      </c>
      <c r="AW14" s="11">
        <v>5</v>
      </c>
      <c r="AX14" s="11">
        <v>6</v>
      </c>
      <c r="AY14" s="11">
        <v>9</v>
      </c>
      <c r="AZ14" s="11">
        <v>1</v>
      </c>
      <c r="BA14" s="11">
        <v>3</v>
      </c>
      <c r="BB14" s="5"/>
      <c r="BC14" s="1">
        <f ca="1">OFFSET(A14,0, 12) -0</f>
        <v>5.2462476407760334</v>
      </c>
      <c r="BD14" s="1">
        <f ca="1">OFFSET(A14,0, 6) -0</f>
        <v>13.201219330030199</v>
      </c>
      <c r="BE14" s="1">
        <f ca="1">OFFSET(A14,0, 11) -0</f>
        <v>44.905409588985094</v>
      </c>
      <c r="BF14" s="1">
        <f ca="1">OFFSET(A14,0, 2) -0</f>
        <v>71.837867122866555</v>
      </c>
      <c r="BG14" s="1">
        <f ca="1">OFFSET(A14,0, 9) -0</f>
        <v>-75.776266514596841</v>
      </c>
      <c r="BH14" s="1">
        <f ca="1">OFFSET(A14,0, 8) -0</f>
        <v>-96.117104566387866</v>
      </c>
      <c r="BI14" s="1">
        <f ca="1">OFFSET(A14,0, 5) -0</f>
        <v>-17.139618721760826</v>
      </c>
      <c r="BJ14" s="1">
        <f ca="1">OFFSET(A14,0, 3) -0</f>
        <v>52.178705174657352</v>
      </c>
      <c r="BK14" s="1">
        <f ca="1">OFFSET(A14,0, 10) -0</f>
        <v>-35.43542846280593</v>
      </c>
      <c r="BL14" s="1">
        <f ca="1">OFFSET(A14,0, 4) -0</f>
        <v>12.519543226448377</v>
      </c>
      <c r="BM14" s="1">
        <f ca="1">OFFSET(A14,0, 1) -0</f>
        <v>81.497029071075303</v>
      </c>
      <c r="BN14" s="1">
        <f ca="1">OFFSET(A14,0, 7) -0</f>
        <v>-96.457942618178777</v>
      </c>
      <c r="BO14" s="1">
        <f ca="1">OFFSET(A14,0, 23) -0</f>
        <v>28.995466210476479</v>
      </c>
      <c r="BP14" s="1">
        <f ca="1">OFFSET(A14,0, 19) -0</f>
        <v>-2.3678859966871642</v>
      </c>
      <c r="BQ14" s="1">
        <f ca="1">OFFSET(A14,0, 24) -0</f>
        <v>19.336304262267731</v>
      </c>
      <c r="BR14" s="1">
        <f ca="1">OFFSET(A14,0, 15) -0</f>
        <v>-3.731238203851035</v>
      </c>
      <c r="BS14" s="1">
        <f ca="1">OFFSET(A14,0, 20) -0</f>
        <v>-82.02704794489614</v>
      </c>
      <c r="BT14" s="1">
        <f ca="1">OFFSET(A14,0, 21) -0</f>
        <v>-21.686209893105342</v>
      </c>
      <c r="BU14" s="1">
        <f ca="1">OFFSET(A14,0, 16) -0</f>
        <v>-53.390400152060124</v>
      </c>
      <c r="BV14" s="1">
        <f ca="1">OFFSET(A14,0, 14) -0</f>
        <v>55.92792374435794</v>
      </c>
      <c r="BW14" s="1">
        <f ca="1">OFFSET(A14,0, 22) -0</f>
        <v>8.6546281586856821</v>
      </c>
      <c r="BX14" s="1">
        <f ca="1">OFFSET(A14,0, 17) -0</f>
        <v>-63.0495621002691</v>
      </c>
      <c r="BY14" s="1">
        <f ca="1">OFFSET(A14,0, 13) -0</f>
        <v>155.587085692567</v>
      </c>
      <c r="BZ14" s="1">
        <f ca="1">OFFSET(A14,0, 18) -0</f>
        <v>-2.7087240484781887</v>
      </c>
      <c r="CB14" s="1">
        <f>COUNTIF(B14,"&lt;-74")</f>
        <v>0</v>
      </c>
      <c r="CC14" s="1">
        <f ca="1">COUNTIF(BC14:BN14,"&lt;-52")</f>
        <v>3</v>
      </c>
      <c r="CD14" s="1">
        <f ca="1">COUNTIF(BC14:BN14,"&gt;+52")</f>
        <v>3</v>
      </c>
      <c r="CE14" s="1">
        <f ca="1">COUNTIF(BO14:BZ14,"&lt;-52")</f>
        <v>3</v>
      </c>
      <c r="CF14" s="1">
        <f ca="1">COUNTIF(BO14:BZ14,"&gt;+52")</f>
        <v>2</v>
      </c>
    </row>
    <row r="15" spans="1:84">
      <c r="A15" s="1">
        <v>12</v>
      </c>
      <c r="B15" s="1">
        <f>'Touch 1 1'!B15-'Touch 1 1'!$AA15-('Touch 1 1'!B$2- 12.5)*'Touch 1 1'!$AC15</f>
        <v>22.653327583330793</v>
      </c>
      <c r="C15" s="1">
        <f>'Touch 1 1'!C15-'Touch 1 1'!$AA15-('Touch 1 1'!C$2- 12.5)*'Touch 1 1'!$AC15</f>
        <v>103.11100924275161</v>
      </c>
      <c r="D15" s="1">
        <f>'Touch 1 1'!D15-'Touch 1 1'!$AA15-('Touch 1 1'!D$2- 12.5)*'Touch 1 1'!$AC15</f>
        <v>13.568690902172648</v>
      </c>
      <c r="E15" s="1">
        <f>'Touch 1 1'!E15-'Touch 1 1'!$AA15-('Touch 1 1'!E$2- 12.5)*'Touch 1 1'!$AC15</f>
        <v>-15.973627438406311</v>
      </c>
      <c r="F15" s="1">
        <f>'Touch 1 1'!F15-'Touch 1 1'!$AA15-('Touch 1 1'!F$2- 12.5)*'Touch 1 1'!$AC15</f>
        <v>-15.515945778985497</v>
      </c>
      <c r="G15" s="1">
        <f>'Touch 1 1'!G15-'Touch 1 1'!$AA15-('Touch 1 1'!G$2- 12.5)*'Touch 1 1'!$AC15</f>
        <v>-65.058264119564456</v>
      </c>
      <c r="H15" s="1">
        <f>'Touch 1 1'!H15-'Touch 1 1'!$AA15-('Touch 1 1'!H$2- 12.5)*'Touch 1 1'!$AC15</f>
        <v>-84.600582460143642</v>
      </c>
      <c r="I15" s="1">
        <f>'Touch 1 1'!I15-'Touch 1 1'!$AA15-('Touch 1 1'!I$2- 12.5)*'Touch 1 1'!$AC15</f>
        <v>-44.1429008007226</v>
      </c>
      <c r="J15" s="1">
        <f>'Touch 1 1'!J15-'Touch 1 1'!$AA15-('Touch 1 1'!J$2- 12.5)*'Touch 1 1'!$AC15</f>
        <v>-63.685219141301786</v>
      </c>
      <c r="K15" s="1">
        <f>'Touch 1 1'!K15-'Touch 1 1'!$AA15-('Touch 1 1'!K$2- 12.5)*'Touch 1 1'!$AC15</f>
        <v>-3.227537481880745</v>
      </c>
      <c r="L15" s="1">
        <f>'Touch 1 1'!L15-'Touch 1 1'!$AA15-('Touch 1 1'!L$2- 12.5)*'Touch 1 1'!$AC15</f>
        <v>57.230144177540126</v>
      </c>
      <c r="M15" s="1">
        <f>'Touch 1 1'!M15-'Touch 1 1'!$AA15-('Touch 1 1'!M$2- 12.5)*'Touch 1 1'!$AC15</f>
        <v>47.687825836961053</v>
      </c>
      <c r="N15" s="1">
        <f>'Touch 1 1'!N15-'Touch 1 1'!$AA15-('Touch 1 1'!N$2- 12.5)*'Touch 1 1'!$AC15</f>
        <v>108.14550749638198</v>
      </c>
      <c r="O15" s="1">
        <f>'Touch 1 1'!O15-'Touch 1 1'!$AA15-('Touch 1 1'!O$2- 12.5)*'Touch 1 1'!$AC15</f>
        <v>58.603189155802909</v>
      </c>
      <c r="P15" s="1">
        <f>'Touch 1 1'!P15-'Touch 1 1'!$AA15-('Touch 1 1'!P$2- 12.5)*'Touch 1 1'!$AC15</f>
        <v>-40.93912918477622</v>
      </c>
      <c r="Q15" s="1">
        <f>'Touch 1 1'!Q15-'Touch 1 1'!$AA15-('Touch 1 1'!Q$2- 12.5)*'Touch 1 1'!$AC15</f>
        <v>-30.481447525355179</v>
      </c>
      <c r="R15" s="1">
        <f>'Touch 1 1'!R15-'Touch 1 1'!$AA15-('Touch 1 1'!R$2- 12.5)*'Touch 1 1'!$AC15</f>
        <v>-30.023765865934365</v>
      </c>
      <c r="S15" s="1">
        <f>'Touch 1 1'!S15-'Touch 1 1'!$AA15-('Touch 1 1'!S$2- 12.5)*'Touch 1 1'!$AC15</f>
        <v>-59.566084206513324</v>
      </c>
      <c r="T15" s="1">
        <f>'Touch 1 1'!T15-'Touch 1 1'!$AA15-('Touch 1 1'!T$2- 12.5)*'Touch 1 1'!$AC15</f>
        <v>-49.10840254709251</v>
      </c>
      <c r="U15" s="1">
        <f>'Touch 1 1'!U15-'Touch 1 1'!$AA15-('Touch 1 1'!U$2- 12.5)*'Touch 1 1'!$AC15</f>
        <v>-88.650720887671469</v>
      </c>
      <c r="V15" s="1">
        <f>'Touch 1 1'!V15-'Touch 1 1'!$AA15-('Touch 1 1'!V$2- 12.5)*'Touch 1 1'!$AC15</f>
        <v>-18.193039228250655</v>
      </c>
      <c r="W15" s="1">
        <f>'Touch 1 1'!W15-'Touch 1 1'!$AA15-('Touch 1 1'!W$2- 12.5)*'Touch 1 1'!$AC15</f>
        <v>82.264642431170387</v>
      </c>
      <c r="X15" s="1">
        <f>'Touch 1 1'!X15-'Touch 1 1'!$AA15-('Touch 1 1'!X$2- 12.5)*'Touch 1 1'!$AC15</f>
        <v>32.722324090591428</v>
      </c>
      <c r="Y15" s="1">
        <f>'Touch 1 1'!Y15-'Touch 1 1'!$AA15-('Touch 1 1'!Y$2- 12.5)*'Touch 1 1'!$AC15</f>
        <v>83.180005750012242</v>
      </c>
      <c r="AB15" s="1">
        <f>STDEV(B15:Y15)</f>
        <v>59.826672216333463</v>
      </c>
      <c r="AD15" s="11">
        <v>8</v>
      </c>
      <c r="AE15" s="11" t="s">
        <v>45</v>
      </c>
      <c r="AF15" s="11">
        <v>7</v>
      </c>
      <c r="AG15" s="11">
        <v>4</v>
      </c>
      <c r="AH15" s="11" t="s">
        <v>46</v>
      </c>
      <c r="AI15" s="11" t="s">
        <v>44</v>
      </c>
      <c r="AJ15" s="11">
        <v>5</v>
      </c>
      <c r="AK15" s="11">
        <v>2</v>
      </c>
      <c r="AL15" s="11">
        <v>9</v>
      </c>
      <c r="AM15" s="11">
        <v>6</v>
      </c>
      <c r="AN15" s="11">
        <v>3</v>
      </c>
      <c r="AO15" s="11">
        <v>1</v>
      </c>
      <c r="AP15" s="11" t="s">
        <v>45</v>
      </c>
      <c r="AQ15" s="11">
        <v>8</v>
      </c>
      <c r="AR15" s="11">
        <v>4</v>
      </c>
      <c r="AS15" s="11">
        <v>7</v>
      </c>
      <c r="AT15" s="11" t="s">
        <v>44</v>
      </c>
      <c r="AU15" s="11" t="s">
        <v>46</v>
      </c>
      <c r="AV15" s="11">
        <v>2</v>
      </c>
      <c r="AW15" s="11">
        <v>5</v>
      </c>
      <c r="AX15" s="11">
        <v>6</v>
      </c>
      <c r="AY15" s="11">
        <v>9</v>
      </c>
      <c r="AZ15" s="11">
        <v>3</v>
      </c>
      <c r="BA15" s="11">
        <v>1</v>
      </c>
      <c r="BB15" s="5"/>
      <c r="BC15" s="1">
        <f ca="1">OFFSET(A15,0, 12) -0</f>
        <v>47.687825836961053</v>
      </c>
      <c r="BD15" s="1">
        <f ca="1">OFFSET(A15,0, 8) -0</f>
        <v>-44.1429008007226</v>
      </c>
      <c r="BE15" s="1">
        <f ca="1">OFFSET(A15,0, 11) -0</f>
        <v>57.230144177540126</v>
      </c>
      <c r="BF15" s="1">
        <f ca="1">OFFSET(A15,0, 4) -0</f>
        <v>-15.973627438406311</v>
      </c>
      <c r="BG15" s="1">
        <f ca="1">OFFSET(A15,0, 7) -0</f>
        <v>-84.600582460143642</v>
      </c>
      <c r="BH15" s="1">
        <f ca="1">OFFSET(A15,0, 10) -0</f>
        <v>-3.227537481880745</v>
      </c>
      <c r="BI15" s="1">
        <f ca="1">OFFSET(A15,0, 3) -0</f>
        <v>13.568690902172648</v>
      </c>
      <c r="BJ15" s="1">
        <f ca="1">OFFSET(A15,0, 1) -0</f>
        <v>22.653327583330793</v>
      </c>
      <c r="BK15" s="1">
        <f ca="1">OFFSET(A15,0, 9) -0</f>
        <v>-63.685219141301786</v>
      </c>
      <c r="BL15" s="1">
        <f ca="1">OFFSET(A15,0, 6) -0</f>
        <v>-65.058264119564456</v>
      </c>
      <c r="BM15" s="1">
        <f ca="1">OFFSET(A15,0, 2) -0</f>
        <v>103.11100924275161</v>
      </c>
      <c r="BN15" s="1">
        <f ca="1">OFFSET(A15,0, 5) -0</f>
        <v>-15.515945778985497</v>
      </c>
      <c r="BO15" s="1">
        <f ca="1">OFFSET(A15,0, 24) -0</f>
        <v>83.180005750012242</v>
      </c>
      <c r="BP15" s="1">
        <f ca="1">OFFSET(A15,0, 19) -0</f>
        <v>-49.10840254709251</v>
      </c>
      <c r="BQ15" s="1">
        <f ca="1">OFFSET(A15,0, 23) -0</f>
        <v>32.722324090591428</v>
      </c>
      <c r="BR15" s="1">
        <f ca="1">OFFSET(A15,0, 15) -0</f>
        <v>-40.93912918477622</v>
      </c>
      <c r="BS15" s="1">
        <f ca="1">OFFSET(A15,0, 20) -0</f>
        <v>-88.650720887671469</v>
      </c>
      <c r="BT15" s="1">
        <f ca="1">OFFSET(A15,0, 21) -0</f>
        <v>-18.193039228250655</v>
      </c>
      <c r="BU15" s="1">
        <f ca="1">OFFSET(A15,0, 16) -0</f>
        <v>-30.481447525355179</v>
      </c>
      <c r="BV15" s="1">
        <f ca="1">OFFSET(A15,0, 14) -0</f>
        <v>58.603189155802909</v>
      </c>
      <c r="BW15" s="1">
        <f ca="1">OFFSET(A15,0, 22) -0</f>
        <v>82.264642431170387</v>
      </c>
      <c r="BX15" s="1">
        <f ca="1">OFFSET(A15,0, 17) -0</f>
        <v>-30.023765865934365</v>
      </c>
      <c r="BY15" s="1">
        <f ca="1">OFFSET(A15,0, 13) -0</f>
        <v>108.14550749638198</v>
      </c>
      <c r="BZ15" s="1">
        <f ca="1">OFFSET(A15,0, 18) -0</f>
        <v>-59.566084206513324</v>
      </c>
      <c r="CB15" s="1">
        <f>COUNTIF(B15,"&lt;-74")</f>
        <v>0</v>
      </c>
      <c r="CC15" s="1">
        <f ca="1">COUNTIF(BC15:BN15,"&lt;-52")</f>
        <v>3</v>
      </c>
      <c r="CD15" s="1">
        <f ca="1">COUNTIF(BC15:BN15,"&gt;+52")</f>
        <v>2</v>
      </c>
      <c r="CE15" s="1">
        <f ca="1">COUNTIF(BO15:BZ15,"&lt;-52")</f>
        <v>2</v>
      </c>
      <c r="CF15" s="1">
        <f ca="1">COUNTIF(BO15:BZ15,"&gt;+52")</f>
        <v>4</v>
      </c>
    </row>
    <row r="16" spans="1:84">
      <c r="A16" s="1">
        <v>13</v>
      </c>
      <c r="B16" s="1">
        <f>'Touch 1 1'!B16-'Touch 1 1'!$AA16-('Touch 1 1'!B$2- 12.5)*'Touch 1 1'!$AC16</f>
        <v>39.269024774515856</v>
      </c>
      <c r="C16" s="1">
        <f>'Touch 1 1'!C16-'Touch 1 1'!$AA16-('Touch 1 1'!C$2- 12.5)*'Touch 1 1'!$AC16</f>
        <v>148.8253414607907</v>
      </c>
      <c r="D16" s="1">
        <f>'Touch 1 1'!D16-'Touch 1 1'!$AA16-('Touch 1 1'!D$2- 12.5)*'Touch 1 1'!$AC16</f>
        <v>108.38165814706485</v>
      </c>
      <c r="E16" s="1">
        <f>'Touch 1 1'!E16-'Touch 1 1'!$AA16-('Touch 1 1'!E$2- 12.5)*'Touch 1 1'!$AC16</f>
        <v>17.93797483333924</v>
      </c>
      <c r="F16" s="1">
        <f>'Touch 1 1'!F16-'Touch 1 1'!$AA16-('Touch 1 1'!F$2- 12.5)*'Touch 1 1'!$AC16</f>
        <v>-52.505708480386375</v>
      </c>
      <c r="G16" s="1">
        <f>'Touch 1 1'!G16-'Touch 1 1'!$AA16-('Touch 1 1'!G$2- 12.5)*'Touch 1 1'!$AC16</f>
        <v>-52.949391794111989</v>
      </c>
      <c r="H16" s="1">
        <f>'Touch 1 1'!H16-'Touch 1 1'!$AA16-('Touch 1 1'!H$2- 12.5)*'Touch 1 1'!$AC16</f>
        <v>-73.393075107837603</v>
      </c>
      <c r="I16" s="1">
        <f>'Touch 1 1'!I16-'Touch 1 1'!$AA16-('Touch 1 1'!I$2- 12.5)*'Touch 1 1'!$AC16</f>
        <v>-33.836758421563218</v>
      </c>
      <c r="J16" s="1">
        <f>'Touch 1 1'!J16-'Touch 1 1'!$AA16-('Touch 1 1'!J$2- 12.5)*'Touch 1 1'!$AC16</f>
        <v>-74.280441735288832</v>
      </c>
      <c r="K16" s="1">
        <f>'Touch 1 1'!K16-'Touch 1 1'!$AA16-('Touch 1 1'!K$2- 12.5)*'Touch 1 1'!$AC16</f>
        <v>-34.724125049014447</v>
      </c>
      <c r="L16" s="1">
        <f>'Touch 1 1'!L16-'Touch 1 1'!$AA16-('Touch 1 1'!L$2- 12.5)*'Touch 1 1'!$AC16</f>
        <v>34.832191637259939</v>
      </c>
      <c r="M16" s="1">
        <f>'Touch 1 1'!M16-'Touch 1 1'!$AA16-('Touch 1 1'!M$2- 12.5)*'Touch 1 1'!$AC16</f>
        <v>34.388508323534325</v>
      </c>
      <c r="N16" s="1">
        <f>'Touch 1 1'!N16-'Touch 1 1'!$AA16-('Touch 1 1'!N$2- 12.5)*'Touch 1 1'!$AC16</f>
        <v>43.94482500980871</v>
      </c>
      <c r="O16" s="1">
        <f>'Touch 1 1'!O16-'Touch 1 1'!$AA16-('Touch 1 1'!O$2- 12.5)*'Touch 1 1'!$AC16</f>
        <v>-16.498858303916904</v>
      </c>
      <c r="P16" s="1">
        <f>'Touch 1 1'!P16-'Touch 1 1'!$AA16-('Touch 1 1'!P$2- 12.5)*'Touch 1 1'!$AC16</f>
        <v>73.057458382357481</v>
      </c>
      <c r="Q16" s="1">
        <f>'Touch 1 1'!Q16-'Touch 1 1'!$AA16-('Touch 1 1'!Q$2- 12.5)*'Touch 1 1'!$AC16</f>
        <v>32.613775068631867</v>
      </c>
      <c r="R16" s="1">
        <f>'Touch 1 1'!R16-'Touch 1 1'!$AA16-('Touch 1 1'!R$2- 12.5)*'Touch 1 1'!$AC16</f>
        <v>-27.829908245093748</v>
      </c>
      <c r="S16" s="1">
        <f>'Touch 1 1'!S16-'Touch 1 1'!$AA16-('Touch 1 1'!S$2- 12.5)*'Touch 1 1'!$AC16</f>
        <v>-98.273591558819362</v>
      </c>
      <c r="T16" s="1">
        <f>'Touch 1 1'!T16-'Touch 1 1'!$AA16-('Touch 1 1'!T$2- 12.5)*'Touch 1 1'!$AC16</f>
        <v>-88.717274872544976</v>
      </c>
      <c r="U16" s="1">
        <f>'Touch 1 1'!U16-'Touch 1 1'!$AA16-('Touch 1 1'!U$2- 12.5)*'Touch 1 1'!$AC16</f>
        <v>10.839041813729409</v>
      </c>
      <c r="V16" s="1">
        <f>'Touch 1 1'!V16-'Touch 1 1'!$AA16-('Touch 1 1'!V$2- 12.5)*'Touch 1 1'!$AC16</f>
        <v>-9.6046414999962053</v>
      </c>
      <c r="W16" s="1">
        <f>'Touch 1 1'!W16-'Touch 1 1'!$AA16-('Touch 1 1'!W$2- 12.5)*'Touch 1 1'!$AC16</f>
        <v>-40.04832481372182</v>
      </c>
      <c r="X16" s="1">
        <f>'Touch 1 1'!X16-'Touch 1 1'!$AA16-('Touch 1 1'!X$2- 12.5)*'Touch 1 1'!$AC16</f>
        <v>9.5079918725523385</v>
      </c>
      <c r="Y16" s="1">
        <f>'Touch 1 1'!Y16-'Touch 1 1'!$AA16-('Touch 1 1'!Y$2- 12.5)*'Touch 1 1'!$AC16</f>
        <v>49.064308558827179</v>
      </c>
      <c r="AB16" s="1">
        <f>STDEV(B16:Y16)</f>
        <v>61.921840301515502</v>
      </c>
      <c r="AD16" s="11">
        <v>8</v>
      </c>
      <c r="AE16" s="11" t="s">
        <v>45</v>
      </c>
      <c r="AF16" s="11">
        <v>7</v>
      </c>
      <c r="AG16" s="11">
        <v>4</v>
      </c>
      <c r="AH16" s="11" t="s">
        <v>46</v>
      </c>
      <c r="AI16" s="11" t="s">
        <v>44</v>
      </c>
      <c r="AJ16" s="11">
        <v>5</v>
      </c>
      <c r="AK16" s="11">
        <v>2</v>
      </c>
      <c r="AL16" s="11">
        <v>9</v>
      </c>
      <c r="AM16" s="11">
        <v>6</v>
      </c>
      <c r="AN16" s="11">
        <v>1</v>
      </c>
      <c r="AO16" s="11">
        <v>3</v>
      </c>
      <c r="AP16" s="11">
        <v>8</v>
      </c>
      <c r="AQ16" s="11">
        <v>7</v>
      </c>
      <c r="AR16" s="11" t="s">
        <v>45</v>
      </c>
      <c r="AS16" s="11" t="s">
        <v>46</v>
      </c>
      <c r="AT16" s="11">
        <v>4</v>
      </c>
      <c r="AU16" s="11">
        <v>5</v>
      </c>
      <c r="AV16" s="11" t="s">
        <v>44</v>
      </c>
      <c r="AW16" s="11">
        <v>9</v>
      </c>
      <c r="AX16" s="11">
        <v>2</v>
      </c>
      <c r="AY16" s="11">
        <v>6</v>
      </c>
      <c r="AZ16" s="11">
        <v>3</v>
      </c>
      <c r="BA16" s="11">
        <v>1</v>
      </c>
      <c r="BB16" s="5"/>
      <c r="BC16" s="1">
        <f ca="1">OFFSET(A16,0, 11) -0</f>
        <v>34.832191637259939</v>
      </c>
      <c r="BD16" s="1">
        <f ca="1">OFFSET(A16,0, 8) -0</f>
        <v>-33.836758421563218</v>
      </c>
      <c r="BE16" s="1">
        <f ca="1">OFFSET(A16,0, 12) -0</f>
        <v>34.388508323534325</v>
      </c>
      <c r="BF16" s="1">
        <f ca="1">OFFSET(A16,0, 4) -0</f>
        <v>17.93797483333924</v>
      </c>
      <c r="BG16" s="1">
        <f ca="1">OFFSET(A16,0, 7) -0</f>
        <v>-73.393075107837603</v>
      </c>
      <c r="BH16" s="1">
        <f ca="1">OFFSET(A16,0, 10) -0</f>
        <v>-34.724125049014447</v>
      </c>
      <c r="BI16" s="1">
        <f ca="1">OFFSET(A16,0, 3) -0</f>
        <v>108.38165814706485</v>
      </c>
      <c r="BJ16" s="1">
        <f ca="1">OFFSET(A16,0, 1) -0</f>
        <v>39.269024774515856</v>
      </c>
      <c r="BK16" s="1">
        <f ca="1">OFFSET(A16,0, 9) -0</f>
        <v>-74.280441735288832</v>
      </c>
      <c r="BL16" s="1">
        <f ca="1">OFFSET(A16,0, 6) -0</f>
        <v>-52.949391794111989</v>
      </c>
      <c r="BM16" s="1">
        <f ca="1">OFFSET(A16,0, 2) -0</f>
        <v>148.8253414607907</v>
      </c>
      <c r="BN16" s="1">
        <f ca="1">OFFSET(A16,0, 5) -0</f>
        <v>-52.505708480386375</v>
      </c>
      <c r="BO16" s="1">
        <f ca="1">OFFSET(A16,0, 24) -0</f>
        <v>49.064308558827179</v>
      </c>
      <c r="BP16" s="1">
        <f ca="1">OFFSET(A16,0, 21) -0</f>
        <v>-9.6046414999962053</v>
      </c>
      <c r="BQ16" s="1">
        <f ca="1">OFFSET(A16,0, 23) -0</f>
        <v>9.5079918725523385</v>
      </c>
      <c r="BR16" s="1">
        <f ca="1">OFFSET(A16,0, 17) -0</f>
        <v>-27.829908245093748</v>
      </c>
      <c r="BS16" s="1">
        <f ca="1">OFFSET(A16,0, 18) -0</f>
        <v>-98.273591558819362</v>
      </c>
      <c r="BT16" s="1">
        <f ca="1">OFFSET(A16,0, 22) -0</f>
        <v>-40.04832481372182</v>
      </c>
      <c r="BU16" s="1">
        <f ca="1">OFFSET(A16,0, 14) -0</f>
        <v>-16.498858303916904</v>
      </c>
      <c r="BV16" s="1">
        <f ca="1">OFFSET(A16,0, 13) -0</f>
        <v>43.94482500980871</v>
      </c>
      <c r="BW16" s="1">
        <f ca="1">OFFSET(A16,0, 20) -0</f>
        <v>10.839041813729409</v>
      </c>
      <c r="BX16" s="1">
        <f ca="1">OFFSET(A16,0, 19) -0</f>
        <v>-88.717274872544976</v>
      </c>
      <c r="BY16" s="1">
        <f ca="1">OFFSET(A16,0, 15) -0</f>
        <v>73.057458382357481</v>
      </c>
      <c r="BZ16" s="1">
        <f ca="1">OFFSET(A16,0, 16) -0</f>
        <v>32.613775068631867</v>
      </c>
      <c r="CB16" s="1">
        <f>COUNTIF(B16,"&lt;-74")</f>
        <v>0</v>
      </c>
      <c r="CC16" s="1">
        <f ca="1">COUNTIF(BC16:BN16,"&lt;-53")</f>
        <v>2</v>
      </c>
      <c r="CD16" s="1">
        <f ca="1">COUNTIF(BC16:BN16,"&gt;+53")</f>
        <v>2</v>
      </c>
      <c r="CE16" s="1">
        <f ca="1">COUNTIF(BO16:BZ16,"&lt;-53")</f>
        <v>2</v>
      </c>
      <c r="CF16" s="1">
        <f ca="1">COUNTIF(BO16:BZ16,"&gt;+53")</f>
        <v>1</v>
      </c>
    </row>
    <row r="17" spans="1:84">
      <c r="A17" s="1">
        <v>14</v>
      </c>
      <c r="B17" s="1">
        <f>'Touch 1 1'!B17-'Touch 1 1'!$AA17-('Touch 1 1'!B$2- 12.5)*'Touch 1 1'!$AC17</f>
        <v>7.5368541960660878</v>
      </c>
      <c r="C17" s="1">
        <f>'Touch 1 1'!C17-'Touch 1 1'!$AA17-('Touch 1 1'!C$2- 12.5)*'Touch 1 1'!$AC17</f>
        <v>-12.973596893447848</v>
      </c>
      <c r="D17" s="1">
        <f>'Touch 1 1'!D17-'Touch 1 1'!$AA17-('Touch 1 1'!D$2- 12.5)*'Touch 1 1'!$AC17</f>
        <v>-13.484047982961783</v>
      </c>
      <c r="E17" s="1">
        <f>'Touch 1 1'!E17-'Touch 1 1'!$AA17-('Touch 1 1'!E$2- 12.5)*'Touch 1 1'!$AC17</f>
        <v>66.005500927524508</v>
      </c>
      <c r="F17" s="1">
        <f>'Touch 1 1'!F17-'Touch 1 1'!$AA17-('Touch 1 1'!F$2- 12.5)*'Touch 1 1'!$AC17</f>
        <v>-4.5049501619894272</v>
      </c>
      <c r="G17" s="1">
        <f>'Touch 1 1'!G17-'Touch 1 1'!$AA17-('Touch 1 1'!G$2- 12.5)*'Touch 1 1'!$AC17</f>
        <v>24.984598748496865</v>
      </c>
      <c r="H17" s="1">
        <f>'Touch 1 1'!H17-'Touch 1 1'!$AA17-('Touch 1 1'!H$2- 12.5)*'Touch 1 1'!$AC17</f>
        <v>34.474147658982929</v>
      </c>
      <c r="I17" s="1">
        <f>'Touch 1 1'!I17-'Touch 1 1'!$AA17-('Touch 1 1'!I$2- 12.5)*'Touch 1 1'!$AC17</f>
        <v>-66.036303430530779</v>
      </c>
      <c r="J17" s="1">
        <f>'Touch 1 1'!J17-'Touch 1 1'!$AA17-('Touch 1 1'!J$2- 12.5)*'Touch 1 1'!$AC17</f>
        <v>13.453245479955285</v>
      </c>
      <c r="K17" s="1">
        <f>'Touch 1 1'!K17-'Touch 1 1'!$AA17-('Touch 1 1'!K$2- 12.5)*'Touch 1 1'!$AC17</f>
        <v>-7.057205609558423</v>
      </c>
      <c r="L17" s="1">
        <f>'Touch 1 1'!L17-'Touch 1 1'!$AA17-('Touch 1 1'!L$2- 12.5)*'Touch 1 1'!$AC17</f>
        <v>22.432343300927698</v>
      </c>
      <c r="M17" s="1">
        <f>'Touch 1 1'!M17-'Touch 1 1'!$AA17-('Touch 1 1'!M$2- 12.5)*'Touch 1 1'!$AC17</f>
        <v>21.921892211413876</v>
      </c>
      <c r="N17" s="1">
        <f>'Touch 1 1'!N17-'Touch 1 1'!$AA17-('Touch 1 1'!N$2- 12.5)*'Touch 1 1'!$AC17</f>
        <v>-78.588558878099946</v>
      </c>
      <c r="O17" s="1">
        <f>'Touch 1 1'!O17-'Touch 1 1'!$AA17-('Touch 1 1'!O$2- 12.5)*'Touch 1 1'!$AC17</f>
        <v>-59.099009967613767</v>
      </c>
      <c r="P17" s="1">
        <f>'Touch 1 1'!P17-'Touch 1 1'!$AA17-('Touch 1 1'!P$2- 12.5)*'Touch 1 1'!$AC17</f>
        <v>-9.6094610571276462</v>
      </c>
      <c r="Q17" s="1">
        <f>'Touch 1 1'!Q17-'Touch 1 1'!$AA17-('Touch 1 1'!Q$2- 12.5)*'Touch 1 1'!$AC17</f>
        <v>-60.119912146641354</v>
      </c>
      <c r="R17" s="1">
        <f>'Touch 1 1'!R17-'Touch 1 1'!$AA17-('Touch 1 1'!R$2- 12.5)*'Touch 1 1'!$AC17</f>
        <v>29.36963676384471</v>
      </c>
      <c r="S17" s="1">
        <f>'Touch 1 1'!S17-'Touch 1 1'!$AA17-('Touch 1 1'!S$2- 12.5)*'Touch 1 1'!$AC17</f>
        <v>-41.140814325668998</v>
      </c>
      <c r="T17" s="1">
        <f>'Touch 1 1'!T17-'Touch 1 1'!$AA17-('Touch 1 1'!T$2- 12.5)*'Touch 1 1'!$AC17</f>
        <v>-11.651265415182934</v>
      </c>
      <c r="U17" s="1">
        <f>'Touch 1 1'!U17-'Touch 1 1'!$AA17-('Touch 1 1'!U$2- 12.5)*'Touch 1 1'!$AC17</f>
        <v>17.838283495303358</v>
      </c>
      <c r="V17" s="1">
        <f>'Touch 1 1'!V17-'Touch 1 1'!$AA17-('Touch 1 1'!V$2- 12.5)*'Touch 1 1'!$AC17</f>
        <v>-2.6721675942105776</v>
      </c>
      <c r="W17" s="1">
        <f>'Touch 1 1'!W17-'Touch 1 1'!$AA17-('Touch 1 1'!W$2- 12.5)*'Touch 1 1'!$AC17</f>
        <v>56.817381316275714</v>
      </c>
      <c r="X17" s="1">
        <f>'Touch 1 1'!X17-'Touch 1 1'!$AA17-('Touch 1 1'!X$2- 12.5)*'Touch 1 1'!$AC17</f>
        <v>16.306930226761779</v>
      </c>
      <c r="Y17" s="1">
        <f>'Touch 1 1'!Y17-'Touch 1 1'!$AA17-('Touch 1 1'!Y$2- 12.5)*'Touch 1 1'!$AC17</f>
        <v>55.796479137247843</v>
      </c>
      <c r="AB17" s="1">
        <f>STDEV(B17:Y17)</f>
        <v>39.104786446245264</v>
      </c>
      <c r="AD17" s="11">
        <v>7</v>
      </c>
      <c r="AE17" s="11">
        <v>8</v>
      </c>
      <c r="AF17" s="11" t="s">
        <v>46</v>
      </c>
      <c r="AG17" s="11" t="s">
        <v>45</v>
      </c>
      <c r="AH17" s="11">
        <v>5</v>
      </c>
      <c r="AI17" s="11">
        <v>4</v>
      </c>
      <c r="AJ17" s="11">
        <v>9</v>
      </c>
      <c r="AK17" s="11" t="s">
        <v>44</v>
      </c>
      <c r="AL17" s="11">
        <v>6</v>
      </c>
      <c r="AM17" s="11">
        <v>2</v>
      </c>
      <c r="AN17" s="11">
        <v>1</v>
      </c>
      <c r="AO17" s="11">
        <v>3</v>
      </c>
      <c r="AP17" s="11">
        <v>8</v>
      </c>
      <c r="AQ17" s="11">
        <v>7</v>
      </c>
      <c r="AR17" s="11" t="s">
        <v>45</v>
      </c>
      <c r="AS17" s="11" t="s">
        <v>46</v>
      </c>
      <c r="AT17" s="11">
        <v>4</v>
      </c>
      <c r="AU17" s="11">
        <v>5</v>
      </c>
      <c r="AV17" s="11" t="s">
        <v>44</v>
      </c>
      <c r="AW17" s="11">
        <v>9</v>
      </c>
      <c r="AX17" s="11">
        <v>6</v>
      </c>
      <c r="AY17" s="11">
        <v>1</v>
      </c>
      <c r="AZ17" s="11">
        <v>2</v>
      </c>
      <c r="BA17" s="11">
        <v>3</v>
      </c>
      <c r="BB17" s="5"/>
      <c r="BC17" s="1">
        <f ca="1">OFFSET(A17,0, 11) -0</f>
        <v>22.432343300927698</v>
      </c>
      <c r="BD17" s="1">
        <f ca="1">OFFSET(A17,0, 10) -0</f>
        <v>-7.057205609558423</v>
      </c>
      <c r="BE17" s="1">
        <f ca="1">OFFSET(A17,0, 12) -0</f>
        <v>21.921892211413876</v>
      </c>
      <c r="BF17" s="1">
        <f ca="1">OFFSET(A17,0, 6) -0</f>
        <v>24.984598748496865</v>
      </c>
      <c r="BG17" s="1">
        <f ca="1">OFFSET(A17,0, 5) -0</f>
        <v>-4.5049501619894272</v>
      </c>
      <c r="BH17" s="1">
        <f ca="1">OFFSET(A17,0, 9) -0</f>
        <v>13.453245479955285</v>
      </c>
      <c r="BI17" s="1">
        <f ca="1">OFFSET(A17,0, 1) -0</f>
        <v>7.5368541960660878</v>
      </c>
      <c r="BJ17" s="1">
        <f ca="1">OFFSET(A17,0, 2) -0</f>
        <v>-12.973596893447848</v>
      </c>
      <c r="BK17" s="1">
        <f ca="1">OFFSET(A17,0, 7) -0</f>
        <v>34.474147658982929</v>
      </c>
      <c r="BL17" s="1">
        <f ca="1">OFFSET(A17,0, 8) -0</f>
        <v>-66.036303430530779</v>
      </c>
      <c r="BM17" s="1">
        <f ca="1">OFFSET(A17,0, 4) -0</f>
        <v>66.005500927524508</v>
      </c>
      <c r="BN17" s="1">
        <f ca="1">OFFSET(A17,0, 3) -0</f>
        <v>-13.484047982961783</v>
      </c>
      <c r="BO17" s="1">
        <f ca="1">OFFSET(A17,0, 22) -0</f>
        <v>56.817381316275714</v>
      </c>
      <c r="BP17" s="1">
        <f ca="1">OFFSET(A17,0, 23) -0</f>
        <v>16.306930226761779</v>
      </c>
      <c r="BQ17" s="1">
        <f ca="1">OFFSET(A17,0, 24) -0</f>
        <v>55.796479137247843</v>
      </c>
      <c r="BR17" s="1">
        <f ca="1">OFFSET(A17,0, 17) -0</f>
        <v>29.36963676384471</v>
      </c>
      <c r="BS17" s="1">
        <f ca="1">OFFSET(A17,0, 18) -0</f>
        <v>-41.140814325668998</v>
      </c>
      <c r="BT17" s="1">
        <f ca="1">OFFSET(A17,0, 21) -0</f>
        <v>-2.6721675942105776</v>
      </c>
      <c r="BU17" s="1">
        <f ca="1">OFFSET(A17,0, 14) -0</f>
        <v>-59.099009967613767</v>
      </c>
      <c r="BV17" s="1">
        <f ca="1">OFFSET(A17,0, 13) -0</f>
        <v>-78.588558878099946</v>
      </c>
      <c r="BW17" s="1">
        <f ca="1">OFFSET(A17,0, 20) -0</f>
        <v>17.838283495303358</v>
      </c>
      <c r="BX17" s="1">
        <f ca="1">OFFSET(A17,0, 19) -0</f>
        <v>-11.651265415182934</v>
      </c>
      <c r="BY17" s="1">
        <f ca="1">OFFSET(A17,0, 15) -0</f>
        <v>-9.6094610571276462</v>
      </c>
      <c r="BZ17" s="1">
        <f ca="1">OFFSET(A17,0, 16) -0</f>
        <v>-60.119912146641354</v>
      </c>
      <c r="CB17" s="1">
        <f>COUNTIF(B17,"&lt;-74")</f>
        <v>0</v>
      </c>
      <c r="CC17" s="1">
        <f ca="1">COUNTIF(BC17:BN17,"&lt;-53")</f>
        <v>1</v>
      </c>
      <c r="CD17" s="1">
        <f ca="1">COUNTIF(BC17:BN17,"&gt;+53")</f>
        <v>1</v>
      </c>
      <c r="CE17" s="1">
        <f ca="1">COUNTIF(BO17:BZ17,"&lt;-53")</f>
        <v>3</v>
      </c>
      <c r="CF17" s="1">
        <f ca="1">COUNTIF(BO17:BZ17,"&gt;+53")</f>
        <v>2</v>
      </c>
    </row>
    <row r="18" spans="1:84">
      <c r="A18" s="1">
        <v>15</v>
      </c>
      <c r="B18" s="1">
        <f>'Touch 1 1'!B18-'Touch 1 1'!$AA18-('Touch 1 1'!B$2- 12.5)*'Touch 1 1'!$AC18</f>
        <v>25.444412102951901</v>
      </c>
      <c r="C18" s="1">
        <f>'Touch 1 1'!C18-'Touch 1 1'!$AA18-('Touch 1 1'!C$2- 12.5)*'Touch 1 1'!$AC18</f>
        <v>-15.500029529187941</v>
      </c>
      <c r="D18" s="1">
        <f>'Touch 1 1'!D18-'Touch 1 1'!$AA18-('Touch 1 1'!D$2- 12.5)*'Touch 1 1'!$AC18</f>
        <v>-86.444471161328011</v>
      </c>
      <c r="E18" s="1">
        <f>'Touch 1 1'!E18-'Touch 1 1'!$AA18-('Touch 1 1'!E$2- 12.5)*'Touch 1 1'!$AC18</f>
        <v>-27.388912793467853</v>
      </c>
      <c r="F18" s="1">
        <f>'Touch 1 1'!F18-'Touch 1 1'!$AA18-('Touch 1 1'!F$2- 12.5)*'Touch 1 1'!$AC18</f>
        <v>-28.333354425607695</v>
      </c>
      <c r="G18" s="1">
        <f>'Touch 1 1'!G18-'Touch 1 1'!$AA18-('Touch 1 1'!G$2- 12.5)*'Touch 1 1'!$AC18</f>
        <v>50.722203942252463</v>
      </c>
      <c r="H18" s="1">
        <f>'Touch 1 1'!H18-'Touch 1 1'!$AA18-('Touch 1 1'!H$2- 12.5)*'Touch 1 1'!$AC18</f>
        <v>-20.222237689887606</v>
      </c>
      <c r="I18" s="1">
        <f>'Touch 1 1'!I18-'Touch 1 1'!$AA18-('Touch 1 1'!I$2- 12.5)*'Touch 1 1'!$AC18</f>
        <v>-51.166679322027449</v>
      </c>
      <c r="J18" s="1">
        <f>'Touch 1 1'!J18-'Touch 1 1'!$AA18-('Touch 1 1'!J$2- 12.5)*'Touch 1 1'!$AC18</f>
        <v>-2.1111209541672906</v>
      </c>
      <c r="K18" s="1">
        <f>'Touch 1 1'!K18-'Touch 1 1'!$AA18-('Touch 1 1'!K$2- 12.5)*'Touch 1 1'!$AC18</f>
        <v>36.944437413692754</v>
      </c>
      <c r="L18" s="1">
        <f>'Touch 1 1'!L18-'Touch 1 1'!$AA18-('Touch 1 1'!L$2- 12.5)*'Touch 1 1'!$AC18</f>
        <v>75.999995781552911</v>
      </c>
      <c r="M18" s="1">
        <f>'Touch 1 1'!M18-'Touch 1 1'!$AA18-('Touch 1 1'!M$2- 12.5)*'Touch 1 1'!$AC18</f>
        <v>15.055554149412984</v>
      </c>
      <c r="N18" s="1">
        <f>'Touch 1 1'!N18-'Touch 1 1'!$AA18-('Touch 1 1'!N$2- 12.5)*'Touch 1 1'!$AC18</f>
        <v>-55.888887482726915</v>
      </c>
      <c r="O18" s="1">
        <f>'Touch 1 1'!O18-'Touch 1 1'!$AA18-('Touch 1 1'!O$2- 12.5)*'Touch 1 1'!$AC18</f>
        <v>-26.833329114866842</v>
      </c>
      <c r="P18" s="1">
        <f>'Touch 1 1'!P18-'Touch 1 1'!$AA18-('Touch 1 1'!P$2- 12.5)*'Touch 1 1'!$AC18</f>
        <v>-47.777770747006684</v>
      </c>
      <c r="Q18" s="1">
        <f>'Touch 1 1'!Q18-'Touch 1 1'!$AA18-('Touch 1 1'!Q$2- 12.5)*'Touch 1 1'!$AC18</f>
        <v>-8.7222123791466402</v>
      </c>
      <c r="R18" s="1">
        <f>'Touch 1 1'!R18-'Touch 1 1'!$AA18-('Touch 1 1'!R$2- 12.5)*'Touch 1 1'!$AC18</f>
        <v>50.333345988713518</v>
      </c>
      <c r="S18" s="1">
        <f>'Touch 1 1'!S18-'Touch 1 1'!$AA18-('Touch 1 1'!S$2- 12.5)*'Touch 1 1'!$AC18</f>
        <v>29.388904356573676</v>
      </c>
      <c r="T18" s="1">
        <f>'Touch 1 1'!T18-'Touch 1 1'!$AA18-('Touch 1 1'!T$2- 12.5)*'Touch 1 1'!$AC18</f>
        <v>48.444462724433606</v>
      </c>
      <c r="U18" s="1">
        <f>'Touch 1 1'!U18-'Touch 1 1'!$AA18-('Touch 1 1'!U$2- 12.5)*'Touch 1 1'!$AC18</f>
        <v>-52.499978907706236</v>
      </c>
      <c r="V18" s="1">
        <f>'Touch 1 1'!V18-'Touch 1 1'!$AA18-('Touch 1 1'!V$2- 12.5)*'Touch 1 1'!$AC18</f>
        <v>-33.444420539846078</v>
      </c>
      <c r="W18" s="1">
        <f>'Touch 1 1'!W18-'Touch 1 1'!$AA18-('Touch 1 1'!W$2- 12.5)*'Touch 1 1'!$AC18</f>
        <v>45.61113782801408</v>
      </c>
      <c r="X18" s="1">
        <f>'Touch 1 1'!X18-'Touch 1 1'!$AA18-('Touch 1 1'!X$2- 12.5)*'Touch 1 1'!$AC18</f>
        <v>14.66669619587401</v>
      </c>
      <c r="Y18" s="1">
        <f>'Touch 1 1'!Y18-'Touch 1 1'!$AA18-('Touch 1 1'!Y$2- 12.5)*'Touch 1 1'!$AC18</f>
        <v>63.722254563734168</v>
      </c>
      <c r="AB18" s="1">
        <f>STDEV(B18:Y18)</f>
        <v>44.263132234855767</v>
      </c>
      <c r="AD18" s="11">
        <v>7</v>
      </c>
      <c r="AE18" s="11">
        <v>8</v>
      </c>
      <c r="AF18" s="11" t="s">
        <v>46</v>
      </c>
      <c r="AG18" s="11" t="s">
        <v>45</v>
      </c>
      <c r="AH18" s="11">
        <v>5</v>
      </c>
      <c r="AI18" s="11">
        <v>4</v>
      </c>
      <c r="AJ18" s="11">
        <v>9</v>
      </c>
      <c r="AK18" s="11" t="s">
        <v>44</v>
      </c>
      <c r="AL18" s="11">
        <v>1</v>
      </c>
      <c r="AM18" s="11">
        <v>6</v>
      </c>
      <c r="AN18" s="11">
        <v>3</v>
      </c>
      <c r="AO18" s="11">
        <v>2</v>
      </c>
      <c r="AP18" s="11">
        <v>7</v>
      </c>
      <c r="AQ18" s="11" t="s">
        <v>46</v>
      </c>
      <c r="AR18" s="11">
        <v>8</v>
      </c>
      <c r="AS18" s="11">
        <v>5</v>
      </c>
      <c r="AT18" s="11" t="s">
        <v>45</v>
      </c>
      <c r="AU18" s="11">
        <v>9</v>
      </c>
      <c r="AV18" s="11">
        <v>4</v>
      </c>
      <c r="AW18" s="11" t="s">
        <v>44</v>
      </c>
      <c r="AX18" s="11">
        <v>6</v>
      </c>
      <c r="AY18" s="11">
        <v>1</v>
      </c>
      <c r="AZ18" s="11">
        <v>2</v>
      </c>
      <c r="BA18" s="11">
        <v>3</v>
      </c>
      <c r="BB18" s="5"/>
      <c r="BC18" s="1">
        <f ca="1">OFFSET(A18,0, 9) -0</f>
        <v>-2.1111209541672906</v>
      </c>
      <c r="BD18" s="1">
        <f ca="1">OFFSET(A18,0, 12) -0</f>
        <v>15.055554149412984</v>
      </c>
      <c r="BE18" s="1">
        <f ca="1">OFFSET(A18,0, 11) -0</f>
        <v>75.999995781552911</v>
      </c>
      <c r="BF18" s="1">
        <f ca="1">OFFSET(A18,0, 6) -0</f>
        <v>50.722203942252463</v>
      </c>
      <c r="BG18" s="1">
        <f ca="1">OFFSET(A18,0, 5) -0</f>
        <v>-28.333354425607695</v>
      </c>
      <c r="BH18" s="1">
        <f ca="1">OFFSET(A18,0, 10) -0</f>
        <v>36.944437413692754</v>
      </c>
      <c r="BI18" s="1">
        <f ca="1">OFFSET(A18,0, 1) -0</f>
        <v>25.444412102951901</v>
      </c>
      <c r="BJ18" s="1">
        <f ca="1">OFFSET(A18,0, 2) -0</f>
        <v>-15.500029529187941</v>
      </c>
      <c r="BK18" s="1">
        <f ca="1">OFFSET(A18,0, 7) -0</f>
        <v>-20.222237689887606</v>
      </c>
      <c r="BL18" s="1">
        <f ca="1">OFFSET(A18,0, 8) -0</f>
        <v>-51.166679322027449</v>
      </c>
      <c r="BM18" s="1">
        <f ca="1">OFFSET(A18,0, 4) -0</f>
        <v>-27.388912793467853</v>
      </c>
      <c r="BN18" s="1">
        <f ca="1">OFFSET(A18,0, 3) -0</f>
        <v>-86.444471161328011</v>
      </c>
      <c r="BO18" s="1">
        <f ca="1">OFFSET(A18,0, 22) -0</f>
        <v>45.61113782801408</v>
      </c>
      <c r="BP18" s="1">
        <f ca="1">OFFSET(A18,0, 23) -0</f>
        <v>14.66669619587401</v>
      </c>
      <c r="BQ18" s="1">
        <f ca="1">OFFSET(A18,0, 24) -0</f>
        <v>63.722254563734168</v>
      </c>
      <c r="BR18" s="1">
        <f ca="1">OFFSET(A18,0, 19) -0</f>
        <v>48.444462724433606</v>
      </c>
      <c r="BS18" s="1">
        <f ca="1">OFFSET(A18,0, 16) -0</f>
        <v>-8.7222123791466402</v>
      </c>
      <c r="BT18" s="1">
        <f ca="1">OFFSET(A18,0, 21) -0</f>
        <v>-33.444420539846078</v>
      </c>
      <c r="BU18" s="1">
        <f ca="1">OFFSET(A18,0, 13) -0</f>
        <v>-55.888887482726915</v>
      </c>
      <c r="BV18" s="1">
        <f ca="1">OFFSET(A18,0, 15) -0</f>
        <v>-47.777770747006684</v>
      </c>
      <c r="BW18" s="1">
        <f ca="1">OFFSET(A18,0, 18) -0</f>
        <v>29.388904356573676</v>
      </c>
      <c r="BX18" s="1">
        <f ca="1">OFFSET(A18,0, 20) -0</f>
        <v>-52.499978907706236</v>
      </c>
      <c r="BY18" s="1">
        <f ca="1">OFFSET(A18,0, 17) -0</f>
        <v>50.333345988713518</v>
      </c>
      <c r="BZ18" s="1">
        <f ca="1">OFFSET(A18,0, 14) -0</f>
        <v>-26.833329114866842</v>
      </c>
      <c r="CB18" s="1">
        <f>COUNTIF(B18,"&lt;-75")</f>
        <v>0</v>
      </c>
      <c r="CC18" s="1">
        <f ca="1">COUNTIF(BC18:BN18,"&lt;-53")</f>
        <v>1</v>
      </c>
      <c r="CD18" s="1">
        <f ca="1">COUNTIF(BC18:BN18,"&gt;+53")</f>
        <v>1</v>
      </c>
      <c r="CE18" s="1">
        <f ca="1">COUNTIF(BO18:BZ18,"&lt;-53")</f>
        <v>1</v>
      </c>
      <c r="CF18" s="1">
        <f ca="1">COUNTIF(BO18:BZ18,"&gt;+53")</f>
        <v>1</v>
      </c>
    </row>
    <row r="19" spans="1:84">
      <c r="A19" s="1">
        <v>16</v>
      </c>
      <c r="B19" s="1">
        <f>'Touch 1 1'!B19-'Touch 1 1'!$AA19-('Touch 1 1'!B$2- 12.5)*'Touch 1 1'!$AC19</f>
        <v>-18.74047208333468</v>
      </c>
      <c r="C19" s="1">
        <f>'Touch 1 1'!C19-'Touch 1 1'!$AA19-('Touch 1 1'!C$2- 12.5)*'Touch 1 1'!$AC19</f>
        <v>-30.55289480072679</v>
      </c>
      <c r="D19" s="1">
        <f>'Touch 1 1'!D19-'Touch 1 1'!$AA19-('Touch 1 1'!D$2- 12.5)*'Touch 1 1'!$AC19</f>
        <v>-22.3653175181189</v>
      </c>
      <c r="E19" s="1">
        <f>'Touch 1 1'!E19-'Touch 1 1'!$AA19-('Touch 1 1'!E$2- 12.5)*'Touch 1 1'!$AC19</f>
        <v>35.822259764489218</v>
      </c>
      <c r="F19" s="1">
        <f>'Touch 1 1'!F19-'Touch 1 1'!$AA19-('Touch 1 1'!F$2- 12.5)*'Touch 1 1'!$AC19</f>
        <v>4.0098370470971076</v>
      </c>
      <c r="G19" s="1">
        <f>'Touch 1 1'!G19-'Touch 1 1'!$AA19-('Touch 1 1'!G$2- 12.5)*'Touch 1 1'!$AC19</f>
        <v>62.197414329705225</v>
      </c>
      <c r="H19" s="1">
        <f>'Touch 1 1'!H19-'Touch 1 1'!$AA19-('Touch 1 1'!H$2- 12.5)*'Touch 1 1'!$AC19</f>
        <v>-29.615008387686885</v>
      </c>
      <c r="I19" s="1">
        <f>'Touch 1 1'!I19-'Touch 1 1'!$AA19-('Touch 1 1'!I$2- 12.5)*'Touch 1 1'!$AC19</f>
        <v>8.572568894921119</v>
      </c>
      <c r="J19" s="1">
        <f>'Touch 1 1'!J19-'Touch 1 1'!$AA19-('Touch 1 1'!J$2- 12.5)*'Touch 1 1'!$AC19</f>
        <v>6.760146177529009</v>
      </c>
      <c r="K19" s="1">
        <f>'Touch 1 1'!K19-'Touch 1 1'!$AA19-('Touch 1 1'!K$2- 12.5)*'Touch 1 1'!$AC19</f>
        <v>24.947723460137013</v>
      </c>
      <c r="L19" s="1">
        <f>'Touch 1 1'!L19-'Touch 1 1'!$AA19-('Touch 1 1'!L$2- 12.5)*'Touch 1 1'!$AC19</f>
        <v>53.135300742745017</v>
      </c>
      <c r="M19" s="1">
        <f>'Touch 1 1'!M19-'Touch 1 1'!$AA19-('Touch 1 1'!M$2- 12.5)*'Touch 1 1'!$AC19</f>
        <v>11.322878025352978</v>
      </c>
      <c r="N19" s="1">
        <f>'Touch 1 1'!N19-'Touch 1 1'!$AA19-('Touch 1 1'!N$2- 12.5)*'Touch 1 1'!$AC19</f>
        <v>-80.489544692039047</v>
      </c>
      <c r="O19" s="1">
        <f>'Touch 1 1'!O19-'Touch 1 1'!$AA19-('Touch 1 1'!O$2- 12.5)*'Touch 1 1'!$AC19</f>
        <v>-52.301967409431086</v>
      </c>
      <c r="P19" s="1">
        <f>'Touch 1 1'!P19-'Touch 1 1'!$AA19-('Touch 1 1'!P$2- 12.5)*'Touch 1 1'!$AC19</f>
        <v>-24.114390126823082</v>
      </c>
      <c r="Q19" s="1">
        <f>'Touch 1 1'!Q19-'Touch 1 1'!$AA19-('Touch 1 1'!Q$2- 12.5)*'Touch 1 1'!$AC19</f>
        <v>-95.926812844215078</v>
      </c>
      <c r="R19" s="1">
        <f>'Touch 1 1'!R19-'Touch 1 1'!$AA19-('Touch 1 1'!R$2- 12.5)*'Touch 1 1'!$AC19</f>
        <v>32.260764438392812</v>
      </c>
      <c r="S19" s="1">
        <f>'Touch 1 1'!S19-'Touch 1 1'!$AA19-('Touch 1 1'!S$2- 12.5)*'Touch 1 1'!$AC19</f>
        <v>30.448341721000816</v>
      </c>
      <c r="T19" s="1">
        <f>'Touch 1 1'!T19-'Touch 1 1'!$AA19-('Touch 1 1'!T$2- 12.5)*'Touch 1 1'!$AC19</f>
        <v>-1.3640809963912943</v>
      </c>
      <c r="U19" s="1">
        <f>'Touch 1 1'!U19-'Touch 1 1'!$AA19-('Touch 1 1'!U$2- 12.5)*'Touch 1 1'!$AC19</f>
        <v>76.823496286216823</v>
      </c>
      <c r="V19" s="1">
        <f>'Touch 1 1'!V19-'Touch 1 1'!$AA19-('Touch 1 1'!V$2- 12.5)*'Touch 1 1'!$AC19</f>
        <v>5.0110735688247132</v>
      </c>
      <c r="W19" s="1">
        <f>'Touch 1 1'!W19-'Touch 1 1'!$AA19-('Touch 1 1'!W$2- 12.5)*'Touch 1 1'!$AC19</f>
        <v>-36.801349148567169</v>
      </c>
      <c r="X19" s="1">
        <f>'Touch 1 1'!X19-'Touch 1 1'!$AA19-('Touch 1 1'!X$2- 12.5)*'Touch 1 1'!$AC19</f>
        <v>21.386228134040721</v>
      </c>
      <c r="Y19" s="1">
        <f>'Touch 1 1'!Y19-'Touch 1 1'!$AA19-('Touch 1 1'!Y$2- 12.5)*'Touch 1 1'!$AC19</f>
        <v>19.573805416648611</v>
      </c>
      <c r="AB19" s="1">
        <f>STDEV(B19:Y19)</f>
        <v>42.020678537842777</v>
      </c>
      <c r="AD19" s="11" t="s">
        <v>46</v>
      </c>
      <c r="AE19" s="11">
        <v>7</v>
      </c>
      <c r="AF19" s="11">
        <v>5</v>
      </c>
      <c r="AG19" s="11">
        <v>8</v>
      </c>
      <c r="AH19" s="11">
        <v>9</v>
      </c>
      <c r="AI19" s="11" t="s">
        <v>45</v>
      </c>
      <c r="AJ19" s="11" t="s">
        <v>44</v>
      </c>
      <c r="AK19" s="11">
        <v>4</v>
      </c>
      <c r="AL19" s="11">
        <v>1</v>
      </c>
      <c r="AM19" s="11">
        <v>6</v>
      </c>
      <c r="AN19" s="11">
        <v>3</v>
      </c>
      <c r="AO19" s="11">
        <v>2</v>
      </c>
      <c r="AP19" s="11">
        <v>7</v>
      </c>
      <c r="AQ19" s="11" t="s">
        <v>46</v>
      </c>
      <c r="AR19" s="11">
        <v>8</v>
      </c>
      <c r="AS19" s="11">
        <v>5</v>
      </c>
      <c r="AT19" s="11" t="s">
        <v>45</v>
      </c>
      <c r="AU19" s="11">
        <v>9</v>
      </c>
      <c r="AV19" s="11" t="s">
        <v>44</v>
      </c>
      <c r="AW19" s="11">
        <v>1</v>
      </c>
      <c r="AX19" s="11">
        <v>4</v>
      </c>
      <c r="AY19" s="11">
        <v>6</v>
      </c>
      <c r="AZ19" s="11">
        <v>2</v>
      </c>
      <c r="BA19" s="11">
        <v>3</v>
      </c>
      <c r="BB19" s="5"/>
      <c r="BC19" s="1">
        <f ca="1">OFFSET(A19,0, 9) -0</f>
        <v>6.760146177529009</v>
      </c>
      <c r="BD19" s="1">
        <f ca="1">OFFSET(A19,0, 12) -0</f>
        <v>11.322878025352978</v>
      </c>
      <c r="BE19" s="1">
        <f ca="1">OFFSET(A19,0, 11) -0</f>
        <v>53.135300742745017</v>
      </c>
      <c r="BF19" s="1">
        <f ca="1">OFFSET(A19,0, 8) -0</f>
        <v>8.572568894921119</v>
      </c>
      <c r="BG19" s="1">
        <f ca="1">OFFSET(A19,0, 3) -0</f>
        <v>-22.3653175181189</v>
      </c>
      <c r="BH19" s="1">
        <f ca="1">OFFSET(A19,0, 10) -0</f>
        <v>24.947723460137013</v>
      </c>
      <c r="BI19" s="1">
        <f ca="1">OFFSET(A19,0, 2) -0</f>
        <v>-30.55289480072679</v>
      </c>
      <c r="BJ19" s="1">
        <f ca="1">OFFSET(A19,0, 4) -0</f>
        <v>35.822259764489218</v>
      </c>
      <c r="BK19" s="1">
        <f ca="1">OFFSET(A19,0, 5) -0</f>
        <v>4.0098370470971076</v>
      </c>
      <c r="BL19" s="1">
        <f ca="1">OFFSET(A19,0, 7) -0</f>
        <v>-29.615008387686885</v>
      </c>
      <c r="BM19" s="1">
        <f ca="1">OFFSET(A19,0, 6) -0</f>
        <v>62.197414329705225</v>
      </c>
      <c r="BN19" s="1">
        <f ca="1">OFFSET(A19,0, 1) -0</f>
        <v>-18.74047208333468</v>
      </c>
      <c r="BO19" s="1">
        <f ca="1">OFFSET(A19,0, 20) -0</f>
        <v>76.823496286216823</v>
      </c>
      <c r="BP19" s="1">
        <f ca="1">OFFSET(A19,0, 23) -0</f>
        <v>21.386228134040721</v>
      </c>
      <c r="BQ19" s="1">
        <f ca="1">OFFSET(A19,0, 24) -0</f>
        <v>19.573805416648611</v>
      </c>
      <c r="BR19" s="1">
        <f ca="1">OFFSET(A19,0, 21) -0</f>
        <v>5.0110735688247132</v>
      </c>
      <c r="BS19" s="1">
        <f ca="1">OFFSET(A19,0, 16) -0</f>
        <v>-95.926812844215078</v>
      </c>
      <c r="BT19" s="1">
        <f ca="1">OFFSET(A19,0, 22) -0</f>
        <v>-36.801349148567169</v>
      </c>
      <c r="BU19" s="1">
        <f ca="1">OFFSET(A19,0, 13) -0</f>
        <v>-80.489544692039047</v>
      </c>
      <c r="BV19" s="1">
        <f ca="1">OFFSET(A19,0, 15) -0</f>
        <v>-24.114390126823082</v>
      </c>
      <c r="BW19" s="1">
        <f ca="1">OFFSET(A19,0, 18) -0</f>
        <v>30.448341721000816</v>
      </c>
      <c r="BX19" s="1">
        <f ca="1">OFFSET(A19,0, 19) -0</f>
        <v>-1.3640809963912943</v>
      </c>
      <c r="BY19" s="1">
        <f ca="1">OFFSET(A19,0, 17) -0</f>
        <v>32.260764438392812</v>
      </c>
      <c r="BZ19" s="1">
        <f ca="1">OFFSET(A19,0, 14) -0</f>
        <v>-52.301967409431086</v>
      </c>
      <c r="CB19" s="1">
        <f>COUNTIF(B19,"&lt;-75")</f>
        <v>0</v>
      </c>
      <c r="CC19" s="1">
        <f ca="1">COUNTIF(BC19:BN19,"&lt;-53")</f>
        <v>0</v>
      </c>
      <c r="CD19" s="1">
        <f ca="1">COUNTIF(BC19:BN19,"&gt;+53")</f>
        <v>2</v>
      </c>
      <c r="CE19" s="1">
        <f ca="1">COUNTIF(BO19:BZ19,"&lt;-53")</f>
        <v>2</v>
      </c>
      <c r="CF19" s="1">
        <f ca="1">COUNTIF(BO19:BZ19,"&gt;+53")</f>
        <v>1</v>
      </c>
    </row>
    <row r="20" spans="1:84">
      <c r="A20" s="1">
        <v>17</v>
      </c>
      <c r="B20" s="1">
        <f>'Touch 1 1'!B20-'Touch 1 1'!$AA20-('Touch 1 1'!B$2- 12.5)*'Touch 1 1'!$AC20</f>
        <v>-34.819880734065464</v>
      </c>
      <c r="C20" s="1">
        <f>'Touch 1 1'!C20-'Touch 1 1'!$AA20-('Touch 1 1'!C$2- 12.5)*'Touch 1 1'!$AC20</f>
        <v>-76.139891105016432</v>
      </c>
      <c r="D20" s="1">
        <f>'Touch 1 1'!D20-'Touch 1 1'!$AA20-('Touch 1 1'!D$2- 12.5)*'Touch 1 1'!$AC20</f>
        <v>-57.459901475967172</v>
      </c>
      <c r="E20" s="1">
        <f>'Touch 1 1'!E20-'Touch 1 1'!$AA20-('Touch 1 1'!E$2- 12.5)*'Touch 1 1'!$AC20</f>
        <v>-8.779911846917912</v>
      </c>
      <c r="F20" s="1">
        <f>'Touch 1 1'!F20-'Touch 1 1'!$AA20-('Touch 1 1'!F$2- 12.5)*'Touch 1 1'!$AC20</f>
        <v>-40.09992221786888</v>
      </c>
      <c r="G20" s="1">
        <f>'Touch 1 1'!G20-'Touch 1 1'!$AA20-('Touch 1 1'!G$2- 12.5)*'Touch 1 1'!$AC20</f>
        <v>58.58006741118038</v>
      </c>
      <c r="H20" s="1">
        <f>'Touch 1 1'!H20-'Touch 1 1'!$AA20-('Touch 1 1'!H$2- 12.5)*'Touch 1 1'!$AC20</f>
        <v>27.26005704022964</v>
      </c>
      <c r="I20" s="1">
        <f>'Touch 1 1'!I20-'Touch 1 1'!$AA20-('Touch 1 1'!I$2- 12.5)*'Touch 1 1'!$AC20</f>
        <v>-14.059953330721328</v>
      </c>
      <c r="J20" s="1">
        <f>'Touch 1 1'!J20-'Touch 1 1'!$AA20-('Touch 1 1'!J$2- 12.5)*'Touch 1 1'!$AC20</f>
        <v>34.620036298327932</v>
      </c>
      <c r="K20" s="1">
        <f>'Touch 1 1'!K20-'Touch 1 1'!$AA20-('Touch 1 1'!K$2- 12.5)*'Touch 1 1'!$AC20</f>
        <v>43.300025927377078</v>
      </c>
      <c r="L20" s="1">
        <f>'Touch 1 1'!L20-'Touch 1 1'!$AA20-('Touch 1 1'!L$2- 12.5)*'Touch 1 1'!$AC20</f>
        <v>41.980015556426224</v>
      </c>
      <c r="M20" s="1">
        <f>'Touch 1 1'!M20-'Touch 1 1'!$AA20-('Touch 1 1'!M$2- 12.5)*'Touch 1 1'!$AC20</f>
        <v>20.660005185475413</v>
      </c>
      <c r="N20" s="1">
        <f>'Touch 1 1'!N20-'Touch 1 1'!$AA20-('Touch 1 1'!N$2- 12.5)*'Touch 1 1'!$AC20</f>
        <v>-20.660005185475413</v>
      </c>
      <c r="O20" s="1">
        <f>'Touch 1 1'!O20-'Touch 1 1'!$AA20-('Touch 1 1'!O$2- 12.5)*'Touch 1 1'!$AC20</f>
        <v>-51.980015556426224</v>
      </c>
      <c r="P20" s="1">
        <f>'Touch 1 1'!P20-'Touch 1 1'!$AA20-('Touch 1 1'!P$2- 12.5)*'Touch 1 1'!$AC20</f>
        <v>-63.300025927377078</v>
      </c>
      <c r="Q20" s="1">
        <f>'Touch 1 1'!Q20-'Touch 1 1'!$AA20-('Touch 1 1'!Q$2- 12.5)*'Touch 1 1'!$AC20</f>
        <v>-14.620036298327932</v>
      </c>
      <c r="R20" s="1">
        <f>'Touch 1 1'!R20-'Touch 1 1'!$AA20-('Touch 1 1'!R$2- 12.5)*'Touch 1 1'!$AC20</f>
        <v>-25.940046669278672</v>
      </c>
      <c r="S20" s="1">
        <f>'Touch 1 1'!S20-'Touch 1 1'!$AA20-('Touch 1 1'!S$2- 12.5)*'Touch 1 1'!$AC20</f>
        <v>22.73994295977036</v>
      </c>
      <c r="T20" s="1">
        <f>'Touch 1 1'!T20-'Touch 1 1'!$AA20-('Touch 1 1'!T$2- 12.5)*'Touch 1 1'!$AC20</f>
        <v>41.41993258881962</v>
      </c>
      <c r="U20" s="1">
        <f>'Touch 1 1'!U20-'Touch 1 1'!$AA20-('Touch 1 1'!U$2- 12.5)*'Touch 1 1'!$AC20</f>
        <v>60.09992221786888</v>
      </c>
      <c r="V20" s="1">
        <f>'Touch 1 1'!V20-'Touch 1 1'!$AA20-('Touch 1 1'!V$2- 12.5)*'Touch 1 1'!$AC20</f>
        <v>-1.220088153082088</v>
      </c>
      <c r="W20" s="1">
        <f>'Touch 1 1'!W20-'Touch 1 1'!$AA20-('Touch 1 1'!W$2- 12.5)*'Touch 1 1'!$AC20</f>
        <v>47.459901475967172</v>
      </c>
      <c r="X20" s="1">
        <f>'Touch 1 1'!X20-'Touch 1 1'!$AA20-('Touch 1 1'!X$2- 12.5)*'Touch 1 1'!$AC20</f>
        <v>-3.8601088949835685</v>
      </c>
      <c r="Y20" s="1">
        <f>'Touch 1 1'!Y20-'Touch 1 1'!$AA20-('Touch 1 1'!Y$2- 12.5)*'Touch 1 1'!$AC20</f>
        <v>14.819880734065464</v>
      </c>
      <c r="AB20" s="1">
        <f>STDEV(B20:Y20)</f>
        <v>40.639941380890541</v>
      </c>
      <c r="AD20" s="11" t="s">
        <v>46</v>
      </c>
      <c r="AE20" s="11">
        <v>7</v>
      </c>
      <c r="AF20" s="11">
        <v>5</v>
      </c>
      <c r="AG20" s="11">
        <v>8</v>
      </c>
      <c r="AH20" s="11">
        <v>9</v>
      </c>
      <c r="AI20" s="11" t="s">
        <v>45</v>
      </c>
      <c r="AJ20" s="11">
        <v>1</v>
      </c>
      <c r="AK20" s="11" t="s">
        <v>44</v>
      </c>
      <c r="AL20" s="11">
        <v>6</v>
      </c>
      <c r="AM20" s="11">
        <v>4</v>
      </c>
      <c r="AN20" s="11">
        <v>3</v>
      </c>
      <c r="AO20" s="11">
        <v>2</v>
      </c>
      <c r="AP20" s="11" t="s">
        <v>46</v>
      </c>
      <c r="AQ20" s="11">
        <v>5</v>
      </c>
      <c r="AR20" s="11">
        <v>7</v>
      </c>
      <c r="AS20" s="11">
        <v>9</v>
      </c>
      <c r="AT20" s="11">
        <v>8</v>
      </c>
      <c r="AU20" s="11" t="s">
        <v>45</v>
      </c>
      <c r="AV20" s="11" t="s">
        <v>44</v>
      </c>
      <c r="AW20" s="11">
        <v>1</v>
      </c>
      <c r="AX20" s="11">
        <v>6</v>
      </c>
      <c r="AY20" s="11">
        <v>3</v>
      </c>
      <c r="AZ20" s="11">
        <v>4</v>
      </c>
      <c r="BA20" s="11">
        <v>2</v>
      </c>
      <c r="BB20" s="5"/>
      <c r="BC20" s="1">
        <f ca="1">OFFSET(A20,0, 7) -0</f>
        <v>27.26005704022964</v>
      </c>
      <c r="BD20" s="1">
        <f ca="1">OFFSET(A20,0, 12) -0</f>
        <v>20.660005185475413</v>
      </c>
      <c r="BE20" s="1">
        <f ca="1">OFFSET(A20,0, 11) -0</f>
        <v>41.980015556426224</v>
      </c>
      <c r="BF20" s="1">
        <f ca="1">OFFSET(A20,0, 10) -0</f>
        <v>43.300025927377078</v>
      </c>
      <c r="BG20" s="1">
        <f ca="1">OFFSET(A20,0, 3) -0</f>
        <v>-57.459901475967172</v>
      </c>
      <c r="BH20" s="1">
        <f ca="1">OFFSET(A20,0, 9) -0</f>
        <v>34.620036298327932</v>
      </c>
      <c r="BI20" s="1">
        <f ca="1">OFFSET(A20,0, 2) -0</f>
        <v>-76.139891105016432</v>
      </c>
      <c r="BJ20" s="1">
        <f ca="1">OFFSET(A20,0, 4) -0</f>
        <v>-8.779911846917912</v>
      </c>
      <c r="BK20" s="1">
        <f ca="1">OFFSET(A20,0, 5) -0</f>
        <v>-40.09992221786888</v>
      </c>
      <c r="BL20" s="1">
        <f ca="1">OFFSET(A20,0, 8) -0</f>
        <v>-14.059953330721328</v>
      </c>
      <c r="BM20" s="1">
        <f ca="1">OFFSET(A20,0, 6) -0</f>
        <v>58.58006741118038</v>
      </c>
      <c r="BN20" s="1">
        <f ca="1">OFFSET(A20,0, 1) -0</f>
        <v>-34.819880734065464</v>
      </c>
      <c r="BO20" s="1">
        <f ca="1">OFFSET(A20,0, 20) -0</f>
        <v>60.09992221786888</v>
      </c>
      <c r="BP20" s="1">
        <f ca="1">OFFSET(A20,0, 24) -0</f>
        <v>14.819880734065464</v>
      </c>
      <c r="BQ20" s="1">
        <f ca="1">OFFSET(A20,0, 22) -0</f>
        <v>47.459901475967172</v>
      </c>
      <c r="BR20" s="1">
        <f ca="1">OFFSET(A20,0, 23) -0</f>
        <v>-3.8601088949835685</v>
      </c>
      <c r="BS20" s="1">
        <f ca="1">OFFSET(A20,0, 14) -0</f>
        <v>-51.980015556426224</v>
      </c>
      <c r="BT20" s="1">
        <f ca="1">OFFSET(A20,0, 21) -0</f>
        <v>-1.220088153082088</v>
      </c>
      <c r="BU20" s="1">
        <f ca="1">OFFSET(A20,0, 15) -0</f>
        <v>-63.300025927377078</v>
      </c>
      <c r="BV20" s="1">
        <f ca="1">OFFSET(A20,0, 17) -0</f>
        <v>-25.940046669278672</v>
      </c>
      <c r="BW20" s="1">
        <f ca="1">OFFSET(A20,0, 16) -0</f>
        <v>-14.620036298327932</v>
      </c>
      <c r="BX20" s="1">
        <f ca="1">OFFSET(A20,0, 19) -0</f>
        <v>41.41993258881962</v>
      </c>
      <c r="BY20" s="1">
        <f ca="1">OFFSET(A20,0, 18) -0</f>
        <v>22.73994295977036</v>
      </c>
      <c r="BZ20" s="1">
        <f ca="1">OFFSET(A20,0, 13) -0</f>
        <v>-20.660005185475413</v>
      </c>
      <c r="CB20" s="1">
        <f>COUNTIF(B20,"&lt;-75")</f>
        <v>0</v>
      </c>
      <c r="CC20" s="1">
        <f ca="1">COUNTIF(BC20:BN20,"&lt;-53")</f>
        <v>2</v>
      </c>
      <c r="CD20" s="1">
        <f ca="1">COUNTIF(BC20:BN20,"&gt;+53")</f>
        <v>1</v>
      </c>
      <c r="CE20" s="1">
        <f ca="1">COUNTIF(BO20:BZ20,"&lt;-53")</f>
        <v>1</v>
      </c>
      <c r="CF20" s="1">
        <f ca="1">COUNTIF(BO20:BZ20,"&gt;+53")</f>
        <v>1</v>
      </c>
    </row>
    <row r="21" spans="1:84">
      <c r="A21" s="1">
        <v>18</v>
      </c>
      <c r="B21" s="1">
        <f>'Touch 1 1'!B21-'Touch 1 1'!$AA21-('Touch 1 1'!B$2- 12.5)*'Touch 1 1'!$AC21</f>
        <v>5.3270674191035141</v>
      </c>
      <c r="C21" s="1">
        <f>'Touch 1 1'!C21-'Touch 1 1'!$AA21-('Touch 1 1'!C$2- 12.5)*'Touch 1 1'!$AC21</f>
        <v>-85.099923950674565</v>
      </c>
      <c r="D21" s="1">
        <f>'Touch 1 1'!D21-'Touch 1 1'!$AA21-('Touch 1 1'!D$2- 12.5)*'Touch 1 1'!$AC21</f>
        <v>-15.526915320452417</v>
      </c>
      <c r="E21" s="1">
        <f>'Touch 1 1'!E21-'Touch 1 1'!$AA21-('Touch 1 1'!E$2- 12.5)*'Touch 1 1'!$AC21</f>
        <v>-5.9539066902302693</v>
      </c>
      <c r="F21" s="1">
        <f>'Touch 1 1'!F21-'Touch 1 1'!$AA21-('Touch 1 1'!F$2- 12.5)*'Touch 1 1'!$AC21</f>
        <v>43.619101939991651</v>
      </c>
      <c r="G21" s="1">
        <f>'Touch 1 1'!G21-'Touch 1 1'!$AA21-('Touch 1 1'!G$2- 12.5)*'Touch 1 1'!$AC21</f>
        <v>13.192110570213799</v>
      </c>
      <c r="H21" s="1">
        <f>'Touch 1 1'!H21-'Touch 1 1'!$AA21-('Touch 1 1'!H$2- 12.5)*'Touch 1 1'!$AC21</f>
        <v>2.7651192004357199</v>
      </c>
      <c r="I21" s="1">
        <f>'Touch 1 1'!I21-'Touch 1 1'!$AA21-('Touch 1 1'!I$2- 12.5)*'Touch 1 1'!$AC21</f>
        <v>-7.6618721693421321</v>
      </c>
      <c r="J21" s="1">
        <f>'Touch 1 1'!J21-'Touch 1 1'!$AA21-('Touch 1 1'!J$2- 12.5)*'Touch 1 1'!$AC21</f>
        <v>61.911136460879789</v>
      </c>
      <c r="K21" s="1">
        <f>'Touch 1 1'!K21-'Touch 1 1'!$AA21-('Touch 1 1'!K$2- 12.5)*'Touch 1 1'!$AC21</f>
        <v>-8.5158549088980635</v>
      </c>
      <c r="L21" s="1">
        <f>'Touch 1 1'!L21-'Touch 1 1'!$AA21-('Touch 1 1'!L$2- 12.5)*'Touch 1 1'!$AC21</f>
        <v>-8.9428462786760861</v>
      </c>
      <c r="M21" s="1">
        <f>'Touch 1 1'!M21-'Touch 1 1'!$AA21-('Touch 1 1'!M$2- 12.5)*'Touch 1 1'!$AC21</f>
        <v>110.63016235154595</v>
      </c>
      <c r="N21" s="1">
        <f>'Touch 1 1'!N21-'Touch 1 1'!$AA21-('Touch 1 1'!N$2- 12.5)*'Touch 1 1'!$AC21</f>
        <v>10.203170981767983</v>
      </c>
      <c r="O21" s="1">
        <f>'Touch 1 1'!O21-'Touch 1 1'!$AA21-('Touch 1 1'!O$2- 12.5)*'Touch 1 1'!$AC21</f>
        <v>-50.223820388009983</v>
      </c>
      <c r="P21" s="1">
        <f>'Touch 1 1'!P21-'Touch 1 1'!$AA21-('Touch 1 1'!P$2- 12.5)*'Touch 1 1'!$AC21</f>
        <v>-60.650811757788006</v>
      </c>
      <c r="Q21" s="1">
        <f>'Touch 1 1'!Q21-'Touch 1 1'!$AA21-('Touch 1 1'!Q$2- 12.5)*'Touch 1 1'!$AC21</f>
        <v>-41.077803127565858</v>
      </c>
      <c r="R21" s="1">
        <f>'Touch 1 1'!R21-'Touch 1 1'!$AA21-('Touch 1 1'!R$2- 12.5)*'Touch 1 1'!$AC21</f>
        <v>-11.504794497343937</v>
      </c>
      <c r="S21" s="1">
        <f>'Touch 1 1'!S21-'Touch 1 1'!$AA21-('Touch 1 1'!S$2- 12.5)*'Touch 1 1'!$AC21</f>
        <v>68.068214132878211</v>
      </c>
      <c r="T21" s="1">
        <f>'Touch 1 1'!T21-'Touch 1 1'!$AA21-('Touch 1 1'!T$2- 12.5)*'Touch 1 1'!$AC21</f>
        <v>-22.358777236899869</v>
      </c>
      <c r="U21" s="1">
        <f>'Touch 1 1'!U21-'Touch 1 1'!$AA21-('Touch 1 1'!U$2- 12.5)*'Touch 1 1'!$AC21</f>
        <v>7.2142313933222795</v>
      </c>
      <c r="V21" s="1">
        <f>'Touch 1 1'!V21-'Touch 1 1'!$AA21-('Touch 1 1'!V$2- 12.5)*'Touch 1 1'!$AC21</f>
        <v>6.7872400235442001</v>
      </c>
      <c r="W21" s="1">
        <f>'Touch 1 1'!W21-'Touch 1 1'!$AA21-('Touch 1 1'!W$2- 12.5)*'Touch 1 1'!$AC21</f>
        <v>16.360248653766348</v>
      </c>
      <c r="X21" s="1">
        <f>'Touch 1 1'!X21-'Touch 1 1'!$AA21-('Touch 1 1'!X$2- 12.5)*'Touch 1 1'!$AC21</f>
        <v>-34.066742716011504</v>
      </c>
      <c r="Y21" s="1">
        <f>'Touch 1 1'!Y21-'Touch 1 1'!$AA21-('Touch 1 1'!Y$2- 12.5)*'Touch 1 1'!$AC21</f>
        <v>5.5062659142104167</v>
      </c>
      <c r="AB21" s="1">
        <f>STDEV(B21:Y21)</f>
        <v>42.081217982495872</v>
      </c>
      <c r="AD21" s="11">
        <v>5</v>
      </c>
      <c r="AE21" s="11" t="s">
        <v>46</v>
      </c>
      <c r="AF21" s="11">
        <v>9</v>
      </c>
      <c r="AG21" s="11">
        <v>7</v>
      </c>
      <c r="AH21" s="11" t="s">
        <v>45</v>
      </c>
      <c r="AI21" s="11">
        <v>8</v>
      </c>
      <c r="AJ21" s="11">
        <v>1</v>
      </c>
      <c r="AK21" s="11" t="s">
        <v>44</v>
      </c>
      <c r="AL21" s="11">
        <v>3</v>
      </c>
      <c r="AM21" s="11">
        <v>6</v>
      </c>
      <c r="AN21" s="11">
        <v>2</v>
      </c>
      <c r="AO21" s="11">
        <v>4</v>
      </c>
      <c r="AP21" s="11" t="s">
        <v>46</v>
      </c>
      <c r="AQ21" s="11">
        <v>5</v>
      </c>
      <c r="AR21" s="11">
        <v>7</v>
      </c>
      <c r="AS21" s="11">
        <v>9</v>
      </c>
      <c r="AT21" s="11" t="s">
        <v>45</v>
      </c>
      <c r="AU21" s="11">
        <v>1</v>
      </c>
      <c r="AV21" s="11">
        <v>8</v>
      </c>
      <c r="AW21" s="11" t="s">
        <v>44</v>
      </c>
      <c r="AX21" s="11">
        <v>6</v>
      </c>
      <c r="AY21" s="11">
        <v>3</v>
      </c>
      <c r="AZ21" s="11">
        <v>4</v>
      </c>
      <c r="BA21" s="11">
        <v>2</v>
      </c>
      <c r="BB21" s="5"/>
      <c r="BC21" s="1">
        <f ca="1">OFFSET(A21,0, 7) -0</f>
        <v>2.7651192004357199</v>
      </c>
      <c r="BD21" s="1">
        <f ca="1">OFFSET(A21,0, 11) -0</f>
        <v>-8.9428462786760861</v>
      </c>
      <c r="BE21" s="1">
        <f ca="1">OFFSET(A21,0, 9) -0</f>
        <v>61.911136460879789</v>
      </c>
      <c r="BF21" s="1">
        <f ca="1">OFFSET(A21,0, 12) -0</f>
        <v>110.63016235154595</v>
      </c>
      <c r="BG21" s="1">
        <f ca="1">OFFSET(A21,0, 1) -0</f>
        <v>5.3270674191035141</v>
      </c>
      <c r="BH21" s="1">
        <f ca="1">OFFSET(A21,0, 10) -0</f>
        <v>-8.5158549088980635</v>
      </c>
      <c r="BI21" s="1">
        <f ca="1">OFFSET(A21,0, 4) -0</f>
        <v>-5.9539066902302693</v>
      </c>
      <c r="BJ21" s="1">
        <f ca="1">OFFSET(A21,0, 6) -0</f>
        <v>13.192110570213799</v>
      </c>
      <c r="BK21" s="1">
        <f ca="1">OFFSET(A21,0, 3) -0</f>
        <v>-15.526915320452417</v>
      </c>
      <c r="BL21" s="1">
        <f ca="1">OFFSET(A21,0, 8) -0</f>
        <v>-7.6618721693421321</v>
      </c>
      <c r="BM21" s="1">
        <f ca="1">OFFSET(A21,0, 5) -0</f>
        <v>43.619101939991651</v>
      </c>
      <c r="BN21" s="1">
        <f ca="1">OFFSET(A21,0, 2) -0</f>
        <v>-85.099923950674565</v>
      </c>
      <c r="BO21" s="1">
        <f ca="1">OFFSET(A21,0, 18) -0</f>
        <v>68.068214132878211</v>
      </c>
      <c r="BP21" s="1">
        <f ca="1">OFFSET(A21,0, 24) -0</f>
        <v>5.5062659142104167</v>
      </c>
      <c r="BQ21" s="1">
        <f ca="1">OFFSET(A21,0, 22) -0</f>
        <v>16.360248653766348</v>
      </c>
      <c r="BR21" s="1">
        <f ca="1">OFFSET(A21,0, 23) -0</f>
        <v>-34.066742716011504</v>
      </c>
      <c r="BS21" s="1">
        <f ca="1">OFFSET(A21,0, 14) -0</f>
        <v>-50.223820388009983</v>
      </c>
      <c r="BT21" s="1">
        <f ca="1">OFFSET(A21,0, 21) -0</f>
        <v>6.7872400235442001</v>
      </c>
      <c r="BU21" s="1">
        <f ca="1">OFFSET(A21,0, 15) -0</f>
        <v>-60.650811757788006</v>
      </c>
      <c r="BV21" s="1">
        <f ca="1">OFFSET(A21,0, 19) -0</f>
        <v>-22.358777236899869</v>
      </c>
      <c r="BW21" s="1">
        <f ca="1">OFFSET(A21,0, 16) -0</f>
        <v>-41.077803127565858</v>
      </c>
      <c r="BX21" s="1">
        <f ca="1">OFFSET(A21,0, 20) -0</f>
        <v>7.2142313933222795</v>
      </c>
      <c r="BY21" s="1">
        <f ca="1">OFFSET(A21,0, 17) -0</f>
        <v>-11.504794497343937</v>
      </c>
      <c r="BZ21" s="1">
        <f ca="1">OFFSET(A21,0, 13) -0</f>
        <v>10.203170981767983</v>
      </c>
      <c r="CB21" s="1">
        <f>COUNTIF(B21,"&lt;-74")</f>
        <v>0</v>
      </c>
      <c r="CC21" s="1">
        <f ca="1">COUNTIF(BC21:BN21,"&lt;-53")</f>
        <v>1</v>
      </c>
      <c r="CD21" s="1">
        <f ca="1">COUNTIF(BC21:BN21,"&gt;+53")</f>
        <v>2</v>
      </c>
      <c r="CE21" s="1">
        <f ca="1">COUNTIF(BO21:BZ21,"&lt;-53")</f>
        <v>1</v>
      </c>
      <c r="CF21" s="1">
        <f ca="1">COUNTIF(BO21:BZ21,"&gt;+53")</f>
        <v>1</v>
      </c>
    </row>
    <row r="22" spans="1:84">
      <c r="A22" s="1">
        <v>19</v>
      </c>
      <c r="B22" s="1">
        <f>'Touch 1 1'!B22-'Touch 1 1'!$AA22-('Touch 1 1'!B$2- 12.5)*'Touch 1 1'!$AC22</f>
        <v>-1.0821379803874152</v>
      </c>
      <c r="C22" s="1">
        <f>'Touch 1 1'!C22-'Touch 1 1'!$AA22-('Touch 1 1'!C$2- 12.5)*'Touch 1 1'!$AC22</f>
        <v>-1.4590535183237989</v>
      </c>
      <c r="D22" s="1">
        <f>'Touch 1 1'!D22-'Touch 1 1'!$AA22-('Touch 1 1'!D$2- 12.5)*'Touch 1 1'!$AC22</f>
        <v>-51.835969056260183</v>
      </c>
      <c r="E22" s="1">
        <f>'Touch 1 1'!E22-'Touch 1 1'!$AA22-('Touch 1 1'!E$2- 12.5)*'Touch 1 1'!$AC22</f>
        <v>-2.2128845941967938</v>
      </c>
      <c r="F22" s="1">
        <f>'Touch 1 1'!F22-'Touch 1 1'!$AA22-('Touch 1 1'!F$2- 12.5)*'Touch 1 1'!$AC22</f>
        <v>7.4101998678668224</v>
      </c>
      <c r="G22" s="1">
        <f>'Touch 1 1'!G22-'Touch 1 1'!$AA22-('Touch 1 1'!G$2- 12.5)*'Touch 1 1'!$AC22</f>
        <v>57.033284329930211</v>
      </c>
      <c r="H22" s="1">
        <f>'Touch 1 1'!H22-'Touch 1 1'!$AA22-('Touch 1 1'!H$2- 12.5)*'Touch 1 1'!$AC22</f>
        <v>26.656368791993827</v>
      </c>
      <c r="I22" s="1">
        <f>'Touch 1 1'!I22-'Touch 1 1'!$AA22-('Touch 1 1'!I$2- 12.5)*'Touch 1 1'!$AC22</f>
        <v>-3.7205467459427837</v>
      </c>
      <c r="J22" s="1">
        <f>'Touch 1 1'!J22-'Touch 1 1'!$AA22-('Touch 1 1'!J$2- 12.5)*'Touch 1 1'!$AC22</f>
        <v>5.9025377161208326</v>
      </c>
      <c r="K22" s="1">
        <f>'Touch 1 1'!K22-'Touch 1 1'!$AA22-('Touch 1 1'!K$2- 12.5)*'Touch 1 1'!$AC22</f>
        <v>5.5256221781842214</v>
      </c>
      <c r="L22" s="1">
        <f>'Touch 1 1'!L22-'Touch 1 1'!$AA22-('Touch 1 1'!L$2- 12.5)*'Touch 1 1'!$AC22</f>
        <v>15.148706640247781</v>
      </c>
      <c r="M22" s="1">
        <f>'Touch 1 1'!M22-'Touch 1 1'!$AA22-('Touch 1 1'!M$2- 12.5)*'Touch 1 1'!$AC22</f>
        <v>14.771791102311283</v>
      </c>
      <c r="N22" s="1">
        <f>'Touch 1 1'!N22-'Touch 1 1'!$AA22-('Touch 1 1'!N$2- 12.5)*'Touch 1 1'!$AC22</f>
        <v>-25.605124435625214</v>
      </c>
      <c r="O22" s="1">
        <f>'Touch 1 1'!O22-'Touch 1 1'!$AA22-('Touch 1 1'!O$2- 12.5)*'Touch 1 1'!$AC22</f>
        <v>14.017960026438288</v>
      </c>
      <c r="P22" s="1">
        <f>'Touch 1 1'!P22-'Touch 1 1'!$AA22-('Touch 1 1'!P$2- 12.5)*'Touch 1 1'!$AC22</f>
        <v>-26.358955511498152</v>
      </c>
      <c r="Q22" s="1">
        <f>'Touch 1 1'!Q22-'Touch 1 1'!$AA22-('Touch 1 1'!Q$2- 12.5)*'Touch 1 1'!$AC22</f>
        <v>-56.735871049434763</v>
      </c>
      <c r="R22" s="1">
        <f>'Touch 1 1'!R22-'Touch 1 1'!$AA22-('Touch 1 1'!R$2- 12.5)*'Touch 1 1'!$AC22</f>
        <v>12.887213412628853</v>
      </c>
      <c r="S22" s="1">
        <f>'Touch 1 1'!S22-'Touch 1 1'!$AA22-('Touch 1 1'!S$2- 12.5)*'Touch 1 1'!$AC22</f>
        <v>72.510297874692242</v>
      </c>
      <c r="T22" s="1">
        <f>'Touch 1 1'!T22-'Touch 1 1'!$AA22-('Touch 1 1'!T$2- 12.5)*'Touch 1 1'!$AC22</f>
        <v>-17.866617663244142</v>
      </c>
      <c r="U22" s="1">
        <f>'Touch 1 1'!U22-'Touch 1 1'!$AA22-('Touch 1 1'!U$2- 12.5)*'Touch 1 1'!$AC22</f>
        <v>11.756466798819247</v>
      </c>
      <c r="V22" s="1">
        <f>'Touch 1 1'!V22-'Touch 1 1'!$AA22-('Touch 1 1'!V$2- 12.5)*'Touch 1 1'!$AC22</f>
        <v>-8.6204487391171369</v>
      </c>
      <c r="W22" s="1">
        <f>'Touch 1 1'!W22-'Touch 1 1'!$AA22-('Touch 1 1'!W$2- 12.5)*'Touch 1 1'!$AC22</f>
        <v>11.002635722946252</v>
      </c>
      <c r="X22" s="1">
        <f>'Touch 1 1'!X22-'Touch 1 1'!$AA22-('Touch 1 1'!X$2- 12.5)*'Touch 1 1'!$AC22</f>
        <v>-19.374279814990132</v>
      </c>
      <c r="Y22" s="1">
        <f>'Touch 1 1'!Y22-'Touch 1 1'!$AA22-('Touch 1 1'!Y$2- 12.5)*'Touch 1 1'!$AC22</f>
        <v>-39.751195352926516</v>
      </c>
      <c r="AB22" s="1">
        <f>STDEV(B22:Y22)</f>
        <v>29.516657579605436</v>
      </c>
      <c r="AD22" s="11">
        <v>5</v>
      </c>
      <c r="AE22" s="11" t="s">
        <v>46</v>
      </c>
      <c r="AF22" s="11">
        <v>9</v>
      </c>
      <c r="AG22" s="11">
        <v>7</v>
      </c>
      <c r="AH22" s="11">
        <v>1</v>
      </c>
      <c r="AI22" s="11" t="s">
        <v>45</v>
      </c>
      <c r="AJ22" s="11" t="s">
        <v>44</v>
      </c>
      <c r="AK22" s="11">
        <v>8</v>
      </c>
      <c r="AL22" s="11">
        <v>3</v>
      </c>
      <c r="AM22" s="11">
        <v>6</v>
      </c>
      <c r="AN22" s="11">
        <v>2</v>
      </c>
      <c r="AO22" s="11">
        <v>4</v>
      </c>
      <c r="AP22" s="11">
        <v>5</v>
      </c>
      <c r="AQ22" s="11">
        <v>9</v>
      </c>
      <c r="AR22" s="11" t="s">
        <v>46</v>
      </c>
      <c r="AS22" s="11">
        <v>7</v>
      </c>
      <c r="AT22" s="11" t="s">
        <v>45</v>
      </c>
      <c r="AU22" s="11">
        <v>1</v>
      </c>
      <c r="AV22" s="11" t="s">
        <v>44</v>
      </c>
      <c r="AW22" s="11">
        <v>3</v>
      </c>
      <c r="AX22" s="11">
        <v>8</v>
      </c>
      <c r="AY22" s="11">
        <v>2</v>
      </c>
      <c r="AZ22" s="11">
        <v>6</v>
      </c>
      <c r="BA22" s="11">
        <v>4</v>
      </c>
      <c r="BB22" s="5"/>
      <c r="BC22" s="1">
        <f ca="1">OFFSET(A22,0, 5) -0</f>
        <v>7.4101998678668224</v>
      </c>
      <c r="BD22" s="1">
        <f ca="1">OFFSET(A22,0, 11) -0</f>
        <v>15.148706640247781</v>
      </c>
      <c r="BE22" s="1">
        <f ca="1">OFFSET(A22,0, 9) -0</f>
        <v>5.9025377161208326</v>
      </c>
      <c r="BF22" s="1">
        <f ca="1">OFFSET(A22,0, 12) -0</f>
        <v>14.771791102311283</v>
      </c>
      <c r="BG22" s="1">
        <f ca="1">OFFSET(A22,0, 1) -0</f>
        <v>-1.0821379803874152</v>
      </c>
      <c r="BH22" s="1">
        <f ca="1">OFFSET(A22,0, 10) -0</f>
        <v>5.5256221781842214</v>
      </c>
      <c r="BI22" s="1">
        <f ca="1">OFFSET(A22,0, 4) -0</f>
        <v>-2.2128845941967938</v>
      </c>
      <c r="BJ22" s="1">
        <f ca="1">OFFSET(A22,0, 8) -0</f>
        <v>-3.7205467459427837</v>
      </c>
      <c r="BK22" s="1">
        <f ca="1">OFFSET(A22,0, 3) -0</f>
        <v>-51.835969056260183</v>
      </c>
      <c r="BL22" s="1">
        <f ca="1">OFFSET(A22,0, 7) -0</f>
        <v>26.656368791993827</v>
      </c>
      <c r="BM22" s="1">
        <f ca="1">OFFSET(A22,0, 6) -0</f>
        <v>57.033284329930211</v>
      </c>
      <c r="BN22" s="1">
        <f ca="1">OFFSET(A22,0, 2) -0</f>
        <v>-1.4590535183237989</v>
      </c>
      <c r="BO22" s="1">
        <f ca="1">OFFSET(A22,0, 18) -0</f>
        <v>72.510297874692242</v>
      </c>
      <c r="BP22" s="1">
        <f ca="1">OFFSET(A22,0, 22) -0</f>
        <v>11.002635722946252</v>
      </c>
      <c r="BQ22" s="1">
        <f ca="1">OFFSET(A22,0, 20) -0</f>
        <v>11.756466798819247</v>
      </c>
      <c r="BR22" s="1">
        <f ca="1">OFFSET(A22,0, 24) -0</f>
        <v>-39.751195352926516</v>
      </c>
      <c r="BS22" s="1">
        <f ca="1">OFFSET(A22,0, 13) -0</f>
        <v>-25.605124435625214</v>
      </c>
      <c r="BT22" s="1">
        <f ca="1">OFFSET(A22,0, 23) -0</f>
        <v>-19.374279814990132</v>
      </c>
      <c r="BU22" s="1">
        <f ca="1">OFFSET(A22,0, 16) -0</f>
        <v>-56.735871049434763</v>
      </c>
      <c r="BV22" s="1">
        <f ca="1">OFFSET(A22,0, 21) -0</f>
        <v>-8.6204487391171369</v>
      </c>
      <c r="BW22" s="1">
        <f ca="1">OFFSET(A22,0, 14) -0</f>
        <v>14.017960026438288</v>
      </c>
      <c r="BX22" s="1">
        <f ca="1">OFFSET(A22,0, 19) -0</f>
        <v>-17.866617663244142</v>
      </c>
      <c r="BY22" s="1">
        <f ca="1">OFFSET(A22,0, 17) -0</f>
        <v>12.887213412628853</v>
      </c>
      <c r="BZ22" s="1">
        <f ca="1">OFFSET(A22,0, 15) -0</f>
        <v>-26.358955511498152</v>
      </c>
      <c r="CB22" s="1">
        <f>COUNTIF(B22,"&lt;-74")</f>
        <v>0</v>
      </c>
      <c r="CC22" s="1">
        <f ca="1">COUNTIF(BC22:BN22,"&lt;-53")</f>
        <v>0</v>
      </c>
      <c r="CD22" s="1">
        <f ca="1">COUNTIF(BC22:BN22,"&gt;+53")</f>
        <v>1</v>
      </c>
      <c r="CE22" s="1">
        <f ca="1">COUNTIF(BO22:BZ22,"&lt;-53")</f>
        <v>1</v>
      </c>
      <c r="CF22" s="1">
        <f ca="1">COUNTIF(BO22:BZ22,"&gt;+53")</f>
        <v>1</v>
      </c>
    </row>
    <row r="23" spans="1:84">
      <c r="A23" s="1">
        <v>20</v>
      </c>
      <c r="B23" s="1">
        <f>'Touch 1 1'!B23-'Touch 1 1'!$AA23-('Touch 1 1'!B$2- 12.5)*'Touch 1 1'!$AC23</f>
        <v>19.435061743868573</v>
      </c>
      <c r="C23" s="1">
        <f>'Touch 1 1'!C23-'Touch 1 1'!$AA23-('Touch 1 1'!C$2- 12.5)*'Touch 1 1'!$AC23</f>
        <v>9.2667955052716025</v>
      </c>
      <c r="D23" s="1">
        <f>'Touch 1 1'!D23-'Touch 1 1'!$AA23-('Touch 1 1'!D$2- 12.5)*'Touch 1 1'!$AC23</f>
        <v>-20.901470733325823</v>
      </c>
      <c r="E23" s="1">
        <f>'Touch 1 1'!E23-'Touch 1 1'!$AA23-('Touch 1 1'!E$2- 12.5)*'Touch 1 1'!$AC23</f>
        <v>-61.069736971923021</v>
      </c>
      <c r="F23" s="1">
        <f>'Touch 1 1'!F23-'Touch 1 1'!$AA23-('Touch 1 1'!F$2- 12.5)*'Touch 1 1'!$AC23</f>
        <v>-21.238003210520446</v>
      </c>
      <c r="G23" s="1">
        <f>'Touch 1 1'!G23-'Touch 1 1'!$AA23-('Touch 1 1'!G$2- 12.5)*'Touch 1 1'!$AC23</f>
        <v>78.593730550882356</v>
      </c>
      <c r="H23" s="1">
        <f>'Touch 1 1'!H23-'Touch 1 1'!$AA23-('Touch 1 1'!H$2- 12.5)*'Touch 1 1'!$AC23</f>
        <v>78.425464312285158</v>
      </c>
      <c r="I23" s="1">
        <f>'Touch 1 1'!I23-'Touch 1 1'!$AA23-('Touch 1 1'!I$2- 12.5)*'Touch 1 1'!$AC23</f>
        <v>-41.742801926312268</v>
      </c>
      <c r="J23" s="1">
        <f>'Touch 1 1'!J23-'Touch 1 1'!$AA23-('Touch 1 1'!J$2- 12.5)*'Touch 1 1'!$AC23</f>
        <v>-21.911068164909466</v>
      </c>
      <c r="K23" s="1">
        <f>'Touch 1 1'!K23-'Touch 1 1'!$AA23-('Touch 1 1'!K$2- 12.5)*'Touch 1 1'!$AC23</f>
        <v>-12.079334403506778</v>
      </c>
      <c r="L23" s="1">
        <f>'Touch 1 1'!L23-'Touch 1 1'!$AA23-('Touch 1 1'!L$2- 12.5)*'Touch 1 1'!$AC23</f>
        <v>17.752399357895911</v>
      </c>
      <c r="M23" s="1">
        <f>'Touch 1 1'!M23-'Touch 1 1'!$AA23-('Touch 1 1'!M$2- 12.5)*'Touch 1 1'!$AC23</f>
        <v>27.584133119298642</v>
      </c>
      <c r="N23" s="1">
        <f>'Touch 1 1'!N23-'Touch 1 1'!$AA23-('Touch 1 1'!N$2- 12.5)*'Touch 1 1'!$AC23</f>
        <v>87.415866880701358</v>
      </c>
      <c r="O23" s="1">
        <f>'Touch 1 1'!O23-'Touch 1 1'!$AA23-('Touch 1 1'!O$2- 12.5)*'Touch 1 1'!$AC23</f>
        <v>-2.7523993578959107</v>
      </c>
      <c r="P23" s="1">
        <f>'Touch 1 1'!P23-'Touch 1 1'!$AA23-('Touch 1 1'!P$2- 12.5)*'Touch 1 1'!$AC23</f>
        <v>-82.920665596493222</v>
      </c>
      <c r="Q23" s="1">
        <f>'Touch 1 1'!Q23-'Touch 1 1'!$AA23-('Touch 1 1'!Q$2- 12.5)*'Touch 1 1'!$AC23</f>
        <v>16.911068164909466</v>
      </c>
      <c r="R23" s="1">
        <f>'Touch 1 1'!R23-'Touch 1 1'!$AA23-('Touch 1 1'!R$2- 12.5)*'Touch 1 1'!$AC23</f>
        <v>-43.257198073687732</v>
      </c>
      <c r="S23" s="1">
        <f>'Touch 1 1'!S23-'Touch 1 1'!$AA23-('Touch 1 1'!S$2- 12.5)*'Touch 1 1'!$AC23</f>
        <v>36.574535687714842</v>
      </c>
      <c r="T23" s="1">
        <f>'Touch 1 1'!T23-'Touch 1 1'!$AA23-('Touch 1 1'!T$2- 12.5)*'Touch 1 1'!$AC23</f>
        <v>56.406269449117644</v>
      </c>
      <c r="U23" s="1">
        <f>'Touch 1 1'!U23-'Touch 1 1'!$AA23-('Touch 1 1'!U$2- 12.5)*'Touch 1 1'!$AC23</f>
        <v>26.238003210520446</v>
      </c>
      <c r="V23" s="1">
        <f>'Touch 1 1'!V23-'Touch 1 1'!$AA23-('Touch 1 1'!V$2- 12.5)*'Touch 1 1'!$AC23</f>
        <v>-53.930263028076979</v>
      </c>
      <c r="W23" s="1">
        <f>'Touch 1 1'!W23-'Touch 1 1'!$AA23-('Touch 1 1'!W$2- 12.5)*'Touch 1 1'!$AC23</f>
        <v>-24.098529266674177</v>
      </c>
      <c r="X23" s="1">
        <f>'Touch 1 1'!X23-'Touch 1 1'!$AA23-('Touch 1 1'!X$2- 12.5)*'Touch 1 1'!$AC23</f>
        <v>-44.266795505271602</v>
      </c>
      <c r="Y23" s="1">
        <f>'Touch 1 1'!Y23-'Touch 1 1'!$AA23-('Touch 1 1'!Y$2- 12.5)*'Touch 1 1'!$AC23</f>
        <v>-24.435061743868573</v>
      </c>
      <c r="AB23" s="1">
        <f>STDEV(B23:Y23)</f>
        <v>46.057055877492381</v>
      </c>
      <c r="AD23" s="11">
        <v>9</v>
      </c>
      <c r="AE23" s="11">
        <v>5</v>
      </c>
      <c r="AF23" s="11">
        <v>7</v>
      </c>
      <c r="AG23" s="11" t="s">
        <v>46</v>
      </c>
      <c r="AH23" s="11">
        <v>1</v>
      </c>
      <c r="AI23" s="11" t="s">
        <v>45</v>
      </c>
      <c r="AJ23" s="11">
        <v>3</v>
      </c>
      <c r="AK23" s="11" t="s">
        <v>44</v>
      </c>
      <c r="AL23" s="11">
        <v>2</v>
      </c>
      <c r="AM23" s="11">
        <v>8</v>
      </c>
      <c r="AN23" s="11">
        <v>4</v>
      </c>
      <c r="AO23" s="11">
        <v>6</v>
      </c>
      <c r="AP23" s="11">
        <v>5</v>
      </c>
      <c r="AQ23" s="11">
        <v>9</v>
      </c>
      <c r="AR23" s="11">
        <v>7</v>
      </c>
      <c r="AS23" s="11">
        <v>1</v>
      </c>
      <c r="AT23" s="11" t="s">
        <v>46</v>
      </c>
      <c r="AU23" s="11" t="s">
        <v>45</v>
      </c>
      <c r="AV23" s="11" t="s">
        <v>44</v>
      </c>
      <c r="AW23" s="11">
        <v>3</v>
      </c>
      <c r="AX23" s="11">
        <v>8</v>
      </c>
      <c r="AY23" s="11">
        <v>2</v>
      </c>
      <c r="AZ23" s="11">
        <v>6</v>
      </c>
      <c r="BA23" s="11">
        <v>4</v>
      </c>
      <c r="BB23" s="5"/>
      <c r="BC23" s="1">
        <f ca="1">OFFSET(A23,0, 5) -0</f>
        <v>-21.238003210520446</v>
      </c>
      <c r="BD23" s="1">
        <f ca="1">OFFSET(A23,0, 9) -0</f>
        <v>-21.911068164909466</v>
      </c>
      <c r="BE23" s="1">
        <f ca="1">OFFSET(A23,0, 7) -0</f>
        <v>78.425464312285158</v>
      </c>
      <c r="BF23" s="1">
        <f ca="1">OFFSET(A23,0, 11) -0</f>
        <v>17.752399357895911</v>
      </c>
      <c r="BG23" s="1">
        <f ca="1">OFFSET(A23,0, 2) -0</f>
        <v>9.2667955052716025</v>
      </c>
      <c r="BH23" s="1">
        <f ca="1">OFFSET(A23,0, 12) -0</f>
        <v>27.584133119298642</v>
      </c>
      <c r="BI23" s="1">
        <f ca="1">OFFSET(A23,0, 3) -0</f>
        <v>-20.901470733325823</v>
      </c>
      <c r="BJ23" s="1">
        <f ca="1">OFFSET(A23,0, 10) -0</f>
        <v>-12.079334403506778</v>
      </c>
      <c r="BK23" s="1">
        <f ca="1">OFFSET(A23,0, 1) -0</f>
        <v>19.435061743868573</v>
      </c>
      <c r="BL23" s="1">
        <f ca="1">OFFSET(A23,0, 8) -0</f>
        <v>-41.742801926312268</v>
      </c>
      <c r="BM23" s="1">
        <f ca="1">OFFSET(A23,0, 6) -0</f>
        <v>78.593730550882356</v>
      </c>
      <c r="BN23" s="1">
        <f ca="1">OFFSET(A23,0, 4) -0</f>
        <v>-61.069736971923021</v>
      </c>
      <c r="BO23" s="1">
        <f ca="1">OFFSET(A23,0, 16) -0</f>
        <v>16.911068164909466</v>
      </c>
      <c r="BP23" s="1">
        <f ca="1">OFFSET(A23,0, 22) -0</f>
        <v>-24.098529266674177</v>
      </c>
      <c r="BQ23" s="1">
        <f ca="1">OFFSET(A23,0, 20) -0</f>
        <v>26.238003210520446</v>
      </c>
      <c r="BR23" s="1">
        <f ca="1">OFFSET(A23,0, 24) -0</f>
        <v>-24.435061743868573</v>
      </c>
      <c r="BS23" s="1">
        <f ca="1">OFFSET(A23,0, 13) -0</f>
        <v>87.415866880701358</v>
      </c>
      <c r="BT23" s="1">
        <f ca="1">OFFSET(A23,0, 23) -0</f>
        <v>-44.266795505271602</v>
      </c>
      <c r="BU23" s="1">
        <f ca="1">OFFSET(A23,0, 15) -0</f>
        <v>-82.920665596493222</v>
      </c>
      <c r="BV23" s="1">
        <f ca="1">OFFSET(A23,0, 21) -0</f>
        <v>-53.930263028076979</v>
      </c>
      <c r="BW23" s="1">
        <f ca="1">OFFSET(A23,0, 14) -0</f>
        <v>-2.7523993578959107</v>
      </c>
      <c r="BX23" s="1">
        <f ca="1">OFFSET(A23,0, 19) -0</f>
        <v>56.406269449117644</v>
      </c>
      <c r="BY23" s="1">
        <f ca="1">OFFSET(A23,0, 18) -0</f>
        <v>36.574535687714842</v>
      </c>
      <c r="BZ23" s="1">
        <f ca="1">OFFSET(A23,0, 17) -0</f>
        <v>-43.257198073687732</v>
      </c>
      <c r="CB23" s="1">
        <f>COUNTIF(B23,"&lt;-74")</f>
        <v>0</v>
      </c>
      <c r="CC23" s="1">
        <f ca="1">COUNTIF(BC23:BN23,"&lt;-53")</f>
        <v>1</v>
      </c>
      <c r="CD23" s="1">
        <f ca="1">COUNTIF(BC23:BN23,"&gt;+53")</f>
        <v>2</v>
      </c>
      <c r="CE23" s="1">
        <f ca="1">COUNTIF(BO23:BZ23,"&lt;-53")</f>
        <v>2</v>
      </c>
      <c r="CF23" s="1">
        <f ca="1">COUNTIF(BO23:BZ23,"&gt;+53")</f>
        <v>2</v>
      </c>
    </row>
    <row r="24" spans="1:84">
      <c r="A24" s="1">
        <v>21</v>
      </c>
      <c r="B24" s="1">
        <f>'Touch 1 1'!B24-'Touch 1 1'!$AA24-('Touch 1 1'!B$2- 12.5)*'Touch 1 1'!$AC24</f>
        <v>22.194800200987629</v>
      </c>
      <c r="C24" s="1">
        <f>'Touch 1 1'!C24-'Touch 1 1'!$AA24-('Touch 1 1'!C$2- 12.5)*'Touch 1 1'!$AC24</f>
        <v>12.185107429888376</v>
      </c>
      <c r="D24" s="1">
        <f>'Touch 1 1'!D24-'Touch 1 1'!$AA24-('Touch 1 1'!D$2- 12.5)*'Touch 1 1'!$AC24</f>
        <v>42.175414658788668</v>
      </c>
      <c r="E24" s="1">
        <f>'Touch 1 1'!E24-'Touch 1 1'!$AA24-('Touch 1 1'!E$2- 12.5)*'Touch 1 1'!$AC24</f>
        <v>32.165721887689187</v>
      </c>
      <c r="F24" s="1">
        <f>'Touch 1 1'!F24-'Touch 1 1'!$AA24-('Touch 1 1'!F$2- 12.5)*'Touch 1 1'!$AC24</f>
        <v>2.1560291165894796</v>
      </c>
      <c r="G24" s="1">
        <f>'Touch 1 1'!G24-'Touch 1 1'!$AA24-('Touch 1 1'!G$2- 12.5)*'Touch 1 1'!$AC24</f>
        <v>-37.853663654510001</v>
      </c>
      <c r="H24" s="1">
        <f>'Touch 1 1'!H24-'Touch 1 1'!$AA24-('Touch 1 1'!H$2- 12.5)*'Touch 1 1'!$AC24</f>
        <v>12.136643574390519</v>
      </c>
      <c r="I24" s="1">
        <f>'Touch 1 1'!I24-'Touch 1 1'!$AA24-('Touch 1 1'!I$2- 12.5)*'Touch 1 1'!$AC24</f>
        <v>-47.873049196709076</v>
      </c>
      <c r="J24" s="1">
        <f>'Touch 1 1'!J24-'Touch 1 1'!$AA24-('Touch 1 1'!J$2- 12.5)*'Touch 1 1'!$AC24</f>
        <v>-7.8827419678085562</v>
      </c>
      <c r="K24" s="1">
        <f>'Touch 1 1'!K24-'Touch 1 1'!$AA24-('Touch 1 1'!K$2- 12.5)*'Touch 1 1'!$AC24</f>
        <v>-17.89243473890815</v>
      </c>
      <c r="L24" s="1">
        <f>'Touch 1 1'!L24-'Touch 1 1'!$AA24-('Touch 1 1'!L$2- 12.5)*'Touch 1 1'!$AC24</f>
        <v>-27.902127510007631</v>
      </c>
      <c r="M24" s="1">
        <f>'Touch 1 1'!M24-'Touch 1 1'!$AA24-('Touch 1 1'!M$2- 12.5)*'Touch 1 1'!$AC24</f>
        <v>2.0881797188928033</v>
      </c>
      <c r="N24" s="1">
        <f>'Touch 1 1'!N24-'Touch 1 1'!$AA24-('Touch 1 1'!N$2- 12.5)*'Touch 1 1'!$AC24</f>
        <v>92.078486947793266</v>
      </c>
      <c r="O24" s="1">
        <f>'Touch 1 1'!O24-'Touch 1 1'!$AA24-('Touch 1 1'!O$2- 12.5)*'Touch 1 1'!$AC24</f>
        <v>-7.9312058233062999</v>
      </c>
      <c r="P24" s="1">
        <f>'Touch 1 1'!P24-'Touch 1 1'!$AA24-('Touch 1 1'!P$2- 12.5)*'Touch 1 1'!$AC24</f>
        <v>-7.9408985944057804</v>
      </c>
      <c r="Q24" s="1">
        <f>'Touch 1 1'!Q24-'Touch 1 1'!$AA24-('Touch 1 1'!Q$2- 12.5)*'Touch 1 1'!$AC24</f>
        <v>22.049408634494625</v>
      </c>
      <c r="R24" s="1">
        <f>'Touch 1 1'!R24-'Touch 1 1'!$AA24-('Touch 1 1'!R$2- 12.5)*'Touch 1 1'!$AC24</f>
        <v>-17.960284136604855</v>
      </c>
      <c r="S24" s="1">
        <f>'Touch 1 1'!S24-'Touch 1 1'!$AA24-('Touch 1 1'!S$2- 12.5)*'Touch 1 1'!$AC24</f>
        <v>-7.9699769077044493</v>
      </c>
      <c r="T24" s="1">
        <f>'Touch 1 1'!T24-'Touch 1 1'!$AA24-('Touch 1 1'!T$2- 12.5)*'Touch 1 1'!$AC24</f>
        <v>-17.97966967880393</v>
      </c>
      <c r="U24" s="1">
        <f>'Touch 1 1'!U24-'Touch 1 1'!$AA24-('Touch 1 1'!U$2- 12.5)*'Touch 1 1'!$AC24</f>
        <v>22.01063755009659</v>
      </c>
      <c r="V24" s="1">
        <f>'Touch 1 1'!V24-'Touch 1 1'!$AA24-('Touch 1 1'!V$2- 12.5)*'Touch 1 1'!$AC24</f>
        <v>-57.999055221003118</v>
      </c>
      <c r="W24" s="1">
        <f>'Touch 1 1'!W24-'Touch 1 1'!$AA24-('Touch 1 1'!W$2- 12.5)*'Touch 1 1'!$AC24</f>
        <v>-28.008747992102599</v>
      </c>
      <c r="X24" s="1">
        <f>'Touch 1 1'!X24-'Touch 1 1'!$AA24-('Touch 1 1'!X$2- 12.5)*'Touch 1 1'!$AC24</f>
        <v>-28.018440763202307</v>
      </c>
      <c r="Y24" s="1">
        <f>'Touch 1 1'!Y24-'Touch 1 1'!$AA24-('Touch 1 1'!Y$2- 12.5)*'Touch 1 1'!$AC24</f>
        <v>51.97186646569844</v>
      </c>
      <c r="AB24" s="1">
        <f>STDEV(B24:Y24)</f>
        <v>33.889353201844067</v>
      </c>
      <c r="AD24" s="11">
        <v>9</v>
      </c>
      <c r="AE24" s="11">
        <v>5</v>
      </c>
      <c r="AF24" s="11">
        <v>1</v>
      </c>
      <c r="AG24" s="11">
        <v>7</v>
      </c>
      <c r="AH24" s="11" t="s">
        <v>45</v>
      </c>
      <c r="AI24" s="11" t="s">
        <v>46</v>
      </c>
      <c r="AJ24" s="11">
        <v>3</v>
      </c>
      <c r="AK24" s="11" t="s">
        <v>44</v>
      </c>
      <c r="AL24" s="11">
        <v>2</v>
      </c>
      <c r="AM24" s="11">
        <v>8</v>
      </c>
      <c r="AN24" s="11">
        <v>4</v>
      </c>
      <c r="AO24" s="11">
        <v>6</v>
      </c>
      <c r="AP24" s="11">
        <v>9</v>
      </c>
      <c r="AQ24" s="11">
        <v>5</v>
      </c>
      <c r="AR24" s="11">
        <v>7</v>
      </c>
      <c r="AS24" s="11">
        <v>1</v>
      </c>
      <c r="AT24" s="11" t="s">
        <v>45</v>
      </c>
      <c r="AU24" s="11">
        <v>3</v>
      </c>
      <c r="AV24" s="11" t="s">
        <v>46</v>
      </c>
      <c r="AW24" s="11">
        <v>2</v>
      </c>
      <c r="AX24" s="11" t="s">
        <v>44</v>
      </c>
      <c r="AY24" s="11">
        <v>4</v>
      </c>
      <c r="AZ24" s="11">
        <v>8</v>
      </c>
      <c r="BA24" s="11">
        <v>6</v>
      </c>
      <c r="BB24" s="5"/>
      <c r="BC24" s="1">
        <f ca="1">OFFSET(A24,0, 3) -0</f>
        <v>42.175414658788668</v>
      </c>
      <c r="BD24" s="1">
        <f ca="1">OFFSET(A24,0, 9) -0</f>
        <v>-7.8827419678085562</v>
      </c>
      <c r="BE24" s="1">
        <f ca="1">OFFSET(A24,0, 7) -0</f>
        <v>12.136643574390519</v>
      </c>
      <c r="BF24" s="1">
        <f ca="1">OFFSET(A24,0, 11) -0</f>
        <v>-27.902127510007631</v>
      </c>
      <c r="BG24" s="1">
        <f ca="1">OFFSET(A24,0, 2) -0</f>
        <v>12.185107429888376</v>
      </c>
      <c r="BH24" s="1">
        <f ca="1">OFFSET(A24,0, 12) -0</f>
        <v>2.0881797188928033</v>
      </c>
      <c r="BI24" s="1">
        <f ca="1">OFFSET(A24,0, 4) -0</f>
        <v>32.165721887689187</v>
      </c>
      <c r="BJ24" s="1">
        <f ca="1">OFFSET(A24,0, 10) -0</f>
        <v>-17.89243473890815</v>
      </c>
      <c r="BK24" s="1">
        <f ca="1">OFFSET(A24,0, 1) -0</f>
        <v>22.194800200987629</v>
      </c>
      <c r="BL24" s="1">
        <f ca="1">OFFSET(A24,0, 8) -0</f>
        <v>-47.873049196709076</v>
      </c>
      <c r="BM24" s="1">
        <f ca="1">OFFSET(A24,0, 5) -0</f>
        <v>2.1560291165894796</v>
      </c>
      <c r="BN24" s="1">
        <f ca="1">OFFSET(A24,0, 6) -0</f>
        <v>-37.853663654510001</v>
      </c>
      <c r="BO24" s="1">
        <f ca="1">OFFSET(A24,0, 16) -0</f>
        <v>22.049408634494625</v>
      </c>
      <c r="BP24" s="1">
        <f ca="1">OFFSET(A24,0, 20) -0</f>
        <v>22.01063755009659</v>
      </c>
      <c r="BQ24" s="1">
        <f ca="1">OFFSET(A24,0, 18) -0</f>
        <v>-7.9699769077044493</v>
      </c>
      <c r="BR24" s="1">
        <f ca="1">OFFSET(A24,0, 22) -0</f>
        <v>-28.008747992102599</v>
      </c>
      <c r="BS24" s="1">
        <f ca="1">OFFSET(A24,0, 14) -0</f>
        <v>-7.9312058233062999</v>
      </c>
      <c r="BT24" s="1">
        <f ca="1">OFFSET(A24,0, 24) -0</f>
        <v>51.97186646569844</v>
      </c>
      <c r="BU24" s="1">
        <f ca="1">OFFSET(A24,0, 15) -0</f>
        <v>-7.9408985944057804</v>
      </c>
      <c r="BV24" s="1">
        <f ca="1">OFFSET(A24,0, 23) -0</f>
        <v>-28.018440763202307</v>
      </c>
      <c r="BW24" s="1">
        <f ca="1">OFFSET(A24,0, 13) -0</f>
        <v>92.078486947793266</v>
      </c>
      <c r="BX24" s="1">
        <f ca="1">OFFSET(A24,0, 21) -0</f>
        <v>-57.999055221003118</v>
      </c>
      <c r="BY24" s="1">
        <f ca="1">OFFSET(A24,0, 17) -0</f>
        <v>-17.960284136604855</v>
      </c>
      <c r="BZ24" s="1">
        <f ca="1">OFFSET(A24,0, 19) -0</f>
        <v>-17.97966967880393</v>
      </c>
      <c r="CB24" s="1">
        <f>COUNTIF(B24,"&lt;-74")</f>
        <v>0</v>
      </c>
      <c r="CC24" s="1">
        <f ca="1">COUNTIF(BC24:BN24,"&lt;-53")</f>
        <v>0</v>
      </c>
      <c r="CD24" s="1">
        <f ca="1">COUNTIF(BC24:BN24,"&gt;+53")</f>
        <v>0</v>
      </c>
      <c r="CE24" s="1">
        <f ca="1">COUNTIF(BO24:BZ24,"&lt;-53")</f>
        <v>1</v>
      </c>
      <c r="CF24" s="1">
        <f ca="1">COUNTIF(BO24:BZ24,"&gt;+53")</f>
        <v>1</v>
      </c>
    </row>
    <row r="25" spans="1:84">
      <c r="A25" s="1">
        <v>22</v>
      </c>
      <c r="B25" s="1">
        <f>'Touch 1 1'!B25-'Touch 1 1'!$AA25-('Touch 1 1'!B$2- 12.5)*'Touch 1 1'!$AC25</f>
        <v>-36.702147952210453</v>
      </c>
      <c r="C25" s="1">
        <f>'Touch 1 1'!C25-'Touch 1 1'!$AA25-('Touch 1 1'!C$2- 12.5)*'Touch 1 1'!$AC25</f>
        <v>12.395140275516951</v>
      </c>
      <c r="D25" s="1">
        <f>'Touch 1 1'!D25-'Touch 1 1'!$AA25-('Touch 1 1'!D$2- 12.5)*'Touch 1 1'!$AC25</f>
        <v>41.49242850324481</v>
      </c>
      <c r="E25" s="1">
        <f>'Touch 1 1'!E25-'Touch 1 1'!$AA25-('Touch 1 1'!E$2- 12.5)*'Touch 1 1'!$AC25</f>
        <v>20.589716730972441</v>
      </c>
      <c r="F25" s="1">
        <f>'Touch 1 1'!F25-'Touch 1 1'!$AA25-('Touch 1 1'!F$2- 12.5)*'Touch 1 1'!$AC25</f>
        <v>-10.312995041300155</v>
      </c>
      <c r="G25" s="1">
        <f>'Touch 1 1'!G25-'Touch 1 1'!$AA25-('Touch 1 1'!G$2- 12.5)*'Touch 1 1'!$AC25</f>
        <v>18.784293186427476</v>
      </c>
      <c r="H25" s="1">
        <f>'Touch 1 1'!H25-'Touch 1 1'!$AA25-('Touch 1 1'!H$2- 12.5)*'Touch 1 1'!$AC25</f>
        <v>47.881581414155107</v>
      </c>
      <c r="I25" s="1">
        <f>'Touch 1 1'!I25-'Touch 1 1'!$AA25-('Touch 1 1'!I$2- 12.5)*'Touch 1 1'!$AC25</f>
        <v>-43.021130358117261</v>
      </c>
      <c r="J25" s="1">
        <f>'Touch 1 1'!J25-'Touch 1 1'!$AA25-('Touch 1 1'!J$2- 12.5)*'Touch 1 1'!$AC25</f>
        <v>-3.9238421303896303</v>
      </c>
      <c r="K25" s="1">
        <f>'Touch 1 1'!K25-'Touch 1 1'!$AA25-('Touch 1 1'!K$2- 12.5)*'Touch 1 1'!$AC25</f>
        <v>-94.826553902661999</v>
      </c>
      <c r="L25" s="1">
        <f>'Touch 1 1'!L25-'Touch 1 1'!$AA25-('Touch 1 1'!L$2- 12.5)*'Touch 1 1'!$AC25</f>
        <v>-5.7292656749344246</v>
      </c>
      <c r="M25" s="1">
        <f>'Touch 1 1'!M25-'Touch 1 1'!$AA25-('Touch 1 1'!M$2- 12.5)*'Touch 1 1'!$AC25</f>
        <v>3.368022552793164</v>
      </c>
      <c r="N25" s="1">
        <f>'Touch 1 1'!N25-'Touch 1 1'!$AA25-('Touch 1 1'!N$2- 12.5)*'Touch 1 1'!$AC25</f>
        <v>22.465310780520767</v>
      </c>
      <c r="O25" s="1">
        <f>'Touch 1 1'!O25-'Touch 1 1'!$AA25-('Touch 1 1'!O$2- 12.5)*'Touch 1 1'!$AC25</f>
        <v>101.56259900824836</v>
      </c>
      <c r="P25" s="1">
        <f>'Touch 1 1'!P25-'Touch 1 1'!$AA25-('Touch 1 1'!P$2- 12.5)*'Touch 1 1'!$AC25</f>
        <v>20.65988723597593</v>
      </c>
      <c r="Q25" s="1">
        <f>'Touch 1 1'!Q25-'Touch 1 1'!$AA25-('Touch 1 1'!Q$2- 12.5)*'Touch 1 1'!$AC25</f>
        <v>-80.242824536296439</v>
      </c>
      <c r="R25" s="1">
        <f>'Touch 1 1'!R25-'Touch 1 1'!$AA25-('Touch 1 1'!R$2- 12.5)*'Touch 1 1'!$AC25</f>
        <v>8.8544636914311923</v>
      </c>
      <c r="S25" s="1">
        <f>'Touch 1 1'!S25-'Touch 1 1'!$AA25-('Touch 1 1'!S$2- 12.5)*'Touch 1 1'!$AC25</f>
        <v>7.9517519191588235</v>
      </c>
      <c r="T25" s="1">
        <f>'Touch 1 1'!T25-'Touch 1 1'!$AA25-('Touch 1 1'!T$2- 12.5)*'Touch 1 1'!$AC25</f>
        <v>17.049040146886455</v>
      </c>
      <c r="U25" s="1">
        <f>'Touch 1 1'!U25-'Touch 1 1'!$AA25-('Touch 1 1'!U$2- 12.5)*'Touch 1 1'!$AC25</f>
        <v>-73.853671625385914</v>
      </c>
      <c r="V25" s="1">
        <f>'Touch 1 1'!V25-'Touch 1 1'!$AA25-('Touch 1 1'!V$2- 12.5)*'Touch 1 1'!$AC25</f>
        <v>-14.75638339765851</v>
      </c>
      <c r="W25" s="1">
        <f>'Touch 1 1'!W25-'Touch 1 1'!$AA25-('Touch 1 1'!W$2- 12.5)*'Touch 1 1'!$AC25</f>
        <v>24.340904830069121</v>
      </c>
      <c r="X25" s="1">
        <f>'Touch 1 1'!X25-'Touch 1 1'!$AA25-('Touch 1 1'!X$2- 12.5)*'Touch 1 1'!$AC25</f>
        <v>3.4381930577969797</v>
      </c>
      <c r="Y25" s="1">
        <f>'Touch 1 1'!Y25-'Touch 1 1'!$AA25-('Touch 1 1'!Y$2- 12.5)*'Touch 1 1'!$AC25</f>
        <v>12.535481285524384</v>
      </c>
      <c r="AB25" s="1">
        <f>STDEV(B25:Y25)</f>
        <v>42.657282444234532</v>
      </c>
      <c r="AD25" s="11">
        <v>5</v>
      </c>
      <c r="AE25" s="11">
        <v>9</v>
      </c>
      <c r="AF25" s="11">
        <v>1</v>
      </c>
      <c r="AG25" s="11">
        <v>7</v>
      </c>
      <c r="AH25" s="11">
        <v>3</v>
      </c>
      <c r="AI25" s="11" t="s">
        <v>45</v>
      </c>
      <c r="AJ25" s="11">
        <v>2</v>
      </c>
      <c r="AK25" s="11" t="s">
        <v>46</v>
      </c>
      <c r="AL25" s="11">
        <v>4</v>
      </c>
      <c r="AM25" s="11" t="s">
        <v>44</v>
      </c>
      <c r="AN25" s="11">
        <v>6</v>
      </c>
      <c r="AO25" s="11">
        <v>8</v>
      </c>
      <c r="AP25" s="11">
        <v>5</v>
      </c>
      <c r="AQ25" s="11">
        <v>1</v>
      </c>
      <c r="AR25" s="11">
        <v>9</v>
      </c>
      <c r="AS25" s="11">
        <v>7</v>
      </c>
      <c r="AT25" s="11" t="s">
        <v>45</v>
      </c>
      <c r="AU25" s="11">
        <v>3</v>
      </c>
      <c r="AV25" s="11" t="s">
        <v>46</v>
      </c>
      <c r="AW25" s="11">
        <v>2</v>
      </c>
      <c r="AX25" s="11" t="s">
        <v>44</v>
      </c>
      <c r="AY25" s="11">
        <v>4</v>
      </c>
      <c r="AZ25" s="11">
        <v>8</v>
      </c>
      <c r="BA25" s="11">
        <v>6</v>
      </c>
      <c r="BB25" s="5"/>
      <c r="BC25" s="1">
        <f ca="1">OFFSET(A25,0, 3) -0</f>
        <v>41.49242850324481</v>
      </c>
      <c r="BD25" s="1">
        <f ca="1">OFFSET(A25,0, 7) -0</f>
        <v>47.881581414155107</v>
      </c>
      <c r="BE25" s="1">
        <f ca="1">OFFSET(A25,0, 5) -0</f>
        <v>-10.312995041300155</v>
      </c>
      <c r="BF25" s="1">
        <f ca="1">OFFSET(A25,0, 9) -0</f>
        <v>-3.9238421303896303</v>
      </c>
      <c r="BG25" s="1">
        <f ca="1">OFFSET(A25,0, 1) -0</f>
        <v>-36.702147952210453</v>
      </c>
      <c r="BH25" s="1">
        <f ca="1">OFFSET(A25,0, 11) -0</f>
        <v>-5.7292656749344246</v>
      </c>
      <c r="BI25" s="1">
        <f ca="1">OFFSET(A25,0, 4) -0</f>
        <v>20.589716730972441</v>
      </c>
      <c r="BJ25" s="1">
        <f ca="1">OFFSET(A25,0, 12) -0</f>
        <v>3.368022552793164</v>
      </c>
      <c r="BK25" s="1">
        <f ca="1">OFFSET(A25,0, 2) -0</f>
        <v>12.395140275516951</v>
      </c>
      <c r="BL25" s="1">
        <f ca="1">OFFSET(A25,0, 10) -0</f>
        <v>-94.826553902661999</v>
      </c>
      <c r="BM25" s="1">
        <f ca="1">OFFSET(A25,0, 6) -0</f>
        <v>18.784293186427476</v>
      </c>
      <c r="BN25" s="1">
        <f ca="1">OFFSET(A25,0, 8) -0</f>
        <v>-43.021130358117261</v>
      </c>
      <c r="BO25" s="1">
        <f ca="1">OFFSET(A25,0, 14) -0</f>
        <v>101.56259900824836</v>
      </c>
      <c r="BP25" s="1">
        <f ca="1">OFFSET(A25,0, 20) -0</f>
        <v>-73.853671625385914</v>
      </c>
      <c r="BQ25" s="1">
        <f ca="1">OFFSET(A25,0, 18) -0</f>
        <v>7.9517519191588235</v>
      </c>
      <c r="BR25" s="1">
        <f ca="1">OFFSET(A25,0, 22) -0</f>
        <v>24.340904830069121</v>
      </c>
      <c r="BS25" s="1">
        <f ca="1">OFFSET(A25,0, 13) -0</f>
        <v>22.465310780520767</v>
      </c>
      <c r="BT25" s="1">
        <f ca="1">OFFSET(A25,0, 24) -0</f>
        <v>12.535481285524384</v>
      </c>
      <c r="BU25" s="1">
        <f ca="1">OFFSET(A25,0, 16) -0</f>
        <v>-80.242824536296439</v>
      </c>
      <c r="BV25" s="1">
        <f ca="1">OFFSET(A25,0, 23) -0</f>
        <v>3.4381930577969797</v>
      </c>
      <c r="BW25" s="1">
        <f ca="1">OFFSET(A25,0, 15) -0</f>
        <v>20.65988723597593</v>
      </c>
      <c r="BX25" s="1">
        <f ca="1">OFFSET(A25,0, 21) -0</f>
        <v>-14.75638339765851</v>
      </c>
      <c r="BY25" s="1">
        <f ca="1">OFFSET(A25,0, 17) -0</f>
        <v>8.8544636914311923</v>
      </c>
      <c r="BZ25" s="1">
        <f ca="1">OFFSET(A25,0, 19) -0</f>
        <v>17.049040146886455</v>
      </c>
      <c r="CB25" s="1">
        <f>COUNTIF(B25,"&lt;-75")</f>
        <v>0</v>
      </c>
      <c r="CC25" s="1">
        <f ca="1">COUNTIF(BC25:BN25,"&lt;-53")</f>
        <v>1</v>
      </c>
      <c r="CD25" s="1">
        <f ca="1">COUNTIF(BC25:BN25,"&gt;+53")</f>
        <v>0</v>
      </c>
      <c r="CE25" s="1">
        <f ca="1">COUNTIF(BO25:BZ25,"&lt;-53")</f>
        <v>2</v>
      </c>
      <c r="CF25" s="1">
        <f ca="1">COUNTIF(BO25:BZ25,"&gt;+53")</f>
        <v>1</v>
      </c>
    </row>
    <row r="26" spans="1:84">
      <c r="A26" s="1">
        <v>23</v>
      </c>
      <c r="B26" s="1">
        <f>'Touch 1 1'!B26-'Touch 1 1'!$AA26-('Touch 1 1'!B$2- 12.5)*'Touch 1 1'!$AC26</f>
        <v>53.777745436265832</v>
      </c>
      <c r="C26" s="1">
        <f>'Touch 1 1'!C26-'Touch 1 1'!$AA26-('Touch 1 1'!C$2- 12.5)*'Touch 1 1'!$AC26</f>
        <v>52.83330380412599</v>
      </c>
      <c r="D26" s="1">
        <f>'Touch 1 1'!D26-'Touch 1 1'!$AA26-('Touch 1 1'!D$2- 12.5)*'Touch 1 1'!$AC26</f>
        <v>-28.11113782801408</v>
      </c>
      <c r="E26" s="1">
        <f>'Touch 1 1'!E26-'Touch 1 1'!$AA26-('Touch 1 1'!E$2- 12.5)*'Touch 1 1'!$AC26</f>
        <v>-39.055579460153922</v>
      </c>
      <c r="F26" s="1">
        <f>'Touch 1 1'!F26-'Touch 1 1'!$AA26-('Touch 1 1'!F$2- 12.5)*'Touch 1 1'!$AC26</f>
        <v>-20.000021092293764</v>
      </c>
      <c r="G26" s="1">
        <f>'Touch 1 1'!G26-'Touch 1 1'!$AA26-('Touch 1 1'!G$2- 12.5)*'Touch 1 1'!$AC26</f>
        <v>69.055537275566394</v>
      </c>
      <c r="H26" s="1">
        <f>'Touch 1 1'!H26-'Touch 1 1'!$AA26-('Touch 1 1'!H$2- 12.5)*'Touch 1 1'!$AC26</f>
        <v>28.111095643426324</v>
      </c>
      <c r="I26" s="1">
        <f>'Touch 1 1'!I26-'Touch 1 1'!$AA26-('Touch 1 1'!I$2- 12.5)*'Touch 1 1'!$AC26</f>
        <v>17.166654011286482</v>
      </c>
      <c r="J26" s="1">
        <f>'Touch 1 1'!J26-'Touch 1 1'!$AA26-('Touch 1 1'!J$2- 12.5)*'Touch 1 1'!$AC26</f>
        <v>36.22221237914664</v>
      </c>
      <c r="K26" s="1">
        <f>'Touch 1 1'!K26-'Touch 1 1'!$AA26-('Touch 1 1'!K$2- 12.5)*'Touch 1 1'!$AC26</f>
        <v>-74.722229252993316</v>
      </c>
      <c r="L26" s="1">
        <f>'Touch 1 1'!L26-'Touch 1 1'!$AA26-('Touch 1 1'!L$2- 12.5)*'Touch 1 1'!$AC26</f>
        <v>-15.666670885133158</v>
      </c>
      <c r="M26" s="1">
        <f>'Touch 1 1'!M26-'Touch 1 1'!$AA26-('Touch 1 1'!M$2- 12.5)*'Touch 1 1'!$AC26</f>
        <v>-6.6111125172730851</v>
      </c>
      <c r="N26" s="1">
        <f>'Touch 1 1'!N26-'Touch 1 1'!$AA26-('Touch 1 1'!N$2- 12.5)*'Touch 1 1'!$AC26</f>
        <v>52.444445850587016</v>
      </c>
      <c r="O26" s="1">
        <f>'Touch 1 1'!O26-'Touch 1 1'!$AA26-('Touch 1 1'!O$2- 12.5)*'Touch 1 1'!$AC26</f>
        <v>71.500004218447089</v>
      </c>
      <c r="P26" s="1">
        <f>'Touch 1 1'!P26-'Touch 1 1'!$AA26-('Touch 1 1'!P$2- 12.5)*'Touch 1 1'!$AC26</f>
        <v>-49.444437413692754</v>
      </c>
      <c r="Q26" s="1">
        <f>'Touch 1 1'!Q26-'Touch 1 1'!$AA26-('Touch 1 1'!Q$2- 12.5)*'Touch 1 1'!$AC26</f>
        <v>-40.388879045832709</v>
      </c>
      <c r="R26" s="1">
        <f>'Touch 1 1'!R26-'Touch 1 1'!$AA26-('Touch 1 1'!R$2- 12.5)*'Touch 1 1'!$AC26</f>
        <v>38.666679322027449</v>
      </c>
      <c r="S26" s="1">
        <f>'Touch 1 1'!S26-'Touch 1 1'!$AA26-('Touch 1 1'!S$2- 12.5)*'Touch 1 1'!$AC26</f>
        <v>-2.2777623101123936</v>
      </c>
      <c r="T26" s="1">
        <f>'Touch 1 1'!T26-'Touch 1 1'!$AA26-('Touch 1 1'!T$2- 12.5)*'Touch 1 1'!$AC26</f>
        <v>-23.222203942252463</v>
      </c>
      <c r="U26" s="1">
        <f>'Touch 1 1'!U26-'Touch 1 1'!$AA26-('Touch 1 1'!U$2- 12.5)*'Touch 1 1'!$AC26</f>
        <v>25.833354425607695</v>
      </c>
      <c r="V26" s="1">
        <f>'Touch 1 1'!V26-'Touch 1 1'!$AA26-('Touch 1 1'!V$2- 12.5)*'Touch 1 1'!$AC26</f>
        <v>-25.111087206532147</v>
      </c>
      <c r="W26" s="1">
        <f>'Touch 1 1'!W26-'Touch 1 1'!$AA26-('Touch 1 1'!W$2- 12.5)*'Touch 1 1'!$AC26</f>
        <v>-6.0555288386719894</v>
      </c>
      <c r="X26" s="1">
        <f>'Touch 1 1'!X26-'Touch 1 1'!$AA26-('Touch 1 1'!X$2- 12.5)*'Touch 1 1'!$AC26</f>
        <v>-56.999970470812059</v>
      </c>
      <c r="Y26" s="1">
        <f>'Touch 1 1'!Y26-'Touch 1 1'!$AA26-('Touch 1 1'!Y$2- 12.5)*'Touch 1 1'!$AC26</f>
        <v>-57.944412102951901</v>
      </c>
      <c r="AB26" s="1">
        <f>STDEV(B26:Y26)</f>
        <v>43.417383306389389</v>
      </c>
      <c r="AD26" s="11">
        <v>1</v>
      </c>
      <c r="AE26" s="11">
        <v>5</v>
      </c>
      <c r="AF26" s="11">
        <v>7</v>
      </c>
      <c r="AG26" s="11">
        <v>9</v>
      </c>
      <c r="AH26" s="11">
        <v>3</v>
      </c>
      <c r="AI26" s="11" t="s">
        <v>45</v>
      </c>
      <c r="AJ26" s="11">
        <v>2</v>
      </c>
      <c r="AK26" s="11" t="s">
        <v>46</v>
      </c>
      <c r="AL26" s="11">
        <v>4</v>
      </c>
      <c r="AM26" s="11" t="s">
        <v>44</v>
      </c>
      <c r="AN26" s="11">
        <v>6</v>
      </c>
      <c r="AO26" s="11">
        <v>8</v>
      </c>
      <c r="AP26" s="11">
        <v>5</v>
      </c>
      <c r="AQ26" s="11">
        <v>1</v>
      </c>
      <c r="AR26" s="11">
        <v>7</v>
      </c>
      <c r="AS26" s="11">
        <v>3</v>
      </c>
      <c r="AT26" s="11">
        <v>9</v>
      </c>
      <c r="AU26" s="11">
        <v>2</v>
      </c>
      <c r="AV26" s="11" t="s">
        <v>45</v>
      </c>
      <c r="AW26" s="11">
        <v>4</v>
      </c>
      <c r="AX26" s="11" t="s">
        <v>46</v>
      </c>
      <c r="AY26" s="11">
        <v>6</v>
      </c>
      <c r="AZ26" s="11" t="s">
        <v>44</v>
      </c>
      <c r="BA26" s="11">
        <v>8</v>
      </c>
      <c r="BB26" s="5"/>
      <c r="BC26" s="1">
        <f ca="1">OFFSET(A26,0, 1) -0</f>
        <v>53.777745436265832</v>
      </c>
      <c r="BD26" s="1">
        <f ca="1">OFFSET(A26,0, 7) -0</f>
        <v>28.111095643426324</v>
      </c>
      <c r="BE26" s="1">
        <f ca="1">OFFSET(A26,0, 5) -0</f>
        <v>-20.000021092293764</v>
      </c>
      <c r="BF26" s="1">
        <f ca="1">OFFSET(A26,0, 9) -0</f>
        <v>36.22221237914664</v>
      </c>
      <c r="BG26" s="1">
        <f ca="1">OFFSET(A26,0, 2) -0</f>
        <v>52.83330380412599</v>
      </c>
      <c r="BH26" s="1">
        <f ca="1">OFFSET(A26,0, 11) -0</f>
        <v>-15.666670885133158</v>
      </c>
      <c r="BI26" s="1">
        <f ca="1">OFFSET(A26,0, 3) -0</f>
        <v>-28.11113782801408</v>
      </c>
      <c r="BJ26" s="1">
        <f ca="1">OFFSET(A26,0, 12) -0</f>
        <v>-6.6111125172730851</v>
      </c>
      <c r="BK26" s="1">
        <f ca="1">OFFSET(A26,0, 4) -0</f>
        <v>-39.055579460153922</v>
      </c>
      <c r="BL26" s="1">
        <f ca="1">OFFSET(A26,0, 10) -0</f>
        <v>-74.722229252993316</v>
      </c>
      <c r="BM26" s="1">
        <f ca="1">OFFSET(A26,0, 6) -0</f>
        <v>69.055537275566394</v>
      </c>
      <c r="BN26" s="1">
        <f ca="1">OFFSET(A26,0, 8) -0</f>
        <v>17.166654011286482</v>
      </c>
      <c r="BO26" s="1">
        <f ca="1">OFFSET(A26,0, 14) -0</f>
        <v>71.500004218447089</v>
      </c>
      <c r="BP26" s="1">
        <f ca="1">OFFSET(A26,0, 18) -0</f>
        <v>-2.2777623101123936</v>
      </c>
      <c r="BQ26" s="1">
        <f ca="1">OFFSET(A26,0, 16) -0</f>
        <v>-40.388879045832709</v>
      </c>
      <c r="BR26" s="1">
        <f ca="1">OFFSET(A26,0, 20) -0</f>
        <v>25.833354425607695</v>
      </c>
      <c r="BS26" s="1">
        <f ca="1">OFFSET(A26,0, 13) -0</f>
        <v>52.444445850587016</v>
      </c>
      <c r="BT26" s="1">
        <f ca="1">OFFSET(A26,0, 22) -0</f>
        <v>-6.0555288386719894</v>
      </c>
      <c r="BU26" s="1">
        <f ca="1">OFFSET(A26,0, 15) -0</f>
        <v>-49.444437413692754</v>
      </c>
      <c r="BV26" s="1">
        <f ca="1">OFFSET(A26,0, 24) -0</f>
        <v>-57.944412102951901</v>
      </c>
      <c r="BW26" s="1">
        <f ca="1">OFFSET(A26,0, 17) -0</f>
        <v>38.666679322027449</v>
      </c>
      <c r="BX26" s="1">
        <f ca="1">OFFSET(A26,0, 23) -0</f>
        <v>-56.999970470812059</v>
      </c>
      <c r="BY26" s="1">
        <f ca="1">OFFSET(A26,0, 19) -0</f>
        <v>-23.222203942252463</v>
      </c>
      <c r="BZ26" s="1">
        <f ca="1">OFFSET(A26,0, 21) -0</f>
        <v>-25.111087206532147</v>
      </c>
      <c r="CB26" s="1">
        <f>COUNTIF(B26,"&lt;-75")</f>
        <v>0</v>
      </c>
      <c r="CC26" s="1">
        <f ca="1">COUNTIF(BC26:BN26,"&lt;-53")</f>
        <v>1</v>
      </c>
      <c r="CD26" s="1">
        <f ca="1">COUNTIF(BC26:BN26,"&gt;+53")</f>
        <v>2</v>
      </c>
      <c r="CE26" s="1">
        <f ca="1">COUNTIF(BO26:BZ26,"&lt;-53")</f>
        <v>2</v>
      </c>
      <c r="CF26" s="1">
        <f ca="1">COUNTIF(BO26:BZ26,"&gt;+53")</f>
        <v>1</v>
      </c>
    </row>
    <row r="27" spans="1:84">
      <c r="A27" s="1">
        <v>24</v>
      </c>
      <c r="B27" s="1">
        <f>'Touch 1 1'!B27-'Touch 1 1'!$AA27-('Touch 1 1'!B$2- 12.5)*'Touch 1 1'!$AC27</f>
        <v>70.704150560035032</v>
      </c>
      <c r="C27" s="1">
        <f>'Touch 1 1'!C27-'Touch 1 1'!$AA27-('Touch 1 1'!C$2- 12.5)*'Touch 1 1'!$AC27</f>
        <v>39.918282395393362</v>
      </c>
      <c r="D27" s="1">
        <f>'Touch 1 1'!D27-'Touch 1 1'!$AA27-('Touch 1 1'!D$2- 12.5)*'Touch 1 1'!$AC27</f>
        <v>69.132414230751692</v>
      </c>
      <c r="E27" s="1">
        <f>'Touch 1 1'!E27-'Touch 1 1'!$AA27-('Touch 1 1'!E$2- 12.5)*'Touch 1 1'!$AC27</f>
        <v>-41.65345393388975</v>
      </c>
      <c r="F27" s="1">
        <f>'Touch 1 1'!F27-'Touch 1 1'!$AA27-('Touch 1 1'!F$2- 12.5)*'Touch 1 1'!$AC27</f>
        <v>-32.43932209853142</v>
      </c>
      <c r="G27" s="1">
        <f>'Touch 1 1'!G27-'Touch 1 1'!$AA27-('Touch 1 1'!G$2- 12.5)*'Touch 1 1'!$AC27</f>
        <v>-33.225190263172863</v>
      </c>
      <c r="H27" s="1">
        <f>'Touch 1 1'!H27-'Touch 1 1'!$AA27-('Touch 1 1'!H$2- 12.5)*'Touch 1 1'!$AC27</f>
        <v>5.9889415721854675</v>
      </c>
      <c r="I27" s="1">
        <f>'Touch 1 1'!I27-'Touch 1 1'!$AA27-('Touch 1 1'!I$2- 12.5)*'Touch 1 1'!$AC27</f>
        <v>35.203073407544025</v>
      </c>
      <c r="J27" s="1">
        <f>'Touch 1 1'!J27-'Touch 1 1'!$AA27-('Touch 1 1'!J$2- 12.5)*'Touch 1 1'!$AC27</f>
        <v>24.417205242902355</v>
      </c>
      <c r="K27" s="1">
        <f>'Touch 1 1'!K27-'Touch 1 1'!$AA27-('Touch 1 1'!K$2- 12.5)*'Touch 1 1'!$AC27</f>
        <v>-56.368662921739087</v>
      </c>
      <c r="L27" s="1">
        <f>'Touch 1 1'!L27-'Touch 1 1'!$AA27-('Touch 1 1'!L$2- 12.5)*'Touch 1 1'!$AC27</f>
        <v>-67.1545310863807</v>
      </c>
      <c r="M27" s="1">
        <f>'Touch 1 1'!M27-'Touch 1 1'!$AA27-('Touch 1 1'!M$2- 12.5)*'Touch 1 1'!$AC27</f>
        <v>-107.94039925102226</v>
      </c>
      <c r="N27" s="1">
        <f>'Touch 1 1'!N27-'Touch 1 1'!$AA27-('Touch 1 1'!N$2- 12.5)*'Touch 1 1'!$AC27</f>
        <v>11.273732584336187</v>
      </c>
      <c r="O27" s="1">
        <f>'Touch 1 1'!O27-'Touch 1 1'!$AA27-('Touch 1 1'!O$2- 12.5)*'Touch 1 1'!$AC27</f>
        <v>20.487864419694631</v>
      </c>
      <c r="P27" s="1">
        <f>'Touch 1 1'!P27-'Touch 1 1'!$AA27-('Touch 1 1'!P$2- 12.5)*'Touch 1 1'!$AC27</f>
        <v>9.7019962550530181</v>
      </c>
      <c r="Q27" s="1">
        <f>'Touch 1 1'!Q27-'Touch 1 1'!$AA27-('Touch 1 1'!Q$2- 12.5)*'Touch 1 1'!$AC27</f>
        <v>-1.0838719095884244</v>
      </c>
      <c r="R27" s="1">
        <f>'Touch 1 1'!R27-'Touch 1 1'!$AA27-('Touch 1 1'!R$2- 12.5)*'Touch 1 1'!$AC27</f>
        <v>68.130259925769906</v>
      </c>
      <c r="S27" s="1">
        <f>'Touch 1 1'!S27-'Touch 1 1'!$AA27-('Touch 1 1'!S$2- 12.5)*'Touch 1 1'!$AC27</f>
        <v>-2.6556082388715367</v>
      </c>
      <c r="T27" s="1">
        <f>'Touch 1 1'!T27-'Touch 1 1'!$AA27-('Touch 1 1'!T$2- 12.5)*'Touch 1 1'!$AC27</f>
        <v>-43.441476403513207</v>
      </c>
      <c r="U27" s="1">
        <f>'Touch 1 1'!U27-'Touch 1 1'!$AA27-('Touch 1 1'!U$2- 12.5)*'Touch 1 1'!$AC27</f>
        <v>35.772655431845351</v>
      </c>
      <c r="V27" s="1">
        <f>'Touch 1 1'!V27-'Touch 1 1'!$AA27-('Touch 1 1'!V$2- 12.5)*'Touch 1 1'!$AC27</f>
        <v>-5.013212732796319</v>
      </c>
      <c r="W27" s="1">
        <f>'Touch 1 1'!W27-'Touch 1 1'!$AA27-('Touch 1 1'!W$2- 12.5)*'Touch 1 1'!$AC27</f>
        <v>34.200919102562239</v>
      </c>
      <c r="X27" s="1">
        <f>'Touch 1 1'!X27-'Touch 1 1'!$AA27-('Touch 1 1'!X$2- 12.5)*'Touch 1 1'!$AC27</f>
        <v>-6.5849490620794313</v>
      </c>
      <c r="Y27" s="1">
        <f>'Touch 1 1'!Y27-'Touch 1 1'!$AA27-('Touch 1 1'!Y$2- 12.5)*'Touch 1 1'!$AC27</f>
        <v>-27.370817226721101</v>
      </c>
      <c r="AB27" s="1">
        <f>STDEV(B27:Y27)</f>
        <v>45.165310618456111</v>
      </c>
      <c r="AD27" s="11">
        <v>1</v>
      </c>
      <c r="AE27" s="11">
        <v>5</v>
      </c>
      <c r="AF27" s="11">
        <v>3</v>
      </c>
      <c r="AG27" s="11">
        <v>7</v>
      </c>
      <c r="AH27" s="11">
        <v>2</v>
      </c>
      <c r="AI27" s="11">
        <v>9</v>
      </c>
      <c r="AJ27" s="11">
        <v>4</v>
      </c>
      <c r="AK27" s="11" t="s">
        <v>45</v>
      </c>
      <c r="AL27" s="11">
        <v>6</v>
      </c>
      <c r="AM27" s="11" t="s">
        <v>46</v>
      </c>
      <c r="AN27" s="11">
        <v>8</v>
      </c>
      <c r="AO27" s="11" t="s">
        <v>44</v>
      </c>
      <c r="AP27" s="11">
        <v>1</v>
      </c>
      <c r="AQ27" s="11">
        <v>5</v>
      </c>
      <c r="AR27" s="11">
        <v>7</v>
      </c>
      <c r="AS27" s="11">
        <v>3</v>
      </c>
      <c r="AT27" s="11">
        <v>9</v>
      </c>
      <c r="AU27" s="11">
        <v>2</v>
      </c>
      <c r="AV27" s="11" t="s">
        <v>45</v>
      </c>
      <c r="AW27" s="11">
        <v>4</v>
      </c>
      <c r="AX27" s="11" t="s">
        <v>46</v>
      </c>
      <c r="AY27" s="11">
        <v>6</v>
      </c>
      <c r="AZ27" s="11" t="s">
        <v>44</v>
      </c>
      <c r="BA27" s="11">
        <v>8</v>
      </c>
      <c r="BB27" s="5"/>
      <c r="BC27" s="1">
        <f ca="1">OFFSET(A27,0, 1) -0</f>
        <v>70.704150560035032</v>
      </c>
      <c r="BD27" s="1">
        <f ca="1">OFFSET(A27,0, 5) -0</f>
        <v>-32.43932209853142</v>
      </c>
      <c r="BE27" s="1">
        <f ca="1">OFFSET(A27,0, 3) -0</f>
        <v>69.132414230751692</v>
      </c>
      <c r="BF27" s="1">
        <f ca="1">OFFSET(A27,0, 7) -0</f>
        <v>5.9889415721854675</v>
      </c>
      <c r="BG27" s="1">
        <f ca="1">OFFSET(A27,0, 2) -0</f>
        <v>39.918282395393362</v>
      </c>
      <c r="BH27" s="1">
        <f ca="1">OFFSET(A27,0, 9) -0</f>
        <v>24.417205242902355</v>
      </c>
      <c r="BI27" s="1">
        <f ca="1">OFFSET(A27,0, 4) -0</f>
        <v>-41.65345393388975</v>
      </c>
      <c r="BJ27" s="1">
        <f ca="1">OFFSET(A27,0, 11) -0</f>
        <v>-67.1545310863807</v>
      </c>
      <c r="BK27" s="1">
        <f ca="1">OFFSET(A27,0, 6) -0</f>
        <v>-33.225190263172863</v>
      </c>
      <c r="BL27" s="1">
        <f ca="1">OFFSET(A27,0, 12) -0</f>
        <v>-107.94039925102226</v>
      </c>
      <c r="BM27" s="1">
        <f ca="1">OFFSET(A27,0, 8) -0</f>
        <v>35.203073407544025</v>
      </c>
      <c r="BN27" s="1">
        <f ca="1">OFFSET(A27,0, 10) -0</f>
        <v>-56.368662921739087</v>
      </c>
      <c r="BO27" s="1">
        <f ca="1">OFFSET(A27,0, 13) -0</f>
        <v>11.273732584336187</v>
      </c>
      <c r="BP27" s="1">
        <f ca="1">OFFSET(A27,0, 18) -0</f>
        <v>-2.6556082388715367</v>
      </c>
      <c r="BQ27" s="1">
        <f ca="1">OFFSET(A27,0, 16) -0</f>
        <v>-1.0838719095884244</v>
      </c>
      <c r="BR27" s="1">
        <f ca="1">OFFSET(A27,0, 20) -0</f>
        <v>35.772655431845351</v>
      </c>
      <c r="BS27" s="1">
        <f ca="1">OFFSET(A27,0, 14) -0</f>
        <v>20.487864419694631</v>
      </c>
      <c r="BT27" s="1">
        <f ca="1">OFFSET(A27,0, 22) -0</f>
        <v>34.200919102562239</v>
      </c>
      <c r="BU27" s="1">
        <f ca="1">OFFSET(A27,0, 15) -0</f>
        <v>9.7019962550530181</v>
      </c>
      <c r="BV27" s="1">
        <f ca="1">OFFSET(A27,0, 24) -0</f>
        <v>-27.370817226721101</v>
      </c>
      <c r="BW27" s="1">
        <f ca="1">OFFSET(A27,0, 17) -0</f>
        <v>68.130259925769906</v>
      </c>
      <c r="BX27" s="1">
        <f ca="1">OFFSET(A27,0, 23) -0</f>
        <v>-6.5849490620794313</v>
      </c>
      <c r="BY27" s="1">
        <f ca="1">OFFSET(A27,0, 19) -0</f>
        <v>-43.441476403513207</v>
      </c>
      <c r="BZ27" s="1">
        <f ca="1">OFFSET(A27,0, 21) -0</f>
        <v>-5.013212732796319</v>
      </c>
      <c r="CB27" s="1">
        <f>COUNTIF(B27,"&lt;-75")</f>
        <v>0</v>
      </c>
      <c r="CC27" s="1">
        <f ca="1">COUNTIF(BC27:BN27,"&lt;-53")</f>
        <v>3</v>
      </c>
      <c r="CD27" s="1">
        <f ca="1">COUNTIF(BC27:BN27,"&gt;+53")</f>
        <v>2</v>
      </c>
      <c r="CE27" s="1">
        <f ca="1">COUNTIF(BO27:BZ27,"&lt;-53")</f>
        <v>0</v>
      </c>
      <c r="CF27" s="1">
        <f ca="1">COUNTIF(BO27:BZ27,"&gt;+53")</f>
        <v>1</v>
      </c>
    </row>
    <row r="28" spans="1:84">
      <c r="A28" s="1">
        <v>25</v>
      </c>
      <c r="B28" s="1">
        <f>'Touch 1 1'!B28-'Touch 1 1'!$AA28-('Touch 1 1'!B$2- 12.5)*'Touch 1 1'!$AC28</f>
        <v>31.020284169128445</v>
      </c>
      <c r="C28" s="1">
        <f>'Touch 1 1'!C28-'Touch 1 1'!$AA28-('Touch 1 1'!C$2- 12.5)*'Touch 1 1'!$AC28</f>
        <v>60.025766705146907</v>
      </c>
      <c r="D28" s="1">
        <f>'Touch 1 1'!D28-'Touch 1 1'!$AA28-('Touch 1 1'!D$2- 12.5)*'Touch 1 1'!$AC28</f>
        <v>109.03124924116582</v>
      </c>
      <c r="E28" s="1">
        <f>'Touch 1 1'!E28-'Touch 1 1'!$AA28-('Touch 1 1'!E$2- 12.5)*'Touch 1 1'!$AC28</f>
        <v>18.036731777184514</v>
      </c>
      <c r="F28" s="1">
        <f>'Touch 1 1'!F28-'Touch 1 1'!$AA28-('Touch 1 1'!F$2- 12.5)*'Touch 1 1'!$AC28</f>
        <v>7.042214313202976</v>
      </c>
      <c r="G28" s="1">
        <f>'Touch 1 1'!G28-'Touch 1 1'!$AA28-('Touch 1 1'!G$2- 12.5)*'Touch 1 1'!$AC28</f>
        <v>6.0476968492216656</v>
      </c>
      <c r="H28" s="1">
        <f>'Touch 1 1'!H28-'Touch 1 1'!$AA28-('Touch 1 1'!H$2- 12.5)*'Touch 1 1'!$AC28</f>
        <v>-34.946820614759645</v>
      </c>
      <c r="I28" s="1">
        <f>'Touch 1 1'!I28-'Touch 1 1'!$AA28-('Touch 1 1'!I$2- 12.5)*'Touch 1 1'!$AC28</f>
        <v>74.058661921259045</v>
      </c>
      <c r="J28" s="1">
        <f>'Touch 1 1'!J28-'Touch 1 1'!$AA28-('Touch 1 1'!J$2- 12.5)*'Touch 1 1'!$AC28</f>
        <v>23.064144457277735</v>
      </c>
      <c r="K28" s="1">
        <f>'Touch 1 1'!K28-'Touch 1 1'!$AA28-('Touch 1 1'!K$2- 12.5)*'Touch 1 1'!$AC28</f>
        <v>-57.930373006703576</v>
      </c>
      <c r="L28" s="1">
        <f>'Touch 1 1'!L28-'Touch 1 1'!$AA28-('Touch 1 1'!L$2- 12.5)*'Touch 1 1'!$AC28</f>
        <v>-78.924890470684943</v>
      </c>
      <c r="M28" s="1">
        <f>'Touch 1 1'!M28-'Touch 1 1'!$AA28-('Touch 1 1'!M$2- 12.5)*'Touch 1 1'!$AC28</f>
        <v>-79.919407934666296</v>
      </c>
      <c r="N28" s="1">
        <f>'Touch 1 1'!N28-'Touch 1 1'!$AA28-('Touch 1 1'!N$2- 12.5)*'Touch 1 1'!$AC28</f>
        <v>29.086074601352365</v>
      </c>
      <c r="O28" s="1">
        <f>'Touch 1 1'!O28-'Touch 1 1'!$AA28-('Touch 1 1'!O$2- 12.5)*'Touch 1 1'!$AC28</f>
        <v>38.091557137371012</v>
      </c>
      <c r="P28" s="1">
        <f>'Touch 1 1'!P28-'Touch 1 1'!$AA28-('Touch 1 1'!P$2- 12.5)*'Touch 1 1'!$AC28</f>
        <v>87.097039673389645</v>
      </c>
      <c r="Q28" s="1">
        <f>'Touch 1 1'!Q28-'Touch 1 1'!$AA28-('Touch 1 1'!Q$2- 12.5)*'Touch 1 1'!$AC28</f>
        <v>36.102522209408335</v>
      </c>
      <c r="R28" s="1">
        <f>'Touch 1 1'!R28-'Touch 1 1'!$AA28-('Touch 1 1'!R$2- 12.5)*'Touch 1 1'!$AC28</f>
        <v>-34.891995254572976</v>
      </c>
      <c r="S28" s="1">
        <f>'Touch 1 1'!S28-'Touch 1 1'!$AA28-('Touch 1 1'!S$2- 12.5)*'Touch 1 1'!$AC28</f>
        <v>4.113487281445714</v>
      </c>
      <c r="T28" s="1">
        <f>'Touch 1 1'!T28-'Touch 1 1'!$AA28-('Touch 1 1'!T$2- 12.5)*'Touch 1 1'!$AC28</f>
        <v>13.118969817464404</v>
      </c>
      <c r="U28" s="1">
        <f>'Touch 1 1'!U28-'Touch 1 1'!$AA28-('Touch 1 1'!U$2- 12.5)*'Touch 1 1'!$AC28</f>
        <v>2.1244523534830932</v>
      </c>
      <c r="V28" s="1">
        <f>'Touch 1 1'!V28-'Touch 1 1'!$AA28-('Touch 1 1'!V$2- 12.5)*'Touch 1 1'!$AC28</f>
        <v>-48.870065110498444</v>
      </c>
      <c r="W28" s="1">
        <f>'Touch 1 1'!W28-'Touch 1 1'!$AA28-('Touch 1 1'!W$2- 12.5)*'Touch 1 1'!$AC28</f>
        <v>-69.864582574479755</v>
      </c>
      <c r="X28" s="1">
        <f>'Touch 1 1'!X28-'Touch 1 1'!$AA28-('Touch 1 1'!X$2- 12.5)*'Touch 1 1'!$AC28</f>
        <v>-80.859100038460838</v>
      </c>
      <c r="Y28" s="1">
        <f>'Touch 1 1'!Y28-'Touch 1 1'!$AA28-('Touch 1 1'!Y$2- 12.5)*'Touch 1 1'!$AC28</f>
        <v>-51.853617502442376</v>
      </c>
      <c r="AB28" s="1">
        <f>STDEV(B28:Y28)</f>
        <v>54.839027007899851</v>
      </c>
      <c r="AD28" s="11">
        <v>5</v>
      </c>
      <c r="AE28" s="11">
        <v>1</v>
      </c>
      <c r="AF28" s="11">
        <v>3</v>
      </c>
      <c r="AG28" s="11">
        <v>7</v>
      </c>
      <c r="AH28" s="11">
        <v>2</v>
      </c>
      <c r="AI28" s="11">
        <v>9</v>
      </c>
      <c r="AJ28" s="11">
        <v>4</v>
      </c>
      <c r="AK28" s="11" t="s">
        <v>45</v>
      </c>
      <c r="AL28" s="11">
        <v>6</v>
      </c>
      <c r="AM28" s="11" t="s">
        <v>46</v>
      </c>
      <c r="AN28" s="11">
        <v>8</v>
      </c>
      <c r="AO28" s="11" t="s">
        <v>44</v>
      </c>
      <c r="AP28" s="11">
        <v>1</v>
      </c>
      <c r="AQ28" s="11">
        <v>5</v>
      </c>
      <c r="AR28" s="11">
        <v>3</v>
      </c>
      <c r="AS28" s="11">
        <v>2</v>
      </c>
      <c r="AT28" s="11">
        <v>7</v>
      </c>
      <c r="AU28" s="11">
        <v>4</v>
      </c>
      <c r="AV28" s="11">
        <v>9</v>
      </c>
      <c r="AW28" s="11">
        <v>6</v>
      </c>
      <c r="AX28" s="11" t="s">
        <v>45</v>
      </c>
      <c r="AY28" s="11">
        <v>8</v>
      </c>
      <c r="AZ28" s="11" t="s">
        <v>46</v>
      </c>
      <c r="BA28" s="11" t="s">
        <v>44</v>
      </c>
      <c r="BB28" s="5"/>
      <c r="BC28" s="1">
        <f ca="1">OFFSET(A28,0, 2) -0</f>
        <v>60.025766705146907</v>
      </c>
      <c r="BD28" s="1">
        <f ca="1">OFFSET(A28,0, 5) -0</f>
        <v>7.042214313202976</v>
      </c>
      <c r="BE28" s="1">
        <f ca="1">OFFSET(A28,0, 3) -0</f>
        <v>109.03124924116582</v>
      </c>
      <c r="BF28" s="1">
        <f ca="1">OFFSET(A28,0, 7) -0</f>
        <v>-34.946820614759645</v>
      </c>
      <c r="BG28" s="1">
        <f ca="1">OFFSET(A28,0, 1) -0</f>
        <v>31.020284169128445</v>
      </c>
      <c r="BH28" s="1">
        <f ca="1">OFFSET(A28,0, 9) -0</f>
        <v>23.064144457277735</v>
      </c>
      <c r="BI28" s="1">
        <f ca="1">OFFSET(A28,0, 4) -0</f>
        <v>18.036731777184514</v>
      </c>
      <c r="BJ28" s="1">
        <f ca="1">OFFSET(A28,0, 11) -0</f>
        <v>-78.924890470684943</v>
      </c>
      <c r="BK28" s="1">
        <f ca="1">OFFSET(A28,0, 6) -0</f>
        <v>6.0476968492216656</v>
      </c>
      <c r="BL28" s="1">
        <f ca="1">OFFSET(A28,0, 12) -0</f>
        <v>-79.919407934666296</v>
      </c>
      <c r="BM28" s="1">
        <f ca="1">OFFSET(A28,0, 8) -0</f>
        <v>74.058661921259045</v>
      </c>
      <c r="BN28" s="1">
        <f ca="1">OFFSET(A28,0, 10) -0</f>
        <v>-57.930373006703576</v>
      </c>
      <c r="BO28" s="1">
        <f ca="1">OFFSET(A28,0, 13) -0</f>
        <v>29.086074601352365</v>
      </c>
      <c r="BP28" s="1">
        <f ca="1">OFFSET(A28,0, 16) -0</f>
        <v>36.102522209408335</v>
      </c>
      <c r="BQ28" s="1">
        <f ca="1">OFFSET(A28,0, 15) -0</f>
        <v>87.097039673389645</v>
      </c>
      <c r="BR28" s="1">
        <f ca="1">OFFSET(A28,0, 18) -0</f>
        <v>4.113487281445714</v>
      </c>
      <c r="BS28" s="1">
        <f ca="1">OFFSET(A28,0, 14) -0</f>
        <v>38.091557137371012</v>
      </c>
      <c r="BT28" s="1">
        <f ca="1">OFFSET(A28,0, 20) -0</f>
        <v>2.1244523534830932</v>
      </c>
      <c r="BU28" s="1">
        <f ca="1">OFFSET(A28,0, 17) -0</f>
        <v>-34.891995254572976</v>
      </c>
      <c r="BV28" s="1">
        <f ca="1">OFFSET(A28,0, 22) -0</f>
        <v>-69.864582574479755</v>
      </c>
      <c r="BW28" s="1">
        <f ca="1">OFFSET(A28,0, 19) -0</f>
        <v>13.118969817464404</v>
      </c>
      <c r="BX28" s="1">
        <f ca="1">OFFSET(A28,0, 24) -0</f>
        <v>-51.853617502442376</v>
      </c>
      <c r="BY28" s="1">
        <f ca="1">OFFSET(A28,0, 21) -0</f>
        <v>-48.870065110498444</v>
      </c>
      <c r="BZ28" s="1">
        <f ca="1">OFFSET(A28,0, 23) -0</f>
        <v>-80.859100038460838</v>
      </c>
      <c r="CB28" s="1">
        <f>COUNTIF(B28,"&lt;-75")</f>
        <v>0</v>
      </c>
      <c r="CC28" s="1">
        <f ca="1">COUNTIF(BC28:BN28,"&lt;-53")</f>
        <v>3</v>
      </c>
      <c r="CD28" s="1">
        <f ca="1">COUNTIF(BC28:BN28,"&gt;+53")</f>
        <v>3</v>
      </c>
      <c r="CE28" s="1">
        <f ca="1">COUNTIF(BO28:BZ28,"&lt;-53")</f>
        <v>2</v>
      </c>
      <c r="CF28" s="1">
        <f ca="1">COUNTIF(BO28:BZ28,"&gt;+53")</f>
        <v>1</v>
      </c>
    </row>
    <row r="29" spans="1:84">
      <c r="A29" s="1">
        <v>26</v>
      </c>
      <c r="B29" s="1">
        <f>'Touch 1 1'!B29-'Touch 1 1'!$AA29-('Touch 1 1'!B$2- 12.5)*'Touch 1 1'!$AC29</f>
        <v>35.112338164210087</v>
      </c>
      <c r="C29" s="1">
        <f>'Touch 1 1'!C29-'Touch 1 1'!$AA29-('Touch 1 1'!C$2- 12.5)*'Touch 1 1'!$AC29</f>
        <v>53.617062381813867</v>
      </c>
      <c r="D29" s="1">
        <f>'Touch 1 1'!D29-'Touch 1 1'!$AA29-('Touch 1 1'!D$2- 12.5)*'Touch 1 1'!$AC29</f>
        <v>32.121786599418101</v>
      </c>
      <c r="E29" s="1">
        <f>'Touch 1 1'!E29-'Touch 1 1'!$AA29-('Touch 1 1'!E$2- 12.5)*'Touch 1 1'!$AC29</f>
        <v>70.626510817022108</v>
      </c>
      <c r="F29" s="1">
        <f>'Touch 1 1'!F29-'Touch 1 1'!$AA29-('Touch 1 1'!F$2- 12.5)*'Touch 1 1'!$AC29</f>
        <v>19.131235034626343</v>
      </c>
      <c r="G29" s="1">
        <f>'Touch 1 1'!G29-'Touch 1 1'!$AA29-('Touch 1 1'!G$2- 12.5)*'Touch 1 1'!$AC29</f>
        <v>-2.3640407477696499</v>
      </c>
      <c r="H29" s="1">
        <f>'Touch 1 1'!H29-'Touch 1 1'!$AA29-('Touch 1 1'!H$2- 12.5)*'Touch 1 1'!$AC29</f>
        <v>-23.859316530165643</v>
      </c>
      <c r="I29" s="1">
        <f>'Touch 1 1'!I29-'Touch 1 1'!$AA29-('Touch 1 1'!I$2- 12.5)*'Touch 1 1'!$AC29</f>
        <v>-45.354592312561408</v>
      </c>
      <c r="J29" s="1">
        <f>'Touch 1 1'!J29-'Touch 1 1'!$AA29-('Touch 1 1'!J$2- 12.5)*'Touch 1 1'!$AC29</f>
        <v>-26.849868094957401</v>
      </c>
      <c r="K29" s="1">
        <f>'Touch 1 1'!K29-'Touch 1 1'!$AA29-('Touch 1 1'!K$2- 12.5)*'Touch 1 1'!$AC29</f>
        <v>11.65485612264672</v>
      </c>
      <c r="L29" s="1">
        <f>'Touch 1 1'!L29-'Touch 1 1'!$AA29-('Touch 1 1'!L$2- 12.5)*'Touch 1 1'!$AC29</f>
        <v>0.15958034025084089</v>
      </c>
      <c r="M29" s="1">
        <f>'Touch 1 1'!M29-'Touch 1 1'!$AA29-('Touch 1 1'!M$2- 12.5)*'Touch 1 1'!$AC29</f>
        <v>-131.3356954421451</v>
      </c>
      <c r="N29" s="1">
        <f>'Touch 1 1'!N29-'Touch 1 1'!$AA29-('Touch 1 1'!N$2- 12.5)*'Touch 1 1'!$AC29</f>
        <v>47.169028775459012</v>
      </c>
      <c r="O29" s="1">
        <f>'Touch 1 1'!O29-'Touch 1 1'!$AA29-('Touch 1 1'!O$2- 12.5)*'Touch 1 1'!$AC29</f>
        <v>55.67375299306309</v>
      </c>
      <c r="P29" s="1">
        <f>'Touch 1 1'!P29-'Touch 1 1'!$AA29-('Touch 1 1'!P$2- 12.5)*'Touch 1 1'!$AC29</f>
        <v>54.178477210667211</v>
      </c>
      <c r="Q29" s="1">
        <f>'Touch 1 1'!Q29-'Touch 1 1'!$AA29-('Touch 1 1'!Q$2- 12.5)*'Touch 1 1'!$AC29</f>
        <v>52.683201428271332</v>
      </c>
      <c r="R29" s="1">
        <f>'Touch 1 1'!R29-'Touch 1 1'!$AA29-('Touch 1 1'!R$2- 12.5)*'Touch 1 1'!$AC29</f>
        <v>11.187925645875339</v>
      </c>
      <c r="S29" s="1">
        <f>'Touch 1 1'!S29-'Touch 1 1'!$AA29-('Touch 1 1'!S$2- 12.5)*'Touch 1 1'!$AC29</f>
        <v>-40.307350136520427</v>
      </c>
      <c r="T29" s="1">
        <f>'Touch 1 1'!T29-'Touch 1 1'!$AA29-('Touch 1 1'!T$2- 12.5)*'Touch 1 1'!$AC29</f>
        <v>-21.802625918916419</v>
      </c>
      <c r="U29" s="1">
        <f>'Touch 1 1'!U29-'Touch 1 1'!$AA29-('Touch 1 1'!U$2- 12.5)*'Touch 1 1'!$AC29</f>
        <v>-3.2979017013124121</v>
      </c>
      <c r="V29" s="1">
        <f>'Touch 1 1'!V29-'Touch 1 1'!$AA29-('Touch 1 1'!V$2- 12.5)*'Touch 1 1'!$AC29</f>
        <v>-24.793177483708178</v>
      </c>
      <c r="W29" s="1">
        <f>'Touch 1 1'!W29-'Touch 1 1'!$AA29-('Touch 1 1'!W$2- 12.5)*'Touch 1 1'!$AC29</f>
        <v>-56.28845326610417</v>
      </c>
      <c r="X29" s="1">
        <f>'Touch 1 1'!X29-'Touch 1 1'!$AA29-('Touch 1 1'!X$2- 12.5)*'Touch 1 1'!$AC29</f>
        <v>-47.783729048499936</v>
      </c>
      <c r="Y29" s="1">
        <f>'Touch 1 1'!Y29-'Touch 1 1'!$AA29-('Touch 1 1'!Y$2- 12.5)*'Touch 1 1'!$AC29</f>
        <v>-19.279004830896156</v>
      </c>
      <c r="AB29" s="1">
        <f>STDEV(B29:Y29)</f>
        <v>47.061832393090185</v>
      </c>
      <c r="AD29" s="11">
        <v>5</v>
      </c>
      <c r="AE29" s="11">
        <v>1</v>
      </c>
      <c r="AF29" s="11">
        <v>2</v>
      </c>
      <c r="AG29" s="11">
        <v>3</v>
      </c>
      <c r="AH29" s="11">
        <v>4</v>
      </c>
      <c r="AI29" s="11">
        <v>7</v>
      </c>
      <c r="AJ29" s="11">
        <v>6</v>
      </c>
      <c r="AK29" s="11">
        <v>9</v>
      </c>
      <c r="AL29" s="11">
        <v>8</v>
      </c>
      <c r="AM29" s="11" t="s">
        <v>45</v>
      </c>
      <c r="AN29" s="11" t="s">
        <v>44</v>
      </c>
      <c r="AO29" s="11" t="s">
        <v>46</v>
      </c>
      <c r="AP29" s="11">
        <v>5</v>
      </c>
      <c r="AQ29" s="11">
        <v>2</v>
      </c>
      <c r="AR29" s="11">
        <v>1</v>
      </c>
      <c r="AS29" s="11">
        <v>3</v>
      </c>
      <c r="AT29" s="11">
        <v>7</v>
      </c>
      <c r="AU29" s="11">
        <v>4</v>
      </c>
      <c r="AV29" s="11">
        <v>9</v>
      </c>
      <c r="AW29" s="11">
        <v>6</v>
      </c>
      <c r="AX29" s="11" t="s">
        <v>45</v>
      </c>
      <c r="AY29" s="11">
        <v>8</v>
      </c>
      <c r="AZ29" s="11" t="s">
        <v>46</v>
      </c>
      <c r="BA29" s="11" t="s">
        <v>44</v>
      </c>
      <c r="BB29" s="5"/>
      <c r="BC29" s="1">
        <f ca="1">OFFSET(A29,0, 2) -0</f>
        <v>53.617062381813867</v>
      </c>
      <c r="BD29" s="1">
        <f ca="1">OFFSET(A29,0, 3) -0</f>
        <v>32.121786599418101</v>
      </c>
      <c r="BE29" s="1">
        <f ca="1">OFFSET(A29,0, 4) -0</f>
        <v>70.626510817022108</v>
      </c>
      <c r="BF29" s="1">
        <f ca="1">OFFSET(A29,0, 5) -0</f>
        <v>19.131235034626343</v>
      </c>
      <c r="BG29" s="1">
        <f ca="1">OFFSET(A29,0, 1) -0</f>
        <v>35.112338164210087</v>
      </c>
      <c r="BH29" s="1">
        <f ca="1">OFFSET(A29,0, 7) -0</f>
        <v>-23.859316530165643</v>
      </c>
      <c r="BI29" s="1">
        <f ca="1">OFFSET(A29,0, 6) -0</f>
        <v>-2.3640407477696499</v>
      </c>
      <c r="BJ29" s="1">
        <f ca="1">OFFSET(A29,0, 9) -0</f>
        <v>-26.849868094957401</v>
      </c>
      <c r="BK29" s="1">
        <f ca="1">OFFSET(A29,0, 8) -0</f>
        <v>-45.354592312561408</v>
      </c>
      <c r="BL29" s="1">
        <f ca="1">OFFSET(A29,0, 11) -0</f>
        <v>0.15958034025084089</v>
      </c>
      <c r="BM29" s="1">
        <f ca="1">OFFSET(A29,0, 10) -0</f>
        <v>11.65485612264672</v>
      </c>
      <c r="BN29" s="1">
        <f ca="1">OFFSET(A29,0, 12) -0</f>
        <v>-131.3356954421451</v>
      </c>
      <c r="BO29" s="1">
        <f ca="1">OFFSET(A29,0, 15) -0</f>
        <v>54.178477210667211</v>
      </c>
      <c r="BP29" s="1">
        <f ca="1">OFFSET(A29,0, 14) -0</f>
        <v>55.67375299306309</v>
      </c>
      <c r="BQ29" s="1">
        <f ca="1">OFFSET(A29,0, 16) -0</f>
        <v>52.683201428271332</v>
      </c>
      <c r="BR29" s="1">
        <f ca="1">OFFSET(A29,0, 18) -0</f>
        <v>-40.307350136520427</v>
      </c>
      <c r="BS29" s="1">
        <f ca="1">OFFSET(A29,0, 13) -0</f>
        <v>47.169028775459012</v>
      </c>
      <c r="BT29" s="1">
        <f ca="1">OFFSET(A29,0, 20) -0</f>
        <v>-3.2979017013124121</v>
      </c>
      <c r="BU29" s="1">
        <f ca="1">OFFSET(A29,0, 17) -0</f>
        <v>11.187925645875339</v>
      </c>
      <c r="BV29" s="1">
        <f ca="1">OFFSET(A29,0, 22) -0</f>
        <v>-56.28845326610417</v>
      </c>
      <c r="BW29" s="1">
        <f ca="1">OFFSET(A29,0, 19) -0</f>
        <v>-21.802625918916419</v>
      </c>
      <c r="BX29" s="1">
        <f ca="1">OFFSET(A29,0, 24) -0</f>
        <v>-19.279004830896156</v>
      </c>
      <c r="BY29" s="1">
        <f ca="1">OFFSET(A29,0, 21) -0</f>
        <v>-24.793177483708178</v>
      </c>
      <c r="BZ29" s="1">
        <f ca="1">OFFSET(A29,0, 23) -0</f>
        <v>-47.783729048499936</v>
      </c>
      <c r="CB29" s="1">
        <f>COUNTIF(B29,"&lt;-75")</f>
        <v>0</v>
      </c>
      <c r="CC29" s="1">
        <f ca="1">COUNTIF(BC29:BN29,"&lt;-53")</f>
        <v>1</v>
      </c>
      <c r="CD29" s="1">
        <f ca="1">COUNTIF(BC29:BN29,"&gt;+53")</f>
        <v>2</v>
      </c>
      <c r="CE29" s="1">
        <f ca="1">COUNTIF(BO29:BZ29,"&lt;-53")</f>
        <v>1</v>
      </c>
      <c r="CF29" s="1">
        <f ca="1">COUNTIF(BO29:BZ29,"&gt;+53")</f>
        <v>2</v>
      </c>
    </row>
    <row r="30" spans="1:84">
      <c r="A30" s="1">
        <v>27</v>
      </c>
      <c r="B30" s="1">
        <f>'Touch 1 1'!B30-'Touch 1 1'!$AA30-('Touch 1 1'!B$2- 12.5)*'Touch 1 1'!$AC30</f>
        <v>58.508898219372441</v>
      </c>
      <c r="C30" s="1">
        <f>'Touch 1 1'!C30-'Touch 1 1'!$AA30-('Touch 1 1'!C$2- 12.5)*'Touch 1 1'!$AC30</f>
        <v>36.971892577108974</v>
      </c>
      <c r="D30" s="1">
        <f>'Touch 1 1'!D30-'Touch 1 1'!$AA30-('Touch 1 1'!D$2- 12.5)*'Touch 1 1'!$AC30</f>
        <v>95.434886934845508</v>
      </c>
      <c r="E30" s="1">
        <f>'Touch 1 1'!E30-'Touch 1 1'!$AA30-('Touch 1 1'!E$2- 12.5)*'Touch 1 1'!$AC30</f>
        <v>93.897881292582042</v>
      </c>
      <c r="F30" s="1">
        <f>'Touch 1 1'!F30-'Touch 1 1'!$AA30-('Touch 1 1'!F$2- 12.5)*'Touch 1 1'!$AC30</f>
        <v>22.360875650318576</v>
      </c>
      <c r="G30" s="1">
        <f>'Touch 1 1'!G30-'Touch 1 1'!$AA30-('Touch 1 1'!G$2- 12.5)*'Touch 1 1'!$AC30</f>
        <v>-39.17612999194489</v>
      </c>
      <c r="H30" s="1">
        <f>'Touch 1 1'!H30-'Touch 1 1'!$AA30-('Touch 1 1'!H$2- 12.5)*'Touch 1 1'!$AC30</f>
        <v>-30.713135634208129</v>
      </c>
      <c r="I30" s="1">
        <f>'Touch 1 1'!I30-'Touch 1 1'!$AA30-('Touch 1 1'!I$2- 12.5)*'Touch 1 1'!$AC30</f>
        <v>-22.250141276471595</v>
      </c>
      <c r="J30" s="1">
        <f>'Touch 1 1'!J30-'Touch 1 1'!$AA30-('Touch 1 1'!J$2- 12.5)*'Touch 1 1'!$AC30</f>
        <v>6.2128530812649387</v>
      </c>
      <c r="K30" s="1">
        <f>'Touch 1 1'!K30-'Touch 1 1'!$AA30-('Touch 1 1'!K$2- 12.5)*'Touch 1 1'!$AC30</f>
        <v>-25.324152560998414</v>
      </c>
      <c r="L30" s="1">
        <f>'Touch 1 1'!L30-'Touch 1 1'!$AA30-('Touch 1 1'!L$2- 12.5)*'Touch 1 1'!$AC30</f>
        <v>-66.86115820326188</v>
      </c>
      <c r="M30" s="1">
        <f>'Touch 1 1'!M30-'Touch 1 1'!$AA30-('Touch 1 1'!M$2- 12.5)*'Touch 1 1'!$AC30</f>
        <v>-48.398163845525261</v>
      </c>
      <c r="N30" s="1">
        <f>'Touch 1 1'!N30-'Touch 1 1'!$AA30-('Touch 1 1'!N$2- 12.5)*'Touch 1 1'!$AC30</f>
        <v>40.06483051221133</v>
      </c>
      <c r="O30" s="1">
        <f>'Touch 1 1'!O30-'Touch 1 1'!$AA30-('Touch 1 1'!O$2- 12.5)*'Touch 1 1'!$AC30</f>
        <v>-11.472175130052051</v>
      </c>
      <c r="P30" s="1">
        <f>'Touch 1 1'!P30-'Touch 1 1'!$AA30-('Touch 1 1'!P$2- 12.5)*'Touch 1 1'!$AC30</f>
        <v>106.99081922768448</v>
      </c>
      <c r="Q30" s="1">
        <f>'Touch 1 1'!Q30-'Touch 1 1'!$AA30-('Touch 1 1'!Q$2- 12.5)*'Touch 1 1'!$AC30</f>
        <v>35.45381358542113</v>
      </c>
      <c r="R30" s="1">
        <f>'Touch 1 1'!R30-'Touch 1 1'!$AA30-('Touch 1 1'!R$2- 12.5)*'Touch 1 1'!$AC30</f>
        <v>-26.083192056842336</v>
      </c>
      <c r="S30" s="1">
        <f>'Touch 1 1'!S30-'Touch 1 1'!$AA30-('Touch 1 1'!S$2- 12.5)*'Touch 1 1'!$AC30</f>
        <v>-57.620197699105802</v>
      </c>
      <c r="T30" s="1">
        <f>'Touch 1 1'!T30-'Touch 1 1'!$AA30-('Touch 1 1'!T$2- 12.5)*'Touch 1 1'!$AC30</f>
        <v>-49.157203341369041</v>
      </c>
      <c r="U30" s="1">
        <f>'Touch 1 1'!U30-'Touch 1 1'!$AA30-('Touch 1 1'!U$2- 12.5)*'Touch 1 1'!$AC30</f>
        <v>-40.694208983632507</v>
      </c>
      <c r="V30" s="1">
        <f>'Touch 1 1'!V30-'Touch 1 1'!$AA30-('Touch 1 1'!V$2- 12.5)*'Touch 1 1'!$AC30</f>
        <v>7.7687853741040271</v>
      </c>
      <c r="W30" s="1">
        <f>'Touch 1 1'!W30-'Touch 1 1'!$AA30-('Touch 1 1'!W$2- 12.5)*'Touch 1 1'!$AC30</f>
        <v>-33.768220268159439</v>
      </c>
      <c r="X30" s="1">
        <f>'Touch 1 1'!X30-'Touch 1 1'!$AA30-('Touch 1 1'!X$2- 12.5)*'Touch 1 1'!$AC30</f>
        <v>-15.305225910422905</v>
      </c>
      <c r="Y30" s="1">
        <f>'Touch 1 1'!Y30-'Touch 1 1'!$AA30-('Touch 1 1'!Y$2- 12.5)*'Touch 1 1'!$AC30</f>
        <v>-36.842231552686371</v>
      </c>
      <c r="AB30" s="1">
        <f>STDEV(B30:Y30)</f>
        <v>50.642231891839948</v>
      </c>
      <c r="AD30" s="11">
        <v>2</v>
      </c>
      <c r="AE30" s="11">
        <v>5</v>
      </c>
      <c r="AF30" s="11">
        <v>3</v>
      </c>
      <c r="AG30" s="11">
        <v>1</v>
      </c>
      <c r="AH30" s="11">
        <v>4</v>
      </c>
      <c r="AI30" s="11">
        <v>7</v>
      </c>
      <c r="AJ30" s="11">
        <v>6</v>
      </c>
      <c r="AK30" s="11">
        <v>9</v>
      </c>
      <c r="AL30" s="11">
        <v>8</v>
      </c>
      <c r="AM30" s="11" t="s">
        <v>45</v>
      </c>
      <c r="AN30" s="11" t="s">
        <v>44</v>
      </c>
      <c r="AO30" s="11" t="s">
        <v>46</v>
      </c>
      <c r="AP30" s="11">
        <v>2</v>
      </c>
      <c r="AQ30" s="11">
        <v>5</v>
      </c>
      <c r="AR30" s="11">
        <v>1</v>
      </c>
      <c r="AS30" s="11">
        <v>3</v>
      </c>
      <c r="AT30" s="11">
        <v>4</v>
      </c>
      <c r="AU30" s="11">
        <v>6</v>
      </c>
      <c r="AV30" s="11">
        <v>7</v>
      </c>
      <c r="AW30" s="11">
        <v>8</v>
      </c>
      <c r="AX30" s="11">
        <v>9</v>
      </c>
      <c r="AY30" s="11" t="s">
        <v>44</v>
      </c>
      <c r="AZ30" s="11" t="s">
        <v>45</v>
      </c>
      <c r="BA30" s="11" t="s">
        <v>46</v>
      </c>
      <c r="BB30" s="5"/>
      <c r="BC30" s="1">
        <f ca="1">OFFSET(A30,0, 4) -0</f>
        <v>93.897881292582042</v>
      </c>
      <c r="BD30" s="1">
        <f ca="1">OFFSET(A30,0, 1) -0</f>
        <v>58.508898219372441</v>
      </c>
      <c r="BE30" s="1">
        <f ca="1">OFFSET(A30,0, 3) -0</f>
        <v>95.434886934845508</v>
      </c>
      <c r="BF30" s="1">
        <f ca="1">OFFSET(A30,0, 5) -0</f>
        <v>22.360875650318576</v>
      </c>
      <c r="BG30" s="1">
        <f ca="1">OFFSET(A30,0, 2) -0</f>
        <v>36.971892577108974</v>
      </c>
      <c r="BH30" s="1">
        <f ca="1">OFFSET(A30,0, 7) -0</f>
        <v>-30.713135634208129</v>
      </c>
      <c r="BI30" s="1">
        <f ca="1">OFFSET(A30,0, 6) -0</f>
        <v>-39.17612999194489</v>
      </c>
      <c r="BJ30" s="1">
        <f ca="1">OFFSET(A30,0, 9) -0</f>
        <v>6.2128530812649387</v>
      </c>
      <c r="BK30" s="1">
        <f ca="1">OFFSET(A30,0, 8) -0</f>
        <v>-22.250141276471595</v>
      </c>
      <c r="BL30" s="1">
        <f ca="1">OFFSET(A30,0, 11) -0</f>
        <v>-66.86115820326188</v>
      </c>
      <c r="BM30" s="1">
        <f ca="1">OFFSET(A30,0, 10) -0</f>
        <v>-25.324152560998414</v>
      </c>
      <c r="BN30" s="1">
        <f ca="1">OFFSET(A30,0, 12) -0</f>
        <v>-48.398163845525261</v>
      </c>
      <c r="BO30" s="1">
        <f ca="1">OFFSET(A30,0, 15) -0</f>
        <v>106.99081922768448</v>
      </c>
      <c r="BP30" s="1">
        <f ca="1">OFFSET(A30,0, 13) -0</f>
        <v>40.06483051221133</v>
      </c>
      <c r="BQ30" s="1">
        <f ca="1">OFFSET(A30,0, 16) -0</f>
        <v>35.45381358542113</v>
      </c>
      <c r="BR30" s="1">
        <f ca="1">OFFSET(A30,0, 17) -0</f>
        <v>-26.083192056842336</v>
      </c>
      <c r="BS30" s="1">
        <f ca="1">OFFSET(A30,0, 14) -0</f>
        <v>-11.472175130052051</v>
      </c>
      <c r="BT30" s="1">
        <f ca="1">OFFSET(A30,0, 18) -0</f>
        <v>-57.620197699105802</v>
      </c>
      <c r="BU30" s="1">
        <f ca="1">OFFSET(A30,0, 19) -0</f>
        <v>-49.157203341369041</v>
      </c>
      <c r="BV30" s="1">
        <f ca="1">OFFSET(A30,0, 20) -0</f>
        <v>-40.694208983632507</v>
      </c>
      <c r="BW30" s="1">
        <f ca="1">OFFSET(A30,0, 21) -0</f>
        <v>7.7687853741040271</v>
      </c>
      <c r="BX30" s="1">
        <f ca="1">OFFSET(A30,0, 22) -0</f>
        <v>-33.768220268159439</v>
      </c>
      <c r="BY30" s="1">
        <f ca="1">OFFSET(A30,0, 23) -0</f>
        <v>-15.305225910422905</v>
      </c>
      <c r="BZ30" s="1">
        <f ca="1">OFFSET(A30,0, 24) -0</f>
        <v>-36.842231552686371</v>
      </c>
      <c r="CB30" s="1">
        <f>COUNTIF(B30,"&lt;-75")</f>
        <v>0</v>
      </c>
      <c r="CC30" s="1">
        <f ca="1">COUNTIF(BC30:BN30,"&lt;-53")</f>
        <v>1</v>
      </c>
      <c r="CD30" s="1">
        <f ca="1">COUNTIF(BC30:BN30,"&gt;+53")</f>
        <v>3</v>
      </c>
      <c r="CE30" s="1">
        <f ca="1">COUNTIF(BO30:BZ30,"&lt;-53")</f>
        <v>1</v>
      </c>
      <c r="CF30" s="1">
        <f ca="1">COUNTIF(BO30:BZ30,"&gt;+53")</f>
        <v>1</v>
      </c>
    </row>
    <row r="31" spans="1:84">
      <c r="A31" s="1">
        <v>28</v>
      </c>
      <c r="B31" s="1">
        <f>'Touch 1 1'!B31-'Touch 1 1'!$AA31-('Touch 1 1'!B$2- 12.5)*'Touch 1 1'!$AC31</f>
        <v>-59.46416359925297</v>
      </c>
      <c r="C31" s="1">
        <f>'Touch 1 1'!C31-'Touch 1 1'!$AA31-('Touch 1 1'!C$2- 12.5)*'Touch 1 1'!$AC31</f>
        <v>-50.633946474679306</v>
      </c>
      <c r="D31" s="1">
        <f>'Touch 1 1'!D31-'Touch 1 1'!$AA31-('Touch 1 1'!D$2- 12.5)*'Touch 1 1'!$AC31</f>
        <v>48.196270649894359</v>
      </c>
      <c r="E31" s="1">
        <f>'Touch 1 1'!E31-'Touch 1 1'!$AA31-('Touch 1 1'!E$2- 12.5)*'Touch 1 1'!$AC31</f>
        <v>47.026487774467796</v>
      </c>
      <c r="F31" s="1">
        <f>'Touch 1 1'!F31-'Touch 1 1'!$AA31-('Touch 1 1'!F$2- 12.5)*'Touch 1 1'!$AC31</f>
        <v>5.8567048990414605</v>
      </c>
      <c r="G31" s="1">
        <f>'Touch 1 1'!G31-'Touch 1 1'!$AA31-('Touch 1 1'!G$2- 12.5)*'Touch 1 1'!$AC31</f>
        <v>14.686922023614898</v>
      </c>
      <c r="H31" s="1">
        <f>'Touch 1 1'!H31-'Touch 1 1'!$AA31-('Touch 1 1'!H$2- 12.5)*'Touch 1 1'!$AC31</f>
        <v>-6.4828608518114379</v>
      </c>
      <c r="I31" s="1">
        <f>'Touch 1 1'!I31-'Touch 1 1'!$AA31-('Touch 1 1'!I$2- 12.5)*'Touch 1 1'!$AC31</f>
        <v>-7.6526437272380008</v>
      </c>
      <c r="J31" s="1">
        <f>'Touch 1 1'!J31-'Touch 1 1'!$AA31-('Touch 1 1'!J$2- 12.5)*'Touch 1 1'!$AC31</f>
        <v>-38.822426602664336</v>
      </c>
      <c r="K31" s="1">
        <f>'Touch 1 1'!K31-'Touch 1 1'!$AA31-('Touch 1 1'!K$2- 12.5)*'Touch 1 1'!$AC31</f>
        <v>-59.992209478090899</v>
      </c>
      <c r="L31" s="1">
        <f>'Touch 1 1'!L31-'Touch 1 1'!$AA31-('Touch 1 1'!L$2- 12.5)*'Touch 1 1'!$AC31</f>
        <v>-1.1619923535172916</v>
      </c>
      <c r="M31" s="1">
        <f>'Touch 1 1'!M31-'Touch 1 1'!$AA31-('Touch 1 1'!M$2- 12.5)*'Touch 1 1'!$AC31</f>
        <v>57.668224771056259</v>
      </c>
      <c r="N31" s="1">
        <f>'Touch 1 1'!N31-'Touch 1 1'!$AA31-('Touch 1 1'!N$2- 12.5)*'Touch 1 1'!$AC31</f>
        <v>46.49844189562981</v>
      </c>
      <c r="O31" s="1">
        <f>'Touch 1 1'!O31-'Touch 1 1'!$AA31-('Touch 1 1'!O$2- 12.5)*'Touch 1 1'!$AC31</f>
        <v>-34.671340979796639</v>
      </c>
      <c r="P31" s="1">
        <f>'Touch 1 1'!P31-'Touch 1 1'!$AA31-('Touch 1 1'!P$2- 12.5)*'Touch 1 1'!$AC31</f>
        <v>34.158876144776968</v>
      </c>
      <c r="Q31" s="1">
        <f>'Touch 1 1'!Q31-'Touch 1 1'!$AA31-('Touch 1 1'!Q$2- 12.5)*'Touch 1 1'!$AC31</f>
        <v>22.989093269350406</v>
      </c>
      <c r="R31" s="1">
        <f>'Touch 1 1'!R31-'Touch 1 1'!$AA31-('Touch 1 1'!R$2- 12.5)*'Touch 1 1'!$AC31</f>
        <v>41.81931039392407</v>
      </c>
      <c r="S31" s="1">
        <f>'Touch 1 1'!S31-'Touch 1 1'!$AA31-('Touch 1 1'!S$2- 12.5)*'Touch 1 1'!$AC31</f>
        <v>10.649527518497507</v>
      </c>
      <c r="T31" s="1">
        <f>'Touch 1 1'!T31-'Touch 1 1'!$AA31-('Touch 1 1'!T$2- 12.5)*'Touch 1 1'!$AC31</f>
        <v>-0.52025535692882841</v>
      </c>
      <c r="U31" s="1">
        <f>'Touch 1 1'!U31-'Touch 1 1'!$AA31-('Touch 1 1'!U$2- 12.5)*'Touch 1 1'!$AC31</f>
        <v>-51.690038232355391</v>
      </c>
      <c r="V31" s="1">
        <f>'Touch 1 1'!V31-'Touch 1 1'!$AA31-('Touch 1 1'!V$2- 12.5)*'Touch 1 1'!$AC31</f>
        <v>-2.8598211077817268</v>
      </c>
      <c r="W31" s="1">
        <f>'Touch 1 1'!W31-'Touch 1 1'!$AA31-('Touch 1 1'!W$2- 12.5)*'Touch 1 1'!$AC31</f>
        <v>-24.02960398320829</v>
      </c>
      <c r="X31" s="1">
        <f>'Touch 1 1'!X31-'Touch 1 1'!$AA31-('Touch 1 1'!X$2- 12.5)*'Touch 1 1'!$AC31</f>
        <v>-15.199386858634625</v>
      </c>
      <c r="Y31" s="1">
        <f>'Touch 1 1'!Y31-'Touch 1 1'!$AA31-('Touch 1 1'!Y$2- 12.5)*'Touch 1 1'!$AC31</f>
        <v>23.630830265939039</v>
      </c>
      <c r="AB31" s="1">
        <f>STDEV(B31:Y31)</f>
        <v>36.347921338857155</v>
      </c>
      <c r="AD31" s="11">
        <v>5</v>
      </c>
      <c r="AE31" s="11">
        <v>2</v>
      </c>
      <c r="AF31" s="11">
        <v>3</v>
      </c>
      <c r="AG31" s="11">
        <v>1</v>
      </c>
      <c r="AH31" s="11">
        <v>6</v>
      </c>
      <c r="AI31" s="11">
        <v>4</v>
      </c>
      <c r="AJ31" s="11">
        <v>8</v>
      </c>
      <c r="AK31" s="11">
        <v>7</v>
      </c>
      <c r="AL31" s="11" t="s">
        <v>44</v>
      </c>
      <c r="AM31" s="11">
        <v>9</v>
      </c>
      <c r="AN31" s="11" t="s">
        <v>46</v>
      </c>
      <c r="AO31" s="11" t="s">
        <v>45</v>
      </c>
      <c r="AP31" s="11">
        <v>2</v>
      </c>
      <c r="AQ31" s="11">
        <v>5</v>
      </c>
      <c r="AR31" s="11">
        <v>3</v>
      </c>
      <c r="AS31" s="11">
        <v>6</v>
      </c>
      <c r="AT31" s="11">
        <v>1</v>
      </c>
      <c r="AU31" s="11">
        <v>4</v>
      </c>
      <c r="AV31" s="11">
        <v>7</v>
      </c>
      <c r="AW31" s="11">
        <v>8</v>
      </c>
      <c r="AX31" s="11">
        <v>9</v>
      </c>
      <c r="AY31" s="11" t="s">
        <v>44</v>
      </c>
      <c r="AZ31" s="11" t="s">
        <v>45</v>
      </c>
      <c r="BA31" s="11" t="s">
        <v>46</v>
      </c>
      <c r="BB31" s="5"/>
      <c r="BC31" s="1">
        <f ca="1">OFFSET(A31,0, 4) -0</f>
        <v>47.026487774467796</v>
      </c>
      <c r="BD31" s="1">
        <f ca="1">OFFSET(A31,0, 2) -0</f>
        <v>-50.633946474679306</v>
      </c>
      <c r="BE31" s="1">
        <f ca="1">OFFSET(A31,0, 3) -0</f>
        <v>48.196270649894359</v>
      </c>
      <c r="BF31" s="1">
        <f ca="1">OFFSET(A31,0, 6) -0</f>
        <v>14.686922023614898</v>
      </c>
      <c r="BG31" s="1">
        <f ca="1">OFFSET(A31,0, 1) -0</f>
        <v>-59.46416359925297</v>
      </c>
      <c r="BH31" s="1">
        <f ca="1">OFFSET(A31,0, 5) -0</f>
        <v>5.8567048990414605</v>
      </c>
      <c r="BI31" s="1">
        <f ca="1">OFFSET(A31,0, 8) -0</f>
        <v>-7.6526437272380008</v>
      </c>
      <c r="BJ31" s="1">
        <f ca="1">OFFSET(A31,0, 7) -0</f>
        <v>-6.4828608518114379</v>
      </c>
      <c r="BK31" s="1">
        <f ca="1">OFFSET(A31,0, 10) -0</f>
        <v>-59.992209478090899</v>
      </c>
      <c r="BL31" s="1">
        <f ca="1">OFFSET(A31,0, 9) -0</f>
        <v>-38.822426602664336</v>
      </c>
      <c r="BM31" s="1">
        <f ca="1">OFFSET(A31,0, 12) -0</f>
        <v>57.668224771056259</v>
      </c>
      <c r="BN31" s="1">
        <f ca="1">OFFSET(A31,0, 11) -0</f>
        <v>-1.1619923535172916</v>
      </c>
      <c r="BO31" s="1">
        <f ca="1">OFFSET(A31,0, 17) -0</f>
        <v>41.81931039392407</v>
      </c>
      <c r="BP31" s="1">
        <f ca="1">OFFSET(A31,0, 13) -0</f>
        <v>46.49844189562981</v>
      </c>
      <c r="BQ31" s="1">
        <f ca="1">OFFSET(A31,0, 15) -0</f>
        <v>34.158876144776968</v>
      </c>
      <c r="BR31" s="1">
        <f ca="1">OFFSET(A31,0, 18) -0</f>
        <v>10.649527518497507</v>
      </c>
      <c r="BS31" s="1">
        <f ca="1">OFFSET(A31,0, 14) -0</f>
        <v>-34.671340979796639</v>
      </c>
      <c r="BT31" s="1">
        <f ca="1">OFFSET(A31,0, 16) -0</f>
        <v>22.989093269350406</v>
      </c>
      <c r="BU31" s="1">
        <f ca="1">OFFSET(A31,0, 19) -0</f>
        <v>-0.52025535692882841</v>
      </c>
      <c r="BV31" s="1">
        <f ca="1">OFFSET(A31,0, 20) -0</f>
        <v>-51.690038232355391</v>
      </c>
      <c r="BW31" s="1">
        <f ca="1">OFFSET(A31,0, 21) -0</f>
        <v>-2.8598211077817268</v>
      </c>
      <c r="BX31" s="1">
        <f ca="1">OFFSET(A31,0, 22) -0</f>
        <v>-24.02960398320829</v>
      </c>
      <c r="BY31" s="1">
        <f ca="1">OFFSET(A31,0, 23) -0</f>
        <v>-15.199386858634625</v>
      </c>
      <c r="BZ31" s="1">
        <f ca="1">OFFSET(A31,0, 24) -0</f>
        <v>23.630830265939039</v>
      </c>
      <c r="CB31" s="1">
        <f>COUNTIF(B31,"&lt;-75")</f>
        <v>0</v>
      </c>
      <c r="CC31" s="1">
        <f ca="1">COUNTIF(BC31:BN31,"&lt;-53")</f>
        <v>2</v>
      </c>
      <c r="CD31" s="1">
        <f ca="1">COUNTIF(BC31:BN31,"&gt;+53")</f>
        <v>1</v>
      </c>
      <c r="CE31" s="1">
        <f ca="1">COUNTIF(BO31:BZ31,"&lt;-53")</f>
        <v>0</v>
      </c>
      <c r="CF31" s="1">
        <f ca="1">COUNTIF(BO31:BZ31,"&gt;+53")</f>
        <v>0</v>
      </c>
    </row>
    <row r="32" spans="1:84">
      <c r="A32" s="1">
        <v>29</v>
      </c>
      <c r="B32" s="1">
        <f>'Touch 1 1'!B32-'Touch 1 1'!$AA32-('Touch 1 1'!B$2- 12.5)*'Touch 1 1'!$AC32</f>
        <v>-3.0313150036622574</v>
      </c>
      <c r="C32" s="1">
        <f>'Touch 1 1'!C32-'Touch 1 1'!$AA32-('Touch 1 1'!C$2- 12.5)*'Touch 1 1'!$AC32</f>
        <v>-14.65178036566158</v>
      </c>
      <c r="D32" s="1">
        <f>'Touch 1 1'!D32-'Touch 1 1'!$AA32-('Touch 1 1'!D$2- 12.5)*'Touch 1 1'!$AC32</f>
        <v>23.727754272338643</v>
      </c>
      <c r="E32" s="1">
        <f>'Touch 1 1'!E32-'Touch 1 1'!$AA32-('Touch 1 1'!E$2- 12.5)*'Touch 1 1'!$AC32</f>
        <v>22.107288910339321</v>
      </c>
      <c r="F32" s="1">
        <f>'Touch 1 1'!F32-'Touch 1 1'!$AA32-('Touch 1 1'!F$2- 12.5)*'Touch 1 1'!$AC32</f>
        <v>20.486823548339544</v>
      </c>
      <c r="G32" s="1">
        <f>'Touch 1 1'!G32-'Touch 1 1'!$AA32-('Touch 1 1'!G$2- 12.5)*'Touch 1 1'!$AC32</f>
        <v>48.866358186340221</v>
      </c>
      <c r="H32" s="1">
        <f>'Touch 1 1'!H32-'Touch 1 1'!$AA32-('Touch 1 1'!H$2- 12.5)*'Touch 1 1'!$AC32</f>
        <v>-32.754107175659556</v>
      </c>
      <c r="I32" s="1">
        <f>'Touch 1 1'!I32-'Touch 1 1'!$AA32-('Touch 1 1'!I$2- 12.5)*'Touch 1 1'!$AC32</f>
        <v>-54.374572537658992</v>
      </c>
      <c r="J32" s="1">
        <f>'Touch 1 1'!J32-'Touch 1 1'!$AA32-('Touch 1 1'!J$2- 12.5)*'Touch 1 1'!$AC32</f>
        <v>-75.995037899658541</v>
      </c>
      <c r="K32" s="1">
        <f>'Touch 1 1'!K32-'Touch 1 1'!$AA32-('Touch 1 1'!K$2- 12.5)*'Touch 1 1'!$AC32</f>
        <v>-47.615503261658091</v>
      </c>
      <c r="L32" s="1">
        <f>'Touch 1 1'!L32-'Touch 1 1'!$AA32-('Touch 1 1'!L$2- 12.5)*'Touch 1 1'!$AC32</f>
        <v>-19.235968623657641</v>
      </c>
      <c r="M32" s="1">
        <f>'Touch 1 1'!M32-'Touch 1 1'!$AA32-('Touch 1 1'!M$2- 12.5)*'Touch 1 1'!$AC32</f>
        <v>39.143566014342809</v>
      </c>
      <c r="N32" s="1">
        <f>'Touch 1 1'!N32-'Touch 1 1'!$AA32-('Touch 1 1'!N$2- 12.5)*'Touch 1 1'!$AC32</f>
        <v>-22.47689934765674</v>
      </c>
      <c r="O32" s="1">
        <f>'Touch 1 1'!O32-'Touch 1 1'!$AA32-('Touch 1 1'!O$2- 12.5)*'Touch 1 1'!$AC32</f>
        <v>45.90263529034371</v>
      </c>
      <c r="P32" s="1">
        <f>'Touch 1 1'!P32-'Touch 1 1'!$AA32-('Touch 1 1'!P$2- 12.5)*'Touch 1 1'!$AC32</f>
        <v>34.28216992834416</v>
      </c>
      <c r="Q32" s="1">
        <f>'Touch 1 1'!Q32-'Touch 1 1'!$AA32-('Touch 1 1'!Q$2- 12.5)*'Touch 1 1'!$AC32</f>
        <v>22.661704566344611</v>
      </c>
      <c r="R32" s="1">
        <f>'Touch 1 1'!R32-'Touch 1 1'!$AA32-('Touch 1 1'!R$2- 12.5)*'Touch 1 1'!$AC32</f>
        <v>61.041239204345061</v>
      </c>
      <c r="S32" s="1">
        <f>'Touch 1 1'!S32-'Touch 1 1'!$AA32-('Touch 1 1'!S$2- 12.5)*'Touch 1 1'!$AC32</f>
        <v>29.420773842345625</v>
      </c>
      <c r="T32" s="1">
        <f>'Touch 1 1'!T32-'Touch 1 1'!$AA32-('Touch 1 1'!T$2- 12.5)*'Touch 1 1'!$AC32</f>
        <v>47.800308480345848</v>
      </c>
      <c r="U32" s="1">
        <f>'Touch 1 1'!U32-'Touch 1 1'!$AA32-('Touch 1 1'!U$2- 12.5)*'Touch 1 1'!$AC32</f>
        <v>-43.820156881653475</v>
      </c>
      <c r="V32" s="1">
        <f>'Touch 1 1'!V32-'Touch 1 1'!$AA32-('Touch 1 1'!V$2- 12.5)*'Touch 1 1'!$AC32</f>
        <v>-55.440622243653252</v>
      </c>
      <c r="W32" s="1">
        <f>'Touch 1 1'!W32-'Touch 1 1'!$AA32-('Touch 1 1'!W$2- 12.5)*'Touch 1 1'!$AC32</f>
        <v>-67.061087605652574</v>
      </c>
      <c r="X32" s="1">
        <f>'Touch 1 1'!X32-'Touch 1 1'!$AA32-('Touch 1 1'!X$2- 12.5)*'Touch 1 1'!$AC32</f>
        <v>11.318447032347649</v>
      </c>
      <c r="Y32" s="1">
        <f>'Touch 1 1'!Y32-'Touch 1 1'!$AA32-('Touch 1 1'!Y$2- 12.5)*'Touch 1 1'!$AC32</f>
        <v>29.697981670348327</v>
      </c>
      <c r="AB32" s="1">
        <f>STDEV(B32:Y32)</f>
        <v>41.565079766382226</v>
      </c>
      <c r="AD32" s="11">
        <v>5</v>
      </c>
      <c r="AE32" s="11">
        <v>2</v>
      </c>
      <c r="AF32" s="11">
        <v>6</v>
      </c>
      <c r="AG32" s="11">
        <v>3</v>
      </c>
      <c r="AH32" s="11">
        <v>4</v>
      </c>
      <c r="AI32" s="11">
        <v>1</v>
      </c>
      <c r="AJ32" s="11">
        <v>8</v>
      </c>
      <c r="AK32" s="11">
        <v>7</v>
      </c>
      <c r="AL32" s="11" t="s">
        <v>44</v>
      </c>
      <c r="AM32" s="11">
        <v>9</v>
      </c>
      <c r="AN32" s="11" t="s">
        <v>46</v>
      </c>
      <c r="AO32" s="11" t="s">
        <v>45</v>
      </c>
      <c r="AP32" s="11">
        <v>5</v>
      </c>
      <c r="AQ32" s="11">
        <v>6</v>
      </c>
      <c r="AR32" s="11">
        <v>2</v>
      </c>
      <c r="AS32" s="11">
        <v>3</v>
      </c>
      <c r="AT32" s="11">
        <v>1</v>
      </c>
      <c r="AU32" s="11">
        <v>4</v>
      </c>
      <c r="AV32" s="11">
        <v>8</v>
      </c>
      <c r="AW32" s="11" t="s">
        <v>44</v>
      </c>
      <c r="AX32" s="11">
        <v>7</v>
      </c>
      <c r="AY32" s="11" t="s">
        <v>46</v>
      </c>
      <c r="AZ32" s="11">
        <v>9</v>
      </c>
      <c r="BA32" s="11" t="s">
        <v>45</v>
      </c>
      <c r="BB32" s="5"/>
      <c r="BC32" s="1">
        <f ca="1">OFFSET(A32,0, 6) -0</f>
        <v>48.866358186340221</v>
      </c>
      <c r="BD32" s="1">
        <f ca="1">OFFSET(A32,0, 2) -0</f>
        <v>-14.65178036566158</v>
      </c>
      <c r="BE32" s="1">
        <f ca="1">OFFSET(A32,0, 4) -0</f>
        <v>22.107288910339321</v>
      </c>
      <c r="BF32" s="1">
        <f ca="1">OFFSET(A32,0, 5) -0</f>
        <v>20.486823548339544</v>
      </c>
      <c r="BG32" s="1">
        <f ca="1">OFFSET(A32,0, 1) -0</f>
        <v>-3.0313150036622574</v>
      </c>
      <c r="BH32" s="1">
        <f ca="1">OFFSET(A32,0, 3) -0</f>
        <v>23.727754272338643</v>
      </c>
      <c r="BI32" s="1">
        <f ca="1">OFFSET(A32,0, 8) -0</f>
        <v>-54.374572537658992</v>
      </c>
      <c r="BJ32" s="1">
        <f ca="1">OFFSET(A32,0, 7) -0</f>
        <v>-32.754107175659556</v>
      </c>
      <c r="BK32" s="1">
        <f ca="1">OFFSET(A32,0, 10) -0</f>
        <v>-47.615503261658091</v>
      </c>
      <c r="BL32" s="1">
        <f ca="1">OFFSET(A32,0, 9) -0</f>
        <v>-75.995037899658541</v>
      </c>
      <c r="BM32" s="1">
        <f ca="1">OFFSET(A32,0, 12) -0</f>
        <v>39.143566014342809</v>
      </c>
      <c r="BN32" s="1">
        <f ca="1">OFFSET(A32,0, 11) -0</f>
        <v>-19.235968623657641</v>
      </c>
      <c r="BO32" s="1">
        <f ca="1">OFFSET(A32,0, 17) -0</f>
        <v>61.041239204345061</v>
      </c>
      <c r="BP32" s="1">
        <f ca="1">OFFSET(A32,0, 15) -0</f>
        <v>34.28216992834416</v>
      </c>
      <c r="BQ32" s="1">
        <f ca="1">OFFSET(A32,0, 16) -0</f>
        <v>22.661704566344611</v>
      </c>
      <c r="BR32" s="1">
        <f ca="1">OFFSET(A32,0, 18) -0</f>
        <v>29.420773842345625</v>
      </c>
      <c r="BS32" s="1">
        <f ca="1">OFFSET(A32,0, 13) -0</f>
        <v>-22.47689934765674</v>
      </c>
      <c r="BT32" s="1">
        <f ca="1">OFFSET(A32,0, 14) -0</f>
        <v>45.90263529034371</v>
      </c>
      <c r="BU32" s="1">
        <f ca="1">OFFSET(A32,0, 21) -0</f>
        <v>-55.440622243653252</v>
      </c>
      <c r="BV32" s="1">
        <f ca="1">OFFSET(A32,0, 19) -0</f>
        <v>47.800308480345848</v>
      </c>
      <c r="BW32" s="1">
        <f ca="1">OFFSET(A32,0, 23) -0</f>
        <v>11.318447032347649</v>
      </c>
      <c r="BX32" s="1">
        <f ca="1">OFFSET(A32,0, 20) -0</f>
        <v>-43.820156881653475</v>
      </c>
      <c r="BY32" s="1">
        <f ca="1">OFFSET(A32,0, 24) -0</f>
        <v>29.697981670348327</v>
      </c>
      <c r="BZ32" s="1">
        <f ca="1">OFFSET(A32,0, 22) -0</f>
        <v>-67.061087605652574</v>
      </c>
      <c r="CB32" s="1">
        <f>COUNTIF(B32,"&lt;-75")</f>
        <v>0</v>
      </c>
      <c r="CC32" s="1">
        <f ca="1">COUNTIF(BC32:BN32,"&lt;-53")</f>
        <v>2</v>
      </c>
      <c r="CD32" s="1">
        <f ca="1">COUNTIF(BC32:BN32,"&gt;+53")</f>
        <v>0</v>
      </c>
      <c r="CE32" s="1">
        <f ca="1">COUNTIF(BO32:BZ32,"&lt;-53")</f>
        <v>2</v>
      </c>
      <c r="CF32" s="1">
        <f ca="1">COUNTIF(BO32:BZ32,"&gt;+53")</f>
        <v>1</v>
      </c>
    </row>
    <row r="33" spans="1:84">
      <c r="A33" s="1">
        <v>30</v>
      </c>
      <c r="B33" s="1">
        <f>'Touch 1 1'!B33-'Touch 1 1'!$AA33-('Touch 1 1'!B$2- 12.5)*'Touch 1 1'!$AC33</f>
        <v>67.263452599277571</v>
      </c>
      <c r="C33" s="1">
        <f>'Touch 1 1'!C33-'Touch 1 1'!$AA33-('Touch 1 1'!C$2- 12.5)*'Touch 1 1'!$AC33</f>
        <v>35.943442228326603</v>
      </c>
      <c r="D33" s="1">
        <f>'Touch 1 1'!D33-'Touch 1 1'!$AA33-('Touch 1 1'!D$2- 12.5)*'Touch 1 1'!$AC33</f>
        <v>74.623431857375863</v>
      </c>
      <c r="E33" s="1">
        <f>'Touch 1 1'!E33-'Touch 1 1'!$AA33-('Touch 1 1'!E$2- 12.5)*'Touch 1 1'!$AC33</f>
        <v>13.303421486425123</v>
      </c>
      <c r="F33" s="1">
        <f>'Touch 1 1'!F33-'Touch 1 1'!$AA33-('Touch 1 1'!F$2- 12.5)*'Touch 1 1'!$AC33</f>
        <v>21.983411115474155</v>
      </c>
      <c r="G33" s="1">
        <f>'Touch 1 1'!G33-'Touch 1 1'!$AA33-('Touch 1 1'!G$2- 12.5)*'Touch 1 1'!$AC33</f>
        <v>40.663400744523415</v>
      </c>
      <c r="H33" s="1">
        <f>'Touch 1 1'!H33-'Touch 1 1'!$AA33-('Touch 1 1'!H$2- 12.5)*'Touch 1 1'!$AC33</f>
        <v>-40.656609626427326</v>
      </c>
      <c r="I33" s="1">
        <f>'Touch 1 1'!I33-'Touch 1 1'!$AA33-('Touch 1 1'!I$2- 12.5)*'Touch 1 1'!$AC33</f>
        <v>-31.976619997378293</v>
      </c>
      <c r="J33" s="1">
        <f>'Touch 1 1'!J33-'Touch 1 1'!$AA33-('Touch 1 1'!J$2- 12.5)*'Touch 1 1'!$AC33</f>
        <v>-63.296630368329033</v>
      </c>
      <c r="K33" s="1">
        <f>'Touch 1 1'!K33-'Touch 1 1'!$AA33-('Touch 1 1'!K$2- 12.5)*'Touch 1 1'!$AC33</f>
        <v>-44.616640739279887</v>
      </c>
      <c r="L33" s="1">
        <f>'Touch 1 1'!L33-'Touch 1 1'!$AA33-('Touch 1 1'!L$2- 12.5)*'Touch 1 1'!$AC33</f>
        <v>34.063348889769259</v>
      </c>
      <c r="M33" s="1">
        <f>'Touch 1 1'!M33-'Touch 1 1'!$AA33-('Touch 1 1'!M$2- 12.5)*'Touch 1 1'!$AC33</f>
        <v>-17.256661481181553</v>
      </c>
      <c r="N33" s="1">
        <f>'Touch 1 1'!N33-'Touch 1 1'!$AA33-('Touch 1 1'!N$2- 12.5)*'Touch 1 1'!$AC33</f>
        <v>-8.5766718521323781</v>
      </c>
      <c r="O33" s="1">
        <f>'Touch 1 1'!O33-'Touch 1 1'!$AA33-('Touch 1 1'!O$2- 12.5)*'Touch 1 1'!$AC33</f>
        <v>60.103317776916811</v>
      </c>
      <c r="P33" s="1">
        <f>'Touch 1 1'!P33-'Touch 1 1'!$AA33-('Touch 1 1'!P$2- 12.5)*'Touch 1 1'!$AC33</f>
        <v>38.783307405965957</v>
      </c>
      <c r="Q33" s="1">
        <f>'Touch 1 1'!Q33-'Touch 1 1'!$AA33-('Touch 1 1'!Q$2- 12.5)*'Touch 1 1'!$AC33</f>
        <v>27.463297035015103</v>
      </c>
      <c r="R33" s="1">
        <f>'Touch 1 1'!R33-'Touch 1 1'!$AA33-('Touch 1 1'!R$2- 12.5)*'Touch 1 1'!$AC33</f>
        <v>16.143286664064362</v>
      </c>
      <c r="S33" s="1">
        <f>'Touch 1 1'!S33-'Touch 1 1'!$AA33-('Touch 1 1'!S$2- 12.5)*'Touch 1 1'!$AC33</f>
        <v>14.823276293113395</v>
      </c>
      <c r="T33" s="1">
        <f>'Touch 1 1'!T33-'Touch 1 1'!$AA33-('Touch 1 1'!T$2- 12.5)*'Touch 1 1'!$AC33</f>
        <v>33.503265922162655</v>
      </c>
      <c r="U33" s="1">
        <f>'Touch 1 1'!U33-'Touch 1 1'!$AA33-('Touch 1 1'!U$2- 12.5)*'Touch 1 1'!$AC33</f>
        <v>-77.816744448788086</v>
      </c>
      <c r="V33" s="1">
        <f>'Touch 1 1'!V33-'Touch 1 1'!$AA33-('Touch 1 1'!V$2- 12.5)*'Touch 1 1'!$AC33</f>
        <v>-139.13675481973905</v>
      </c>
      <c r="W33" s="1">
        <f>'Touch 1 1'!W33-'Touch 1 1'!$AA33-('Touch 1 1'!W$2- 12.5)*'Touch 1 1'!$AC33</f>
        <v>-100.45676519068979</v>
      </c>
      <c r="X33" s="1">
        <f>'Touch 1 1'!X33-'Touch 1 1'!$AA33-('Touch 1 1'!X$2- 12.5)*'Touch 1 1'!$AC33</f>
        <v>-1.7767755616405339</v>
      </c>
      <c r="Y33" s="1">
        <f>'Touch 1 1'!Y33-'Touch 1 1'!$AA33-('Touch 1 1'!Y$2- 12.5)*'Touch 1 1'!$AC33</f>
        <v>46.903214067408499</v>
      </c>
      <c r="AB33" s="1">
        <f>STDEV(B33:Y33)</f>
        <v>54.806244342957513</v>
      </c>
      <c r="AD33" s="11">
        <v>6</v>
      </c>
      <c r="AE33" s="11">
        <v>5</v>
      </c>
      <c r="AF33" s="11">
        <v>3</v>
      </c>
      <c r="AG33" s="11">
        <v>2</v>
      </c>
      <c r="AH33" s="11">
        <v>4</v>
      </c>
      <c r="AI33" s="11">
        <v>1</v>
      </c>
      <c r="AJ33" s="11" t="s">
        <v>44</v>
      </c>
      <c r="AK33" s="11">
        <v>8</v>
      </c>
      <c r="AL33" s="11" t="s">
        <v>46</v>
      </c>
      <c r="AM33" s="11">
        <v>7</v>
      </c>
      <c r="AN33" s="11" t="s">
        <v>45</v>
      </c>
      <c r="AO33" s="11">
        <v>9</v>
      </c>
      <c r="AP33" s="11">
        <v>5</v>
      </c>
      <c r="AQ33" s="11">
        <v>6</v>
      </c>
      <c r="AR33" s="11">
        <v>2</v>
      </c>
      <c r="AS33" s="11">
        <v>3</v>
      </c>
      <c r="AT33" s="11">
        <v>4</v>
      </c>
      <c r="AU33" s="11" t="s">
        <v>44</v>
      </c>
      <c r="AV33" s="11">
        <v>1</v>
      </c>
      <c r="AW33" s="11">
        <v>8</v>
      </c>
      <c r="AX33" s="11">
        <v>7</v>
      </c>
      <c r="AY33" s="11" t="s">
        <v>46</v>
      </c>
      <c r="AZ33" s="11">
        <v>9</v>
      </c>
      <c r="BA33" s="11" t="s">
        <v>45</v>
      </c>
      <c r="BB33" s="5"/>
      <c r="BC33" s="1">
        <f ca="1">OFFSET(A33,0, 6) -0</f>
        <v>40.663400744523415</v>
      </c>
      <c r="BD33" s="1">
        <f ca="1">OFFSET(A33,0, 4) -0</f>
        <v>13.303421486425123</v>
      </c>
      <c r="BE33" s="1">
        <f ca="1">OFFSET(A33,0, 3) -0</f>
        <v>74.623431857375863</v>
      </c>
      <c r="BF33" s="1">
        <f ca="1">OFFSET(A33,0, 5) -0</f>
        <v>21.983411115474155</v>
      </c>
      <c r="BG33" s="1">
        <f ca="1">OFFSET(A33,0, 2) -0</f>
        <v>35.943442228326603</v>
      </c>
      <c r="BH33" s="1">
        <f ca="1">OFFSET(A33,0, 1) -0</f>
        <v>67.263452599277571</v>
      </c>
      <c r="BI33" s="1">
        <f ca="1">OFFSET(A33,0, 10) -0</f>
        <v>-44.616640739279887</v>
      </c>
      <c r="BJ33" s="1">
        <f ca="1">OFFSET(A33,0, 8) -0</f>
        <v>-31.976619997378293</v>
      </c>
      <c r="BK33" s="1">
        <f ca="1">OFFSET(A33,0, 12) -0</f>
        <v>-17.256661481181553</v>
      </c>
      <c r="BL33" s="1">
        <f ca="1">OFFSET(A33,0, 7) -0</f>
        <v>-40.656609626427326</v>
      </c>
      <c r="BM33" s="1">
        <f ca="1">OFFSET(A33,0, 11) -0</f>
        <v>34.063348889769259</v>
      </c>
      <c r="BN33" s="1">
        <f ca="1">OFFSET(A33,0, 9) -0</f>
        <v>-63.296630368329033</v>
      </c>
      <c r="BO33" s="1">
        <f ca="1">OFFSET(A33,0, 19) -0</f>
        <v>33.503265922162655</v>
      </c>
      <c r="BP33" s="1">
        <f ca="1">OFFSET(A33,0, 15) -0</f>
        <v>38.783307405965957</v>
      </c>
      <c r="BQ33" s="1">
        <f ca="1">OFFSET(A33,0, 16) -0</f>
        <v>27.463297035015103</v>
      </c>
      <c r="BR33" s="1">
        <f ca="1">OFFSET(A33,0, 17) -0</f>
        <v>16.143286664064362</v>
      </c>
      <c r="BS33" s="1">
        <f ca="1">OFFSET(A33,0, 13) -0</f>
        <v>-8.5766718521323781</v>
      </c>
      <c r="BT33" s="1">
        <f ca="1">OFFSET(A33,0, 14) -0</f>
        <v>60.103317776916811</v>
      </c>
      <c r="BU33" s="1">
        <f ca="1">OFFSET(A33,0, 21) -0</f>
        <v>-139.13675481973905</v>
      </c>
      <c r="BV33" s="1">
        <f ca="1">OFFSET(A33,0, 20) -0</f>
        <v>-77.816744448788086</v>
      </c>
      <c r="BW33" s="1">
        <f ca="1">OFFSET(A33,0, 23) -0</f>
        <v>-1.7767755616405339</v>
      </c>
      <c r="BX33" s="1">
        <f ca="1">OFFSET(A33,0, 18) -0</f>
        <v>14.823276293113395</v>
      </c>
      <c r="BY33" s="1">
        <f ca="1">OFFSET(A33,0, 24) -0</f>
        <v>46.903214067408499</v>
      </c>
      <c r="BZ33" s="1">
        <f ca="1">OFFSET(A33,0, 22) -0</f>
        <v>-100.45676519068979</v>
      </c>
      <c r="CB33" s="1">
        <f>COUNTIF(B33,"&lt;-75")</f>
        <v>0</v>
      </c>
      <c r="CC33" s="1">
        <f ca="1">COUNTIF(BC33:BN33,"&lt;-53")</f>
        <v>1</v>
      </c>
      <c r="CD33" s="1">
        <f ca="1">COUNTIF(BC33:BN33,"&gt;+53")</f>
        <v>2</v>
      </c>
      <c r="CE33" s="1">
        <f ca="1">COUNTIF(BO33:BZ33,"&lt;-53")</f>
        <v>3</v>
      </c>
      <c r="CF33" s="1">
        <f ca="1">COUNTIF(BO33:BZ33,"&gt;+53")</f>
        <v>1</v>
      </c>
    </row>
    <row r="34" spans="1:84">
      <c r="A34" s="1">
        <v>31</v>
      </c>
      <c r="B34" s="1">
        <f>'Touch 1 1'!B34-'Touch 1 1'!$AA34-('Touch 1 1'!B$2- 12.5)*'Touch 1 1'!$AC34</f>
        <v>51.228181854177819</v>
      </c>
      <c r="C34" s="1">
        <f>'Touch 1 1'!C34-'Touch 1 1'!$AA34-('Touch 1 1'!C$2- 12.5)*'Touch 1 1'!$AC34</f>
        <v>-9.023544104155917</v>
      </c>
      <c r="D34" s="1">
        <f>'Touch 1 1'!D34-'Touch 1 1'!$AA34-('Touch 1 1'!D$2- 12.5)*'Touch 1 1'!$AC34</f>
        <v>90.724729937510801</v>
      </c>
      <c r="E34" s="1">
        <f>'Touch 1 1'!E34-'Touch 1 1'!$AA34-('Touch 1 1'!E$2- 12.5)*'Touch 1 1'!$AC34</f>
        <v>40.473003979177292</v>
      </c>
      <c r="F34" s="1">
        <f>'Touch 1 1'!F34-'Touch 1 1'!$AA34-('Touch 1 1'!F$2- 12.5)*'Touch 1 1'!$AC34</f>
        <v>0.22127802084401083</v>
      </c>
      <c r="G34" s="1">
        <f>'Touch 1 1'!G34-'Touch 1 1'!$AA34-('Touch 1 1'!G$2- 12.5)*'Touch 1 1'!$AC34</f>
        <v>-3.0447937489498145E-2</v>
      </c>
      <c r="H34" s="1">
        <f>'Touch 1 1'!H34-'Touch 1 1'!$AA34-('Touch 1 1'!H$2- 12.5)*'Touch 1 1'!$AC34</f>
        <v>-0.28217389582300711</v>
      </c>
      <c r="I34" s="1">
        <f>'Touch 1 1'!I34-'Touch 1 1'!$AA34-('Touch 1 1'!I$2- 12.5)*'Touch 1 1'!$AC34</f>
        <v>9.4661001458435976</v>
      </c>
      <c r="J34" s="1">
        <f>'Touch 1 1'!J34-'Touch 1 1'!$AA34-('Touch 1 1'!J$2- 12.5)*'Touch 1 1'!$AC34</f>
        <v>-50.785625812489911</v>
      </c>
      <c r="K34" s="1">
        <f>'Touch 1 1'!K34-'Touch 1 1'!$AA34-('Touch 1 1'!K$2- 12.5)*'Touch 1 1'!$AC34</f>
        <v>-61.037351770823307</v>
      </c>
      <c r="L34" s="1">
        <f>'Touch 1 1'!L34-'Touch 1 1'!$AA34-('Touch 1 1'!L$2- 12.5)*'Touch 1 1'!$AC34</f>
        <v>-41.289077729156816</v>
      </c>
      <c r="M34" s="1">
        <f>'Touch 1 1'!M34-'Touch 1 1'!$AA34-('Touch 1 1'!M$2- 12.5)*'Touch 1 1'!$AC34</f>
        <v>-41.540803687490239</v>
      </c>
      <c r="N34" s="1">
        <f>'Touch 1 1'!N34-'Touch 1 1'!$AA34-('Touch 1 1'!N$2- 12.5)*'Touch 1 1'!$AC34</f>
        <v>-31.792529645823691</v>
      </c>
      <c r="O34" s="1">
        <f>'Touch 1 1'!O34-'Touch 1 1'!$AA34-('Touch 1 1'!O$2- 12.5)*'Touch 1 1'!$AC34</f>
        <v>47.955744395842885</v>
      </c>
      <c r="P34" s="1">
        <f>'Touch 1 1'!P34-'Touch 1 1'!$AA34-('Touch 1 1'!P$2- 12.5)*'Touch 1 1'!$AC34</f>
        <v>-62.295981562490624</v>
      </c>
      <c r="Q34" s="1">
        <f>'Touch 1 1'!Q34-'Touch 1 1'!$AA34-('Touch 1 1'!Q$2- 12.5)*'Touch 1 1'!$AC34</f>
        <v>37.452292479175981</v>
      </c>
      <c r="R34" s="1">
        <f>'Touch 1 1'!R34-'Touch 1 1'!$AA34-('Touch 1 1'!R$2- 12.5)*'Touch 1 1'!$AC34</f>
        <v>37.200566520842472</v>
      </c>
      <c r="S34" s="1">
        <f>'Touch 1 1'!S34-'Touch 1 1'!$AA34-('Touch 1 1'!S$2- 12.5)*'Touch 1 1'!$AC34</f>
        <v>6.9488405625090763</v>
      </c>
      <c r="T34" s="1">
        <f>'Touch 1 1'!T34-'Touch 1 1'!$AA34-('Touch 1 1'!T$2- 12.5)*'Touch 1 1'!$AC34</f>
        <v>96.697114604175567</v>
      </c>
      <c r="U34" s="1">
        <f>'Touch 1 1'!U34-'Touch 1 1'!$AA34-('Touch 1 1'!U$2- 12.5)*'Touch 1 1'!$AC34</f>
        <v>-13.554611354157942</v>
      </c>
      <c r="V34" s="1">
        <f>'Touch 1 1'!V34-'Touch 1 1'!$AA34-('Touch 1 1'!V$2- 12.5)*'Touch 1 1'!$AC34</f>
        <v>-43.806337312491223</v>
      </c>
      <c r="W34" s="1">
        <f>'Touch 1 1'!W34-'Touch 1 1'!$AA34-('Touch 1 1'!W$2- 12.5)*'Touch 1 1'!$AC34</f>
        <v>5.9419367291752678</v>
      </c>
      <c r="X34" s="1">
        <f>'Touch 1 1'!X34-'Touch 1 1'!$AA34-('Touch 1 1'!X$2- 12.5)*'Touch 1 1'!$AC34</f>
        <v>-44.309789229158014</v>
      </c>
      <c r="Y34" s="1">
        <f>'Touch 1 1'!Y34-'Touch 1 1'!$AA34-('Touch 1 1'!Y$2- 12.5)*'Touch 1 1'!$AC34</f>
        <v>-24.56151518749175</v>
      </c>
      <c r="AB34" s="1">
        <f>STDEV(B34:Y34)</f>
        <v>44.954484108436631</v>
      </c>
      <c r="AD34" s="11">
        <v>6</v>
      </c>
      <c r="AE34" s="11">
        <v>5</v>
      </c>
      <c r="AF34" s="11">
        <v>3</v>
      </c>
      <c r="AG34" s="11">
        <v>2</v>
      </c>
      <c r="AH34" s="11" t="s">
        <v>44</v>
      </c>
      <c r="AI34" s="11">
        <v>4</v>
      </c>
      <c r="AJ34" s="11">
        <v>8</v>
      </c>
      <c r="AK34" s="11">
        <v>1</v>
      </c>
      <c r="AL34" s="11" t="s">
        <v>46</v>
      </c>
      <c r="AM34" s="11">
        <v>7</v>
      </c>
      <c r="AN34" s="11" t="s">
        <v>45</v>
      </c>
      <c r="AO34" s="11">
        <v>9</v>
      </c>
      <c r="AP34" s="11">
        <v>6</v>
      </c>
      <c r="AQ34" s="11">
        <v>3</v>
      </c>
      <c r="AR34" s="11">
        <v>5</v>
      </c>
      <c r="AS34" s="11" t="s">
        <v>44</v>
      </c>
      <c r="AT34" s="11">
        <v>2</v>
      </c>
      <c r="AU34" s="11">
        <v>4</v>
      </c>
      <c r="AV34" s="11">
        <v>1</v>
      </c>
      <c r="AW34" s="11">
        <v>8</v>
      </c>
      <c r="AX34" s="11" t="s">
        <v>46</v>
      </c>
      <c r="AY34" s="11" t="s">
        <v>45</v>
      </c>
      <c r="AZ34" s="11">
        <v>7</v>
      </c>
      <c r="BA34" s="11">
        <v>9</v>
      </c>
      <c r="BB34" s="5"/>
      <c r="BC34" s="1">
        <f ca="1">OFFSET(A34,0, 8) -0</f>
        <v>9.4661001458435976</v>
      </c>
      <c r="BD34" s="1">
        <f ca="1">OFFSET(A34,0, 4) -0</f>
        <v>40.473003979177292</v>
      </c>
      <c r="BE34" s="1">
        <f ca="1">OFFSET(A34,0, 3) -0</f>
        <v>90.724729937510801</v>
      </c>
      <c r="BF34" s="1">
        <f ca="1">OFFSET(A34,0, 6) -0</f>
        <v>-3.0447937489498145E-2</v>
      </c>
      <c r="BG34" s="1">
        <f ca="1">OFFSET(A34,0, 2) -0</f>
        <v>-9.023544104155917</v>
      </c>
      <c r="BH34" s="1">
        <f ca="1">OFFSET(A34,0, 1) -0</f>
        <v>51.228181854177819</v>
      </c>
      <c r="BI34" s="1">
        <f ca="1">OFFSET(A34,0, 10) -0</f>
        <v>-61.037351770823307</v>
      </c>
      <c r="BJ34" s="1">
        <f ca="1">OFFSET(A34,0, 7) -0</f>
        <v>-0.28217389582300711</v>
      </c>
      <c r="BK34" s="1">
        <f ca="1">OFFSET(A34,0, 12) -0</f>
        <v>-41.540803687490239</v>
      </c>
      <c r="BL34" s="1">
        <f ca="1">OFFSET(A34,0, 5) -0</f>
        <v>0.22127802084401083</v>
      </c>
      <c r="BM34" s="1">
        <f ca="1">OFFSET(A34,0, 11) -0</f>
        <v>-41.289077729156816</v>
      </c>
      <c r="BN34" s="1">
        <f ca="1">OFFSET(A34,0, 9) -0</f>
        <v>-50.785625812489911</v>
      </c>
      <c r="BO34" s="1">
        <f ca="1">OFFSET(A34,0, 19) -0</f>
        <v>96.697114604175567</v>
      </c>
      <c r="BP34" s="1">
        <f ca="1">OFFSET(A34,0, 17) -0</f>
        <v>37.200566520842472</v>
      </c>
      <c r="BQ34" s="1">
        <f ca="1">OFFSET(A34,0, 14) -0</f>
        <v>47.955744395842885</v>
      </c>
      <c r="BR34" s="1">
        <f ca="1">OFFSET(A34,0, 18) -0</f>
        <v>6.9488405625090763</v>
      </c>
      <c r="BS34" s="1">
        <f ca="1">OFFSET(A34,0, 15) -0</f>
        <v>-62.295981562490624</v>
      </c>
      <c r="BT34" s="1">
        <f ca="1">OFFSET(A34,0, 13) -0</f>
        <v>-31.792529645823691</v>
      </c>
      <c r="BU34" s="1">
        <f ca="1">OFFSET(A34,0, 23) -0</f>
        <v>-44.309789229158014</v>
      </c>
      <c r="BV34" s="1">
        <f ca="1">OFFSET(A34,0, 20) -0</f>
        <v>-13.554611354157942</v>
      </c>
      <c r="BW34" s="1">
        <f ca="1">OFFSET(A34,0, 24) -0</f>
        <v>-24.56151518749175</v>
      </c>
      <c r="BX34" s="1">
        <f ca="1">OFFSET(A34,0, 16) -0</f>
        <v>37.452292479175981</v>
      </c>
      <c r="BY34" s="1">
        <f ca="1">OFFSET(A34,0, 22) -0</f>
        <v>5.9419367291752678</v>
      </c>
      <c r="BZ34" s="1">
        <f ca="1">OFFSET(A34,0, 21) -0</f>
        <v>-43.806337312491223</v>
      </c>
      <c r="CB34" s="1">
        <f>COUNTIF(B34,"&lt;-74")</f>
        <v>0</v>
      </c>
      <c r="CC34" s="1">
        <f ca="1">COUNTIF(BC34:BN34,"&lt;-53")</f>
        <v>1</v>
      </c>
      <c r="CD34" s="1">
        <f ca="1">COUNTIF(BC34:BN34,"&gt;+53")</f>
        <v>1</v>
      </c>
      <c r="CE34" s="1">
        <f ca="1">COUNTIF(BO34:BZ34,"&lt;-53")</f>
        <v>1</v>
      </c>
      <c r="CF34" s="1">
        <f ca="1">COUNTIF(BO34:BZ34,"&gt;+53")</f>
        <v>1</v>
      </c>
    </row>
    <row r="35" spans="1:84">
      <c r="A35" s="1">
        <v>32</v>
      </c>
      <c r="B35" s="1">
        <f>'Touch 1 1'!B35-'Touch 1 1'!$AA35-('Touch 1 1'!B$2- 12.5)*'Touch 1 1'!$AC35</f>
        <v>38.521690062486414</v>
      </c>
      <c r="C35" s="1">
        <f>'Touch 1 1'!C35-'Touch 1 1'!$AA35-('Touch 1 1'!C$2- 12.5)*'Touch 1 1'!$AC35</f>
        <v>39.121253245457865</v>
      </c>
      <c r="D35" s="1">
        <f>'Touch 1 1'!D35-'Touch 1 1'!$AA35-('Touch 1 1'!D$2- 12.5)*'Touch 1 1'!$AC35</f>
        <v>9.7208164284293161</v>
      </c>
      <c r="E35" s="1">
        <f>'Touch 1 1'!E35-'Touch 1 1'!$AA35-('Touch 1 1'!E$2- 12.5)*'Touch 1 1'!$AC35</f>
        <v>-49.67962038859946</v>
      </c>
      <c r="F35" s="1">
        <f>'Touch 1 1'!F35-'Touch 1 1'!$AA35-('Touch 1 1'!F$2- 12.5)*'Touch 1 1'!$AC35</f>
        <v>40.919942794371991</v>
      </c>
      <c r="G35" s="1">
        <f>'Touch 1 1'!G35-'Touch 1 1'!$AA35-('Touch 1 1'!G$2- 12.5)*'Touch 1 1'!$AC35</f>
        <v>-8.4804940226567851</v>
      </c>
      <c r="H35" s="1">
        <f>'Touch 1 1'!H35-'Touch 1 1'!$AA35-('Touch 1 1'!H$2- 12.5)*'Touch 1 1'!$AC35</f>
        <v>2.1190691603146661</v>
      </c>
      <c r="I35" s="1">
        <f>'Touch 1 1'!I35-'Touch 1 1'!$AA35-('Touch 1 1'!I$2- 12.5)*'Touch 1 1'!$AC35</f>
        <v>62.71863234328589</v>
      </c>
      <c r="J35" s="1">
        <f>'Touch 1 1'!J35-'Touch 1 1'!$AA35-('Touch 1 1'!J$2- 12.5)*'Touch 1 1'!$AC35</f>
        <v>43.318195526257341</v>
      </c>
      <c r="K35" s="1">
        <f>'Touch 1 1'!K35-'Touch 1 1'!$AA35-('Touch 1 1'!K$2- 12.5)*'Touch 1 1'!$AC35</f>
        <v>-16.082241290771435</v>
      </c>
      <c r="L35" s="1">
        <f>'Touch 1 1'!L35-'Touch 1 1'!$AA35-('Touch 1 1'!L$2- 12.5)*'Touch 1 1'!$AC35</f>
        <v>-25.482678107800041</v>
      </c>
      <c r="M35" s="1">
        <f>'Touch 1 1'!M35-'Touch 1 1'!$AA35-('Touch 1 1'!M$2- 12.5)*'Touch 1 1'!$AC35</f>
        <v>-64.883114924828703</v>
      </c>
      <c r="N35" s="1">
        <f>'Touch 1 1'!N35-'Touch 1 1'!$AA35-('Touch 1 1'!N$2- 12.5)*'Touch 1 1'!$AC35</f>
        <v>5.7164482581426341</v>
      </c>
      <c r="O35" s="1">
        <f>'Touch 1 1'!O35-'Touch 1 1'!$AA35-('Touch 1 1'!O$2- 12.5)*'Touch 1 1'!$AC35</f>
        <v>46.316011441113972</v>
      </c>
      <c r="P35" s="1">
        <f>'Touch 1 1'!P35-'Touch 1 1'!$AA35-('Touch 1 1'!P$2- 12.5)*'Touch 1 1'!$AC35</f>
        <v>-53.084425375914634</v>
      </c>
      <c r="Q35" s="1">
        <f>'Touch 1 1'!Q35-'Touch 1 1'!$AA35-('Touch 1 1'!Q$2- 12.5)*'Touch 1 1'!$AC35</f>
        <v>-82.48486219294341</v>
      </c>
      <c r="R35" s="1">
        <f>'Touch 1 1'!R35-'Touch 1 1'!$AA35-('Touch 1 1'!R$2- 12.5)*'Touch 1 1'!$AC35</f>
        <v>-11.885299009971959</v>
      </c>
      <c r="S35" s="1">
        <f>'Touch 1 1'!S35-'Touch 1 1'!$AA35-('Touch 1 1'!S$2- 12.5)*'Touch 1 1'!$AC35</f>
        <v>38.714264172999265</v>
      </c>
      <c r="T35" s="1">
        <f>'Touch 1 1'!T35-'Touch 1 1'!$AA35-('Touch 1 1'!T$2- 12.5)*'Touch 1 1'!$AC35</f>
        <v>19.313827355970716</v>
      </c>
      <c r="U35" s="1">
        <f>'Touch 1 1'!U35-'Touch 1 1'!$AA35-('Touch 1 1'!U$2- 12.5)*'Touch 1 1'!$AC35</f>
        <v>-8.6609461058060333E-2</v>
      </c>
      <c r="V35" s="1">
        <f>'Touch 1 1'!V35-'Touch 1 1'!$AA35-('Touch 1 1'!V$2- 12.5)*'Touch 1 1'!$AC35</f>
        <v>60.512953721913391</v>
      </c>
      <c r="W35" s="1">
        <f>'Touch 1 1'!W35-'Touch 1 1'!$AA35-('Touch 1 1'!W$2- 12.5)*'Touch 1 1'!$AC35</f>
        <v>1.1125169048846146</v>
      </c>
      <c r="X35" s="1">
        <f>'Touch 1 1'!X35-'Touch 1 1'!$AA35-('Touch 1 1'!X$2- 12.5)*'Touch 1 1'!$AC35</f>
        <v>-78.287919912143934</v>
      </c>
      <c r="Y35" s="1">
        <f>'Touch 1 1'!Y35-'Touch 1 1'!$AA35-('Touch 1 1'!Y$2- 12.5)*'Touch 1 1'!$AC35</f>
        <v>-17.688356729172483</v>
      </c>
      <c r="AB35" s="1">
        <f>STDEV(B35:Y35)</f>
        <v>42.820808071599672</v>
      </c>
      <c r="AD35" s="11">
        <v>3</v>
      </c>
      <c r="AE35" s="11">
        <v>6</v>
      </c>
      <c r="AF35" s="11" t="s">
        <v>44</v>
      </c>
      <c r="AG35" s="11">
        <v>5</v>
      </c>
      <c r="AH35" s="11">
        <v>4</v>
      </c>
      <c r="AI35" s="11">
        <v>2</v>
      </c>
      <c r="AJ35" s="11">
        <v>8</v>
      </c>
      <c r="AK35" s="11">
        <v>1</v>
      </c>
      <c r="AL35" s="11" t="s">
        <v>45</v>
      </c>
      <c r="AM35" s="11" t="s">
        <v>46</v>
      </c>
      <c r="AN35" s="11">
        <v>9</v>
      </c>
      <c r="AO35" s="11">
        <v>7</v>
      </c>
      <c r="AP35" s="11">
        <v>6</v>
      </c>
      <c r="AQ35" s="11">
        <v>3</v>
      </c>
      <c r="AR35" s="11">
        <v>5</v>
      </c>
      <c r="AS35" s="11" t="s">
        <v>44</v>
      </c>
      <c r="AT35" s="11">
        <v>2</v>
      </c>
      <c r="AU35" s="11">
        <v>4</v>
      </c>
      <c r="AV35" s="11">
        <v>8</v>
      </c>
      <c r="AW35" s="11" t="s">
        <v>45</v>
      </c>
      <c r="AX35" s="11">
        <v>1</v>
      </c>
      <c r="AY35" s="11" t="s">
        <v>46</v>
      </c>
      <c r="AZ35" s="11">
        <v>7</v>
      </c>
      <c r="BA35" s="11">
        <v>9</v>
      </c>
      <c r="BB35" s="5"/>
      <c r="BC35" s="1">
        <f ca="1">OFFSET(A35,0, 8) -0</f>
        <v>62.71863234328589</v>
      </c>
      <c r="BD35" s="1">
        <f ca="1">OFFSET(A35,0, 6) -0</f>
        <v>-8.4804940226567851</v>
      </c>
      <c r="BE35" s="1">
        <f ca="1">OFFSET(A35,0, 1) -0</f>
        <v>38.521690062486414</v>
      </c>
      <c r="BF35" s="1">
        <f ca="1">OFFSET(A35,0, 5) -0</f>
        <v>40.919942794371991</v>
      </c>
      <c r="BG35" s="1">
        <f ca="1">OFFSET(A35,0, 4) -0</f>
        <v>-49.67962038859946</v>
      </c>
      <c r="BH35" s="1">
        <f ca="1">OFFSET(A35,0, 2) -0</f>
        <v>39.121253245457865</v>
      </c>
      <c r="BI35" s="1">
        <f ca="1">OFFSET(A35,0, 12) -0</f>
        <v>-64.883114924828703</v>
      </c>
      <c r="BJ35" s="1">
        <f ca="1">OFFSET(A35,0, 7) -0</f>
        <v>2.1190691603146661</v>
      </c>
      <c r="BK35" s="1">
        <f ca="1">OFFSET(A35,0, 11) -0</f>
        <v>-25.482678107800041</v>
      </c>
      <c r="BL35" s="1">
        <f ca="1">OFFSET(A35,0, 3) -0</f>
        <v>9.7208164284293161</v>
      </c>
      <c r="BM35" s="1">
        <f ca="1">OFFSET(A35,0, 9) -0</f>
        <v>43.318195526257341</v>
      </c>
      <c r="BN35" s="1">
        <f ca="1">OFFSET(A35,0, 10) -0</f>
        <v>-16.082241290771435</v>
      </c>
      <c r="BO35" s="1">
        <f ca="1">OFFSET(A35,0, 21) -0</f>
        <v>60.512953721913391</v>
      </c>
      <c r="BP35" s="1">
        <f ca="1">OFFSET(A35,0, 17) -0</f>
        <v>-11.885299009971959</v>
      </c>
      <c r="BQ35" s="1">
        <f ca="1">OFFSET(A35,0, 14) -0</f>
        <v>46.316011441113972</v>
      </c>
      <c r="BR35" s="1">
        <f ca="1">OFFSET(A35,0, 18) -0</f>
        <v>38.714264172999265</v>
      </c>
      <c r="BS35" s="1">
        <f ca="1">OFFSET(A35,0, 15) -0</f>
        <v>-53.084425375914634</v>
      </c>
      <c r="BT35" s="1">
        <f ca="1">OFFSET(A35,0, 13) -0</f>
        <v>5.7164482581426341</v>
      </c>
      <c r="BU35" s="1">
        <f ca="1">OFFSET(A35,0, 23) -0</f>
        <v>-78.287919912143934</v>
      </c>
      <c r="BV35" s="1">
        <f ca="1">OFFSET(A35,0, 19) -0</f>
        <v>19.313827355970716</v>
      </c>
      <c r="BW35" s="1">
        <f ca="1">OFFSET(A35,0, 24) -0</f>
        <v>-17.688356729172483</v>
      </c>
      <c r="BX35" s="1">
        <f ca="1">OFFSET(A35,0, 16) -0</f>
        <v>-82.48486219294341</v>
      </c>
      <c r="BY35" s="1">
        <f ca="1">OFFSET(A35,0, 20) -0</f>
        <v>-8.6609461058060333E-2</v>
      </c>
      <c r="BZ35" s="1">
        <f ca="1">OFFSET(A35,0, 22) -0</f>
        <v>1.1125169048846146</v>
      </c>
      <c r="CB35" s="1">
        <f>COUNTIF(B35,"&lt;-74")</f>
        <v>0</v>
      </c>
      <c r="CC35" s="1">
        <f ca="1">COUNTIF(BC35:BN35,"&lt;-52")</f>
        <v>1</v>
      </c>
      <c r="CD35" s="1">
        <f ca="1">COUNTIF(BC35:BN35,"&gt;+52")</f>
        <v>1</v>
      </c>
      <c r="CE35" s="1">
        <f ca="1">COUNTIF(BO35:BZ35,"&lt;-52")</f>
        <v>3</v>
      </c>
      <c r="CF35" s="1">
        <f ca="1">COUNTIF(BO35:BZ35,"&gt;+52")</f>
        <v>1</v>
      </c>
    </row>
    <row r="36" spans="1:84">
      <c r="A36" s="1">
        <v>33</v>
      </c>
      <c r="B36" s="1">
        <f>'Touch 1 1'!B36-'Touch 1 1'!$AA36-('Touch 1 1'!B$2- 12.5)*'Touch 1 1'!$AC36</f>
        <v>57.463647417874199</v>
      </c>
      <c r="C36" s="1">
        <f>'Touch 1 1'!C36-'Touch 1 1'!$AA36-('Touch 1 1'!C$2- 12.5)*'Touch 1 1'!$AC36</f>
        <v>38.046518656899025</v>
      </c>
      <c r="D36" s="1">
        <f>'Touch 1 1'!D36-'Touch 1 1'!$AA36-('Touch 1 1'!D$2- 12.5)*'Touch 1 1'!$AC36</f>
        <v>-71.370610104076377</v>
      </c>
      <c r="E36" s="1">
        <f>'Touch 1 1'!E36-'Touch 1 1'!$AA36-('Touch 1 1'!E$2- 12.5)*'Touch 1 1'!$AC36</f>
        <v>-50.787738865051779</v>
      </c>
      <c r="F36" s="1">
        <f>'Touch 1 1'!F36-'Touch 1 1'!$AA36-('Touch 1 1'!F$2- 12.5)*'Touch 1 1'!$AC36</f>
        <v>39.795132373972592</v>
      </c>
      <c r="G36" s="1">
        <f>'Touch 1 1'!G36-'Touch 1 1'!$AA36-('Touch 1 1'!G$2- 12.5)*'Touch 1 1'!$AC36</f>
        <v>0.37800361299719043</v>
      </c>
      <c r="H36" s="1">
        <f>'Touch 1 1'!H36-'Touch 1 1'!$AA36-('Touch 1 1'!H$2- 12.5)*'Touch 1 1'!$AC36</f>
        <v>40.960874852021789</v>
      </c>
      <c r="I36" s="1">
        <f>'Touch 1 1'!I36-'Touch 1 1'!$AA36-('Touch 1 1'!I$2- 12.5)*'Touch 1 1'!$AC36</f>
        <v>101.54374609104639</v>
      </c>
      <c r="J36" s="1">
        <f>'Touch 1 1'!J36-'Touch 1 1'!$AA36-('Touch 1 1'!J$2- 12.5)*'Touch 1 1'!$AC36</f>
        <v>42.126617330070985</v>
      </c>
      <c r="K36" s="1">
        <f>'Touch 1 1'!K36-'Touch 1 1'!$AA36-('Touch 1 1'!K$2- 12.5)*'Touch 1 1'!$AC36</f>
        <v>2.7094885690955834</v>
      </c>
      <c r="L36" s="1">
        <f>'Touch 1 1'!L36-'Touch 1 1'!$AA36-('Touch 1 1'!L$2- 12.5)*'Touch 1 1'!$AC36</f>
        <v>-26.707640191879875</v>
      </c>
      <c r="M36" s="1">
        <f>'Touch 1 1'!M36-'Touch 1 1'!$AA36-('Touch 1 1'!M$2- 12.5)*'Touch 1 1'!$AC36</f>
        <v>-26.12476895285532</v>
      </c>
      <c r="N36" s="1">
        <f>'Touch 1 1'!N36-'Touch 1 1'!$AA36-('Touch 1 1'!N$2- 12.5)*'Touch 1 1'!$AC36</f>
        <v>24.45810228616925</v>
      </c>
      <c r="O36" s="1">
        <f>'Touch 1 1'!O36-'Touch 1 1'!$AA36-('Touch 1 1'!O$2- 12.5)*'Touch 1 1'!$AC36</f>
        <v>-4.9590264748061941</v>
      </c>
      <c r="P36" s="1">
        <f>'Touch 1 1'!P36-'Touch 1 1'!$AA36-('Touch 1 1'!P$2- 12.5)*'Touch 1 1'!$AC36</f>
        <v>-54.376155235781653</v>
      </c>
      <c r="Q36" s="1">
        <f>'Touch 1 1'!Q36-'Touch 1 1'!$AA36-('Touch 1 1'!Q$2- 12.5)*'Touch 1 1'!$AC36</f>
        <v>-23.793283996757054</v>
      </c>
      <c r="R36" s="1">
        <f>'Touch 1 1'!R36-'Touch 1 1'!$AA36-('Touch 1 1'!R$2- 12.5)*'Touch 1 1'!$AC36</f>
        <v>-83.210412757732456</v>
      </c>
      <c r="S36" s="1">
        <f>'Touch 1 1'!S36-'Touch 1 1'!$AA36-('Touch 1 1'!S$2- 12.5)*'Touch 1 1'!$AC36</f>
        <v>17.372458481292142</v>
      </c>
      <c r="T36" s="1">
        <f>'Touch 1 1'!T36-'Touch 1 1'!$AA36-('Touch 1 1'!T$2- 12.5)*'Touch 1 1'!$AC36</f>
        <v>47.95532972031674</v>
      </c>
      <c r="U36" s="1">
        <f>'Touch 1 1'!U36-'Touch 1 1'!$AA36-('Touch 1 1'!U$2- 12.5)*'Touch 1 1'!$AC36</f>
        <v>-11.461799040658661</v>
      </c>
      <c r="V36" s="1">
        <f>'Touch 1 1'!V36-'Touch 1 1'!$AA36-('Touch 1 1'!V$2- 12.5)*'Touch 1 1'!$AC36</f>
        <v>29.121072198365709</v>
      </c>
      <c r="W36" s="1">
        <f>'Touch 1 1'!W36-'Touch 1 1'!$AA36-('Touch 1 1'!W$2- 12.5)*'Touch 1 1'!$AC36</f>
        <v>-0.29605656260969226</v>
      </c>
      <c r="X36" s="1">
        <f>'Touch 1 1'!X36-'Touch 1 1'!$AA36-('Touch 1 1'!X$2- 12.5)*'Touch 1 1'!$AC36</f>
        <v>-79.713185323585094</v>
      </c>
      <c r="Y36" s="1">
        <f>'Touch 1 1'!Y36-'Touch 1 1'!$AA36-('Touch 1 1'!Y$2- 12.5)*'Touch 1 1'!$AC36</f>
        <v>-9.1303140845602684</v>
      </c>
      <c r="AB36" s="1">
        <f>STDEV(B36:Y36)</f>
        <v>46.747006707435951</v>
      </c>
      <c r="AD36" s="11">
        <v>3</v>
      </c>
      <c r="AE36" s="11">
        <v>6</v>
      </c>
      <c r="AF36" s="11" t="s">
        <v>44</v>
      </c>
      <c r="AG36" s="11">
        <v>5</v>
      </c>
      <c r="AH36" s="11">
        <v>4</v>
      </c>
      <c r="AI36" s="11">
        <v>2</v>
      </c>
      <c r="AJ36" s="11" t="s">
        <v>45</v>
      </c>
      <c r="AK36" s="11">
        <v>8</v>
      </c>
      <c r="AL36" s="11" t="s">
        <v>46</v>
      </c>
      <c r="AM36" s="11">
        <v>1</v>
      </c>
      <c r="AN36" s="11">
        <v>9</v>
      </c>
      <c r="AO36" s="11">
        <v>7</v>
      </c>
      <c r="AP36" s="11">
        <v>3</v>
      </c>
      <c r="AQ36" s="11" t="s">
        <v>44</v>
      </c>
      <c r="AR36" s="11">
        <v>6</v>
      </c>
      <c r="AS36" s="11">
        <v>4</v>
      </c>
      <c r="AT36" s="11">
        <v>5</v>
      </c>
      <c r="AU36" s="11" t="s">
        <v>45</v>
      </c>
      <c r="AV36" s="11">
        <v>2</v>
      </c>
      <c r="AW36" s="11">
        <v>8</v>
      </c>
      <c r="AX36" s="11">
        <v>1</v>
      </c>
      <c r="AY36" s="11" t="s">
        <v>46</v>
      </c>
      <c r="AZ36" s="11">
        <v>7</v>
      </c>
      <c r="BA36" s="11">
        <v>9</v>
      </c>
      <c r="BB36" s="5"/>
      <c r="BC36" s="1">
        <f ca="1">OFFSET(A36,0, 10) -0</f>
        <v>2.7094885690955834</v>
      </c>
      <c r="BD36" s="1">
        <f ca="1">OFFSET(A36,0, 6) -0</f>
        <v>0.37800361299719043</v>
      </c>
      <c r="BE36" s="1">
        <f ca="1">OFFSET(A36,0, 1) -0</f>
        <v>57.463647417874199</v>
      </c>
      <c r="BF36" s="1">
        <f ca="1">OFFSET(A36,0, 5) -0</f>
        <v>39.795132373972592</v>
      </c>
      <c r="BG36" s="1">
        <f ca="1">OFFSET(A36,0, 4) -0</f>
        <v>-50.787738865051779</v>
      </c>
      <c r="BH36" s="1">
        <f ca="1">OFFSET(A36,0, 2) -0</f>
        <v>38.046518656899025</v>
      </c>
      <c r="BI36" s="1">
        <f ca="1">OFFSET(A36,0, 12) -0</f>
        <v>-26.12476895285532</v>
      </c>
      <c r="BJ36" s="1">
        <f ca="1">OFFSET(A36,0, 8) -0</f>
        <v>101.54374609104639</v>
      </c>
      <c r="BK36" s="1">
        <f ca="1">OFFSET(A36,0, 11) -0</f>
        <v>-26.707640191879875</v>
      </c>
      <c r="BL36" s="1">
        <f ca="1">OFFSET(A36,0, 3) -0</f>
        <v>-71.370610104076377</v>
      </c>
      <c r="BM36" s="1">
        <f ca="1">OFFSET(A36,0, 7) -0</f>
        <v>40.960874852021789</v>
      </c>
      <c r="BN36" s="1">
        <f ca="1">OFFSET(A36,0, 9) -0</f>
        <v>42.126617330070985</v>
      </c>
      <c r="BO36" s="1">
        <f ca="1">OFFSET(A36,0, 21) -0</f>
        <v>29.121072198365709</v>
      </c>
      <c r="BP36" s="1">
        <f ca="1">OFFSET(A36,0, 19) -0</f>
        <v>47.95532972031674</v>
      </c>
      <c r="BQ36" s="1">
        <f ca="1">OFFSET(A36,0, 13) -0</f>
        <v>24.45810228616925</v>
      </c>
      <c r="BR36" s="1">
        <f ca="1">OFFSET(A36,0, 16) -0</f>
        <v>-23.793283996757054</v>
      </c>
      <c r="BS36" s="1">
        <f ca="1">OFFSET(A36,0, 17) -0</f>
        <v>-83.210412757732456</v>
      </c>
      <c r="BT36" s="1">
        <f ca="1">OFFSET(A36,0, 15) -0</f>
        <v>-54.376155235781653</v>
      </c>
      <c r="BU36" s="1">
        <f ca="1">OFFSET(A36,0, 23) -0</f>
        <v>-79.713185323585094</v>
      </c>
      <c r="BV36" s="1">
        <f ca="1">OFFSET(A36,0, 20) -0</f>
        <v>-11.461799040658661</v>
      </c>
      <c r="BW36" s="1">
        <f ca="1">OFFSET(A36,0, 24) -0</f>
        <v>-9.1303140845602684</v>
      </c>
      <c r="BX36" s="1">
        <f ca="1">OFFSET(A36,0, 14) -0</f>
        <v>-4.9590264748061941</v>
      </c>
      <c r="BY36" s="1">
        <f ca="1">OFFSET(A36,0, 18) -0</f>
        <v>17.372458481292142</v>
      </c>
      <c r="BZ36" s="1">
        <f ca="1">OFFSET(A36,0, 22) -0</f>
        <v>-0.29605656260969226</v>
      </c>
      <c r="CB36" s="1">
        <f>COUNTIF(B36,"&lt;-74")</f>
        <v>0</v>
      </c>
      <c r="CC36" s="1">
        <f ca="1">COUNTIF(BC36:BN36,"&lt;-52")</f>
        <v>1</v>
      </c>
      <c r="CD36" s="1">
        <f ca="1">COUNTIF(BC36:BN36,"&gt;+52")</f>
        <v>2</v>
      </c>
      <c r="CE36" s="1">
        <f ca="1">COUNTIF(BO36:BZ36,"&lt;-52")</f>
        <v>3</v>
      </c>
      <c r="CF36" s="1">
        <f ca="1">COUNTIF(BO36:BZ36,"&gt;+52")</f>
        <v>0</v>
      </c>
    </row>
    <row r="37" spans="1:84">
      <c r="A37" s="1">
        <v>34</v>
      </c>
      <c r="B37" s="1">
        <f>'Touch 1 1'!B37-'Touch 1 1'!$AA37-('Touch 1 1'!B$2- 12.5)*'Touch 1 1'!$AC37</f>
        <v>36.017135682581738</v>
      </c>
      <c r="C37" s="1">
        <f>'Touch 1 1'!C37-'Touch 1 1'!$AA37-('Touch 1 1'!C$2- 12.5)*'Touch 1 1'!$AC37</f>
        <v>36.399703594240236</v>
      </c>
      <c r="D37" s="1">
        <f>'Touch 1 1'!D37-'Touch 1 1'!$AA37-('Touch 1 1'!D$2- 12.5)*'Touch 1 1'!$AC37</f>
        <v>26.782271505899189</v>
      </c>
      <c r="E37" s="1">
        <f>'Touch 1 1'!E37-'Touch 1 1'!$AA37-('Touch 1 1'!E$2- 12.5)*'Touch 1 1'!$AC37</f>
        <v>7.1648394175576868</v>
      </c>
      <c r="F37" s="1">
        <f>'Touch 1 1'!F37-'Touch 1 1'!$AA37-('Touch 1 1'!F$2- 12.5)*'Touch 1 1'!$AC37</f>
        <v>37.547407329216639</v>
      </c>
      <c r="G37" s="1">
        <f>'Touch 1 1'!G37-'Touch 1 1'!$AA37-('Touch 1 1'!G$2- 12.5)*'Touch 1 1'!$AC37</f>
        <v>-2.0700247591248626</v>
      </c>
      <c r="H37" s="1">
        <f>'Touch 1 1'!H37-'Touch 1 1'!$AA37-('Touch 1 1'!H$2- 12.5)*'Touch 1 1'!$AC37</f>
        <v>38.31254315253409</v>
      </c>
      <c r="I37" s="1">
        <f>'Touch 1 1'!I37-'Touch 1 1'!$AA37-('Touch 1 1'!I$2- 12.5)*'Touch 1 1'!$AC37</f>
        <v>28.695111064192702</v>
      </c>
      <c r="J37" s="1">
        <f>'Touch 1 1'!J37-'Touch 1 1'!$AA37-('Touch 1 1'!J$2- 12.5)*'Touch 1 1'!$AC37</f>
        <v>19.077678975851427</v>
      </c>
      <c r="K37" s="1">
        <f>'Touch 1 1'!K37-'Touch 1 1'!$AA37-('Touch 1 1'!K$2- 12.5)*'Touch 1 1'!$AC37</f>
        <v>-20.539753112489848</v>
      </c>
      <c r="L37" s="1">
        <f>'Touch 1 1'!L37-'Touch 1 1'!$AA37-('Touch 1 1'!L$2- 12.5)*'Touch 1 1'!$AC37</f>
        <v>-50.157185200831123</v>
      </c>
      <c r="M37" s="1">
        <f>'Touch 1 1'!M37-'Touch 1 1'!$AA37-('Touch 1 1'!M$2- 12.5)*'Touch 1 1'!$AC37</f>
        <v>-39.774617289172397</v>
      </c>
      <c r="N37" s="1">
        <f>'Touch 1 1'!N37-'Touch 1 1'!$AA37-('Touch 1 1'!N$2- 12.5)*'Touch 1 1'!$AC37</f>
        <v>0.60795062248632803</v>
      </c>
      <c r="O37" s="1">
        <f>'Touch 1 1'!O37-'Touch 1 1'!$AA37-('Touch 1 1'!O$2- 12.5)*'Touch 1 1'!$AC37</f>
        <v>-109.00948146585495</v>
      </c>
      <c r="P37" s="1">
        <f>'Touch 1 1'!P37-'Touch 1 1'!$AA37-('Touch 1 1'!P$2- 12.5)*'Touch 1 1'!$AC37</f>
        <v>-78.626913554196221</v>
      </c>
      <c r="Q37" s="1">
        <f>'Touch 1 1'!Q37-'Touch 1 1'!$AA37-('Touch 1 1'!Q$2- 12.5)*'Touch 1 1'!$AC37</f>
        <v>11.755654357462504</v>
      </c>
      <c r="R37" s="1">
        <f>'Touch 1 1'!R37-'Touch 1 1'!$AA37-('Touch 1 1'!R$2- 12.5)*'Touch 1 1'!$AC37</f>
        <v>32.138222269121229</v>
      </c>
      <c r="S37" s="1">
        <f>'Touch 1 1'!S37-'Touch 1 1'!$AA37-('Touch 1 1'!S$2- 12.5)*'Touch 1 1'!$AC37</f>
        <v>12.520790180779841</v>
      </c>
      <c r="T37" s="1">
        <f>'Touch 1 1'!T37-'Touch 1 1'!$AA37-('Touch 1 1'!T$2- 12.5)*'Touch 1 1'!$AC37</f>
        <v>62.903358092438793</v>
      </c>
      <c r="U37" s="1">
        <f>'Touch 1 1'!U37-'Touch 1 1'!$AA37-('Touch 1 1'!U$2- 12.5)*'Touch 1 1'!$AC37</f>
        <v>3.2859260040972913</v>
      </c>
      <c r="V37" s="1">
        <f>'Touch 1 1'!V37-'Touch 1 1'!$AA37-('Touch 1 1'!V$2- 12.5)*'Touch 1 1'!$AC37</f>
        <v>13.668493915756244</v>
      </c>
      <c r="W37" s="1">
        <f>'Touch 1 1'!W37-'Touch 1 1'!$AA37-('Touch 1 1'!W$2- 12.5)*'Touch 1 1'!$AC37</f>
        <v>-15.948938172585258</v>
      </c>
      <c r="X37" s="1">
        <f>'Touch 1 1'!X37-'Touch 1 1'!$AA37-('Touch 1 1'!X$2- 12.5)*'Touch 1 1'!$AC37</f>
        <v>-45.566370260926305</v>
      </c>
      <c r="Y37" s="1">
        <f>'Touch 1 1'!Y37-'Touch 1 1'!$AA37-('Touch 1 1'!Y$2- 12.5)*'Touch 1 1'!$AC37</f>
        <v>-5.1838023492678076</v>
      </c>
      <c r="AB37" s="1">
        <f>STDEV(B37:Y37)</f>
        <v>40.585499917755946</v>
      </c>
      <c r="AD37" s="11" t="s">
        <v>44</v>
      </c>
      <c r="AE37" s="11">
        <v>3</v>
      </c>
      <c r="AF37" s="11">
        <v>4</v>
      </c>
      <c r="AG37" s="11">
        <v>6</v>
      </c>
      <c r="AH37" s="11" t="s">
        <v>45</v>
      </c>
      <c r="AI37" s="11">
        <v>5</v>
      </c>
      <c r="AJ37" s="11">
        <v>8</v>
      </c>
      <c r="AK37" s="11">
        <v>2</v>
      </c>
      <c r="AL37" s="11" t="s">
        <v>46</v>
      </c>
      <c r="AM37" s="11">
        <v>1</v>
      </c>
      <c r="AN37" s="11">
        <v>9</v>
      </c>
      <c r="AO37" s="11">
        <v>7</v>
      </c>
      <c r="AP37" s="11">
        <v>3</v>
      </c>
      <c r="AQ37" s="11" t="s">
        <v>44</v>
      </c>
      <c r="AR37" s="11">
        <v>6</v>
      </c>
      <c r="AS37" s="11">
        <v>4</v>
      </c>
      <c r="AT37" s="11">
        <v>5</v>
      </c>
      <c r="AU37" s="11" t="s">
        <v>45</v>
      </c>
      <c r="AV37" s="11">
        <v>2</v>
      </c>
      <c r="AW37" s="11">
        <v>8</v>
      </c>
      <c r="AX37" s="11" t="s">
        <v>46</v>
      </c>
      <c r="AY37" s="11">
        <v>9</v>
      </c>
      <c r="AZ37" s="11">
        <v>1</v>
      </c>
      <c r="BA37" s="11">
        <v>7</v>
      </c>
      <c r="BB37" s="5"/>
      <c r="BC37" s="1">
        <f ca="1">OFFSET(A37,0, 10) -0</f>
        <v>-20.539753112489848</v>
      </c>
      <c r="BD37" s="1">
        <f ca="1">OFFSET(A37,0, 8) -0</f>
        <v>28.695111064192702</v>
      </c>
      <c r="BE37" s="1">
        <f ca="1">OFFSET(A37,0, 2) -0</f>
        <v>36.399703594240236</v>
      </c>
      <c r="BF37" s="1">
        <f ca="1">OFFSET(A37,0, 3) -0</f>
        <v>26.782271505899189</v>
      </c>
      <c r="BG37" s="1">
        <f ca="1">OFFSET(A37,0, 6) -0</f>
        <v>-2.0700247591248626</v>
      </c>
      <c r="BH37" s="1">
        <f ca="1">OFFSET(A37,0, 4) -0</f>
        <v>7.1648394175576868</v>
      </c>
      <c r="BI37" s="1">
        <f ca="1">OFFSET(A37,0, 12) -0</f>
        <v>-39.774617289172397</v>
      </c>
      <c r="BJ37" s="1">
        <f ca="1">OFFSET(A37,0, 7) -0</f>
        <v>38.31254315253409</v>
      </c>
      <c r="BK37" s="1">
        <f ca="1">OFFSET(A37,0, 11) -0</f>
        <v>-50.157185200831123</v>
      </c>
      <c r="BL37" s="1">
        <f ca="1">OFFSET(A37,0, 1) -0</f>
        <v>36.017135682581738</v>
      </c>
      <c r="BM37" s="1">
        <f ca="1">OFFSET(A37,0, 5) -0</f>
        <v>37.547407329216639</v>
      </c>
      <c r="BN37" s="1">
        <f ca="1">OFFSET(A37,0, 9) -0</f>
        <v>19.077678975851427</v>
      </c>
      <c r="BO37" s="1">
        <f ca="1">OFFSET(A37,0, 23) -0</f>
        <v>-45.566370260926305</v>
      </c>
      <c r="BP37" s="1">
        <f ca="1">OFFSET(A37,0, 19) -0</f>
        <v>62.903358092438793</v>
      </c>
      <c r="BQ37" s="1">
        <f ca="1">OFFSET(A37,0, 13) -0</f>
        <v>0.60795062248632803</v>
      </c>
      <c r="BR37" s="1">
        <f ca="1">OFFSET(A37,0, 16) -0</f>
        <v>11.755654357462504</v>
      </c>
      <c r="BS37" s="1">
        <f ca="1">OFFSET(A37,0, 17) -0</f>
        <v>32.138222269121229</v>
      </c>
      <c r="BT37" s="1">
        <f ca="1">OFFSET(A37,0, 15) -0</f>
        <v>-78.626913554196221</v>
      </c>
      <c r="BU37" s="1">
        <f ca="1">OFFSET(A37,0, 24) -0</f>
        <v>-5.1838023492678076</v>
      </c>
      <c r="BV37" s="1">
        <f ca="1">OFFSET(A37,0, 20) -0</f>
        <v>3.2859260040972913</v>
      </c>
      <c r="BW37" s="1">
        <f ca="1">OFFSET(A37,0, 22) -0</f>
        <v>-15.948938172585258</v>
      </c>
      <c r="BX37" s="1">
        <f ca="1">OFFSET(A37,0, 14) -0</f>
        <v>-109.00948146585495</v>
      </c>
      <c r="BY37" s="1">
        <f ca="1">OFFSET(A37,0, 18) -0</f>
        <v>12.520790180779841</v>
      </c>
      <c r="BZ37" s="1">
        <f ca="1">OFFSET(A37,0, 21) -0</f>
        <v>13.668493915756244</v>
      </c>
      <c r="CB37" s="1">
        <f>COUNTIF(B37,"&lt;-74")</f>
        <v>0</v>
      </c>
      <c r="CC37" s="1">
        <f ca="1">COUNTIF(BC37:BN37,"&lt;-52")</f>
        <v>0</v>
      </c>
      <c r="CD37" s="1">
        <f ca="1">COUNTIF(BC37:BN37,"&gt;+52")</f>
        <v>0</v>
      </c>
      <c r="CE37" s="1">
        <f ca="1">COUNTIF(BO37:BZ37,"&lt;-52")</f>
        <v>2</v>
      </c>
      <c r="CF37" s="1">
        <f ca="1">COUNTIF(BO37:BZ37,"&gt;+52")</f>
        <v>1</v>
      </c>
    </row>
    <row r="38" spans="1:84">
      <c r="A38" s="1">
        <v>35</v>
      </c>
      <c r="B38" s="1">
        <f>'Touch 1 1'!B38-'Touch 1 1'!$AA38-('Touch 1 1'!B$2- 12.5)*'Touch 1 1'!$AC38</f>
        <v>-30.89560630149208</v>
      </c>
      <c r="C38" s="1">
        <f>'Touch 1 1'!C38-'Touch 1 1'!$AA38-('Touch 1 1'!C$2- 12.5)*'Touch 1 1'!$AC38</f>
        <v>19.97937395660756</v>
      </c>
      <c r="D38" s="1">
        <f>'Touch 1 1'!D38-'Touch 1 1'!$AA38-('Touch 1 1'!D$2- 12.5)*'Touch 1 1'!$AC38</f>
        <v>10.854354214707655</v>
      </c>
      <c r="E38" s="1">
        <f>'Touch 1 1'!E38-'Touch 1 1'!$AA38-('Touch 1 1'!E$2- 12.5)*'Touch 1 1'!$AC38</f>
        <v>21.729334472807523</v>
      </c>
      <c r="F38" s="1">
        <f>'Touch 1 1'!F38-'Touch 1 1'!$AA38-('Touch 1 1'!F$2- 12.5)*'Touch 1 1'!$AC38</f>
        <v>62.604314730907618</v>
      </c>
      <c r="G38" s="1">
        <f>'Touch 1 1'!G38-'Touch 1 1'!$AA38-('Touch 1 1'!G$2- 12.5)*'Touch 1 1'!$AC38</f>
        <v>23.479294989007485</v>
      </c>
      <c r="H38" s="1">
        <f>'Touch 1 1'!H38-'Touch 1 1'!$AA38-('Touch 1 1'!H$2- 12.5)*'Touch 1 1'!$AC38</f>
        <v>-25.645724752892647</v>
      </c>
      <c r="I38" s="1">
        <f>'Touch 1 1'!I38-'Touch 1 1'!$AA38-('Touch 1 1'!I$2- 12.5)*'Touch 1 1'!$AC38</f>
        <v>25.229255505207334</v>
      </c>
      <c r="J38" s="1">
        <f>'Touch 1 1'!J38-'Touch 1 1'!$AA38-('Touch 1 1'!J$2- 12.5)*'Touch 1 1'!$AC38</f>
        <v>-33.895764236692798</v>
      </c>
      <c r="K38" s="1">
        <f>'Touch 1 1'!K38-'Touch 1 1'!$AA38-('Touch 1 1'!K$2- 12.5)*'Touch 1 1'!$AC38</f>
        <v>-83.020783978592817</v>
      </c>
      <c r="L38" s="1">
        <f>'Touch 1 1'!L38-'Touch 1 1'!$AA38-('Touch 1 1'!L$2- 12.5)*'Touch 1 1'!$AC38</f>
        <v>-12.14580372049295</v>
      </c>
      <c r="M38" s="1">
        <f>'Touch 1 1'!M38-'Touch 1 1'!$AA38-('Touch 1 1'!M$2- 12.5)*'Touch 1 1'!$AC38</f>
        <v>28.729176537607003</v>
      </c>
      <c r="N38" s="1">
        <f>'Touch 1 1'!N38-'Touch 1 1'!$AA38-('Touch 1 1'!N$2- 12.5)*'Touch 1 1'!$AC38</f>
        <v>-0.3958432042930724</v>
      </c>
      <c r="O38" s="1">
        <f>'Touch 1 1'!O38-'Touch 1 1'!$AA38-('Touch 1 1'!O$2- 12.5)*'Touch 1 1'!$AC38</f>
        <v>-29.52086294619312</v>
      </c>
      <c r="P38" s="1">
        <f>'Touch 1 1'!P38-'Touch 1 1'!$AA38-('Touch 1 1'!P$2- 12.5)*'Touch 1 1'!$AC38</f>
        <v>-8.645882688093252</v>
      </c>
      <c r="Q38" s="1">
        <f>'Touch 1 1'!Q38-'Touch 1 1'!$AA38-('Touch 1 1'!Q$2- 12.5)*'Touch 1 1'!$AC38</f>
        <v>12.229097570006729</v>
      </c>
      <c r="R38" s="1">
        <f>'Touch 1 1'!R38-'Touch 1 1'!$AA38-('Touch 1 1'!R$2- 12.5)*'Touch 1 1'!$AC38</f>
        <v>-6.8959221718934032</v>
      </c>
      <c r="S38" s="1">
        <f>'Touch 1 1'!S38-'Touch 1 1'!$AA38-('Touch 1 1'!S$2- 12.5)*'Touch 1 1'!$AC38</f>
        <v>3.9790580862065781</v>
      </c>
      <c r="T38" s="1">
        <f>'Touch 1 1'!T38-'Touch 1 1'!$AA38-('Touch 1 1'!T$2- 12.5)*'Touch 1 1'!$AC38</f>
        <v>-95.145961655693554</v>
      </c>
      <c r="U38" s="1">
        <f>'Touch 1 1'!U38-'Touch 1 1'!$AA38-('Touch 1 1'!U$2- 12.5)*'Touch 1 1'!$AC38</f>
        <v>15.729018602406313</v>
      </c>
      <c r="V38" s="1">
        <f>'Touch 1 1'!V38-'Touch 1 1'!$AA38-('Touch 1 1'!V$2- 12.5)*'Touch 1 1'!$AC38</f>
        <v>46.603998860506408</v>
      </c>
      <c r="W38" s="1">
        <f>'Touch 1 1'!W38-'Touch 1 1'!$AA38-('Touch 1 1'!W$2- 12.5)*'Touch 1 1'!$AC38</f>
        <v>-32.521020881393724</v>
      </c>
      <c r="X38" s="1">
        <f>'Touch 1 1'!X38-'Touch 1 1'!$AA38-('Touch 1 1'!X$2- 12.5)*'Touch 1 1'!$AC38</f>
        <v>28.353959376706371</v>
      </c>
      <c r="Y38" s="1">
        <f>'Touch 1 1'!Y38-'Touch 1 1'!$AA38-('Touch 1 1'!Y$2- 12.5)*'Touch 1 1'!$AC38</f>
        <v>59.228939634806011</v>
      </c>
      <c r="AB38" s="1">
        <f>STDEV(B38:Y38)</f>
        <v>38.855248148095477</v>
      </c>
      <c r="AD38" s="11" t="s">
        <v>44</v>
      </c>
      <c r="AE38" s="11">
        <v>3</v>
      </c>
      <c r="AF38" s="11">
        <v>4</v>
      </c>
      <c r="AG38" s="11">
        <v>6</v>
      </c>
      <c r="AH38" s="11" t="s">
        <v>45</v>
      </c>
      <c r="AI38" s="11">
        <v>5</v>
      </c>
      <c r="AJ38" s="11">
        <v>8</v>
      </c>
      <c r="AK38" s="11">
        <v>2</v>
      </c>
      <c r="AL38" s="11">
        <v>9</v>
      </c>
      <c r="AM38" s="11" t="s">
        <v>46</v>
      </c>
      <c r="AN38" s="11">
        <v>7</v>
      </c>
      <c r="AO38" s="11">
        <v>1</v>
      </c>
      <c r="AP38" s="11" t="s">
        <v>44</v>
      </c>
      <c r="AQ38" s="11">
        <v>4</v>
      </c>
      <c r="AR38" s="11">
        <v>3</v>
      </c>
      <c r="AS38" s="11" t="s">
        <v>45</v>
      </c>
      <c r="AT38" s="11">
        <v>6</v>
      </c>
      <c r="AU38" s="11">
        <v>8</v>
      </c>
      <c r="AV38" s="11">
        <v>5</v>
      </c>
      <c r="AW38" s="11">
        <v>9</v>
      </c>
      <c r="AX38" s="11">
        <v>2</v>
      </c>
      <c r="AY38" s="11" t="s">
        <v>46</v>
      </c>
      <c r="AZ38" s="11">
        <v>1</v>
      </c>
      <c r="BA38" s="11">
        <v>7</v>
      </c>
      <c r="BB38" s="5"/>
      <c r="BC38" s="1">
        <f ca="1">OFFSET(A38,0, 12) -0</f>
        <v>28.729176537607003</v>
      </c>
      <c r="BD38" s="1">
        <f ca="1">OFFSET(A38,0, 8) -0</f>
        <v>25.229255505207334</v>
      </c>
      <c r="BE38" s="1">
        <f ca="1">OFFSET(A38,0, 2) -0</f>
        <v>19.97937395660756</v>
      </c>
      <c r="BF38" s="1">
        <f ca="1">OFFSET(A38,0, 3) -0</f>
        <v>10.854354214707655</v>
      </c>
      <c r="BG38" s="1">
        <f ca="1">OFFSET(A38,0, 6) -0</f>
        <v>23.479294989007485</v>
      </c>
      <c r="BH38" s="1">
        <f ca="1">OFFSET(A38,0, 4) -0</f>
        <v>21.729334472807523</v>
      </c>
      <c r="BI38" s="1">
        <f ca="1">OFFSET(A38,0, 11) -0</f>
        <v>-12.14580372049295</v>
      </c>
      <c r="BJ38" s="1">
        <f ca="1">OFFSET(A38,0, 7) -0</f>
        <v>-25.645724752892647</v>
      </c>
      <c r="BK38" s="1">
        <f ca="1">OFFSET(A38,0, 9) -0</f>
        <v>-33.895764236692798</v>
      </c>
      <c r="BL38" s="1">
        <f ca="1">OFFSET(A38,0, 1) -0</f>
        <v>-30.89560630149208</v>
      </c>
      <c r="BM38" s="1">
        <f ca="1">OFFSET(A38,0, 5) -0</f>
        <v>62.604314730907618</v>
      </c>
      <c r="BN38" s="1">
        <f ca="1">OFFSET(A38,0, 10) -0</f>
        <v>-83.020783978592817</v>
      </c>
      <c r="BO38" s="1">
        <f ca="1">OFFSET(A38,0, 23) -0</f>
        <v>28.353959376706371</v>
      </c>
      <c r="BP38" s="1">
        <f ca="1">OFFSET(A38,0, 21) -0</f>
        <v>46.603998860506408</v>
      </c>
      <c r="BQ38" s="1">
        <f ca="1">OFFSET(A38,0, 15) -0</f>
        <v>-8.645882688093252</v>
      </c>
      <c r="BR38" s="1">
        <f ca="1">OFFSET(A38,0, 14) -0</f>
        <v>-29.52086294619312</v>
      </c>
      <c r="BS38" s="1">
        <f ca="1">OFFSET(A38,0, 19) -0</f>
        <v>-95.145961655693554</v>
      </c>
      <c r="BT38" s="1">
        <f ca="1">OFFSET(A38,0, 17) -0</f>
        <v>-6.8959221718934032</v>
      </c>
      <c r="BU38" s="1">
        <f ca="1">OFFSET(A38,0, 24) -0</f>
        <v>59.228939634806011</v>
      </c>
      <c r="BV38" s="1">
        <f ca="1">OFFSET(A38,0, 18) -0</f>
        <v>3.9790580862065781</v>
      </c>
      <c r="BW38" s="1">
        <f ca="1">OFFSET(A38,0, 20) -0</f>
        <v>15.729018602406313</v>
      </c>
      <c r="BX38" s="1">
        <f ca="1">OFFSET(A38,0, 13) -0</f>
        <v>-0.3958432042930724</v>
      </c>
      <c r="BY38" s="1">
        <f ca="1">OFFSET(A38,0, 16) -0</f>
        <v>12.229097570006729</v>
      </c>
      <c r="BZ38" s="1">
        <f ca="1">OFFSET(A38,0, 22) -0</f>
        <v>-32.521020881393724</v>
      </c>
      <c r="CB38" s="1">
        <f>COUNTIF(B38,"&lt;-74")</f>
        <v>0</v>
      </c>
      <c r="CC38" s="1">
        <f ca="1">COUNTIF(BC38:BN38,"&lt;-52")</f>
        <v>1</v>
      </c>
      <c r="CD38" s="1">
        <f ca="1">COUNTIF(BC38:BN38,"&gt;+52")</f>
        <v>1</v>
      </c>
      <c r="CE38" s="1">
        <f ca="1">COUNTIF(BO38:BZ38,"&lt;-52")</f>
        <v>1</v>
      </c>
      <c r="CF38" s="1">
        <f ca="1">COUNTIF(BO38:BZ38,"&gt;+52")</f>
        <v>1</v>
      </c>
    </row>
    <row r="39" spans="1:84">
      <c r="A39" s="1">
        <v>36</v>
      </c>
      <c r="B39" s="1">
        <f>'Touch 1 1'!B39-'Touch 1 1'!$AA39-('Touch 1 1'!B$2- 12.5)*'Touch 1 1'!$AC39</f>
        <v>-29.582379579666394</v>
      </c>
      <c r="C39" s="1">
        <f>'Touch 1 1'!C39-'Touch 1 1'!$AA39-('Touch 1 1'!C$2- 12.5)*'Touch 1 1'!$AC39</f>
        <v>-68.749129181434455</v>
      </c>
      <c r="D39" s="1">
        <f>'Touch 1 1'!D39-'Touch 1 1'!$AA39-('Touch 1 1'!D$2- 12.5)*'Touch 1 1'!$AC39</f>
        <v>62.084121216797485</v>
      </c>
      <c r="E39" s="1">
        <f>'Touch 1 1'!E39-'Touch 1 1'!$AA39-('Touch 1 1'!E$2- 12.5)*'Touch 1 1'!$AC39</f>
        <v>82.917371615029197</v>
      </c>
      <c r="F39" s="1">
        <f>'Touch 1 1'!F39-'Touch 1 1'!$AA39-('Touch 1 1'!F$2- 12.5)*'Touch 1 1'!$AC39</f>
        <v>13.750622013261136</v>
      </c>
      <c r="G39" s="1">
        <f>'Touch 1 1'!G39-'Touch 1 1'!$AA39-('Touch 1 1'!G$2- 12.5)*'Touch 1 1'!$AC39</f>
        <v>4.5838724114928482</v>
      </c>
      <c r="H39" s="1">
        <f>'Touch 1 1'!H39-'Touch 1 1'!$AA39-('Touch 1 1'!H$2- 12.5)*'Touch 1 1'!$AC39</f>
        <v>-24.582877190275212</v>
      </c>
      <c r="I39" s="1">
        <f>'Touch 1 1'!I39-'Touch 1 1'!$AA39-('Touch 1 1'!I$2- 12.5)*'Touch 1 1'!$AC39</f>
        <v>-33.749626792043387</v>
      </c>
      <c r="J39" s="1">
        <f>'Touch 1 1'!J39-'Touch 1 1'!$AA39-('Touch 1 1'!J$2- 12.5)*'Touch 1 1'!$AC39</f>
        <v>7.0836236061885529</v>
      </c>
      <c r="K39" s="1">
        <f>'Touch 1 1'!K39-'Touch 1 1'!$AA39-('Touch 1 1'!K$2- 12.5)*'Touch 1 1'!$AC39</f>
        <v>-22.083125995579621</v>
      </c>
      <c r="L39" s="1">
        <f>'Touch 1 1'!L39-'Touch 1 1'!$AA39-('Touch 1 1'!L$2- 12.5)*'Touch 1 1'!$AC39</f>
        <v>18.750124402652204</v>
      </c>
      <c r="M39" s="1">
        <f>'Touch 1 1'!M39-'Touch 1 1'!$AA39-('Touch 1 1'!M$2- 12.5)*'Touch 1 1'!$AC39</f>
        <v>-10.416625199115927</v>
      </c>
      <c r="N39" s="1">
        <f>'Touch 1 1'!N39-'Touch 1 1'!$AA39-('Touch 1 1'!N$2- 12.5)*'Touch 1 1'!$AC39</f>
        <v>10.416625199115927</v>
      </c>
      <c r="O39" s="1">
        <f>'Touch 1 1'!O39-'Touch 1 1'!$AA39-('Touch 1 1'!O$2- 12.5)*'Touch 1 1'!$AC39</f>
        <v>41.249875597347796</v>
      </c>
      <c r="P39" s="1">
        <f>'Touch 1 1'!P39-'Touch 1 1'!$AA39-('Touch 1 1'!P$2- 12.5)*'Touch 1 1'!$AC39</f>
        <v>42.083125995579621</v>
      </c>
      <c r="Q39" s="1">
        <f>'Touch 1 1'!Q39-'Touch 1 1'!$AA39-('Touch 1 1'!Q$2- 12.5)*'Touch 1 1'!$AC39</f>
        <v>22.916376393811447</v>
      </c>
      <c r="R39" s="1">
        <f>'Touch 1 1'!R39-'Touch 1 1'!$AA39-('Touch 1 1'!R$2- 12.5)*'Touch 1 1'!$AC39</f>
        <v>-26.250373207956613</v>
      </c>
      <c r="S39" s="1">
        <f>'Touch 1 1'!S39-'Touch 1 1'!$AA39-('Touch 1 1'!S$2- 12.5)*'Touch 1 1'!$AC39</f>
        <v>4.5828771902752123</v>
      </c>
      <c r="T39" s="1">
        <f>'Touch 1 1'!T39-'Touch 1 1'!$AA39-('Touch 1 1'!T$2- 12.5)*'Touch 1 1'!$AC39</f>
        <v>-54.583872411492848</v>
      </c>
      <c r="U39" s="1">
        <f>'Touch 1 1'!U39-'Touch 1 1'!$AA39-('Touch 1 1'!U$2- 12.5)*'Touch 1 1'!$AC39</f>
        <v>-3.7506220132611361</v>
      </c>
      <c r="V39" s="1">
        <f>'Touch 1 1'!V39-'Touch 1 1'!$AA39-('Touch 1 1'!V$2- 12.5)*'Touch 1 1'!$AC39</f>
        <v>37.082628384970803</v>
      </c>
      <c r="W39" s="1">
        <f>'Touch 1 1'!W39-'Touch 1 1'!$AA39-('Touch 1 1'!W$2- 12.5)*'Touch 1 1'!$AC39</f>
        <v>-32.084121216797485</v>
      </c>
      <c r="X39" s="1">
        <f>'Touch 1 1'!X39-'Touch 1 1'!$AA39-('Touch 1 1'!X$2- 12.5)*'Touch 1 1'!$AC39</f>
        <v>-91.250870818565545</v>
      </c>
      <c r="Y39" s="1">
        <f>'Touch 1 1'!Y39-'Touch 1 1'!$AA39-('Touch 1 1'!Y$2- 12.5)*'Touch 1 1'!$AC39</f>
        <v>49.582379579666394</v>
      </c>
      <c r="AB39" s="1">
        <f>STDEV(B39:Y39)</f>
        <v>41.849656308308084</v>
      </c>
      <c r="AD39" s="11">
        <v>4</v>
      </c>
      <c r="AE39" s="11" t="s">
        <v>44</v>
      </c>
      <c r="AF39" s="11" t="s">
        <v>45</v>
      </c>
      <c r="AG39" s="11">
        <v>3</v>
      </c>
      <c r="AH39" s="11">
        <v>8</v>
      </c>
      <c r="AI39" s="11">
        <v>6</v>
      </c>
      <c r="AJ39" s="11">
        <v>9</v>
      </c>
      <c r="AK39" s="11">
        <v>5</v>
      </c>
      <c r="AL39" s="11" t="s">
        <v>46</v>
      </c>
      <c r="AM39" s="11">
        <v>2</v>
      </c>
      <c r="AN39" s="11">
        <v>7</v>
      </c>
      <c r="AO39" s="11">
        <v>1</v>
      </c>
      <c r="AP39" s="11" t="s">
        <v>44</v>
      </c>
      <c r="AQ39" s="11">
        <v>4</v>
      </c>
      <c r="AR39" s="11">
        <v>3</v>
      </c>
      <c r="AS39" s="11" t="s">
        <v>45</v>
      </c>
      <c r="AT39" s="11">
        <v>6</v>
      </c>
      <c r="AU39" s="11">
        <v>8</v>
      </c>
      <c r="AV39" s="11">
        <v>5</v>
      </c>
      <c r="AW39" s="11">
        <v>9</v>
      </c>
      <c r="AX39" s="11">
        <v>2</v>
      </c>
      <c r="AY39" s="11" t="s">
        <v>46</v>
      </c>
      <c r="AZ39" s="11">
        <v>7</v>
      </c>
      <c r="BA39" s="11">
        <v>1</v>
      </c>
      <c r="BB39" s="5"/>
      <c r="BC39" s="1">
        <f ca="1">OFFSET(A39,0, 12) -0</f>
        <v>-10.416625199115927</v>
      </c>
      <c r="BD39" s="1">
        <f ca="1">OFFSET(A39,0, 10) -0</f>
        <v>-22.083125995579621</v>
      </c>
      <c r="BE39" s="1">
        <f ca="1">OFFSET(A39,0, 4) -0</f>
        <v>82.917371615029197</v>
      </c>
      <c r="BF39" s="1">
        <f ca="1">OFFSET(A39,0, 1) -0</f>
        <v>-29.582379579666394</v>
      </c>
      <c r="BG39" s="1">
        <f ca="1">OFFSET(A39,0, 8) -0</f>
        <v>-33.749626792043387</v>
      </c>
      <c r="BH39" s="1">
        <f ca="1">OFFSET(A39,0, 6) -0</f>
        <v>4.5838724114928482</v>
      </c>
      <c r="BI39" s="1">
        <f ca="1">OFFSET(A39,0, 11) -0</f>
        <v>18.750124402652204</v>
      </c>
      <c r="BJ39" s="1">
        <f ca="1">OFFSET(A39,0, 5) -0</f>
        <v>13.750622013261136</v>
      </c>
      <c r="BK39" s="1">
        <f ca="1">OFFSET(A39,0, 7) -0</f>
        <v>-24.582877190275212</v>
      </c>
      <c r="BL39" s="1">
        <f ca="1">OFFSET(A39,0, 2) -0</f>
        <v>-68.749129181434455</v>
      </c>
      <c r="BM39" s="1">
        <f ca="1">OFFSET(A39,0, 3) -0</f>
        <v>62.084121216797485</v>
      </c>
      <c r="BN39" s="1">
        <f ca="1">OFFSET(A39,0, 9) -0</f>
        <v>7.0836236061885529</v>
      </c>
      <c r="BO39" s="1">
        <f ca="1">OFFSET(A39,0, 24) -0</f>
        <v>49.582379579666394</v>
      </c>
      <c r="BP39" s="1">
        <f ca="1">OFFSET(A39,0, 21) -0</f>
        <v>37.082628384970803</v>
      </c>
      <c r="BQ39" s="1">
        <f ca="1">OFFSET(A39,0, 15) -0</f>
        <v>42.083125995579621</v>
      </c>
      <c r="BR39" s="1">
        <f ca="1">OFFSET(A39,0, 14) -0</f>
        <v>41.249875597347796</v>
      </c>
      <c r="BS39" s="1">
        <f ca="1">OFFSET(A39,0, 19) -0</f>
        <v>-54.583872411492848</v>
      </c>
      <c r="BT39" s="1">
        <f ca="1">OFFSET(A39,0, 17) -0</f>
        <v>-26.250373207956613</v>
      </c>
      <c r="BU39" s="1">
        <f ca="1">OFFSET(A39,0, 23) -0</f>
        <v>-91.250870818565545</v>
      </c>
      <c r="BV39" s="1">
        <f ca="1">OFFSET(A39,0, 18) -0</f>
        <v>4.5828771902752123</v>
      </c>
      <c r="BW39" s="1">
        <f ca="1">OFFSET(A39,0, 20) -0</f>
        <v>-3.7506220132611361</v>
      </c>
      <c r="BX39" s="1">
        <f ca="1">OFFSET(A39,0, 13) -0</f>
        <v>10.416625199115927</v>
      </c>
      <c r="BY39" s="1">
        <f ca="1">OFFSET(A39,0, 16) -0</f>
        <v>22.916376393811447</v>
      </c>
      <c r="BZ39" s="1">
        <f ca="1">OFFSET(A39,0, 22) -0</f>
        <v>-32.084121216797485</v>
      </c>
      <c r="CB39" s="1">
        <f>COUNTIF(B39,"&lt;-74")</f>
        <v>0</v>
      </c>
      <c r="CC39" s="1">
        <f ca="1">COUNTIF(BC39:BN39,"&lt;-52")</f>
        <v>1</v>
      </c>
      <c r="CD39" s="1">
        <f ca="1">COUNTIF(BC39:BN39,"&gt;+52")</f>
        <v>2</v>
      </c>
      <c r="CE39" s="1">
        <f ca="1">COUNTIF(BO39:BZ39,"&lt;-52")</f>
        <v>2</v>
      </c>
      <c r="CF39" s="1">
        <f ca="1">COUNTIF(BO39:BZ39,"&gt;+52")</f>
        <v>0</v>
      </c>
    </row>
    <row r="40" spans="1:84">
      <c r="A40" s="1">
        <v>37</v>
      </c>
      <c r="B40" s="1">
        <f>'Touch 1 1'!B40-'Touch 1 1'!$AA40-('Touch 1 1'!B$2- 12.5)*'Touch 1 1'!$AC40</f>
        <v>29.561515187484929</v>
      </c>
      <c r="C40" s="1">
        <f>'Touch 1 1'!C40-'Touch 1 1'!$AA40-('Touch 1 1'!C$2- 12.5)*'Touch 1 1'!$AC40</f>
        <v>-30.690210770847898</v>
      </c>
      <c r="D40" s="1">
        <f>'Touch 1 1'!D40-'Touch 1 1'!$AA40-('Touch 1 1'!D$2- 12.5)*'Touch 1 1'!$AC40</f>
        <v>59.058063270819048</v>
      </c>
      <c r="E40" s="1">
        <f>'Touch 1 1'!E40-'Touch 1 1'!$AA40-('Touch 1 1'!E$2- 12.5)*'Touch 1 1'!$AC40</f>
        <v>38.806337312486221</v>
      </c>
      <c r="F40" s="1">
        <f>'Touch 1 1'!F40-'Touch 1 1'!$AA40-('Touch 1 1'!F$2- 12.5)*'Touch 1 1'!$AC40</f>
        <v>28.554611354153394</v>
      </c>
      <c r="G40" s="1">
        <f>'Touch 1 1'!G40-'Touch 1 1'!$AA40-('Touch 1 1'!G$2- 12.5)*'Touch 1 1'!$AC40</f>
        <v>28.302885395820567</v>
      </c>
      <c r="H40" s="1">
        <f>'Touch 1 1'!H40-'Touch 1 1'!$AA40-('Touch 1 1'!H$2- 12.5)*'Touch 1 1'!$AC40</f>
        <v>-41.94884056251226</v>
      </c>
      <c r="I40" s="1">
        <f>'Touch 1 1'!I40-'Touch 1 1'!$AA40-('Touch 1 1'!I$2- 12.5)*'Touch 1 1'!$AC40</f>
        <v>87.7994334791548</v>
      </c>
      <c r="J40" s="1">
        <f>'Touch 1 1'!J40-'Touch 1 1'!$AA40-('Touch 1 1'!J$2- 12.5)*'Touch 1 1'!$AC40</f>
        <v>-52.452292479178027</v>
      </c>
      <c r="K40" s="1">
        <f>'Touch 1 1'!K40-'Touch 1 1'!$AA40-('Touch 1 1'!K$2- 12.5)*'Touch 1 1'!$AC40</f>
        <v>-32.704018437510854</v>
      </c>
      <c r="L40" s="1">
        <f>'Touch 1 1'!L40-'Touch 1 1'!$AA40-('Touch 1 1'!L$2- 12.5)*'Touch 1 1'!$AC40</f>
        <v>7.0442556041562625</v>
      </c>
      <c r="M40" s="1">
        <f>'Touch 1 1'!M40-'Touch 1 1'!$AA40-('Touch 1 1'!M$2- 12.5)*'Touch 1 1'!$AC40</f>
        <v>86.792529645823393</v>
      </c>
      <c r="N40" s="1">
        <f>'Touch 1 1'!N40-'Touch 1 1'!$AA40-('Touch 1 1'!N$2- 12.5)*'Touch 1 1'!$AC40</f>
        <v>16.540803687490538</v>
      </c>
      <c r="O40" s="1">
        <f>'Touch 1 1'!O40-'Touch 1 1'!$AA40-('Touch 1 1'!O$2- 12.5)*'Touch 1 1'!$AC40</f>
        <v>26.289077729157668</v>
      </c>
      <c r="P40" s="1">
        <f>'Touch 1 1'!P40-'Touch 1 1'!$AA40-('Touch 1 1'!P$2- 12.5)*'Touch 1 1'!$AC40</f>
        <v>36.037351770824785</v>
      </c>
      <c r="Q40" s="1">
        <f>'Touch 1 1'!Q40-'Touch 1 1'!$AA40-('Touch 1 1'!Q$2- 12.5)*'Touch 1 1'!$AC40</f>
        <v>15.785625812491958</v>
      </c>
      <c r="R40" s="1">
        <f>'Touch 1 1'!R40-'Touch 1 1'!$AA40-('Touch 1 1'!R$2- 12.5)*'Touch 1 1'!$AC40</f>
        <v>15.533899854159131</v>
      </c>
      <c r="S40" s="1">
        <f>'Touch 1 1'!S40-'Touch 1 1'!$AA40-('Touch 1 1'!S$2- 12.5)*'Touch 1 1'!$AC40</f>
        <v>15.28217389582619</v>
      </c>
      <c r="T40" s="1">
        <f>'Touch 1 1'!T40-'Touch 1 1'!$AA40-('Touch 1 1'!T$2- 12.5)*'Touch 1 1'!$AC40</f>
        <v>15.030447937493363</v>
      </c>
      <c r="U40" s="1">
        <f>'Touch 1 1'!U40-'Touch 1 1'!$AA40-('Touch 1 1'!U$2- 12.5)*'Touch 1 1'!$AC40</f>
        <v>-5.2212780208394634</v>
      </c>
      <c r="V40" s="1">
        <f>'Touch 1 1'!V40-'Touch 1 1'!$AA40-('Touch 1 1'!V$2- 12.5)*'Touch 1 1'!$AC40</f>
        <v>-135.47300397917229</v>
      </c>
      <c r="W40" s="1">
        <f>'Touch 1 1'!W40-'Touch 1 1'!$AA40-('Touch 1 1'!W$2- 12.5)*'Touch 1 1'!$AC40</f>
        <v>-305.72472993750512</v>
      </c>
      <c r="X40" s="1">
        <f>'Touch 1 1'!X40-'Touch 1 1'!$AA40-('Touch 1 1'!X$2- 12.5)*'Touch 1 1'!$AC40</f>
        <v>24.023544104161829</v>
      </c>
      <c r="Y40" s="1">
        <f>'Touch 1 1'!Y40-'Touch 1 1'!$AA40-('Touch 1 1'!Y$2- 12.5)*'Touch 1 1'!$AC40</f>
        <v>73.771818145829002</v>
      </c>
      <c r="AB40" s="1">
        <f>STDEV(B40:Y40)</f>
        <v>80.859070887942437</v>
      </c>
      <c r="AD40" s="11">
        <v>4</v>
      </c>
      <c r="AE40" s="11" t="s">
        <v>44</v>
      </c>
      <c r="AF40" s="11" t="s">
        <v>45</v>
      </c>
      <c r="AG40" s="11">
        <v>3</v>
      </c>
      <c r="AH40" s="11">
        <v>8</v>
      </c>
      <c r="AI40" s="11">
        <v>6</v>
      </c>
      <c r="AJ40" s="11">
        <v>9</v>
      </c>
      <c r="AK40" s="11">
        <v>5</v>
      </c>
      <c r="AL40" s="11" t="s">
        <v>46</v>
      </c>
      <c r="AM40" s="11">
        <v>2</v>
      </c>
      <c r="AN40" s="11">
        <v>1</v>
      </c>
      <c r="AO40" s="11">
        <v>7</v>
      </c>
      <c r="AP40" s="11">
        <v>4</v>
      </c>
      <c r="AQ40" s="11" t="s">
        <v>45</v>
      </c>
      <c r="AR40" s="11" t="s">
        <v>44</v>
      </c>
      <c r="AS40" s="11">
        <v>8</v>
      </c>
      <c r="AT40" s="11">
        <v>3</v>
      </c>
      <c r="AU40" s="11">
        <v>9</v>
      </c>
      <c r="AV40" s="11">
        <v>6</v>
      </c>
      <c r="AW40" s="11" t="s">
        <v>46</v>
      </c>
      <c r="AX40" s="11">
        <v>2</v>
      </c>
      <c r="AY40" s="11">
        <v>5</v>
      </c>
      <c r="AZ40" s="11">
        <v>7</v>
      </c>
      <c r="BA40" s="11">
        <v>1</v>
      </c>
      <c r="BB40" s="5"/>
      <c r="BC40" s="1">
        <f ca="1">OFFSET(A40,0, 11) -0</f>
        <v>7.0442556041562625</v>
      </c>
      <c r="BD40" s="1">
        <f ca="1">OFFSET(A40,0, 10) -0</f>
        <v>-32.704018437510854</v>
      </c>
      <c r="BE40" s="1">
        <f ca="1">OFFSET(A40,0, 4) -0</f>
        <v>38.806337312486221</v>
      </c>
      <c r="BF40" s="1">
        <f ca="1">OFFSET(A40,0, 1) -0</f>
        <v>29.561515187484929</v>
      </c>
      <c r="BG40" s="1">
        <f ca="1">OFFSET(A40,0, 8) -0</f>
        <v>87.7994334791548</v>
      </c>
      <c r="BH40" s="1">
        <f ca="1">OFFSET(A40,0, 6) -0</f>
        <v>28.302885395820567</v>
      </c>
      <c r="BI40" s="1">
        <f ca="1">OFFSET(A40,0, 12) -0</f>
        <v>86.792529645823393</v>
      </c>
      <c r="BJ40" s="1">
        <f ca="1">OFFSET(A40,0, 5) -0</f>
        <v>28.554611354153394</v>
      </c>
      <c r="BK40" s="1">
        <f ca="1">OFFSET(A40,0, 7) -0</f>
        <v>-41.94884056251226</v>
      </c>
      <c r="BL40" s="1">
        <f ca="1">OFFSET(A40,0, 2) -0</f>
        <v>-30.690210770847898</v>
      </c>
      <c r="BM40" s="1">
        <f ca="1">OFFSET(A40,0, 3) -0</f>
        <v>59.058063270819048</v>
      </c>
      <c r="BN40" s="1">
        <f ca="1">OFFSET(A40,0, 9) -0</f>
        <v>-52.452292479178027</v>
      </c>
      <c r="BO40" s="1">
        <f ca="1">OFFSET(A40,0, 24) -0</f>
        <v>73.771818145829002</v>
      </c>
      <c r="BP40" s="1">
        <f ca="1">OFFSET(A40,0, 21) -0</f>
        <v>-135.47300397917229</v>
      </c>
      <c r="BQ40" s="1">
        <f ca="1">OFFSET(A40,0, 17) -0</f>
        <v>15.533899854159131</v>
      </c>
      <c r="BR40" s="1">
        <f ca="1">OFFSET(A40,0, 13) -0</f>
        <v>16.540803687490538</v>
      </c>
      <c r="BS40" s="1">
        <f ca="1">OFFSET(A40,0, 22) -0</f>
        <v>-305.72472993750512</v>
      </c>
      <c r="BT40" s="1">
        <f ca="1">OFFSET(A40,0, 19) -0</f>
        <v>15.030447937493363</v>
      </c>
      <c r="BU40" s="1">
        <f ca="1">OFFSET(A40,0, 23) -0</f>
        <v>24.023544104161829</v>
      </c>
      <c r="BV40" s="1">
        <f ca="1">OFFSET(A40,0, 16) -0</f>
        <v>15.785625812491958</v>
      </c>
      <c r="BW40" s="1">
        <f ca="1">OFFSET(A40,0, 18) -0</f>
        <v>15.28217389582619</v>
      </c>
      <c r="BX40" s="1">
        <f ca="1">OFFSET(A40,0, 15) -0</f>
        <v>36.037351770824785</v>
      </c>
      <c r="BY40" s="1">
        <f ca="1">OFFSET(A40,0, 14) -0</f>
        <v>26.289077729157668</v>
      </c>
      <c r="BZ40" s="1">
        <f ca="1">OFFSET(A40,0, 20) -0</f>
        <v>-5.2212780208394634</v>
      </c>
      <c r="CB40" s="1">
        <f>COUNTIF(B40,"&lt;-74")</f>
        <v>0</v>
      </c>
      <c r="CC40" s="1">
        <f ca="1">COUNTIF(BC40:BN40,"&lt;-53")</f>
        <v>0</v>
      </c>
      <c r="CD40" s="1">
        <f ca="1">COUNTIF(BC40:BN40,"&gt;+53")</f>
        <v>3</v>
      </c>
      <c r="CE40" s="1">
        <f ca="1">COUNTIF(BO40:BZ40,"&lt;-53")</f>
        <v>2</v>
      </c>
      <c r="CF40" s="1">
        <f ca="1">COUNTIF(BO40:BZ40,"&gt;+53")</f>
        <v>1</v>
      </c>
    </row>
    <row r="41" spans="1:84">
      <c r="A41" s="1">
        <v>38</v>
      </c>
      <c r="B41" s="1">
        <f>'Touch 1 1'!B41-'Touch 1 1'!$AA41-('Touch 1 1'!B$2- 12.5)*'Touch 1 1'!$AC41</f>
        <v>98.915584829667296</v>
      </c>
      <c r="C41" s="1">
        <f>'Touch 1 1'!C41-'Touch 1 1'!$AA41-('Touch 1 1'!C$2- 12.5)*'Touch 1 1'!$AC41</f>
        <v>108.43017165607353</v>
      </c>
      <c r="D41" s="1">
        <f>'Touch 1 1'!D41-'Touch 1 1'!$AA41-('Touch 1 1'!D$2- 12.5)*'Touch 1 1'!$AC41</f>
        <v>7.944758482480438</v>
      </c>
      <c r="E41" s="1">
        <f>'Touch 1 1'!E41-'Touch 1 1'!$AA41-('Touch 1 1'!E$2- 12.5)*'Touch 1 1'!$AC41</f>
        <v>-32.540654691113104</v>
      </c>
      <c r="F41" s="1">
        <f>'Touch 1 1'!F41-'Touch 1 1'!$AA41-('Touch 1 1'!F$2- 12.5)*'Touch 1 1'!$AC41</f>
        <v>-13.02606786470642</v>
      </c>
      <c r="G41" s="1">
        <f>'Touch 1 1'!G41-'Touch 1 1'!$AA41-('Touch 1 1'!G$2- 12.5)*'Touch 1 1'!$AC41</f>
        <v>6.4885189617000378</v>
      </c>
      <c r="H41" s="1">
        <f>'Touch 1 1'!H41-'Touch 1 1'!$AA41-('Touch 1 1'!H$2- 12.5)*'Touch 1 1'!$AC41</f>
        <v>-3.9968942118932773</v>
      </c>
      <c r="I41" s="1">
        <f>'Touch 1 1'!I41-'Touch 1 1'!$AA41-('Touch 1 1'!I$2- 12.5)*'Touch 1 1'!$AC41</f>
        <v>-14.482307385486706</v>
      </c>
      <c r="J41" s="1">
        <f>'Touch 1 1'!J41-'Touch 1 1'!$AA41-('Touch 1 1'!J$2- 12.5)*'Touch 1 1'!$AC41</f>
        <v>5.0322794409199787</v>
      </c>
      <c r="K41" s="1">
        <f>'Touch 1 1'!K41-'Touch 1 1'!$AA41-('Touch 1 1'!K$2- 12.5)*'Touch 1 1'!$AC41</f>
        <v>-5.4531337326734501</v>
      </c>
      <c r="L41" s="1">
        <f>'Touch 1 1'!L41-'Touch 1 1'!$AA41-('Touch 1 1'!L$2- 12.5)*'Touch 1 1'!$AC41</f>
        <v>34.061453093733121</v>
      </c>
      <c r="M41" s="1">
        <f>'Touch 1 1'!M41-'Touch 1 1'!$AA41-('Touch 1 1'!M$2- 12.5)*'Touch 1 1'!$AC41</f>
        <v>-66.423960079860265</v>
      </c>
      <c r="N41" s="1">
        <f>'Touch 1 1'!N41-'Touch 1 1'!$AA41-('Touch 1 1'!N$2- 12.5)*'Touch 1 1'!$AC41</f>
        <v>33.090626746546334</v>
      </c>
      <c r="O41" s="1">
        <f>'Touch 1 1'!O41-'Touch 1 1'!$AA41-('Touch 1 1'!O$2- 12.5)*'Touch 1 1'!$AC41</f>
        <v>12.605213572952948</v>
      </c>
      <c r="P41" s="1">
        <f>'Touch 1 1'!P41-'Touch 1 1'!$AA41-('Touch 1 1'!P$2- 12.5)*'Touch 1 1'!$AC41</f>
        <v>12.119800399359519</v>
      </c>
      <c r="Q41" s="1">
        <f>'Touch 1 1'!Q41-'Touch 1 1'!$AA41-('Touch 1 1'!Q$2- 12.5)*'Touch 1 1'!$AC41</f>
        <v>1.6343872257660905</v>
      </c>
      <c r="R41" s="1">
        <f>'Touch 1 1'!R41-'Touch 1 1'!$AA41-('Touch 1 1'!R$2- 12.5)*'Touch 1 1'!$AC41</f>
        <v>-18.851025947827225</v>
      </c>
      <c r="S41" s="1">
        <f>'Touch 1 1'!S41-'Touch 1 1'!$AA41-('Touch 1 1'!S$2- 12.5)*'Touch 1 1'!$AC41</f>
        <v>20.663560878579347</v>
      </c>
      <c r="T41" s="1">
        <f>'Touch 1 1'!T41-'Touch 1 1'!$AA41-('Touch 1 1'!T$2- 12.5)*'Touch 1 1'!$AC41</f>
        <v>-39.821852295013969</v>
      </c>
      <c r="U41" s="1">
        <f>'Touch 1 1'!U41-'Touch 1 1'!$AA41-('Touch 1 1'!U$2- 12.5)*'Touch 1 1'!$AC41</f>
        <v>-50.307265468607511</v>
      </c>
      <c r="V41" s="1">
        <f>'Touch 1 1'!V41-'Touch 1 1'!$AA41-('Touch 1 1'!V$2- 12.5)*'Touch 1 1'!$AC41</f>
        <v>-0.79267864220082629</v>
      </c>
      <c r="W41" s="1">
        <f>'Touch 1 1'!W41-'Touch 1 1'!$AA41-('Touch 1 1'!W$2- 12.5)*'Touch 1 1'!$AC41</f>
        <v>28.721908184205631</v>
      </c>
      <c r="X41" s="1">
        <f>'Touch 1 1'!X41-'Touch 1 1'!$AA41-('Touch 1 1'!X$2- 12.5)*'Touch 1 1'!$AC41</f>
        <v>-111.76350498938746</v>
      </c>
      <c r="Y41" s="1">
        <f>'Touch 1 1'!Y41-'Touch 1 1'!$AA41-('Touch 1 1'!Y$2- 12.5)*'Touch 1 1'!$AC41</f>
        <v>-12.248918162981226</v>
      </c>
      <c r="AB41" s="1">
        <f>STDEV(B41:Y41)</f>
        <v>45.919289159687395</v>
      </c>
      <c r="AD41" s="11" t="s">
        <v>45</v>
      </c>
      <c r="AE41" s="11">
        <v>4</v>
      </c>
      <c r="AF41" s="11">
        <v>8</v>
      </c>
      <c r="AG41" s="11" t="s">
        <v>44</v>
      </c>
      <c r="AH41" s="11">
        <v>9</v>
      </c>
      <c r="AI41" s="11">
        <v>3</v>
      </c>
      <c r="AJ41" s="11" t="s">
        <v>46</v>
      </c>
      <c r="AK41" s="11">
        <v>6</v>
      </c>
      <c r="AL41" s="11">
        <v>2</v>
      </c>
      <c r="AM41" s="11">
        <v>5</v>
      </c>
      <c r="AN41" s="11">
        <v>1</v>
      </c>
      <c r="AO41" s="11">
        <v>7</v>
      </c>
      <c r="AP41" s="11">
        <v>4</v>
      </c>
      <c r="AQ41" s="11" t="s">
        <v>45</v>
      </c>
      <c r="AR41" s="11" t="s">
        <v>44</v>
      </c>
      <c r="AS41" s="11">
        <v>8</v>
      </c>
      <c r="AT41" s="11">
        <v>3</v>
      </c>
      <c r="AU41" s="11">
        <v>9</v>
      </c>
      <c r="AV41" s="11">
        <v>6</v>
      </c>
      <c r="AW41" s="11" t="s">
        <v>46</v>
      </c>
      <c r="AX41" s="11">
        <v>2</v>
      </c>
      <c r="AY41" s="11">
        <v>1</v>
      </c>
      <c r="AZ41" s="11">
        <v>5</v>
      </c>
      <c r="BA41" s="11">
        <v>7</v>
      </c>
      <c r="BB41" s="5"/>
      <c r="BC41" s="1">
        <f ca="1">OFFSET(A41,0, 11) -0</f>
        <v>34.061453093733121</v>
      </c>
      <c r="BD41" s="1">
        <f ca="1">OFFSET(A41,0, 9) -0</f>
        <v>5.0322794409199787</v>
      </c>
      <c r="BE41" s="1">
        <f ca="1">OFFSET(A41,0, 6) -0</f>
        <v>6.4885189617000378</v>
      </c>
      <c r="BF41" s="1">
        <f ca="1">OFFSET(A41,0, 2) -0</f>
        <v>108.43017165607353</v>
      </c>
      <c r="BG41" s="1">
        <f ca="1">OFFSET(A41,0, 10) -0</f>
        <v>-5.4531337326734501</v>
      </c>
      <c r="BH41" s="1">
        <f ca="1">OFFSET(A41,0, 8) -0</f>
        <v>-14.482307385486706</v>
      </c>
      <c r="BI41" s="1">
        <f ca="1">OFFSET(A41,0, 12) -0</f>
        <v>-66.423960079860265</v>
      </c>
      <c r="BJ41" s="1">
        <f ca="1">OFFSET(A41,0, 3) -0</f>
        <v>7.944758482480438</v>
      </c>
      <c r="BK41" s="1">
        <f ca="1">OFFSET(A41,0, 5) -0</f>
        <v>-13.02606786470642</v>
      </c>
      <c r="BL41" s="1">
        <f ca="1">OFFSET(A41,0, 4) -0</f>
        <v>-32.540654691113104</v>
      </c>
      <c r="BM41" s="1">
        <f ca="1">OFFSET(A41,0, 1) -0</f>
        <v>98.915584829667296</v>
      </c>
      <c r="BN41" s="1">
        <f ca="1">OFFSET(A41,0, 7) -0</f>
        <v>-3.9968942118932773</v>
      </c>
      <c r="BO41" s="1">
        <f ca="1">OFFSET(A41,0, 22) -0</f>
        <v>28.721908184205631</v>
      </c>
      <c r="BP41" s="1">
        <f ca="1">OFFSET(A41,0, 21) -0</f>
        <v>-0.79267864220082629</v>
      </c>
      <c r="BQ41" s="1">
        <f ca="1">OFFSET(A41,0, 17) -0</f>
        <v>-18.851025947827225</v>
      </c>
      <c r="BR41" s="1">
        <f ca="1">OFFSET(A41,0, 13) -0</f>
        <v>33.090626746546334</v>
      </c>
      <c r="BS41" s="1">
        <f ca="1">OFFSET(A41,0, 23) -0</f>
        <v>-111.76350498938746</v>
      </c>
      <c r="BT41" s="1">
        <f ca="1">OFFSET(A41,0, 19) -0</f>
        <v>-39.821852295013969</v>
      </c>
      <c r="BU41" s="1">
        <f ca="1">OFFSET(A41,0, 24) -0</f>
        <v>-12.248918162981226</v>
      </c>
      <c r="BV41" s="1">
        <f ca="1">OFFSET(A41,0, 16) -0</f>
        <v>1.6343872257660905</v>
      </c>
      <c r="BW41" s="1">
        <f ca="1">OFFSET(A41,0, 18) -0</f>
        <v>20.663560878579347</v>
      </c>
      <c r="BX41" s="1">
        <f ca="1">OFFSET(A41,0, 15) -0</f>
        <v>12.119800399359519</v>
      </c>
      <c r="BY41" s="1">
        <f ca="1">OFFSET(A41,0, 14) -0</f>
        <v>12.605213572952948</v>
      </c>
      <c r="BZ41" s="1">
        <f ca="1">OFFSET(A41,0, 20) -0</f>
        <v>-50.307265468607511</v>
      </c>
      <c r="CB41" s="1">
        <f>COUNTIF(B41,"&lt;-74")</f>
        <v>0</v>
      </c>
      <c r="CC41" s="1">
        <f ca="1">COUNTIF(BC41:BN41,"&lt;-53")</f>
        <v>1</v>
      </c>
      <c r="CD41" s="1">
        <f ca="1">COUNTIF(BC41:BN41,"&gt;+53")</f>
        <v>2</v>
      </c>
      <c r="CE41" s="1">
        <f ca="1">COUNTIF(BO41:BZ41,"&lt;-53")</f>
        <v>1</v>
      </c>
      <c r="CF41" s="1">
        <f ca="1">COUNTIF(BO41:BZ41,"&gt;+53")</f>
        <v>0</v>
      </c>
    </row>
    <row r="42" spans="1:84">
      <c r="A42" s="1">
        <v>39</v>
      </c>
      <c r="B42" s="1">
        <f>'Touch 1 1'!B42-'Touch 1 1'!$AA42-('Touch 1 1'!B$2- 12.5)*'Touch 1 1'!$AC42</f>
        <v>18.060885490169767</v>
      </c>
      <c r="C42" s="1">
        <f>'Touch 1 1'!C42-'Touch 1 1'!$AA42-('Touch 1 1'!C$2- 12.5)*'Touch 1 1'!$AC42</f>
        <v>48.084576606964674</v>
      </c>
      <c r="D42" s="1">
        <f>'Touch 1 1'!D42-'Touch 1 1'!$AA42-('Touch 1 1'!D$2- 12.5)*'Touch 1 1'!$AC42</f>
        <v>48.108267723759809</v>
      </c>
      <c r="E42" s="1">
        <f>'Touch 1 1'!E42-'Touch 1 1'!$AA42-('Touch 1 1'!E$2- 12.5)*'Touch 1 1'!$AC42</f>
        <v>18.131958840554944</v>
      </c>
      <c r="F42" s="1">
        <f>'Touch 1 1'!F42-'Touch 1 1'!$AA42-('Touch 1 1'!F$2- 12.5)*'Touch 1 1'!$AC42</f>
        <v>-11.844350042649694</v>
      </c>
      <c r="G42" s="1">
        <f>'Touch 1 1'!G42-'Touch 1 1'!$AA42-('Touch 1 1'!G$2- 12.5)*'Touch 1 1'!$AC42</f>
        <v>18.179341074145441</v>
      </c>
      <c r="H42" s="1">
        <f>'Touch 1 1'!H42-'Touch 1 1'!$AA42-('Touch 1 1'!H$2- 12.5)*'Touch 1 1'!$AC42</f>
        <v>-61.796967809059424</v>
      </c>
      <c r="I42" s="1">
        <f>'Touch 1 1'!I42-'Touch 1 1'!$AA42-('Touch 1 1'!I$2- 12.5)*'Touch 1 1'!$AC42</f>
        <v>-61.77327669226429</v>
      </c>
      <c r="J42" s="1">
        <f>'Touch 1 1'!J42-'Touch 1 1'!$AA42-('Touch 1 1'!J$2- 12.5)*'Touch 1 1'!$AC42</f>
        <v>-31.749585575469155</v>
      </c>
      <c r="K42" s="1">
        <f>'Touch 1 1'!K42-'Touch 1 1'!$AA42-('Touch 1 1'!K$2- 12.5)*'Touch 1 1'!$AC42</f>
        <v>-21.72589445867402</v>
      </c>
      <c r="L42" s="1">
        <f>'Touch 1 1'!L42-'Touch 1 1'!$AA42-('Touch 1 1'!L$2- 12.5)*'Touch 1 1'!$AC42</f>
        <v>-31.702203341878828</v>
      </c>
      <c r="M42" s="1">
        <f>'Touch 1 1'!M42-'Touch 1 1'!$AA42-('Touch 1 1'!M$2- 12.5)*'Touch 1 1'!$AC42</f>
        <v>18.321487774916349</v>
      </c>
      <c r="N42" s="1">
        <f>'Touch 1 1'!N42-'Touch 1 1'!$AA42-('Touch 1 1'!N$2- 12.5)*'Touch 1 1'!$AC42</f>
        <v>-1.6548211082884876</v>
      </c>
      <c r="O42" s="1">
        <f>'Touch 1 1'!O42-'Touch 1 1'!$AA42-('Touch 1 1'!O$2- 12.5)*'Touch 1 1'!$AC42</f>
        <v>-1.6311299914933102</v>
      </c>
      <c r="P42" s="1">
        <f>'Touch 1 1'!P42-'Touch 1 1'!$AA42-('Touch 1 1'!P$2- 12.5)*'Touch 1 1'!$AC42</f>
        <v>18.392561125301881</v>
      </c>
      <c r="Q42" s="1">
        <f>'Touch 1 1'!Q42-'Touch 1 1'!$AA42-('Touch 1 1'!Q$2- 12.5)*'Touch 1 1'!$AC42</f>
        <v>28.416252242097016</v>
      </c>
      <c r="R42" s="1">
        <f>'Touch 1 1'!R42-'Touch 1 1'!$AA42-('Touch 1 1'!R$2- 12.5)*'Touch 1 1'!$AC42</f>
        <v>-31.560056641107849</v>
      </c>
      <c r="S42" s="1">
        <f>'Touch 1 1'!S42-'Touch 1 1'!$AA42-('Touch 1 1'!S$2- 12.5)*'Touch 1 1'!$AC42</f>
        <v>-51.536365524312714</v>
      </c>
      <c r="T42" s="1">
        <f>'Touch 1 1'!T42-'Touch 1 1'!$AA42-('Touch 1 1'!T$2- 12.5)*'Touch 1 1'!$AC42</f>
        <v>-11.512674407517579</v>
      </c>
      <c r="U42" s="1">
        <f>'Touch 1 1'!U42-'Touch 1 1'!$AA42-('Touch 1 1'!U$2- 12.5)*'Touch 1 1'!$AC42</f>
        <v>-11.488983290722445</v>
      </c>
      <c r="V42" s="1">
        <f>'Touch 1 1'!V42-'Touch 1 1'!$AA42-('Touch 1 1'!V$2- 12.5)*'Touch 1 1'!$AC42</f>
        <v>28.534707826072918</v>
      </c>
      <c r="W42" s="1">
        <f>'Touch 1 1'!W42-'Touch 1 1'!$AA42-('Touch 1 1'!W$2- 12.5)*'Touch 1 1'!$AC42</f>
        <v>48.558398942868052</v>
      </c>
      <c r="X42" s="1">
        <f>'Touch 1 1'!X42-'Touch 1 1'!$AA42-('Touch 1 1'!X$2- 12.5)*'Touch 1 1'!$AC42</f>
        <v>28.582090059663187</v>
      </c>
      <c r="Y42" s="1">
        <f>'Touch 1 1'!Y42-'Touch 1 1'!$AA42-('Touch 1 1'!Y$2- 12.5)*'Touch 1 1'!$AC42</f>
        <v>8.6057811764580947</v>
      </c>
      <c r="AB42" s="1">
        <f>STDEV(B42:Y42)</f>
        <v>33.191615635945347</v>
      </c>
      <c r="AD42" s="11" t="s">
        <v>45</v>
      </c>
      <c r="AE42" s="11">
        <v>4</v>
      </c>
      <c r="AF42" s="11">
        <v>8</v>
      </c>
      <c r="AG42" s="11" t="s">
        <v>44</v>
      </c>
      <c r="AH42" s="11">
        <v>9</v>
      </c>
      <c r="AI42" s="11">
        <v>3</v>
      </c>
      <c r="AJ42" s="11" t="s">
        <v>46</v>
      </c>
      <c r="AK42" s="11">
        <v>6</v>
      </c>
      <c r="AL42" s="11">
        <v>1</v>
      </c>
      <c r="AM42" s="11">
        <v>2</v>
      </c>
      <c r="AN42" s="11">
        <v>7</v>
      </c>
      <c r="AO42" s="11">
        <v>5</v>
      </c>
      <c r="AP42" s="11" t="s">
        <v>45</v>
      </c>
      <c r="AQ42" s="11">
        <v>8</v>
      </c>
      <c r="AR42" s="11">
        <v>4</v>
      </c>
      <c r="AS42" s="11">
        <v>9</v>
      </c>
      <c r="AT42" s="11" t="s">
        <v>44</v>
      </c>
      <c r="AU42" s="11" t="s">
        <v>46</v>
      </c>
      <c r="AV42" s="11">
        <v>3</v>
      </c>
      <c r="AW42" s="11">
        <v>6</v>
      </c>
      <c r="AX42" s="11">
        <v>2</v>
      </c>
      <c r="AY42" s="11">
        <v>1</v>
      </c>
      <c r="AZ42" s="11">
        <v>5</v>
      </c>
      <c r="BA42" s="11">
        <v>7</v>
      </c>
      <c r="BB42" s="5"/>
      <c r="BC42" s="1">
        <f ca="1">OFFSET(A42,0, 9) -0</f>
        <v>-31.749585575469155</v>
      </c>
      <c r="BD42" s="1">
        <f ca="1">OFFSET(A42,0, 10) -0</f>
        <v>-21.72589445867402</v>
      </c>
      <c r="BE42" s="1">
        <f ca="1">OFFSET(A42,0, 6) -0</f>
        <v>18.179341074145441</v>
      </c>
      <c r="BF42" s="1">
        <f ca="1">OFFSET(A42,0, 2) -0</f>
        <v>48.084576606964674</v>
      </c>
      <c r="BG42" s="1">
        <f ca="1">OFFSET(A42,0, 12) -0</f>
        <v>18.321487774916349</v>
      </c>
      <c r="BH42" s="1">
        <f ca="1">OFFSET(A42,0, 8) -0</f>
        <v>-61.77327669226429</v>
      </c>
      <c r="BI42" s="1">
        <f ca="1">OFFSET(A42,0, 11) -0</f>
        <v>-31.702203341878828</v>
      </c>
      <c r="BJ42" s="1">
        <f ca="1">OFFSET(A42,0, 3) -0</f>
        <v>48.108267723759809</v>
      </c>
      <c r="BK42" s="1">
        <f ca="1">OFFSET(A42,0, 5) -0</f>
        <v>-11.844350042649694</v>
      </c>
      <c r="BL42" s="1">
        <f ca="1">OFFSET(A42,0, 4) -0</f>
        <v>18.131958840554944</v>
      </c>
      <c r="BM42" s="1">
        <f ca="1">OFFSET(A42,0, 1) -0</f>
        <v>18.060885490169767</v>
      </c>
      <c r="BN42" s="1">
        <f ca="1">OFFSET(A42,0, 7) -0</f>
        <v>-61.796967809059424</v>
      </c>
      <c r="BO42" s="1">
        <f ca="1">OFFSET(A42,0, 22) -0</f>
        <v>48.558398942868052</v>
      </c>
      <c r="BP42" s="1">
        <f ca="1">OFFSET(A42,0, 21) -0</f>
        <v>28.534707826072918</v>
      </c>
      <c r="BQ42" s="1">
        <f ca="1">OFFSET(A42,0, 19) -0</f>
        <v>-11.512674407517579</v>
      </c>
      <c r="BR42" s="1">
        <f ca="1">OFFSET(A42,0, 15) -0</f>
        <v>18.392561125301881</v>
      </c>
      <c r="BS42" s="1">
        <f ca="1">OFFSET(A42,0, 23) -0</f>
        <v>28.582090059663187</v>
      </c>
      <c r="BT42" s="1">
        <f ca="1">OFFSET(A42,0, 20) -0</f>
        <v>-11.488983290722445</v>
      </c>
      <c r="BU42" s="1">
        <f ca="1">OFFSET(A42,0, 24) -0</f>
        <v>8.6057811764580947</v>
      </c>
      <c r="BV42" s="1">
        <f ca="1">OFFSET(A42,0, 14) -0</f>
        <v>-1.6311299914933102</v>
      </c>
      <c r="BW42" s="1">
        <f ca="1">OFFSET(A42,0, 16) -0</f>
        <v>28.416252242097016</v>
      </c>
      <c r="BX42" s="1">
        <f ca="1">OFFSET(A42,0, 17) -0</f>
        <v>-31.560056641107849</v>
      </c>
      <c r="BY42" s="1">
        <f ca="1">OFFSET(A42,0, 13) -0</f>
        <v>-1.6548211082884876</v>
      </c>
      <c r="BZ42" s="1">
        <f ca="1">OFFSET(A42,0, 18) -0</f>
        <v>-51.536365524312714</v>
      </c>
      <c r="CB42" s="1">
        <f>COUNTIF(B42,"&lt;-74")</f>
        <v>0</v>
      </c>
      <c r="CC42" s="1">
        <f ca="1">COUNTIF(BC42:BN42,"&lt;-52")</f>
        <v>2</v>
      </c>
      <c r="CD42" s="1">
        <f ca="1">COUNTIF(BC42:BN42,"&gt;+52")</f>
        <v>0</v>
      </c>
      <c r="CE42" s="1">
        <f ca="1">COUNTIF(BO42:BZ42,"&lt;-52")</f>
        <v>0</v>
      </c>
      <c r="CF42" s="1">
        <f ca="1">COUNTIF(BO42:BZ42,"&gt;+52")</f>
        <v>0</v>
      </c>
    </row>
    <row r="43" spans="1:84">
      <c r="A43" s="1">
        <v>40</v>
      </c>
      <c r="B43" s="1">
        <f>'Touch 1 1'!B43-'Touch 1 1'!$AA43-('Touch 1 1'!B$2- 12.5)*'Touch 1 1'!$AC43</f>
        <v>-8.0321863002341161</v>
      </c>
      <c r="C43" s="1">
        <f>'Touch 1 1'!C43-'Touch 1 1'!$AA43-('Touch 1 1'!C$2- 12.5)*'Touch 1 1'!$AC43</f>
        <v>31.832931349063529</v>
      </c>
      <c r="D43" s="1">
        <f>'Touch 1 1'!D43-'Touch 1 1'!$AA43-('Touch 1 1'!D$2- 12.5)*'Touch 1 1'!$AC43</f>
        <v>-48.301951001639054</v>
      </c>
      <c r="E43" s="1">
        <f>'Touch 1 1'!E43-'Touch 1 1'!$AA43-('Touch 1 1'!E$2- 12.5)*'Touch 1 1'!$AC43</f>
        <v>-18.436833352341637</v>
      </c>
      <c r="F43" s="1">
        <f>'Touch 1 1'!F43-'Touch 1 1'!$AA43-('Touch 1 1'!F$2- 12.5)*'Touch 1 1'!$AC43</f>
        <v>-58.571715703044447</v>
      </c>
      <c r="G43" s="1">
        <f>'Touch 1 1'!G43-'Touch 1 1'!$AA43-('Touch 1 1'!G$2- 12.5)*'Touch 1 1'!$AC43</f>
        <v>-38.70659805374703</v>
      </c>
      <c r="H43" s="1">
        <f>'Touch 1 1'!H43-'Touch 1 1'!$AA43-('Touch 1 1'!H$2- 12.5)*'Touch 1 1'!$AC43</f>
        <v>51.158519595550388</v>
      </c>
      <c r="I43" s="1">
        <f>'Touch 1 1'!I43-'Touch 1 1'!$AA43-('Touch 1 1'!I$2- 12.5)*'Touch 1 1'!$AC43</f>
        <v>41.023637244847805</v>
      </c>
      <c r="J43" s="1">
        <f>'Touch 1 1'!J43-'Touch 1 1'!$AA43-('Touch 1 1'!J$2- 12.5)*'Touch 1 1'!$AC43</f>
        <v>30.888754894145222</v>
      </c>
      <c r="K43" s="1">
        <f>'Touch 1 1'!K43-'Touch 1 1'!$AA43-('Touch 1 1'!K$2- 12.5)*'Touch 1 1'!$AC43</f>
        <v>10.75387254344264</v>
      </c>
      <c r="L43" s="1">
        <f>'Touch 1 1'!L43-'Touch 1 1'!$AA43-('Touch 1 1'!L$2- 12.5)*'Touch 1 1'!$AC43</f>
        <v>0.61899019274000011</v>
      </c>
      <c r="M43" s="1">
        <f>'Touch 1 1'!M43-'Touch 1 1'!$AA43-('Touch 1 1'!M$2- 12.5)*'Touch 1 1'!$AC43</f>
        <v>-29.515892157962625</v>
      </c>
      <c r="N43" s="1">
        <f>'Touch 1 1'!N43-'Touch 1 1'!$AA43-('Touch 1 1'!N$2- 12.5)*'Touch 1 1'!$AC43</f>
        <v>20.349225491334764</v>
      </c>
      <c r="O43" s="1">
        <f>'Touch 1 1'!O43-'Touch 1 1'!$AA43-('Touch 1 1'!O$2- 12.5)*'Touch 1 1'!$AC43</f>
        <v>-19.785656859367862</v>
      </c>
      <c r="P43" s="1">
        <f>'Touch 1 1'!P43-'Touch 1 1'!$AA43-('Touch 1 1'!P$2- 12.5)*'Touch 1 1'!$AC43</f>
        <v>10.079460789929499</v>
      </c>
      <c r="Q43" s="1">
        <f>'Touch 1 1'!Q43-'Touch 1 1'!$AA43-('Touch 1 1'!Q$2- 12.5)*'Touch 1 1'!$AC43</f>
        <v>-10.055421560773084</v>
      </c>
      <c r="R43" s="1">
        <f>'Touch 1 1'!R43-'Touch 1 1'!$AA43-('Touch 1 1'!R$2- 12.5)*'Touch 1 1'!$AC43</f>
        <v>-40.190303911475667</v>
      </c>
      <c r="S43" s="1">
        <f>'Touch 1 1'!S43-'Touch 1 1'!$AA43-('Touch 1 1'!S$2- 12.5)*'Touch 1 1'!$AC43</f>
        <v>-50.325186262178249</v>
      </c>
      <c r="T43" s="1">
        <f>'Touch 1 1'!T43-'Touch 1 1'!$AA43-('Touch 1 1'!T$2- 12.5)*'Touch 1 1'!$AC43</f>
        <v>-0.46006861288083201</v>
      </c>
      <c r="U43" s="1">
        <f>'Touch 1 1'!U43-'Touch 1 1'!$AA43-('Touch 1 1'!U$2- 12.5)*'Touch 1 1'!$AC43</f>
        <v>9.4050490364165853</v>
      </c>
      <c r="V43" s="1">
        <f>'Touch 1 1'!V43-'Touch 1 1'!$AA43-('Touch 1 1'!V$2- 12.5)*'Touch 1 1'!$AC43</f>
        <v>49.270166685713775</v>
      </c>
      <c r="W43" s="1">
        <f>'Touch 1 1'!W43-'Touch 1 1'!$AA43-('Touch 1 1'!W$2- 12.5)*'Touch 1 1'!$AC43</f>
        <v>39.135284335011193</v>
      </c>
      <c r="X43" s="1">
        <f>'Touch 1 1'!X43-'Touch 1 1'!$AA43-('Touch 1 1'!X$2- 12.5)*'Touch 1 1'!$AC43</f>
        <v>-30.99959801569139</v>
      </c>
      <c r="Y43" s="1">
        <f>'Touch 1 1'!Y43-'Touch 1 1'!$AA43-('Touch 1 1'!Y$2- 12.5)*'Touch 1 1'!$AC43</f>
        <v>58.865519633606255</v>
      </c>
      <c r="AB43" s="1">
        <f>STDEV(B43:Y43)</f>
        <v>35.232904827077668</v>
      </c>
      <c r="AD43" s="11">
        <v>8</v>
      </c>
      <c r="AE43" s="11" t="s">
        <v>45</v>
      </c>
      <c r="AF43" s="11">
        <v>9</v>
      </c>
      <c r="AG43" s="11">
        <v>4</v>
      </c>
      <c r="AH43" s="11" t="s">
        <v>46</v>
      </c>
      <c r="AI43" s="11" t="s">
        <v>44</v>
      </c>
      <c r="AJ43" s="11">
        <v>6</v>
      </c>
      <c r="AK43" s="11">
        <v>3</v>
      </c>
      <c r="AL43" s="11">
        <v>1</v>
      </c>
      <c r="AM43" s="11">
        <v>2</v>
      </c>
      <c r="AN43" s="11">
        <v>7</v>
      </c>
      <c r="AO43" s="11">
        <v>5</v>
      </c>
      <c r="AP43" s="11" t="s">
        <v>45</v>
      </c>
      <c r="AQ43" s="11">
        <v>8</v>
      </c>
      <c r="AR43" s="11">
        <v>4</v>
      </c>
      <c r="AS43" s="11">
        <v>9</v>
      </c>
      <c r="AT43" s="11" t="s">
        <v>44</v>
      </c>
      <c r="AU43" s="11" t="s">
        <v>46</v>
      </c>
      <c r="AV43" s="11">
        <v>6</v>
      </c>
      <c r="AW43" s="11">
        <v>1</v>
      </c>
      <c r="AX43" s="11">
        <v>3</v>
      </c>
      <c r="AY43" s="11">
        <v>2</v>
      </c>
      <c r="AZ43" s="11">
        <v>5</v>
      </c>
      <c r="BA43" s="11">
        <v>7</v>
      </c>
      <c r="BB43" s="5"/>
      <c r="BC43" s="1">
        <f ca="1">OFFSET(A43,0, 9) -0</f>
        <v>30.888754894145222</v>
      </c>
      <c r="BD43" s="1">
        <f ca="1">OFFSET(A43,0, 10) -0</f>
        <v>10.75387254344264</v>
      </c>
      <c r="BE43" s="1">
        <f ca="1">OFFSET(A43,0, 8) -0</f>
        <v>41.023637244847805</v>
      </c>
      <c r="BF43" s="1">
        <f ca="1">OFFSET(A43,0, 4) -0</f>
        <v>-18.436833352341637</v>
      </c>
      <c r="BG43" s="1">
        <f ca="1">OFFSET(A43,0, 12) -0</f>
        <v>-29.515892157962625</v>
      </c>
      <c r="BH43" s="1">
        <f ca="1">OFFSET(A43,0, 7) -0</f>
        <v>51.158519595550388</v>
      </c>
      <c r="BI43" s="1">
        <f ca="1">OFFSET(A43,0, 11) -0</f>
        <v>0.61899019274000011</v>
      </c>
      <c r="BJ43" s="1">
        <f ca="1">OFFSET(A43,0, 1) -0</f>
        <v>-8.0321863002341161</v>
      </c>
      <c r="BK43" s="1">
        <f ca="1">OFFSET(A43,0, 3) -0</f>
        <v>-48.301951001639054</v>
      </c>
      <c r="BL43" s="1">
        <f ca="1">OFFSET(A43,0, 6) -0</f>
        <v>-38.70659805374703</v>
      </c>
      <c r="BM43" s="1">
        <f ca="1">OFFSET(A43,0, 2) -0</f>
        <v>31.832931349063529</v>
      </c>
      <c r="BN43" s="1">
        <f ca="1">OFFSET(A43,0, 5) -0</f>
        <v>-58.571715703044447</v>
      </c>
      <c r="BO43" s="1">
        <f ca="1">OFFSET(A43,0, 20) -0</f>
        <v>9.4050490364165853</v>
      </c>
      <c r="BP43" s="1">
        <f ca="1">OFFSET(A43,0, 22) -0</f>
        <v>39.135284335011193</v>
      </c>
      <c r="BQ43" s="1">
        <f ca="1">OFFSET(A43,0, 21) -0</f>
        <v>49.270166685713775</v>
      </c>
      <c r="BR43" s="1">
        <f ca="1">OFFSET(A43,0, 15) -0</f>
        <v>10.079460789929499</v>
      </c>
      <c r="BS43" s="1">
        <f ca="1">OFFSET(A43,0, 23) -0</f>
        <v>-30.99959801569139</v>
      </c>
      <c r="BT43" s="1">
        <f ca="1">OFFSET(A43,0, 19) -0</f>
        <v>-0.46006861288083201</v>
      </c>
      <c r="BU43" s="1">
        <f ca="1">OFFSET(A43,0, 24) -0</f>
        <v>58.865519633606255</v>
      </c>
      <c r="BV43" s="1">
        <f ca="1">OFFSET(A43,0, 14) -0</f>
        <v>-19.785656859367862</v>
      </c>
      <c r="BW43" s="1">
        <f ca="1">OFFSET(A43,0, 16) -0</f>
        <v>-10.055421560773084</v>
      </c>
      <c r="BX43" s="1">
        <f ca="1">OFFSET(A43,0, 17) -0</f>
        <v>-40.190303911475667</v>
      </c>
      <c r="BY43" s="1">
        <f ca="1">OFFSET(A43,0, 13) -0</f>
        <v>20.349225491334764</v>
      </c>
      <c r="BZ43" s="1">
        <f ca="1">OFFSET(A43,0, 18) -0</f>
        <v>-50.325186262178249</v>
      </c>
      <c r="CB43" s="1">
        <f>COUNTIF(B43,"&lt;-74")</f>
        <v>0</v>
      </c>
      <c r="CC43" s="1">
        <f ca="1">COUNTIF(BC43:BN43,"&lt;-53")</f>
        <v>1</v>
      </c>
      <c r="CD43" s="1">
        <f ca="1">COUNTIF(BC43:BN43,"&gt;+53")</f>
        <v>0</v>
      </c>
      <c r="CE43" s="1">
        <f ca="1">COUNTIF(BO43:BZ43,"&lt;-53")</f>
        <v>0</v>
      </c>
      <c r="CF43" s="1">
        <f ca="1">COUNTIF(BO43:BZ43,"&gt;+53")</f>
        <v>1</v>
      </c>
    </row>
    <row r="44" spans="1:84">
      <c r="A44" s="1">
        <v>41</v>
      </c>
      <c r="B44" s="1">
        <f>'Touch 1 1'!B44-'Touch 1 1'!$AA44-('Touch 1 1'!B$2- 12.5)*'Touch 1 1'!$AC44</f>
        <v>1.7385500085761123</v>
      </c>
      <c r="C44" s="1">
        <f>'Touch 1 1'!C44-'Touch 1 1'!$AA44-('Touch 1 1'!C$2- 12.5)*'Touch 1 1'!$AC44</f>
        <v>31.369980442612814</v>
      </c>
      <c r="D44" s="1">
        <f>'Touch 1 1'!D44-'Touch 1 1'!$AA44-('Touch 1 1'!D$2- 12.5)*'Touch 1 1'!$AC44</f>
        <v>-58.998589123350257</v>
      </c>
      <c r="E44" s="1">
        <f>'Touch 1 1'!E44-'Touch 1 1'!$AA44-('Touch 1 1'!E$2- 12.5)*'Touch 1 1'!$AC44</f>
        <v>0.63284131068667193</v>
      </c>
      <c r="F44" s="1">
        <f>'Touch 1 1'!F44-'Touch 1 1'!$AA44-('Touch 1 1'!F$2- 12.5)*'Touch 1 1'!$AC44</f>
        <v>-49.735728255276626</v>
      </c>
      <c r="G44" s="1">
        <f>'Touch 1 1'!G44-'Touch 1 1'!$AA44-('Touch 1 1'!G$2- 12.5)*'Touch 1 1'!$AC44</f>
        <v>-40.104297821239697</v>
      </c>
      <c r="H44" s="1">
        <f>'Touch 1 1'!H44-'Touch 1 1'!$AA44-('Touch 1 1'!H$2- 12.5)*'Touch 1 1'!$AC44</f>
        <v>-50.472867387202768</v>
      </c>
      <c r="I44" s="1">
        <f>'Touch 1 1'!I44-'Touch 1 1'!$AA44-('Touch 1 1'!I$2- 12.5)*'Touch 1 1'!$AC44</f>
        <v>29.158563046834047</v>
      </c>
      <c r="J44" s="1">
        <f>'Touch 1 1'!J44-'Touch 1 1'!$AA44-('Touch 1 1'!J$2- 12.5)*'Touch 1 1'!$AC44</f>
        <v>18.789993480870976</v>
      </c>
      <c r="K44" s="1">
        <f>'Touch 1 1'!K44-'Touch 1 1'!$AA44-('Touch 1 1'!K$2- 12.5)*'Touch 1 1'!$AC44</f>
        <v>48.421423914907791</v>
      </c>
      <c r="L44" s="1">
        <f>'Touch 1 1'!L44-'Touch 1 1'!$AA44-('Touch 1 1'!L$2- 12.5)*'Touch 1 1'!$AC44</f>
        <v>-11.94714565105528</v>
      </c>
      <c r="M44" s="1">
        <f>'Touch 1 1'!M44-'Touch 1 1'!$AA44-('Touch 1 1'!M$2- 12.5)*'Touch 1 1'!$AC44</f>
        <v>-62.315715217018436</v>
      </c>
      <c r="N44" s="1">
        <f>'Touch 1 1'!N44-'Touch 1 1'!$AA44-('Touch 1 1'!N$2- 12.5)*'Touch 1 1'!$AC44</f>
        <v>17.315715217018436</v>
      </c>
      <c r="O44" s="1">
        <f>'Touch 1 1'!O44-'Touch 1 1'!$AA44-('Touch 1 1'!O$2- 12.5)*'Touch 1 1'!$AC44</f>
        <v>-13.05285434894472</v>
      </c>
      <c r="P44" s="1">
        <f>'Touch 1 1'!P44-'Touch 1 1'!$AA44-('Touch 1 1'!P$2- 12.5)*'Touch 1 1'!$AC44</f>
        <v>-3.4214239149077912</v>
      </c>
      <c r="Q44" s="1">
        <f>'Touch 1 1'!Q44-'Touch 1 1'!$AA44-('Touch 1 1'!Q$2- 12.5)*'Touch 1 1'!$AC44</f>
        <v>-13.789993480870976</v>
      </c>
      <c r="R44" s="1">
        <f>'Touch 1 1'!R44-'Touch 1 1'!$AA44-('Touch 1 1'!R$2- 12.5)*'Touch 1 1'!$AC44</f>
        <v>15.841436953165953</v>
      </c>
      <c r="S44" s="1">
        <f>'Touch 1 1'!S44-'Touch 1 1'!$AA44-('Touch 1 1'!S$2- 12.5)*'Touch 1 1'!$AC44</f>
        <v>-4.5271326127972316</v>
      </c>
      <c r="T44" s="1">
        <f>'Touch 1 1'!T44-'Touch 1 1'!$AA44-('Touch 1 1'!T$2- 12.5)*'Touch 1 1'!$AC44</f>
        <v>55.104297821239697</v>
      </c>
      <c r="U44" s="1">
        <f>'Touch 1 1'!U44-'Touch 1 1'!$AA44-('Touch 1 1'!U$2- 12.5)*'Touch 1 1'!$AC44</f>
        <v>84.735728255276626</v>
      </c>
      <c r="V44" s="1">
        <f>'Touch 1 1'!V44-'Touch 1 1'!$AA44-('Touch 1 1'!V$2- 12.5)*'Touch 1 1'!$AC44</f>
        <v>14.367158689313328</v>
      </c>
      <c r="W44" s="1">
        <f>'Touch 1 1'!W44-'Touch 1 1'!$AA44-('Touch 1 1'!W$2- 12.5)*'Touch 1 1'!$AC44</f>
        <v>33.998589123350257</v>
      </c>
      <c r="X44" s="1">
        <f>'Touch 1 1'!X44-'Touch 1 1'!$AA44-('Touch 1 1'!X$2- 12.5)*'Touch 1 1'!$AC44</f>
        <v>23.630019557387186</v>
      </c>
      <c r="Y44" s="1">
        <f>'Touch 1 1'!Y44-'Touch 1 1'!$AA44-('Touch 1 1'!Y$2- 12.5)*'Touch 1 1'!$AC44</f>
        <v>-66.738550008576112</v>
      </c>
      <c r="AB44" s="1">
        <f>STDEV(B44:Y44)</f>
        <v>39.676204750025882</v>
      </c>
      <c r="AD44" s="11">
        <v>8</v>
      </c>
      <c r="AE44" s="11" t="s">
        <v>45</v>
      </c>
      <c r="AF44" s="11">
        <v>9</v>
      </c>
      <c r="AG44" s="11">
        <v>4</v>
      </c>
      <c r="AH44" s="11" t="s">
        <v>46</v>
      </c>
      <c r="AI44" s="11" t="s">
        <v>44</v>
      </c>
      <c r="AJ44" s="11">
        <v>1</v>
      </c>
      <c r="AK44" s="11">
        <v>6</v>
      </c>
      <c r="AL44" s="11">
        <v>2</v>
      </c>
      <c r="AM44" s="11">
        <v>3</v>
      </c>
      <c r="AN44" s="11">
        <v>7</v>
      </c>
      <c r="AO44" s="11">
        <v>5</v>
      </c>
      <c r="AP44" s="11">
        <v>8</v>
      </c>
      <c r="AQ44" s="11">
        <v>9</v>
      </c>
      <c r="AR44" s="11" t="s">
        <v>45</v>
      </c>
      <c r="AS44" s="11" t="s">
        <v>46</v>
      </c>
      <c r="AT44" s="11">
        <v>4</v>
      </c>
      <c r="AU44" s="11" t="s">
        <v>44</v>
      </c>
      <c r="AV44" s="11">
        <v>6</v>
      </c>
      <c r="AW44" s="11">
        <v>1</v>
      </c>
      <c r="AX44" s="11">
        <v>2</v>
      </c>
      <c r="AY44" s="11">
        <v>7</v>
      </c>
      <c r="AZ44" s="11">
        <v>3</v>
      </c>
      <c r="BA44" s="11">
        <v>5</v>
      </c>
      <c r="BB44" s="5"/>
      <c r="BC44" s="1">
        <f ca="1">OFFSET(A44,0, 7) -0</f>
        <v>-50.472867387202768</v>
      </c>
      <c r="BD44" s="1">
        <f ca="1">OFFSET(A44,0, 9) -0</f>
        <v>18.789993480870976</v>
      </c>
      <c r="BE44" s="1">
        <f ca="1">OFFSET(A44,0, 10) -0</f>
        <v>48.421423914907791</v>
      </c>
      <c r="BF44" s="1">
        <f ca="1">OFFSET(A44,0, 4) -0</f>
        <v>0.63284131068667193</v>
      </c>
      <c r="BG44" s="1">
        <f ca="1">OFFSET(A44,0, 12) -0</f>
        <v>-62.315715217018436</v>
      </c>
      <c r="BH44" s="1">
        <f ca="1">OFFSET(A44,0, 8) -0</f>
        <v>29.158563046834047</v>
      </c>
      <c r="BI44" s="1">
        <f ca="1">OFFSET(A44,0, 11) -0</f>
        <v>-11.94714565105528</v>
      </c>
      <c r="BJ44" s="1">
        <f ca="1">OFFSET(A44,0, 1) -0</f>
        <v>1.7385500085761123</v>
      </c>
      <c r="BK44" s="1">
        <f ca="1">OFFSET(A44,0, 3) -0</f>
        <v>-58.998589123350257</v>
      </c>
      <c r="BL44" s="1">
        <f ca="1">OFFSET(A44,0, 6) -0</f>
        <v>-40.104297821239697</v>
      </c>
      <c r="BM44" s="1">
        <f ca="1">OFFSET(A44,0, 2) -0</f>
        <v>31.369980442612814</v>
      </c>
      <c r="BN44" s="1">
        <f ca="1">OFFSET(A44,0, 5) -0</f>
        <v>-49.735728255276626</v>
      </c>
      <c r="BO44" s="1">
        <f ca="1">OFFSET(A44,0, 20) -0</f>
        <v>84.735728255276626</v>
      </c>
      <c r="BP44" s="1">
        <f ca="1">OFFSET(A44,0, 21) -0</f>
        <v>14.367158689313328</v>
      </c>
      <c r="BQ44" s="1">
        <f ca="1">OFFSET(A44,0, 23) -0</f>
        <v>23.630019557387186</v>
      </c>
      <c r="BR44" s="1">
        <f ca="1">OFFSET(A44,0, 17) -0</f>
        <v>15.841436953165953</v>
      </c>
      <c r="BS44" s="1">
        <f ca="1">OFFSET(A44,0, 24) -0</f>
        <v>-66.738550008576112</v>
      </c>
      <c r="BT44" s="1">
        <f ca="1">OFFSET(A44,0, 19) -0</f>
        <v>55.104297821239697</v>
      </c>
      <c r="BU44" s="1">
        <f ca="1">OFFSET(A44,0, 22) -0</f>
        <v>33.998589123350257</v>
      </c>
      <c r="BV44" s="1">
        <f ca="1">OFFSET(A44,0, 13) -0</f>
        <v>17.315715217018436</v>
      </c>
      <c r="BW44" s="1">
        <f ca="1">OFFSET(A44,0, 14) -0</f>
        <v>-13.05285434894472</v>
      </c>
      <c r="BX44" s="1">
        <f ca="1">OFFSET(A44,0, 18) -0</f>
        <v>-4.5271326127972316</v>
      </c>
      <c r="BY44" s="1">
        <f ca="1">OFFSET(A44,0, 15) -0</f>
        <v>-3.4214239149077912</v>
      </c>
      <c r="BZ44" s="1">
        <f ca="1">OFFSET(A44,0, 16) -0</f>
        <v>-13.789993480870976</v>
      </c>
      <c r="CB44" s="1">
        <f>COUNTIF(B44,"&lt;-74")</f>
        <v>0</v>
      </c>
      <c r="CC44" s="1">
        <f ca="1">COUNTIF(BC44:BN44,"&lt;-53")</f>
        <v>2</v>
      </c>
      <c r="CD44" s="1">
        <f ca="1">COUNTIF(BC44:BN44,"&gt;+53")</f>
        <v>0</v>
      </c>
      <c r="CE44" s="1">
        <f ca="1">COUNTIF(BO44:BZ44,"&lt;-53")</f>
        <v>1</v>
      </c>
      <c r="CF44" s="1">
        <f ca="1">COUNTIF(BO44:BZ44,"&gt;+53")</f>
        <v>2</v>
      </c>
    </row>
    <row r="45" spans="1:84">
      <c r="A45" s="1">
        <v>42</v>
      </c>
      <c r="B45" s="1">
        <f>'Touch 1 1'!B45-'Touch 1 1'!$AA45-('Touch 1 1'!B$2- 12.5)*'Touch 1 1'!$AC45</f>
        <v>-18.708591424003316</v>
      </c>
      <c r="C45" s="1">
        <f>'Touch 1 1'!C45-'Touch 1 1'!$AA45-('Touch 1 1'!C$2- 12.5)*'Touch 1 1'!$AC45</f>
        <v>-9.0020472422042985</v>
      </c>
      <c r="D45" s="1">
        <f>'Touch 1 1'!D45-'Touch 1 1'!$AA45-('Touch 1 1'!D$2- 12.5)*'Touch 1 1'!$AC45</f>
        <v>-29.295503060405053</v>
      </c>
      <c r="E45" s="1">
        <f>'Touch 1 1'!E45-'Touch 1 1'!$AA45-('Touch 1 1'!E$2- 12.5)*'Touch 1 1'!$AC45</f>
        <v>-19.588958878606036</v>
      </c>
      <c r="F45" s="1">
        <f>'Touch 1 1'!F45-'Touch 1 1'!$AA45-('Touch 1 1'!F$2- 12.5)*'Touch 1 1'!$AC45</f>
        <v>0.11758530319298188</v>
      </c>
      <c r="G45" s="1">
        <f>'Touch 1 1'!G45-'Touch 1 1'!$AA45-('Touch 1 1'!G$2- 12.5)*'Touch 1 1'!$AC45</f>
        <v>9.8241294849919996</v>
      </c>
      <c r="H45" s="1">
        <f>'Touch 1 1'!H45-'Touch 1 1'!$AA45-('Touch 1 1'!H$2- 12.5)*'Touch 1 1'!$AC45</f>
        <v>9.5306736667912446</v>
      </c>
      <c r="I45" s="1">
        <f>'Touch 1 1'!I45-'Touch 1 1'!$AA45-('Touch 1 1'!I$2- 12.5)*'Touch 1 1'!$AC45</f>
        <v>69.237217848590262</v>
      </c>
      <c r="J45" s="1">
        <f>'Touch 1 1'!J45-'Touch 1 1'!$AA45-('Touch 1 1'!J$2- 12.5)*'Touch 1 1'!$AC45</f>
        <v>48.94376203038928</v>
      </c>
      <c r="K45" s="1">
        <f>'Touch 1 1'!K45-'Touch 1 1'!$AA45-('Touch 1 1'!K$2- 12.5)*'Touch 1 1'!$AC45</f>
        <v>38.650306212188411</v>
      </c>
      <c r="L45" s="1">
        <f>'Touch 1 1'!L45-'Touch 1 1'!$AA45-('Touch 1 1'!L$2- 12.5)*'Touch 1 1'!$AC45</f>
        <v>-61.643149606012571</v>
      </c>
      <c r="M45" s="1">
        <f>'Touch 1 1'!M45-'Touch 1 1'!$AA45-('Touch 1 1'!M$2- 12.5)*'Touch 1 1'!$AC45</f>
        <v>-11.936605424213468</v>
      </c>
      <c r="N45" s="1">
        <f>'Touch 1 1'!N45-'Touch 1 1'!$AA45-('Touch 1 1'!N$2- 12.5)*'Touch 1 1'!$AC45</f>
        <v>-22.230061242414394</v>
      </c>
      <c r="O45" s="1">
        <f>'Touch 1 1'!O45-'Touch 1 1'!$AA45-('Touch 1 1'!O$2- 12.5)*'Touch 1 1'!$AC45</f>
        <v>-12.523517060615291</v>
      </c>
      <c r="P45" s="1">
        <f>'Touch 1 1'!P45-'Touch 1 1'!$AA45-('Touch 1 1'!P$2- 12.5)*'Touch 1 1'!$AC45</f>
        <v>-52.816972878816273</v>
      </c>
      <c r="Q45" s="1">
        <f>'Touch 1 1'!Q45-'Touch 1 1'!$AA45-('Touch 1 1'!Q$2- 12.5)*'Touch 1 1'!$AC45</f>
        <v>-73.110428697017142</v>
      </c>
      <c r="R45" s="1">
        <f>'Touch 1 1'!R45-'Touch 1 1'!$AA45-('Touch 1 1'!R$2- 12.5)*'Touch 1 1'!$AC45</f>
        <v>-43.403884515218124</v>
      </c>
      <c r="S45" s="1">
        <f>'Touch 1 1'!S45-'Touch 1 1'!$AA45-('Touch 1 1'!S$2- 12.5)*'Touch 1 1'!$AC45</f>
        <v>66.302659666580894</v>
      </c>
      <c r="T45" s="1">
        <f>'Touch 1 1'!T45-'Touch 1 1'!$AA45-('Touch 1 1'!T$2- 12.5)*'Touch 1 1'!$AC45</f>
        <v>6.0092038483801389</v>
      </c>
      <c r="U45" s="1">
        <f>'Touch 1 1'!U45-'Touch 1 1'!$AA45-('Touch 1 1'!U$2- 12.5)*'Touch 1 1'!$AC45</f>
        <v>15.715748030179157</v>
      </c>
      <c r="V45" s="1">
        <f>'Touch 1 1'!V45-'Touch 1 1'!$AA45-('Touch 1 1'!V$2- 12.5)*'Touch 1 1'!$AC45</f>
        <v>45.422292211978174</v>
      </c>
      <c r="W45" s="1">
        <f>'Touch 1 1'!W45-'Touch 1 1'!$AA45-('Touch 1 1'!W$2- 12.5)*'Touch 1 1'!$AC45</f>
        <v>25.128836393777192</v>
      </c>
      <c r="X45" s="1">
        <f>'Touch 1 1'!X45-'Touch 1 1'!$AA45-('Touch 1 1'!X$2- 12.5)*'Touch 1 1'!$AC45</f>
        <v>24.835380575576437</v>
      </c>
      <c r="Y45" s="1">
        <f>'Touch 1 1'!Y45-'Touch 1 1'!$AA45-('Touch 1 1'!Y$2- 12.5)*'Touch 1 1'!$AC45</f>
        <v>-5.4580752426245454</v>
      </c>
      <c r="AB45" s="1">
        <f>STDEV(B45:Y45)</f>
        <v>37.979342407684015</v>
      </c>
      <c r="AD45" s="11">
        <v>9</v>
      </c>
      <c r="AE45" s="11">
        <v>8</v>
      </c>
      <c r="AF45" s="11" t="s">
        <v>46</v>
      </c>
      <c r="AG45" s="11" t="s">
        <v>45</v>
      </c>
      <c r="AH45" s="11" t="s">
        <v>44</v>
      </c>
      <c r="AI45" s="11">
        <v>4</v>
      </c>
      <c r="AJ45" s="11">
        <v>1</v>
      </c>
      <c r="AK45" s="11">
        <v>6</v>
      </c>
      <c r="AL45" s="11">
        <v>7</v>
      </c>
      <c r="AM45" s="11">
        <v>2</v>
      </c>
      <c r="AN45" s="11">
        <v>5</v>
      </c>
      <c r="AO45" s="11">
        <v>3</v>
      </c>
      <c r="AP45" s="11">
        <v>8</v>
      </c>
      <c r="AQ45" s="11">
        <v>9</v>
      </c>
      <c r="AR45" s="11" t="s">
        <v>45</v>
      </c>
      <c r="AS45" s="11" t="s">
        <v>46</v>
      </c>
      <c r="AT45" s="11" t="s">
        <v>44</v>
      </c>
      <c r="AU45" s="11">
        <v>1</v>
      </c>
      <c r="AV45" s="11">
        <v>4</v>
      </c>
      <c r="AW45" s="11">
        <v>6</v>
      </c>
      <c r="AX45" s="11">
        <v>2</v>
      </c>
      <c r="AY45" s="11">
        <v>7</v>
      </c>
      <c r="AZ45" s="11">
        <v>3</v>
      </c>
      <c r="BA45" s="11">
        <v>5</v>
      </c>
      <c r="BB45" s="5"/>
      <c r="BC45" s="1">
        <f ca="1">OFFSET(A45,0, 7) -0</f>
        <v>9.5306736667912446</v>
      </c>
      <c r="BD45" s="1">
        <f ca="1">OFFSET(A45,0, 10) -0</f>
        <v>38.650306212188411</v>
      </c>
      <c r="BE45" s="1">
        <f ca="1">OFFSET(A45,0, 12) -0</f>
        <v>-11.936605424213468</v>
      </c>
      <c r="BF45" s="1">
        <f ca="1">OFFSET(A45,0, 6) -0</f>
        <v>9.8241294849919996</v>
      </c>
      <c r="BG45" s="1">
        <f ca="1">OFFSET(A45,0, 11) -0</f>
        <v>-61.643149606012571</v>
      </c>
      <c r="BH45" s="1">
        <f ca="1">OFFSET(A45,0, 8) -0</f>
        <v>69.237217848590262</v>
      </c>
      <c r="BI45" s="1">
        <f ca="1">OFFSET(A45,0, 9) -0</f>
        <v>48.94376203038928</v>
      </c>
      <c r="BJ45" s="1">
        <f ca="1">OFFSET(A45,0, 2) -0</f>
        <v>-9.0020472422042985</v>
      </c>
      <c r="BK45" s="1">
        <f ca="1">OFFSET(A45,0, 1) -0</f>
        <v>-18.708591424003316</v>
      </c>
      <c r="BL45" s="1">
        <f ca="1">OFFSET(A45,0, 5) -0</f>
        <v>0.11758530319298188</v>
      </c>
      <c r="BM45" s="1">
        <f ca="1">OFFSET(A45,0, 4) -0</f>
        <v>-19.588958878606036</v>
      </c>
      <c r="BN45" s="1">
        <f ca="1">OFFSET(A45,0, 3) -0</f>
        <v>-29.295503060405053</v>
      </c>
      <c r="BO45" s="1">
        <f ca="1">OFFSET(A45,0, 18) -0</f>
        <v>66.302659666580894</v>
      </c>
      <c r="BP45" s="1">
        <f ca="1">OFFSET(A45,0, 21) -0</f>
        <v>45.422292211978174</v>
      </c>
      <c r="BQ45" s="1">
        <f ca="1">OFFSET(A45,0, 23) -0</f>
        <v>24.835380575576437</v>
      </c>
      <c r="BR45" s="1">
        <f ca="1">OFFSET(A45,0, 19) -0</f>
        <v>6.0092038483801389</v>
      </c>
      <c r="BS45" s="1">
        <f ca="1">OFFSET(A45,0, 24) -0</f>
        <v>-5.4580752426245454</v>
      </c>
      <c r="BT45" s="1">
        <f ca="1">OFFSET(A45,0, 20) -0</f>
        <v>15.715748030179157</v>
      </c>
      <c r="BU45" s="1">
        <f ca="1">OFFSET(A45,0, 22) -0</f>
        <v>25.128836393777192</v>
      </c>
      <c r="BV45" s="1">
        <f ca="1">OFFSET(A45,0, 13) -0</f>
        <v>-22.230061242414394</v>
      </c>
      <c r="BW45" s="1">
        <f ca="1">OFFSET(A45,0, 14) -0</f>
        <v>-12.523517060615291</v>
      </c>
      <c r="BX45" s="1">
        <f ca="1">OFFSET(A45,0, 17) -0</f>
        <v>-43.403884515218124</v>
      </c>
      <c r="BY45" s="1">
        <f ca="1">OFFSET(A45,0, 15) -0</f>
        <v>-52.816972878816273</v>
      </c>
      <c r="BZ45" s="1">
        <f ca="1">OFFSET(A45,0, 16) -0</f>
        <v>-73.110428697017142</v>
      </c>
      <c r="CB45" s="1">
        <f>COUNTIF(B45,"&lt;-74")</f>
        <v>0</v>
      </c>
      <c r="CC45" s="1">
        <f ca="1">COUNTIF(BC45:BN45,"&lt;-53")</f>
        <v>1</v>
      </c>
      <c r="CD45" s="1">
        <f ca="1">COUNTIF(BC45:BN45,"&gt;+53")</f>
        <v>1</v>
      </c>
      <c r="CE45" s="1">
        <f ca="1">COUNTIF(BO45:BZ45,"&lt;-53")</f>
        <v>1</v>
      </c>
      <c r="CF45" s="1">
        <f ca="1">COUNTIF(BO45:BZ45,"&gt;+53")</f>
        <v>1</v>
      </c>
    </row>
    <row r="46" spans="1:84">
      <c r="A46" s="1">
        <v>43</v>
      </c>
      <c r="B46" s="1">
        <f>'Touch 1 1'!B46-'Touch 1 1'!$AA46-('Touch 1 1'!B$2- 12.5)*'Touch 1 1'!$AC46</f>
        <v>-46.051663214458586</v>
      </c>
      <c r="C46" s="1">
        <f>'Touch 1 1'!C46-'Touch 1 1'!$AA46-('Touch 1 1'!C$2- 12.5)*'Touch 1 1'!$AC46</f>
        <v>-16.50369250015774</v>
      </c>
      <c r="D46" s="1">
        <f>'Touch 1 1'!D46-'Touch 1 1'!$AA46-('Touch 1 1'!D$2- 12.5)*'Touch 1 1'!$AC46</f>
        <v>-86.955721785856895</v>
      </c>
      <c r="E46" s="1">
        <f>'Touch 1 1'!E46-'Touch 1 1'!$AA46-('Touch 1 1'!E$2- 12.5)*'Touch 1 1'!$AC46</f>
        <v>-37.407751071556277</v>
      </c>
      <c r="F46" s="1">
        <f>'Touch 1 1'!F46-'Touch 1 1'!$AA46-('Touch 1 1'!F$2- 12.5)*'Touch 1 1'!$AC46</f>
        <v>-7.8597803572554312</v>
      </c>
      <c r="G46" s="1">
        <f>'Touch 1 1'!G46-'Touch 1 1'!$AA46-('Touch 1 1'!G$2- 12.5)*'Touch 1 1'!$AC46</f>
        <v>-68.311809642954813</v>
      </c>
      <c r="H46" s="1">
        <f>'Touch 1 1'!H46-'Touch 1 1'!$AA46-('Touch 1 1'!H$2- 12.5)*'Touch 1 1'!$AC46</f>
        <v>81.236161071346032</v>
      </c>
      <c r="I46" s="1">
        <f>'Touch 1 1'!I46-'Touch 1 1'!$AA46-('Touch 1 1'!I$2- 12.5)*'Touch 1 1'!$AC46</f>
        <v>0.78413178564665031</v>
      </c>
      <c r="J46" s="1">
        <f>'Touch 1 1'!J46-'Touch 1 1'!$AA46-('Touch 1 1'!J$2- 12.5)*'Touch 1 1'!$AC46</f>
        <v>-19.667897500052504</v>
      </c>
      <c r="K46" s="1">
        <f>'Touch 1 1'!K46-'Touch 1 1'!$AA46-('Touch 1 1'!K$2- 12.5)*'Touch 1 1'!$AC46</f>
        <v>-10.119926785751886</v>
      </c>
      <c r="L46" s="1">
        <f>'Touch 1 1'!L46-'Touch 1 1'!$AA46-('Touch 1 1'!L$2- 12.5)*'Touch 1 1'!$AC46</f>
        <v>-70.571956071451098</v>
      </c>
      <c r="M46" s="1">
        <f>'Touch 1 1'!M46-'Touch 1 1'!$AA46-('Touch 1 1'!M$2- 12.5)*'Touch 1 1'!$AC46</f>
        <v>38.976014642849634</v>
      </c>
      <c r="N46" s="1">
        <f>'Touch 1 1'!N46-'Touch 1 1'!$AA46-('Touch 1 1'!N$2- 12.5)*'Touch 1 1'!$AC46</f>
        <v>38.523985357150366</v>
      </c>
      <c r="O46" s="1">
        <f>'Touch 1 1'!O46-'Touch 1 1'!$AA46-('Touch 1 1'!O$2- 12.5)*'Touch 1 1'!$AC46</f>
        <v>-31.928043928548902</v>
      </c>
      <c r="P46" s="1">
        <f>'Touch 1 1'!P46-'Touch 1 1'!$AA46-('Touch 1 1'!P$2- 12.5)*'Touch 1 1'!$AC46</f>
        <v>-12.380073214248114</v>
      </c>
      <c r="Q46" s="1">
        <f>'Touch 1 1'!Q46-'Touch 1 1'!$AA46-('Touch 1 1'!Q$2- 12.5)*'Touch 1 1'!$AC46</f>
        <v>47.167897500052504</v>
      </c>
      <c r="R46" s="1">
        <f>'Touch 1 1'!R46-'Touch 1 1'!$AA46-('Touch 1 1'!R$2- 12.5)*'Touch 1 1'!$AC46</f>
        <v>16.71586821435335</v>
      </c>
      <c r="S46" s="1">
        <f>'Touch 1 1'!S46-'Touch 1 1'!$AA46-('Touch 1 1'!S$2- 12.5)*'Touch 1 1'!$AC46</f>
        <v>106.26383892865397</v>
      </c>
      <c r="T46" s="1">
        <f>'Touch 1 1'!T46-'Touch 1 1'!$AA46-('Touch 1 1'!T$2- 12.5)*'Touch 1 1'!$AC46</f>
        <v>15.811809642954813</v>
      </c>
      <c r="U46" s="1">
        <f>'Touch 1 1'!U46-'Touch 1 1'!$AA46-('Touch 1 1'!U$2- 12.5)*'Touch 1 1'!$AC46</f>
        <v>15.359780357255431</v>
      </c>
      <c r="V46" s="1">
        <f>'Touch 1 1'!V46-'Touch 1 1'!$AA46-('Touch 1 1'!V$2- 12.5)*'Touch 1 1'!$AC46</f>
        <v>-15.092248928443723</v>
      </c>
      <c r="W46" s="1">
        <f>'Touch 1 1'!W46-'Touch 1 1'!$AA46-('Touch 1 1'!W$2- 12.5)*'Touch 1 1'!$AC46</f>
        <v>-45.544278214143105</v>
      </c>
      <c r="X46" s="1">
        <f>'Touch 1 1'!X46-'Touch 1 1'!$AA46-('Touch 1 1'!X$2- 12.5)*'Touch 1 1'!$AC46</f>
        <v>34.00369250015774</v>
      </c>
      <c r="Y46" s="1">
        <f>'Touch 1 1'!Y46-'Touch 1 1'!$AA46-('Touch 1 1'!Y$2- 12.5)*'Touch 1 1'!$AC46</f>
        <v>73.551663214458586</v>
      </c>
      <c r="AB46" s="1">
        <f>STDEV(B46:Y46)</f>
        <v>49.112927804079419</v>
      </c>
      <c r="AD46" s="11">
        <v>9</v>
      </c>
      <c r="AE46" s="11">
        <v>8</v>
      </c>
      <c r="AF46" s="11" t="s">
        <v>46</v>
      </c>
      <c r="AG46" s="11" t="s">
        <v>45</v>
      </c>
      <c r="AH46" s="11">
        <v>1</v>
      </c>
      <c r="AI46" s="11" t="s">
        <v>44</v>
      </c>
      <c r="AJ46" s="11">
        <v>6</v>
      </c>
      <c r="AK46" s="11">
        <v>4</v>
      </c>
      <c r="AL46" s="11">
        <v>7</v>
      </c>
      <c r="AM46" s="11">
        <v>2</v>
      </c>
      <c r="AN46" s="11">
        <v>5</v>
      </c>
      <c r="AO46" s="11">
        <v>3</v>
      </c>
      <c r="AP46" s="11">
        <v>9</v>
      </c>
      <c r="AQ46" s="11" t="s">
        <v>46</v>
      </c>
      <c r="AR46" s="11">
        <v>8</v>
      </c>
      <c r="AS46" s="11" t="s">
        <v>45</v>
      </c>
      <c r="AT46" s="11" t="s">
        <v>44</v>
      </c>
      <c r="AU46" s="11">
        <v>1</v>
      </c>
      <c r="AV46" s="11">
        <v>6</v>
      </c>
      <c r="AW46" s="11">
        <v>7</v>
      </c>
      <c r="AX46" s="11">
        <v>4</v>
      </c>
      <c r="AY46" s="11">
        <v>5</v>
      </c>
      <c r="AZ46" s="11">
        <v>2</v>
      </c>
      <c r="BA46" s="11">
        <v>3</v>
      </c>
      <c r="BB46" s="5"/>
      <c r="BC46" s="1">
        <f ca="1">OFFSET(A46,0, 5) -0</f>
        <v>-7.8597803572554312</v>
      </c>
      <c r="BD46" s="1">
        <f ca="1">OFFSET(A46,0, 10) -0</f>
        <v>-10.119926785751886</v>
      </c>
      <c r="BE46" s="1">
        <f ca="1">OFFSET(A46,0, 12) -0</f>
        <v>38.976014642849634</v>
      </c>
      <c r="BF46" s="1">
        <f ca="1">OFFSET(A46,0, 8) -0</f>
        <v>0.78413178564665031</v>
      </c>
      <c r="BG46" s="1">
        <f ca="1">OFFSET(A46,0, 11) -0</f>
        <v>-70.571956071451098</v>
      </c>
      <c r="BH46" s="1">
        <f ca="1">OFFSET(A46,0, 7) -0</f>
        <v>81.236161071346032</v>
      </c>
      <c r="BI46" s="1">
        <f ca="1">OFFSET(A46,0, 9) -0</f>
        <v>-19.667897500052504</v>
      </c>
      <c r="BJ46" s="1">
        <f ca="1">OFFSET(A46,0, 2) -0</f>
        <v>-16.50369250015774</v>
      </c>
      <c r="BK46" s="1">
        <f ca="1">OFFSET(A46,0, 1) -0</f>
        <v>-46.051663214458586</v>
      </c>
      <c r="BL46" s="1">
        <f ca="1">OFFSET(A46,0, 6) -0</f>
        <v>-68.311809642954813</v>
      </c>
      <c r="BM46" s="1">
        <f ca="1">OFFSET(A46,0, 4) -0</f>
        <v>-37.407751071556277</v>
      </c>
      <c r="BN46" s="1">
        <f ca="1">OFFSET(A46,0, 3) -0</f>
        <v>-86.955721785856895</v>
      </c>
      <c r="BO46" s="1">
        <f ca="1">OFFSET(A46,0, 18) -0</f>
        <v>106.26383892865397</v>
      </c>
      <c r="BP46" s="1">
        <f ca="1">OFFSET(A46,0, 23) -0</f>
        <v>34.00369250015774</v>
      </c>
      <c r="BQ46" s="1">
        <f ca="1">OFFSET(A46,0, 24) -0</f>
        <v>73.551663214458586</v>
      </c>
      <c r="BR46" s="1">
        <f ca="1">OFFSET(A46,0, 21) -0</f>
        <v>-15.092248928443723</v>
      </c>
      <c r="BS46" s="1">
        <f ca="1">OFFSET(A46,0, 22) -0</f>
        <v>-45.544278214143105</v>
      </c>
      <c r="BT46" s="1">
        <f ca="1">OFFSET(A46,0, 19) -0</f>
        <v>15.811809642954813</v>
      </c>
      <c r="BU46" s="1">
        <f ca="1">OFFSET(A46,0, 20) -0</f>
        <v>15.359780357255431</v>
      </c>
      <c r="BV46" s="1">
        <f ca="1">OFFSET(A46,0, 15) -0</f>
        <v>-12.380073214248114</v>
      </c>
      <c r="BW46" s="1">
        <f ca="1">OFFSET(A46,0, 13) -0</f>
        <v>38.523985357150366</v>
      </c>
      <c r="BX46" s="1">
        <f ca="1">OFFSET(A46,0, 17) -0</f>
        <v>16.71586821435335</v>
      </c>
      <c r="BY46" s="1">
        <f ca="1">OFFSET(A46,0, 16) -0</f>
        <v>47.167897500052504</v>
      </c>
      <c r="BZ46" s="1">
        <f ca="1">OFFSET(A46,0, 14) -0</f>
        <v>-31.928043928548902</v>
      </c>
      <c r="CB46" s="1">
        <f>COUNTIF(B46,"&lt;-74")</f>
        <v>0</v>
      </c>
      <c r="CC46" s="1">
        <f ca="1">COUNTIF(BC46:BN46,"&lt;-53")</f>
        <v>3</v>
      </c>
      <c r="CD46" s="1">
        <f ca="1">COUNTIF(BC46:BN46,"&gt;+53")</f>
        <v>1</v>
      </c>
      <c r="CE46" s="1">
        <f ca="1">COUNTIF(BO46:BZ46,"&lt;-53")</f>
        <v>0</v>
      </c>
      <c r="CF46" s="1">
        <f ca="1">COUNTIF(BO46:BZ46,"&gt;+53")</f>
        <v>2</v>
      </c>
    </row>
    <row r="47" spans="1:84">
      <c r="A47" s="1">
        <v>44</v>
      </c>
      <c r="B47" s="1">
        <f>'Touch 1 1'!B47-'Touch 1 1'!$AA47-('Touch 1 1'!B$2- 12.5)*'Touch 1 1'!$AC47</f>
        <v>-37.102874289219471</v>
      </c>
      <c r="C47" s="1">
        <f>'Touch 1 1'!C47-'Touch 1 1'!$AA47-('Touch 1 1'!C$2- 12.5)*'Touch 1 1'!$AC47</f>
        <v>-57.246102611895822</v>
      </c>
      <c r="D47" s="1">
        <f>'Touch 1 1'!D47-'Touch 1 1'!$AA47-('Touch 1 1'!D$2- 12.5)*'Touch 1 1'!$AC47</f>
        <v>52.610669065427373</v>
      </c>
      <c r="E47" s="1">
        <f>'Touch 1 1'!E47-'Touch 1 1'!$AA47-('Touch 1 1'!E$2- 12.5)*'Touch 1 1'!$AC47</f>
        <v>12.467440742751023</v>
      </c>
      <c r="F47" s="1">
        <f>'Touch 1 1'!F47-'Touch 1 1'!$AA47-('Touch 1 1'!F$2- 12.5)*'Touch 1 1'!$AC47</f>
        <v>22.324212420074218</v>
      </c>
      <c r="G47" s="1">
        <f>'Touch 1 1'!G47-'Touch 1 1'!$AA47-('Touch 1 1'!G$2- 12.5)*'Touch 1 1'!$AC47</f>
        <v>-17.819015902602132</v>
      </c>
      <c r="H47" s="1">
        <f>'Touch 1 1'!H47-'Touch 1 1'!$AA47-('Touch 1 1'!H$2- 12.5)*'Touch 1 1'!$AC47</f>
        <v>-57.962244225278937</v>
      </c>
      <c r="I47" s="1">
        <f>'Touch 1 1'!I47-'Touch 1 1'!$AA47-('Touch 1 1'!I$2- 12.5)*'Touch 1 1'!$AC47</f>
        <v>-28.105472547955401</v>
      </c>
      <c r="J47" s="1">
        <f>'Touch 1 1'!J47-'Touch 1 1'!$AA47-('Touch 1 1'!J$2- 12.5)*'Touch 1 1'!$AC47</f>
        <v>11.751299129368022</v>
      </c>
      <c r="K47" s="1">
        <f>'Touch 1 1'!K47-'Touch 1 1'!$AA47-('Touch 1 1'!K$2- 12.5)*'Touch 1 1'!$AC47</f>
        <v>1.608070806691444</v>
      </c>
      <c r="L47" s="1">
        <f>'Touch 1 1'!L47-'Touch 1 1'!$AA47-('Touch 1 1'!L$2- 12.5)*'Touch 1 1'!$AC47</f>
        <v>41.464842484014866</v>
      </c>
      <c r="M47" s="1">
        <f>'Touch 1 1'!M47-'Touch 1 1'!$AA47-('Touch 1 1'!M$2- 12.5)*'Touch 1 1'!$AC47</f>
        <v>-18.678385838661711</v>
      </c>
      <c r="N47" s="1">
        <f>'Touch 1 1'!N47-'Touch 1 1'!$AA47-('Touch 1 1'!N$2- 12.5)*'Touch 1 1'!$AC47</f>
        <v>121.17838583866171</v>
      </c>
      <c r="O47" s="1">
        <f>'Touch 1 1'!O47-'Touch 1 1'!$AA47-('Touch 1 1'!O$2- 12.5)*'Touch 1 1'!$AC47</f>
        <v>-58.964842484014866</v>
      </c>
      <c r="P47" s="1">
        <f>'Touch 1 1'!P47-'Touch 1 1'!$AA47-('Touch 1 1'!P$2- 12.5)*'Touch 1 1'!$AC47</f>
        <v>50.891929193308556</v>
      </c>
      <c r="Q47" s="1">
        <f>'Touch 1 1'!Q47-'Touch 1 1'!$AA47-('Touch 1 1'!Q$2- 12.5)*'Touch 1 1'!$AC47</f>
        <v>140.74870087063198</v>
      </c>
      <c r="R47" s="1">
        <f>'Touch 1 1'!R47-'Touch 1 1'!$AA47-('Touch 1 1'!R$2- 12.5)*'Touch 1 1'!$AC47</f>
        <v>-9.3945274520445992</v>
      </c>
      <c r="S47" s="1">
        <f>'Touch 1 1'!S47-'Touch 1 1'!$AA47-('Touch 1 1'!S$2- 12.5)*'Touch 1 1'!$AC47</f>
        <v>-29.537755774721063</v>
      </c>
      <c r="T47" s="1">
        <f>'Touch 1 1'!T47-'Touch 1 1'!$AA47-('Touch 1 1'!T$2- 12.5)*'Touch 1 1'!$AC47</f>
        <v>-39.680984097397868</v>
      </c>
      <c r="U47" s="1">
        <f>'Touch 1 1'!U47-'Touch 1 1'!$AA47-('Touch 1 1'!U$2- 12.5)*'Touch 1 1'!$AC47</f>
        <v>-59.824212420074218</v>
      </c>
      <c r="V47" s="1">
        <f>'Touch 1 1'!V47-'Touch 1 1'!$AA47-('Touch 1 1'!V$2- 12.5)*'Touch 1 1'!$AC47</f>
        <v>-19.967440742751023</v>
      </c>
      <c r="W47" s="1">
        <f>'Touch 1 1'!W47-'Touch 1 1'!$AA47-('Touch 1 1'!W$2- 12.5)*'Touch 1 1'!$AC47</f>
        <v>-10.110669065427373</v>
      </c>
      <c r="X47" s="1">
        <f>'Touch 1 1'!X47-'Touch 1 1'!$AA47-('Touch 1 1'!X$2- 12.5)*'Touch 1 1'!$AC47</f>
        <v>-10.253897388104178</v>
      </c>
      <c r="Y47" s="1">
        <f>'Touch 1 1'!Y47-'Touch 1 1'!$AA47-('Touch 1 1'!Y$2- 12.5)*'Touch 1 1'!$AC47</f>
        <v>-0.39712571078052861</v>
      </c>
      <c r="AB47" s="1">
        <f>STDEV(B47:Y47)</f>
        <v>51.933526503008132</v>
      </c>
      <c r="AD47" s="11" t="s">
        <v>46</v>
      </c>
      <c r="AE47" s="11">
        <v>9</v>
      </c>
      <c r="AF47" s="11" t="s">
        <v>45</v>
      </c>
      <c r="AG47" s="11">
        <v>8</v>
      </c>
      <c r="AH47" s="11">
        <v>1</v>
      </c>
      <c r="AI47" s="11" t="s">
        <v>44</v>
      </c>
      <c r="AJ47" s="11">
        <v>7</v>
      </c>
      <c r="AK47" s="11">
        <v>6</v>
      </c>
      <c r="AL47" s="11">
        <v>5</v>
      </c>
      <c r="AM47" s="11">
        <v>4</v>
      </c>
      <c r="AN47" s="11">
        <v>3</v>
      </c>
      <c r="AO47" s="11">
        <v>2</v>
      </c>
      <c r="AP47" s="11">
        <v>9</v>
      </c>
      <c r="AQ47" s="11" t="s">
        <v>46</v>
      </c>
      <c r="AR47" s="11" t="s">
        <v>45</v>
      </c>
      <c r="AS47" s="11">
        <v>1</v>
      </c>
      <c r="AT47" s="11">
        <v>8</v>
      </c>
      <c r="AU47" s="11" t="s">
        <v>44</v>
      </c>
      <c r="AV47" s="11">
        <v>6</v>
      </c>
      <c r="AW47" s="11">
        <v>7</v>
      </c>
      <c r="AX47" s="11">
        <v>4</v>
      </c>
      <c r="AY47" s="11">
        <v>5</v>
      </c>
      <c r="AZ47" s="11">
        <v>2</v>
      </c>
      <c r="BA47" s="11">
        <v>3</v>
      </c>
      <c r="BB47" s="5"/>
      <c r="BC47" s="1">
        <f ca="1">OFFSET(A47,0, 5) -0</f>
        <v>22.324212420074218</v>
      </c>
      <c r="BD47" s="1">
        <f ca="1">OFFSET(A47,0, 12) -0</f>
        <v>-18.678385838661711</v>
      </c>
      <c r="BE47" s="1">
        <f ca="1">OFFSET(A47,0, 11) -0</f>
        <v>41.464842484014866</v>
      </c>
      <c r="BF47" s="1">
        <f ca="1">OFFSET(A47,0, 10) -0</f>
        <v>1.608070806691444</v>
      </c>
      <c r="BG47" s="1">
        <f ca="1">OFFSET(A47,0, 9) -0</f>
        <v>11.751299129368022</v>
      </c>
      <c r="BH47" s="1">
        <f ca="1">OFFSET(A47,0, 8) -0</f>
        <v>-28.105472547955401</v>
      </c>
      <c r="BI47" s="1">
        <f ca="1">OFFSET(A47,0, 7) -0</f>
        <v>-57.962244225278937</v>
      </c>
      <c r="BJ47" s="1">
        <f ca="1">OFFSET(A47,0, 4) -0</f>
        <v>12.467440742751023</v>
      </c>
      <c r="BK47" s="1">
        <f ca="1">OFFSET(A47,0, 2) -0</f>
        <v>-57.246102611895822</v>
      </c>
      <c r="BL47" s="1">
        <f ca="1">OFFSET(A47,0, 6) -0</f>
        <v>-17.819015902602132</v>
      </c>
      <c r="BM47" s="1">
        <f ca="1">OFFSET(A47,0, 3) -0</f>
        <v>52.610669065427373</v>
      </c>
      <c r="BN47" s="1">
        <f ca="1">OFFSET(A47,0, 1) -0</f>
        <v>-37.102874289219471</v>
      </c>
      <c r="BO47" s="1">
        <f ca="1">OFFSET(A47,0, 16) -0</f>
        <v>140.74870087063198</v>
      </c>
      <c r="BP47" s="1">
        <f ca="1">OFFSET(A47,0, 23) -0</f>
        <v>-10.253897388104178</v>
      </c>
      <c r="BQ47" s="1">
        <f ca="1">OFFSET(A47,0, 24) -0</f>
        <v>-0.39712571078052861</v>
      </c>
      <c r="BR47" s="1">
        <f ca="1">OFFSET(A47,0, 21) -0</f>
        <v>-19.967440742751023</v>
      </c>
      <c r="BS47" s="1">
        <f ca="1">OFFSET(A47,0, 22) -0</f>
        <v>-10.110669065427373</v>
      </c>
      <c r="BT47" s="1">
        <f ca="1">OFFSET(A47,0, 19) -0</f>
        <v>-39.680984097397868</v>
      </c>
      <c r="BU47" s="1">
        <f ca="1">OFFSET(A47,0, 20) -0</f>
        <v>-59.824212420074218</v>
      </c>
      <c r="BV47" s="1">
        <f ca="1">OFFSET(A47,0, 17) -0</f>
        <v>-9.3945274520445992</v>
      </c>
      <c r="BW47" s="1">
        <f ca="1">OFFSET(A47,0, 13) -0</f>
        <v>121.17838583866171</v>
      </c>
      <c r="BX47" s="1">
        <f ca="1">OFFSET(A47,0, 18) -0</f>
        <v>-29.537755774721063</v>
      </c>
      <c r="BY47" s="1">
        <f ca="1">OFFSET(A47,0, 15) -0</f>
        <v>50.891929193308556</v>
      </c>
      <c r="BZ47" s="1">
        <f ca="1">OFFSET(A47,0, 14) -0</f>
        <v>-58.964842484014866</v>
      </c>
      <c r="CB47" s="1">
        <f>COUNTIF(B47,"&lt;-74")</f>
        <v>0</v>
      </c>
      <c r="CC47" s="1">
        <f ca="1">COUNTIF(BC47:BN47,"&lt;-53")</f>
        <v>2</v>
      </c>
      <c r="CD47" s="1">
        <f ca="1">COUNTIF(BC47:BN47,"&gt;+53")</f>
        <v>0</v>
      </c>
      <c r="CE47" s="1">
        <f ca="1">COUNTIF(BO47:BZ47,"&lt;-53")</f>
        <v>2</v>
      </c>
      <c r="CF47" s="1">
        <f ca="1">COUNTIF(BO47:BZ47,"&gt;+53")</f>
        <v>2</v>
      </c>
    </row>
    <row r="48" spans="1:84">
      <c r="A48" s="1">
        <v>45</v>
      </c>
      <c r="B48" s="1">
        <f>'Touch 1 1'!B48-'Touch 1 1'!$AA48-('Touch 1 1'!B$2- 12.5)*'Touch 1 1'!$AC48</f>
        <v>-53.348319909314341</v>
      </c>
      <c r="C48" s="1">
        <f>'Touch 1 1'!C48-'Touch 1 1'!$AA48-('Touch 1 1'!C$2- 12.5)*'Touch 1 1'!$AC48</f>
        <v>-93.274552960678193</v>
      </c>
      <c r="D48" s="1">
        <f>'Touch 1 1'!D48-'Touch 1 1'!$AA48-('Touch 1 1'!D$2- 12.5)*'Touch 1 1'!$AC48</f>
        <v>-23.200786012042272</v>
      </c>
      <c r="E48" s="1">
        <f>'Touch 1 1'!E48-'Touch 1 1'!$AA48-('Touch 1 1'!E$2- 12.5)*'Touch 1 1'!$AC48</f>
        <v>86.872980936593649</v>
      </c>
      <c r="F48" s="1">
        <f>'Touch 1 1'!F48-'Touch 1 1'!$AA48-('Touch 1 1'!F$2- 12.5)*'Touch 1 1'!$AC48</f>
        <v>56.946747885229797</v>
      </c>
      <c r="G48" s="1">
        <f>'Touch 1 1'!G48-'Touch 1 1'!$AA48-('Touch 1 1'!G$2- 12.5)*'Touch 1 1'!$AC48</f>
        <v>37.020514833865718</v>
      </c>
      <c r="H48" s="1">
        <f>'Touch 1 1'!H48-'Touch 1 1'!$AA48-('Touch 1 1'!H$2- 12.5)*'Touch 1 1'!$AC48</f>
        <v>-32.905718217498134</v>
      </c>
      <c r="I48" s="1">
        <f>'Touch 1 1'!I48-'Touch 1 1'!$AA48-('Touch 1 1'!I$2- 12.5)*'Touch 1 1'!$AC48</f>
        <v>-42.831951268862213</v>
      </c>
      <c r="J48" s="1">
        <f>'Touch 1 1'!J48-'Touch 1 1'!$AA48-('Touch 1 1'!J$2- 12.5)*'Touch 1 1'!$AC48</f>
        <v>-52.758184320226064</v>
      </c>
      <c r="K48" s="1">
        <f>'Touch 1 1'!K48-'Touch 1 1'!$AA48-('Touch 1 1'!K$2- 12.5)*'Touch 1 1'!$AC48</f>
        <v>17.315582628409857</v>
      </c>
      <c r="L48" s="1">
        <f>'Touch 1 1'!L48-'Touch 1 1'!$AA48-('Touch 1 1'!L$2- 12.5)*'Touch 1 1'!$AC48</f>
        <v>27.389349577045948</v>
      </c>
      <c r="M48" s="1">
        <f>'Touch 1 1'!M48-'Touch 1 1'!$AA48-('Touch 1 1'!M$2- 12.5)*'Touch 1 1'!$AC48</f>
        <v>-12.536883474318017</v>
      </c>
      <c r="N48" s="1">
        <f>'Touch 1 1'!N48-'Touch 1 1'!$AA48-('Touch 1 1'!N$2- 12.5)*'Touch 1 1'!$AC48</f>
        <v>-12.463116525681983</v>
      </c>
      <c r="O48" s="1">
        <f>'Touch 1 1'!O48-'Touch 1 1'!$AA48-('Touch 1 1'!O$2- 12.5)*'Touch 1 1'!$AC48</f>
        <v>-52.389349577045948</v>
      </c>
      <c r="P48" s="1">
        <f>'Touch 1 1'!P48-'Touch 1 1'!$AA48-('Touch 1 1'!P$2- 12.5)*'Touch 1 1'!$AC48</f>
        <v>27.684417371590143</v>
      </c>
      <c r="Q48" s="1">
        <f>'Touch 1 1'!Q48-'Touch 1 1'!$AA48-('Touch 1 1'!Q$2- 12.5)*'Touch 1 1'!$AC48</f>
        <v>47.758184320226064</v>
      </c>
      <c r="R48" s="1">
        <f>'Touch 1 1'!R48-'Touch 1 1'!$AA48-('Touch 1 1'!R$2- 12.5)*'Touch 1 1'!$AC48</f>
        <v>7.8319512688622126</v>
      </c>
      <c r="S48" s="1">
        <f>'Touch 1 1'!S48-'Touch 1 1'!$AA48-('Touch 1 1'!S$2- 12.5)*'Touch 1 1'!$AC48</f>
        <v>-52.094281782501866</v>
      </c>
      <c r="T48" s="1">
        <f>'Touch 1 1'!T48-'Touch 1 1'!$AA48-('Touch 1 1'!T$2- 12.5)*'Touch 1 1'!$AC48</f>
        <v>7.9794851661342818</v>
      </c>
      <c r="U48" s="1">
        <f>'Touch 1 1'!U48-'Touch 1 1'!$AA48-('Touch 1 1'!U$2- 12.5)*'Touch 1 1'!$AC48</f>
        <v>8.0532521147702028</v>
      </c>
      <c r="V48" s="1">
        <f>'Touch 1 1'!V48-'Touch 1 1'!$AA48-('Touch 1 1'!V$2- 12.5)*'Touch 1 1'!$AC48</f>
        <v>28.127019063406351</v>
      </c>
      <c r="W48" s="1">
        <f>'Touch 1 1'!W48-'Touch 1 1'!$AA48-('Touch 1 1'!W$2- 12.5)*'Touch 1 1'!$AC48</f>
        <v>48.200786012042272</v>
      </c>
      <c r="X48" s="1">
        <f>'Touch 1 1'!X48-'Touch 1 1'!$AA48-('Touch 1 1'!X$2- 12.5)*'Touch 1 1'!$AC48</f>
        <v>8.2745529606781929</v>
      </c>
      <c r="Y48" s="1">
        <f>'Touch 1 1'!Y48-'Touch 1 1'!$AA48-('Touch 1 1'!Y$2- 12.5)*'Touch 1 1'!$AC48</f>
        <v>18.348319909314341</v>
      </c>
      <c r="AB48" s="1">
        <f>STDEV(B48:Y48)</f>
        <v>43.500771682900428</v>
      </c>
      <c r="AD48" s="11" t="s">
        <v>46</v>
      </c>
      <c r="AE48" s="11">
        <v>9</v>
      </c>
      <c r="AF48" s="11">
        <v>1</v>
      </c>
      <c r="AG48" s="11" t="s">
        <v>45</v>
      </c>
      <c r="AH48" s="11" t="s">
        <v>44</v>
      </c>
      <c r="AI48" s="11">
        <v>8</v>
      </c>
      <c r="AJ48" s="11">
        <v>7</v>
      </c>
      <c r="AK48" s="11">
        <v>6</v>
      </c>
      <c r="AL48" s="11">
        <v>5</v>
      </c>
      <c r="AM48" s="11">
        <v>4</v>
      </c>
      <c r="AN48" s="11">
        <v>3</v>
      </c>
      <c r="AO48" s="11">
        <v>2</v>
      </c>
      <c r="AP48" s="11" t="s">
        <v>46</v>
      </c>
      <c r="AQ48" s="11">
        <v>9</v>
      </c>
      <c r="AR48" s="11" t="s">
        <v>45</v>
      </c>
      <c r="AS48" s="11">
        <v>1</v>
      </c>
      <c r="AT48" s="11" t="s">
        <v>44</v>
      </c>
      <c r="AU48" s="11">
        <v>7</v>
      </c>
      <c r="AV48" s="11">
        <v>8</v>
      </c>
      <c r="AW48" s="11">
        <v>5</v>
      </c>
      <c r="AX48" s="11">
        <v>6</v>
      </c>
      <c r="AY48" s="11">
        <v>3</v>
      </c>
      <c r="AZ48" s="11">
        <v>4</v>
      </c>
      <c r="BA48" s="11">
        <v>2</v>
      </c>
      <c r="BB48" s="5"/>
      <c r="BC48" s="1">
        <f ca="1">OFFSET(A48,0, 3) -0</f>
        <v>-23.200786012042272</v>
      </c>
      <c r="BD48" s="1">
        <f ca="1">OFFSET(A48,0, 12) -0</f>
        <v>-12.536883474318017</v>
      </c>
      <c r="BE48" s="1">
        <f ca="1">OFFSET(A48,0, 11) -0</f>
        <v>27.389349577045948</v>
      </c>
      <c r="BF48" s="1">
        <f ca="1">OFFSET(A48,0, 10) -0</f>
        <v>17.315582628409857</v>
      </c>
      <c r="BG48" s="1">
        <f ca="1">OFFSET(A48,0, 9) -0</f>
        <v>-52.758184320226064</v>
      </c>
      <c r="BH48" s="1">
        <f ca="1">OFFSET(A48,0, 8) -0</f>
        <v>-42.831951268862213</v>
      </c>
      <c r="BI48" s="1">
        <f ca="1">OFFSET(A48,0, 7) -0</f>
        <v>-32.905718217498134</v>
      </c>
      <c r="BJ48" s="1">
        <f ca="1">OFFSET(A48,0, 6) -0</f>
        <v>37.020514833865718</v>
      </c>
      <c r="BK48" s="1">
        <f ca="1">OFFSET(A48,0, 2) -0</f>
        <v>-93.274552960678193</v>
      </c>
      <c r="BL48" s="1">
        <f ca="1">OFFSET(A48,0, 5) -0</f>
        <v>56.946747885229797</v>
      </c>
      <c r="BM48" s="1">
        <f ca="1">OFFSET(A48,0, 4) -0</f>
        <v>86.872980936593649</v>
      </c>
      <c r="BN48" s="1">
        <f ca="1">OFFSET(A48,0, 1) -0</f>
        <v>-53.348319909314341</v>
      </c>
      <c r="BO48" s="1">
        <f ca="1">OFFSET(A48,0, 16) -0</f>
        <v>47.758184320226064</v>
      </c>
      <c r="BP48" s="1">
        <f ca="1">OFFSET(A48,0, 24) -0</f>
        <v>18.348319909314341</v>
      </c>
      <c r="BQ48" s="1">
        <f ca="1">OFFSET(A48,0, 22) -0</f>
        <v>48.200786012042272</v>
      </c>
      <c r="BR48" s="1">
        <f ca="1">OFFSET(A48,0, 23) -0</f>
        <v>8.2745529606781929</v>
      </c>
      <c r="BS48" s="1">
        <f ca="1">OFFSET(A48,0, 20) -0</f>
        <v>8.0532521147702028</v>
      </c>
      <c r="BT48" s="1">
        <f ca="1">OFFSET(A48,0, 21) -0</f>
        <v>28.127019063406351</v>
      </c>
      <c r="BU48" s="1">
        <f ca="1">OFFSET(A48,0, 18) -0</f>
        <v>-52.094281782501866</v>
      </c>
      <c r="BV48" s="1">
        <f ca="1">OFFSET(A48,0, 19) -0</f>
        <v>7.9794851661342818</v>
      </c>
      <c r="BW48" s="1">
        <f ca="1">OFFSET(A48,0, 14) -0</f>
        <v>-52.389349577045948</v>
      </c>
      <c r="BX48" s="1">
        <f ca="1">OFFSET(A48,0, 17) -0</f>
        <v>7.8319512688622126</v>
      </c>
      <c r="BY48" s="1">
        <f ca="1">OFFSET(A48,0, 15) -0</f>
        <v>27.684417371590143</v>
      </c>
      <c r="BZ48" s="1">
        <f ca="1">OFFSET(A48,0, 13) -0</f>
        <v>-12.463116525681983</v>
      </c>
      <c r="CB48" s="1">
        <f>COUNTIF(B48,"&lt;-74")</f>
        <v>0</v>
      </c>
      <c r="CC48" s="1">
        <f ca="1">COUNTIF(BC48:BN48,"&lt;-52")</f>
        <v>3</v>
      </c>
      <c r="CD48" s="1">
        <f ca="1">COUNTIF(BC48:BN48,"&gt;+52")</f>
        <v>2</v>
      </c>
      <c r="CE48" s="1">
        <f ca="1">COUNTIF(BO48:BZ48,"&lt;-52")</f>
        <v>2</v>
      </c>
      <c r="CF48" s="1">
        <f ca="1">COUNTIF(BO48:BZ48,"&gt;+52")</f>
        <v>0</v>
      </c>
    </row>
    <row r="49" spans="1:84">
      <c r="A49" s="1">
        <v>46</v>
      </c>
      <c r="B49" s="1">
        <f>'Touch 1 1'!B49-'Touch 1 1'!$AA49-('Touch 1 1'!B$2- 12.5)*'Touch 1 1'!$AC49</f>
        <v>-37.711498311293326</v>
      </c>
      <c r="C49" s="1">
        <f>'Touch 1 1'!C49-'Touch 1 1'!$AA49-('Touch 1 1'!C$2- 12.5)*'Touch 1 1'!$AC49</f>
        <v>-57.838034690023051</v>
      </c>
      <c r="D49" s="1">
        <f>'Touch 1 1'!D49-'Touch 1 1'!$AA49-('Touch 1 1'!D$2- 12.5)*'Touch 1 1'!$AC49</f>
        <v>12.035428931247225</v>
      </c>
      <c r="E49" s="1">
        <f>'Touch 1 1'!E49-'Touch 1 1'!$AA49-('Touch 1 1'!E$2- 12.5)*'Touch 1 1'!$AC49</f>
        <v>31.908892552517273</v>
      </c>
      <c r="F49" s="1">
        <f>'Touch 1 1'!F49-'Touch 1 1'!$AA49-('Touch 1 1'!F$2- 12.5)*'Touch 1 1'!$AC49</f>
        <v>-48.217643826212452</v>
      </c>
      <c r="G49" s="1">
        <f>'Touch 1 1'!G49-'Touch 1 1'!$AA49-('Touch 1 1'!G$2- 12.5)*'Touch 1 1'!$AC49</f>
        <v>-58.344180204942404</v>
      </c>
      <c r="H49" s="1">
        <f>'Touch 1 1'!H49-'Touch 1 1'!$AA49-('Touch 1 1'!H$2- 12.5)*'Touch 1 1'!$AC49</f>
        <v>-58.470716583672129</v>
      </c>
      <c r="I49" s="1">
        <f>'Touch 1 1'!I49-'Touch 1 1'!$AA49-('Touch 1 1'!I$2- 12.5)*'Touch 1 1'!$AC49</f>
        <v>21.402747037598033</v>
      </c>
      <c r="J49" s="1">
        <f>'Touch 1 1'!J49-'Touch 1 1'!$AA49-('Touch 1 1'!J$2- 12.5)*'Touch 1 1'!$AC49</f>
        <v>31.276210658868308</v>
      </c>
      <c r="K49" s="1">
        <f>'Touch 1 1'!K49-'Touch 1 1'!$AA49-('Touch 1 1'!K$2- 12.5)*'Touch 1 1'!$AC49</f>
        <v>11.14967428013847</v>
      </c>
      <c r="L49" s="1">
        <f>'Touch 1 1'!L49-'Touch 1 1'!$AA49-('Touch 1 1'!L$2- 12.5)*'Touch 1 1'!$AC49</f>
        <v>1.0231379014086315</v>
      </c>
      <c r="M49" s="1">
        <f>'Touch 1 1'!M49-'Touch 1 1'!$AA49-('Touch 1 1'!M$2- 12.5)*'Touch 1 1'!$AC49</f>
        <v>-19.103398477321164</v>
      </c>
      <c r="N49" s="1">
        <f>'Touch 1 1'!N49-'Touch 1 1'!$AA49-('Touch 1 1'!N$2- 12.5)*'Touch 1 1'!$AC49</f>
        <v>40.770065143949026</v>
      </c>
      <c r="O49" s="1">
        <f>'Touch 1 1'!O49-'Touch 1 1'!$AA49-('Touch 1 1'!O$2- 12.5)*'Touch 1 1'!$AC49</f>
        <v>70.64352876521923</v>
      </c>
      <c r="P49" s="1">
        <f>'Touch 1 1'!P49-'Touch 1 1'!$AA49-('Touch 1 1'!P$2- 12.5)*'Touch 1 1'!$AC49</f>
        <v>-19.483007613510608</v>
      </c>
      <c r="Q49" s="1">
        <f>'Touch 1 1'!Q49-'Touch 1 1'!$AA49-('Touch 1 1'!Q$2- 12.5)*'Touch 1 1'!$AC49</f>
        <v>30.390456007759553</v>
      </c>
      <c r="R49" s="1">
        <f>'Touch 1 1'!R49-'Touch 1 1'!$AA49-('Touch 1 1'!R$2- 12.5)*'Touch 1 1'!$AC49</f>
        <v>10.263919629029829</v>
      </c>
      <c r="S49" s="1">
        <f>'Touch 1 1'!S49-'Touch 1 1'!$AA49-('Touch 1 1'!S$2- 12.5)*'Touch 1 1'!$AC49</f>
        <v>-89.86261674970001</v>
      </c>
      <c r="T49" s="1">
        <f>'Touch 1 1'!T49-'Touch 1 1'!$AA49-('Touch 1 1'!T$2- 12.5)*'Touch 1 1'!$AC49</f>
        <v>1.0846871570265648E-2</v>
      </c>
      <c r="U49" s="1">
        <f>'Touch 1 1'!U49-'Touch 1 1'!$AA49-('Touch 1 1'!U$2- 12.5)*'Touch 1 1'!$AC49</f>
        <v>-10.115689507159686</v>
      </c>
      <c r="V49" s="1">
        <f>'Touch 1 1'!V49-'Touch 1 1'!$AA49-('Touch 1 1'!V$2- 12.5)*'Touch 1 1'!$AC49</f>
        <v>19.757774114110589</v>
      </c>
      <c r="W49" s="1">
        <f>'Touch 1 1'!W49-'Touch 1 1'!$AA49-('Touch 1 1'!W$2- 12.5)*'Touch 1 1'!$AC49</f>
        <v>29.631237735380637</v>
      </c>
      <c r="X49" s="1">
        <f>'Touch 1 1'!X49-'Touch 1 1'!$AA49-('Touch 1 1'!X$2- 12.5)*'Touch 1 1'!$AC49</f>
        <v>59.504701356650912</v>
      </c>
      <c r="Y49" s="1">
        <f>'Touch 1 1'!Y49-'Touch 1 1'!$AA49-('Touch 1 1'!Y$2- 12.5)*'Touch 1 1'!$AC49</f>
        <v>29.378164977921188</v>
      </c>
      <c r="AB49" s="1">
        <f>STDEV(B49:Y49)</f>
        <v>41.133884970714377</v>
      </c>
      <c r="AD49" s="11">
        <v>9</v>
      </c>
      <c r="AE49" s="11" t="s">
        <v>46</v>
      </c>
      <c r="AF49" s="11">
        <v>1</v>
      </c>
      <c r="AG49" s="11" t="s">
        <v>45</v>
      </c>
      <c r="AH49" s="11">
        <v>7</v>
      </c>
      <c r="AI49" s="11" t="s">
        <v>44</v>
      </c>
      <c r="AJ49" s="11">
        <v>5</v>
      </c>
      <c r="AK49" s="11">
        <v>8</v>
      </c>
      <c r="AL49" s="11">
        <v>3</v>
      </c>
      <c r="AM49" s="11">
        <v>6</v>
      </c>
      <c r="AN49" s="11">
        <v>2</v>
      </c>
      <c r="AO49" s="11">
        <v>4</v>
      </c>
      <c r="AP49" s="11">
        <v>9</v>
      </c>
      <c r="AQ49" s="11">
        <v>1</v>
      </c>
      <c r="AR49" s="11" t="s">
        <v>46</v>
      </c>
      <c r="AS49" s="11" t="s">
        <v>45</v>
      </c>
      <c r="AT49" s="11" t="s">
        <v>44</v>
      </c>
      <c r="AU49" s="11">
        <v>7</v>
      </c>
      <c r="AV49" s="11">
        <v>8</v>
      </c>
      <c r="AW49" s="11">
        <v>5</v>
      </c>
      <c r="AX49" s="11">
        <v>6</v>
      </c>
      <c r="AY49" s="11">
        <v>3</v>
      </c>
      <c r="AZ49" s="11">
        <v>4</v>
      </c>
      <c r="BA49" s="11">
        <v>2</v>
      </c>
      <c r="BB49" s="5"/>
      <c r="BC49" s="1">
        <f ca="1">OFFSET(A49,0, 3) -0</f>
        <v>12.035428931247225</v>
      </c>
      <c r="BD49" s="1">
        <f ca="1">OFFSET(A49,0, 11) -0</f>
        <v>1.0231379014086315</v>
      </c>
      <c r="BE49" s="1">
        <f ca="1">OFFSET(A49,0, 9) -0</f>
        <v>31.276210658868308</v>
      </c>
      <c r="BF49" s="1">
        <f ca="1">OFFSET(A49,0, 12) -0</f>
        <v>-19.103398477321164</v>
      </c>
      <c r="BG49" s="1">
        <f ca="1">OFFSET(A49,0, 7) -0</f>
        <v>-58.470716583672129</v>
      </c>
      <c r="BH49" s="1">
        <f ca="1">OFFSET(A49,0, 10) -0</f>
        <v>11.14967428013847</v>
      </c>
      <c r="BI49" s="1">
        <f ca="1">OFFSET(A49,0, 5) -0</f>
        <v>-48.217643826212452</v>
      </c>
      <c r="BJ49" s="1">
        <f ca="1">OFFSET(A49,0, 8) -0</f>
        <v>21.402747037598033</v>
      </c>
      <c r="BK49" s="1">
        <f ca="1">OFFSET(A49,0, 1) -0</f>
        <v>-37.711498311293326</v>
      </c>
      <c r="BL49" s="1">
        <f ca="1">OFFSET(A49,0, 6) -0</f>
        <v>-58.344180204942404</v>
      </c>
      <c r="BM49" s="1">
        <f ca="1">OFFSET(A49,0, 4) -0</f>
        <v>31.908892552517273</v>
      </c>
      <c r="BN49" s="1">
        <f ca="1">OFFSET(A49,0, 2) -0</f>
        <v>-57.838034690023051</v>
      </c>
      <c r="BO49" s="1">
        <f ca="1">OFFSET(A49,0, 14) -0</f>
        <v>70.64352876521923</v>
      </c>
      <c r="BP49" s="1">
        <f ca="1">OFFSET(A49,0, 24) -0</f>
        <v>29.378164977921188</v>
      </c>
      <c r="BQ49" s="1">
        <f ca="1">OFFSET(A49,0, 22) -0</f>
        <v>29.631237735380637</v>
      </c>
      <c r="BR49" s="1">
        <f ca="1">OFFSET(A49,0, 23) -0</f>
        <v>59.504701356650912</v>
      </c>
      <c r="BS49" s="1">
        <f ca="1">OFFSET(A49,0, 20) -0</f>
        <v>-10.115689507159686</v>
      </c>
      <c r="BT49" s="1">
        <f ca="1">OFFSET(A49,0, 21) -0</f>
        <v>19.757774114110589</v>
      </c>
      <c r="BU49" s="1">
        <f ca="1">OFFSET(A49,0, 18) -0</f>
        <v>-89.86261674970001</v>
      </c>
      <c r="BV49" s="1">
        <f ca="1">OFFSET(A49,0, 19) -0</f>
        <v>1.0846871570265648E-2</v>
      </c>
      <c r="BW49" s="1">
        <f ca="1">OFFSET(A49,0, 13) -0</f>
        <v>40.770065143949026</v>
      </c>
      <c r="BX49" s="1">
        <f ca="1">OFFSET(A49,0, 17) -0</f>
        <v>10.263919629029829</v>
      </c>
      <c r="BY49" s="1">
        <f ca="1">OFFSET(A49,0, 16) -0</f>
        <v>30.390456007759553</v>
      </c>
      <c r="BZ49" s="1">
        <f ca="1">OFFSET(A49,0, 15) -0</f>
        <v>-19.483007613510608</v>
      </c>
      <c r="CB49" s="1">
        <f>COUNTIF(B49,"&lt;-74")</f>
        <v>0</v>
      </c>
      <c r="CC49" s="1">
        <f ca="1">COUNTIF(BC49:BN49,"&lt;-53")</f>
        <v>3</v>
      </c>
      <c r="CD49" s="1">
        <f ca="1">COUNTIF(BC49:BN49,"&gt;+53")</f>
        <v>0</v>
      </c>
      <c r="CE49" s="1">
        <f ca="1">COUNTIF(BO49:BZ49,"&lt;-53")</f>
        <v>1</v>
      </c>
      <c r="CF49" s="1">
        <f ca="1">COUNTIF(BO49:BZ49,"&gt;+53")</f>
        <v>2</v>
      </c>
    </row>
    <row r="50" spans="1:84">
      <c r="A50" s="1">
        <v>47</v>
      </c>
      <c r="B50" s="1">
        <f>'Touch 1 1'!B50-'Touch 1 1'!$AA50-('Touch 1 1'!B$2- 12.5)*'Touch 1 1'!$AC50</f>
        <v>44.315439870068076</v>
      </c>
      <c r="C50" s="1">
        <f>'Touch 1 1'!C50-'Touch 1 1'!$AA50-('Touch 1 1'!C$2- 12.5)*'Touch 1 1'!$AC50</f>
        <v>-65.443873741823609</v>
      </c>
      <c r="D50" s="1">
        <f>'Touch 1 1'!D50-'Touch 1 1'!$AA50-('Touch 1 1'!D$2- 12.5)*'Touch 1 1'!$AC50</f>
        <v>-15.203187353715293</v>
      </c>
      <c r="E50" s="1">
        <f>'Touch 1 1'!E50-'Touch 1 1'!$AA50-('Touch 1 1'!E$2- 12.5)*'Touch 1 1'!$AC50</f>
        <v>-24.962500965606978</v>
      </c>
      <c r="F50" s="1">
        <f>'Touch 1 1'!F50-'Touch 1 1'!$AA50-('Touch 1 1'!F$2- 12.5)*'Touch 1 1'!$AC50</f>
        <v>-24.721814577498662</v>
      </c>
      <c r="G50" s="1">
        <f>'Touch 1 1'!G50-'Touch 1 1'!$AA50-('Touch 1 1'!G$2- 12.5)*'Touch 1 1'!$AC50</f>
        <v>-74.481128189390347</v>
      </c>
      <c r="H50" s="1">
        <f>'Touch 1 1'!H50-'Touch 1 1'!$AA50-('Touch 1 1'!H$2- 12.5)*'Touch 1 1'!$AC50</f>
        <v>-24.240441801282032</v>
      </c>
      <c r="I50" s="1">
        <f>'Touch 1 1'!I50-'Touch 1 1'!$AA50-('Touch 1 1'!I$2- 12.5)*'Touch 1 1'!$AC50</f>
        <v>16.000244586826398</v>
      </c>
      <c r="J50" s="1">
        <f>'Touch 1 1'!J50-'Touch 1 1'!$AA50-('Touch 1 1'!J$2- 12.5)*'Touch 1 1'!$AC50</f>
        <v>36.240930974934713</v>
      </c>
      <c r="K50" s="1">
        <f>'Touch 1 1'!K50-'Touch 1 1'!$AA50-('Touch 1 1'!K$2- 12.5)*'Touch 1 1'!$AC50</f>
        <v>6.4816173630430285</v>
      </c>
      <c r="L50" s="1">
        <f>'Touch 1 1'!L50-'Touch 1 1'!$AA50-('Touch 1 1'!L$2- 12.5)*'Touch 1 1'!$AC50</f>
        <v>-3.2776962488485992</v>
      </c>
      <c r="M50" s="1">
        <f>'Touch 1 1'!M50-'Touch 1 1'!$AA50-('Touch 1 1'!M$2- 12.5)*'Touch 1 1'!$AC50</f>
        <v>16.962990139259759</v>
      </c>
      <c r="N50" s="1">
        <f>'Touch 1 1'!N50-'Touch 1 1'!$AA50-('Touch 1 1'!N$2- 12.5)*'Touch 1 1'!$AC50</f>
        <v>27.203676527368103</v>
      </c>
      <c r="O50" s="1">
        <f>'Touch 1 1'!O50-'Touch 1 1'!$AA50-('Touch 1 1'!O$2- 12.5)*'Touch 1 1'!$AC50</f>
        <v>127.44436291547646</v>
      </c>
      <c r="P50" s="1">
        <f>'Touch 1 1'!P50-'Touch 1 1'!$AA50-('Touch 1 1'!P$2- 12.5)*'Touch 1 1'!$AC50</f>
        <v>-42.314950696415167</v>
      </c>
      <c r="Q50" s="1">
        <f>'Touch 1 1'!Q50-'Touch 1 1'!$AA50-('Touch 1 1'!Q$2- 12.5)*'Touch 1 1'!$AC50</f>
        <v>-72.074264308306851</v>
      </c>
      <c r="R50" s="1">
        <f>'Touch 1 1'!R50-'Touch 1 1'!$AA50-('Touch 1 1'!R$2- 12.5)*'Touch 1 1'!$AC50</f>
        <v>-31.833577920198536</v>
      </c>
      <c r="S50" s="1">
        <f>'Touch 1 1'!S50-'Touch 1 1'!$AA50-('Touch 1 1'!S$2- 12.5)*'Touch 1 1'!$AC50</f>
        <v>-1.5928915320901069</v>
      </c>
      <c r="T50" s="1">
        <f>'Touch 1 1'!T50-'Touch 1 1'!$AA50-('Touch 1 1'!T$2- 12.5)*'Touch 1 1'!$AC50</f>
        <v>-51.352205143981791</v>
      </c>
      <c r="U50" s="1">
        <f>'Touch 1 1'!U50-'Touch 1 1'!$AA50-('Touch 1 1'!U$2- 12.5)*'Touch 1 1'!$AC50</f>
        <v>8.888481244126524</v>
      </c>
      <c r="V50" s="1">
        <f>'Touch 1 1'!V50-'Touch 1 1'!$AA50-('Touch 1 1'!V$2- 12.5)*'Touch 1 1'!$AC50</f>
        <v>19.129167632234839</v>
      </c>
      <c r="W50" s="1">
        <f>'Touch 1 1'!W50-'Touch 1 1'!$AA50-('Touch 1 1'!W$2- 12.5)*'Touch 1 1'!$AC50</f>
        <v>39.369854020343155</v>
      </c>
      <c r="X50" s="1">
        <f>'Touch 1 1'!X50-'Touch 1 1'!$AA50-('Touch 1 1'!X$2- 12.5)*'Touch 1 1'!$AC50</f>
        <v>29.61054040845147</v>
      </c>
      <c r="Y50" s="1">
        <f>'Touch 1 1'!Y50-'Touch 1 1'!$AA50-('Touch 1 1'!Y$2- 12.5)*'Touch 1 1'!$AC50</f>
        <v>59.851226796559786</v>
      </c>
      <c r="AB50" s="1">
        <f>STDEV(B50:Y50)</f>
        <v>46.546531474213204</v>
      </c>
      <c r="AD50" s="11">
        <v>1</v>
      </c>
      <c r="AE50" s="11">
        <v>9</v>
      </c>
      <c r="AF50" s="11" t="s">
        <v>45</v>
      </c>
      <c r="AG50" s="11" t="s">
        <v>46</v>
      </c>
      <c r="AH50" s="11">
        <v>7</v>
      </c>
      <c r="AI50" s="11" t="s">
        <v>44</v>
      </c>
      <c r="AJ50" s="11">
        <v>5</v>
      </c>
      <c r="AK50" s="11">
        <v>8</v>
      </c>
      <c r="AL50" s="11">
        <v>3</v>
      </c>
      <c r="AM50" s="11">
        <v>6</v>
      </c>
      <c r="AN50" s="11">
        <v>2</v>
      </c>
      <c r="AO50" s="11">
        <v>4</v>
      </c>
      <c r="AP50" s="11">
        <v>9</v>
      </c>
      <c r="AQ50" s="11">
        <v>1</v>
      </c>
      <c r="AR50" s="11" t="s">
        <v>45</v>
      </c>
      <c r="AS50" s="11">
        <v>7</v>
      </c>
      <c r="AT50" s="11" t="s">
        <v>46</v>
      </c>
      <c r="AU50" s="11">
        <v>5</v>
      </c>
      <c r="AV50" s="11" t="s">
        <v>44</v>
      </c>
      <c r="AW50" s="11">
        <v>3</v>
      </c>
      <c r="AX50" s="11">
        <v>8</v>
      </c>
      <c r="AY50" s="11">
        <v>2</v>
      </c>
      <c r="AZ50" s="11">
        <v>6</v>
      </c>
      <c r="BA50" s="11">
        <v>4</v>
      </c>
      <c r="BB50" s="5"/>
      <c r="BC50" s="1">
        <f ca="1">OFFSET(A50,0, 1) -0</f>
        <v>44.315439870068076</v>
      </c>
      <c r="BD50" s="1">
        <f ca="1">OFFSET(A50,0, 11) -0</f>
        <v>-3.2776962488485992</v>
      </c>
      <c r="BE50" s="1">
        <f ca="1">OFFSET(A50,0, 9) -0</f>
        <v>36.240930974934713</v>
      </c>
      <c r="BF50" s="1">
        <f ca="1">OFFSET(A50,0, 12) -0</f>
        <v>16.962990139259759</v>
      </c>
      <c r="BG50" s="1">
        <f ca="1">OFFSET(A50,0, 7) -0</f>
        <v>-24.240441801282032</v>
      </c>
      <c r="BH50" s="1">
        <f ca="1">OFFSET(A50,0, 10) -0</f>
        <v>6.4816173630430285</v>
      </c>
      <c r="BI50" s="1">
        <f ca="1">OFFSET(A50,0, 5) -0</f>
        <v>-24.721814577498662</v>
      </c>
      <c r="BJ50" s="1">
        <f ca="1">OFFSET(A50,0, 8) -0</f>
        <v>16.000244586826398</v>
      </c>
      <c r="BK50" s="1">
        <f ca="1">OFFSET(A50,0, 2) -0</f>
        <v>-65.443873741823609</v>
      </c>
      <c r="BL50" s="1">
        <f ca="1">OFFSET(A50,0, 6) -0</f>
        <v>-74.481128189390347</v>
      </c>
      <c r="BM50" s="1">
        <f ca="1">OFFSET(A50,0, 3) -0</f>
        <v>-15.203187353715293</v>
      </c>
      <c r="BN50" s="1">
        <f ca="1">OFFSET(A50,0, 4) -0</f>
        <v>-24.962500965606978</v>
      </c>
      <c r="BO50" s="1">
        <f ca="1">OFFSET(A50,0, 14) -0</f>
        <v>127.44436291547646</v>
      </c>
      <c r="BP50" s="1">
        <f ca="1">OFFSET(A50,0, 22) -0</f>
        <v>39.369854020343155</v>
      </c>
      <c r="BQ50" s="1">
        <f ca="1">OFFSET(A50,0, 20) -0</f>
        <v>8.888481244126524</v>
      </c>
      <c r="BR50" s="1">
        <f ca="1">OFFSET(A50,0, 24) -0</f>
        <v>59.851226796559786</v>
      </c>
      <c r="BS50" s="1">
        <f ca="1">OFFSET(A50,0, 18) -0</f>
        <v>-1.5928915320901069</v>
      </c>
      <c r="BT50" s="1">
        <f ca="1">OFFSET(A50,0, 23) -0</f>
        <v>29.61054040845147</v>
      </c>
      <c r="BU50" s="1">
        <f ca="1">OFFSET(A50,0, 16) -0</f>
        <v>-72.074264308306851</v>
      </c>
      <c r="BV50" s="1">
        <f ca="1">OFFSET(A50,0, 21) -0</f>
        <v>19.129167632234839</v>
      </c>
      <c r="BW50" s="1">
        <f ca="1">OFFSET(A50,0, 13) -0</f>
        <v>27.203676527368103</v>
      </c>
      <c r="BX50" s="1">
        <f ca="1">OFFSET(A50,0, 19) -0</f>
        <v>-51.352205143981791</v>
      </c>
      <c r="BY50" s="1">
        <f ca="1">OFFSET(A50,0, 15) -0</f>
        <v>-42.314950696415167</v>
      </c>
      <c r="BZ50" s="1">
        <f ca="1">OFFSET(A50,0, 17) -0</f>
        <v>-31.833577920198536</v>
      </c>
      <c r="CB50" s="1">
        <f>COUNTIF(B50,"&lt;-74")</f>
        <v>0</v>
      </c>
      <c r="CC50" s="1">
        <f ca="1">COUNTIF(BC50:BN50,"&lt;-52")</f>
        <v>2</v>
      </c>
      <c r="CD50" s="1">
        <f ca="1">COUNTIF(BC50:BN50,"&gt;+52")</f>
        <v>0</v>
      </c>
      <c r="CE50" s="1">
        <f ca="1">COUNTIF(BO50:BZ50,"&lt;-52")</f>
        <v>1</v>
      </c>
      <c r="CF50" s="1">
        <f ca="1">COUNTIF(BO50:BZ50,"&gt;+52")</f>
        <v>2</v>
      </c>
    </row>
    <row r="51" spans="1:84">
      <c r="A51" s="1">
        <v>48</v>
      </c>
      <c r="B51" s="1">
        <f>'Touch 1 1'!B51-'Touch 1 1'!$AA51-('Touch 1 1'!B$2- 12.5)*'Touch 1 1'!$AC51</f>
        <v>100.30114703307981</v>
      </c>
      <c r="C51" s="1">
        <f>'Touch 1 1'!C51-'Touch 1 1'!$AA51-('Touch 1 1'!C$2- 12.5)*'Touch 1 1'!$AC51</f>
        <v>20.166264682377459</v>
      </c>
      <c r="D51" s="1">
        <f>'Touch 1 1'!D51-'Touch 1 1'!$AA51-('Touch 1 1'!D$2- 12.5)*'Touch 1 1'!$AC51</f>
        <v>3.1382331674876696E-2</v>
      </c>
      <c r="E51" s="1">
        <f>'Touch 1 1'!E51-'Touch 1 1'!$AA51-('Touch 1 1'!E$2- 12.5)*'Touch 1 1'!$AC51</f>
        <v>29.896499980972294</v>
      </c>
      <c r="F51" s="1">
        <f>'Touch 1 1'!F51-'Touch 1 1'!$AA51-('Touch 1 1'!F$2- 12.5)*'Touch 1 1'!$AC51</f>
        <v>-30.238382369730516</v>
      </c>
      <c r="G51" s="1">
        <f>'Touch 1 1'!G51-'Touch 1 1'!$AA51-('Touch 1 1'!G$2- 12.5)*'Touch 1 1'!$AC51</f>
        <v>-40.373264720433099</v>
      </c>
      <c r="H51" s="1">
        <f>'Touch 1 1'!H51-'Touch 1 1'!$AA51-('Touch 1 1'!H$2- 12.5)*'Touch 1 1'!$AC51</f>
        <v>9.4918529288643185</v>
      </c>
      <c r="I51" s="1">
        <f>'Touch 1 1'!I51-'Touch 1 1'!$AA51-('Touch 1 1'!I$2- 12.5)*'Touch 1 1'!$AC51</f>
        <v>-90.643029421838264</v>
      </c>
      <c r="J51" s="1">
        <f>'Touch 1 1'!J51-'Touch 1 1'!$AA51-('Touch 1 1'!J$2- 12.5)*'Touch 1 1'!$AC51</f>
        <v>-20.777911772540847</v>
      </c>
      <c r="K51" s="1">
        <f>'Touch 1 1'!K51-'Touch 1 1'!$AA51-('Touch 1 1'!K$2- 12.5)*'Touch 1 1'!$AC51</f>
        <v>59.08720587675657</v>
      </c>
      <c r="L51" s="1">
        <f>'Touch 1 1'!L51-'Touch 1 1'!$AA51-('Touch 1 1'!L$2- 12.5)*'Touch 1 1'!$AC51</f>
        <v>-1.0476764739460691</v>
      </c>
      <c r="M51" s="1">
        <f>'Touch 1 1'!M51-'Touch 1 1'!$AA51-('Touch 1 1'!M$2- 12.5)*'Touch 1 1'!$AC51</f>
        <v>18.817441175351306</v>
      </c>
      <c r="N51" s="1">
        <f>'Touch 1 1'!N51-'Touch 1 1'!$AA51-('Touch 1 1'!N$2- 12.5)*'Touch 1 1'!$AC51</f>
        <v>118.68255882464869</v>
      </c>
      <c r="O51" s="1">
        <f>'Touch 1 1'!O51-'Touch 1 1'!$AA51-('Touch 1 1'!O$2- 12.5)*'Touch 1 1'!$AC51</f>
        <v>58.547676473946069</v>
      </c>
      <c r="P51" s="1">
        <f>'Touch 1 1'!P51-'Touch 1 1'!$AA51-('Touch 1 1'!P$2- 12.5)*'Touch 1 1'!$AC51</f>
        <v>-1.5872058767565704</v>
      </c>
      <c r="Q51" s="1">
        <f>'Touch 1 1'!Q51-'Touch 1 1'!$AA51-('Touch 1 1'!Q$2- 12.5)*'Touch 1 1'!$AC51</f>
        <v>8.2779117725408469</v>
      </c>
      <c r="R51" s="1">
        <f>'Touch 1 1'!R51-'Touch 1 1'!$AA51-('Touch 1 1'!R$2- 12.5)*'Touch 1 1'!$AC51</f>
        <v>-1.8569705781617358</v>
      </c>
      <c r="S51" s="1">
        <f>'Touch 1 1'!S51-'Touch 1 1'!$AA51-('Touch 1 1'!S$2- 12.5)*'Touch 1 1'!$AC51</f>
        <v>-101.99185292886432</v>
      </c>
      <c r="T51" s="1">
        <f>'Touch 1 1'!T51-'Touch 1 1'!$AA51-('Touch 1 1'!T$2- 12.5)*'Touch 1 1'!$AC51</f>
        <v>-62.126735279566901</v>
      </c>
      <c r="U51" s="1">
        <f>'Touch 1 1'!U51-'Touch 1 1'!$AA51-('Touch 1 1'!U$2- 12.5)*'Touch 1 1'!$AC51</f>
        <v>-32.261617630269484</v>
      </c>
      <c r="V51" s="1">
        <f>'Touch 1 1'!V51-'Touch 1 1'!$AA51-('Touch 1 1'!V$2- 12.5)*'Touch 1 1'!$AC51</f>
        <v>-12.396499980972294</v>
      </c>
      <c r="W51" s="1">
        <f>'Touch 1 1'!W51-'Touch 1 1'!$AA51-('Touch 1 1'!W$2- 12.5)*'Touch 1 1'!$AC51</f>
        <v>-32.531382331674877</v>
      </c>
      <c r="X51" s="1">
        <f>'Touch 1 1'!X51-'Touch 1 1'!$AA51-('Touch 1 1'!X$2- 12.5)*'Touch 1 1'!$AC51</f>
        <v>-32.666264682377459</v>
      </c>
      <c r="Y51" s="1">
        <f>'Touch 1 1'!Y51-'Touch 1 1'!$AA51-('Touch 1 1'!Y$2- 12.5)*'Touch 1 1'!$AC51</f>
        <v>37.198852966920185</v>
      </c>
      <c r="AB51" s="1">
        <f>STDEV(B51:Y51)</f>
        <v>52.354636849266228</v>
      </c>
      <c r="AD51" s="11">
        <v>1</v>
      </c>
      <c r="AE51" s="11">
        <v>9</v>
      </c>
      <c r="AF51" s="11">
        <v>7</v>
      </c>
      <c r="AG51" s="11" t="s">
        <v>45</v>
      </c>
      <c r="AH51" s="11">
        <v>5</v>
      </c>
      <c r="AI51" s="11" t="s">
        <v>46</v>
      </c>
      <c r="AJ51" s="11">
        <v>3</v>
      </c>
      <c r="AK51" s="11" t="s">
        <v>44</v>
      </c>
      <c r="AL51" s="11">
        <v>2</v>
      </c>
      <c r="AM51" s="11">
        <v>8</v>
      </c>
      <c r="AN51" s="11">
        <v>4</v>
      </c>
      <c r="AO51" s="11">
        <v>6</v>
      </c>
      <c r="AP51" s="11">
        <v>1</v>
      </c>
      <c r="AQ51" s="11">
        <v>9</v>
      </c>
      <c r="AR51" s="11" t="s">
        <v>45</v>
      </c>
      <c r="AS51" s="11">
        <v>7</v>
      </c>
      <c r="AT51" s="11" t="s">
        <v>46</v>
      </c>
      <c r="AU51" s="11">
        <v>5</v>
      </c>
      <c r="AV51" s="11" t="s">
        <v>44</v>
      </c>
      <c r="AW51" s="11">
        <v>3</v>
      </c>
      <c r="AX51" s="11">
        <v>8</v>
      </c>
      <c r="AY51" s="11">
        <v>2</v>
      </c>
      <c r="AZ51" s="11">
        <v>6</v>
      </c>
      <c r="BA51" s="11">
        <v>4</v>
      </c>
      <c r="BB51" s="5"/>
      <c r="BC51" s="1">
        <f ca="1">OFFSET(A51,0, 1) -0</f>
        <v>100.30114703307981</v>
      </c>
      <c r="BD51" s="1">
        <f ca="1">OFFSET(A51,0, 9) -0</f>
        <v>-20.777911772540847</v>
      </c>
      <c r="BE51" s="1">
        <f ca="1">OFFSET(A51,0, 7) -0</f>
        <v>9.4918529288643185</v>
      </c>
      <c r="BF51" s="1">
        <f ca="1">OFFSET(A51,0, 11) -0</f>
        <v>-1.0476764739460691</v>
      </c>
      <c r="BG51" s="1">
        <f ca="1">OFFSET(A51,0, 5) -0</f>
        <v>-30.238382369730516</v>
      </c>
      <c r="BH51" s="1">
        <f ca="1">OFFSET(A51,0, 12) -0</f>
        <v>18.817441175351306</v>
      </c>
      <c r="BI51" s="1">
        <f ca="1">OFFSET(A51,0, 3) -0</f>
        <v>3.1382331674876696E-2</v>
      </c>
      <c r="BJ51" s="1">
        <f ca="1">OFFSET(A51,0, 10) -0</f>
        <v>59.08720587675657</v>
      </c>
      <c r="BK51" s="1">
        <f ca="1">OFFSET(A51,0, 2) -0</f>
        <v>20.166264682377459</v>
      </c>
      <c r="BL51" s="1">
        <f ca="1">OFFSET(A51,0, 8) -0</f>
        <v>-90.643029421838264</v>
      </c>
      <c r="BM51" s="1">
        <f ca="1">OFFSET(A51,0, 4) -0</f>
        <v>29.896499980972294</v>
      </c>
      <c r="BN51" s="1">
        <f ca="1">OFFSET(A51,0, 6) -0</f>
        <v>-40.373264720433099</v>
      </c>
      <c r="BO51" s="1">
        <f ca="1">OFFSET(A51,0, 13) -0</f>
        <v>118.68255882464869</v>
      </c>
      <c r="BP51" s="1">
        <f ca="1">OFFSET(A51,0, 22) -0</f>
        <v>-32.531382331674877</v>
      </c>
      <c r="BQ51" s="1">
        <f ca="1">OFFSET(A51,0, 20) -0</f>
        <v>-32.261617630269484</v>
      </c>
      <c r="BR51" s="1">
        <f ca="1">OFFSET(A51,0, 24) -0</f>
        <v>37.198852966920185</v>
      </c>
      <c r="BS51" s="1">
        <f ca="1">OFFSET(A51,0, 18) -0</f>
        <v>-101.99185292886432</v>
      </c>
      <c r="BT51" s="1">
        <f ca="1">OFFSET(A51,0, 23) -0</f>
        <v>-32.666264682377459</v>
      </c>
      <c r="BU51" s="1">
        <f ca="1">OFFSET(A51,0, 16) -0</f>
        <v>8.2779117725408469</v>
      </c>
      <c r="BV51" s="1">
        <f ca="1">OFFSET(A51,0, 21) -0</f>
        <v>-12.396499980972294</v>
      </c>
      <c r="BW51" s="1">
        <f ca="1">OFFSET(A51,0, 14) -0</f>
        <v>58.547676473946069</v>
      </c>
      <c r="BX51" s="1">
        <f ca="1">OFFSET(A51,0, 19) -0</f>
        <v>-62.126735279566901</v>
      </c>
      <c r="BY51" s="1">
        <f ca="1">OFFSET(A51,0, 15) -0</f>
        <v>-1.5872058767565704</v>
      </c>
      <c r="BZ51" s="1">
        <f ca="1">OFFSET(A51,0, 17) -0</f>
        <v>-1.8569705781617358</v>
      </c>
      <c r="CB51" s="1">
        <f>COUNTIF(B51,"&lt;-74")</f>
        <v>0</v>
      </c>
      <c r="CC51" s="1">
        <f ca="1">COUNTIF(BC51:BN51,"&lt;-53")</f>
        <v>1</v>
      </c>
      <c r="CD51" s="1">
        <f ca="1">COUNTIF(BC51:BN51,"&gt;+53")</f>
        <v>2</v>
      </c>
      <c r="CE51" s="1">
        <f ca="1">COUNTIF(BO51:BZ51,"&lt;-53")</f>
        <v>2</v>
      </c>
      <c r="CF51" s="1">
        <f ca="1">COUNTIF(BO51:BZ51,"&gt;+53")</f>
        <v>2</v>
      </c>
    </row>
    <row r="52" spans="1:84">
      <c r="A52" s="1">
        <v>49</v>
      </c>
      <c r="B52" s="1">
        <f>'Touch 1 1'!B52-'Touch 1 1'!$AA52-('Touch 1 1'!B$2- 12.5)*'Touch 1 1'!$AC52</f>
        <v>62.216166207106198</v>
      </c>
      <c r="C52" s="1">
        <f>'Touch 1 1'!C52-'Touch 1 1'!$AA52-('Touch 1 1'!C$2- 12.5)*'Touch 1 1'!$AC52</f>
        <v>81.697369145618723</v>
      </c>
      <c r="D52" s="1">
        <f>'Touch 1 1'!D52-'Touch 1 1'!$AA52-('Touch 1 1'!D$2- 12.5)*'Touch 1 1'!$AC52</f>
        <v>81.178572084131247</v>
      </c>
      <c r="E52" s="1">
        <f>'Touch 1 1'!E52-'Touch 1 1'!$AA52-('Touch 1 1'!E$2- 12.5)*'Touch 1 1'!$AC52</f>
        <v>90.659775022643771</v>
      </c>
      <c r="F52" s="1">
        <f>'Touch 1 1'!F52-'Touch 1 1'!$AA52-('Touch 1 1'!F$2- 12.5)*'Touch 1 1'!$AC52</f>
        <v>-9.8590220388437046</v>
      </c>
      <c r="G52" s="1">
        <f>'Touch 1 1'!G52-'Touch 1 1'!$AA52-('Touch 1 1'!G$2- 12.5)*'Touch 1 1'!$AC52</f>
        <v>-40.37781910033118</v>
      </c>
      <c r="H52" s="1">
        <f>'Touch 1 1'!H52-'Touch 1 1'!$AA52-('Touch 1 1'!H$2- 12.5)*'Touch 1 1'!$AC52</f>
        <v>-10.896616161818656</v>
      </c>
      <c r="I52" s="1">
        <f>'Touch 1 1'!I52-'Touch 1 1'!$AA52-('Touch 1 1'!I$2- 12.5)*'Touch 1 1'!$AC52</f>
        <v>-21.415413223306246</v>
      </c>
      <c r="J52" s="1">
        <f>'Touch 1 1'!J52-'Touch 1 1'!$AA52-('Touch 1 1'!J$2- 12.5)*'Touch 1 1'!$AC52</f>
        <v>-1.9342102847937213</v>
      </c>
      <c r="K52" s="1">
        <f>'Touch 1 1'!K52-'Touch 1 1'!$AA52-('Touch 1 1'!K$2- 12.5)*'Touch 1 1'!$AC52</f>
        <v>-2.453007346281197</v>
      </c>
      <c r="L52" s="1">
        <f>'Touch 1 1'!L52-'Touch 1 1'!$AA52-('Touch 1 1'!L$2- 12.5)*'Touch 1 1'!$AC52</f>
        <v>-42.97180440776873</v>
      </c>
      <c r="M52" s="1">
        <f>'Touch 1 1'!M52-'Touch 1 1'!$AA52-('Touch 1 1'!M$2- 12.5)*'Touch 1 1'!$AC52</f>
        <v>-23.490601469256248</v>
      </c>
      <c r="N52" s="1">
        <f>'Touch 1 1'!N52-'Touch 1 1'!$AA52-('Touch 1 1'!N$2- 12.5)*'Touch 1 1'!$AC52</f>
        <v>25.990601469256248</v>
      </c>
      <c r="O52" s="1">
        <f>'Touch 1 1'!O52-'Touch 1 1'!$AA52-('Touch 1 1'!O$2- 12.5)*'Touch 1 1'!$AC52</f>
        <v>-4.5281955922312704</v>
      </c>
      <c r="P52" s="1">
        <f>'Touch 1 1'!P52-'Touch 1 1'!$AA52-('Touch 1 1'!P$2- 12.5)*'Touch 1 1'!$AC52</f>
        <v>-55.046992653718803</v>
      </c>
      <c r="Q52" s="1">
        <f>'Touch 1 1'!Q52-'Touch 1 1'!$AA52-('Touch 1 1'!Q$2- 12.5)*'Touch 1 1'!$AC52</f>
        <v>14.434210284793721</v>
      </c>
      <c r="R52" s="1">
        <f>'Touch 1 1'!R52-'Touch 1 1'!$AA52-('Touch 1 1'!R$2- 12.5)*'Touch 1 1'!$AC52</f>
        <v>23.915413223306246</v>
      </c>
      <c r="S52" s="1">
        <f>'Touch 1 1'!S52-'Touch 1 1'!$AA52-('Touch 1 1'!S$2- 12.5)*'Touch 1 1'!$AC52</f>
        <v>-6.6033838381813439</v>
      </c>
      <c r="T52" s="1">
        <f>'Touch 1 1'!T52-'Touch 1 1'!$AA52-('Touch 1 1'!T$2- 12.5)*'Touch 1 1'!$AC52</f>
        <v>-37.12218089966882</v>
      </c>
      <c r="U52" s="1">
        <f>'Touch 1 1'!U52-'Touch 1 1'!$AA52-('Touch 1 1'!U$2- 12.5)*'Touch 1 1'!$AC52</f>
        <v>-27.640977961156295</v>
      </c>
      <c r="V52" s="1">
        <f>'Touch 1 1'!V52-'Touch 1 1'!$AA52-('Touch 1 1'!V$2- 12.5)*'Touch 1 1'!$AC52</f>
        <v>-48.159775022643771</v>
      </c>
      <c r="W52" s="1">
        <f>'Touch 1 1'!W52-'Touch 1 1'!$AA52-('Touch 1 1'!W$2- 12.5)*'Touch 1 1'!$AC52</f>
        <v>-28.678572084131247</v>
      </c>
      <c r="X52" s="1">
        <f>'Touch 1 1'!X52-'Touch 1 1'!$AA52-('Touch 1 1'!X$2- 12.5)*'Touch 1 1'!$AC52</f>
        <v>-29.197369145618723</v>
      </c>
      <c r="Y52" s="1">
        <f>'Touch 1 1'!Y52-'Touch 1 1'!$AA52-('Touch 1 1'!Y$2- 12.5)*'Touch 1 1'!$AC52</f>
        <v>10.283833792893802</v>
      </c>
      <c r="AB52" s="1">
        <f>STDEV(B52:Y52)</f>
        <v>42.148684935477107</v>
      </c>
      <c r="AD52" s="11">
        <v>9</v>
      </c>
      <c r="AE52" s="11">
        <v>1</v>
      </c>
      <c r="AF52" s="11">
        <v>7</v>
      </c>
      <c r="AG52" s="11" t="s">
        <v>45</v>
      </c>
      <c r="AH52" s="11">
        <v>5</v>
      </c>
      <c r="AI52" s="11" t="s">
        <v>46</v>
      </c>
      <c r="AJ52" s="11">
        <v>3</v>
      </c>
      <c r="AK52" s="11" t="s">
        <v>44</v>
      </c>
      <c r="AL52" s="11">
        <v>2</v>
      </c>
      <c r="AM52" s="11">
        <v>8</v>
      </c>
      <c r="AN52" s="11">
        <v>4</v>
      </c>
      <c r="AO52" s="11">
        <v>6</v>
      </c>
      <c r="AP52" s="11">
        <v>1</v>
      </c>
      <c r="AQ52" s="11">
        <v>9</v>
      </c>
      <c r="AR52" s="11">
        <v>7</v>
      </c>
      <c r="AS52" s="11">
        <v>5</v>
      </c>
      <c r="AT52" s="11" t="s">
        <v>45</v>
      </c>
      <c r="AU52" s="11">
        <v>3</v>
      </c>
      <c r="AV52" s="11" t="s">
        <v>46</v>
      </c>
      <c r="AW52" s="11">
        <v>2</v>
      </c>
      <c r="AX52" s="11" t="s">
        <v>44</v>
      </c>
      <c r="AY52" s="11">
        <v>4</v>
      </c>
      <c r="AZ52" s="11">
        <v>8</v>
      </c>
      <c r="BA52" s="11">
        <v>6</v>
      </c>
      <c r="BB52" s="5"/>
      <c r="BC52" s="1">
        <f ca="1">OFFSET(A52,0, 2) -0</f>
        <v>81.697369145618723</v>
      </c>
      <c r="BD52" s="1">
        <f ca="1">OFFSET(A52,0, 9) -0</f>
        <v>-1.9342102847937213</v>
      </c>
      <c r="BE52" s="1">
        <f ca="1">OFFSET(A52,0, 7) -0</f>
        <v>-10.896616161818656</v>
      </c>
      <c r="BF52" s="1">
        <f ca="1">OFFSET(A52,0, 11) -0</f>
        <v>-42.97180440776873</v>
      </c>
      <c r="BG52" s="1">
        <f ca="1">OFFSET(A52,0, 5) -0</f>
        <v>-9.8590220388437046</v>
      </c>
      <c r="BH52" s="1">
        <f ca="1">OFFSET(A52,0, 12) -0</f>
        <v>-23.490601469256248</v>
      </c>
      <c r="BI52" s="1">
        <f ca="1">OFFSET(A52,0, 3) -0</f>
        <v>81.178572084131247</v>
      </c>
      <c r="BJ52" s="1">
        <f ca="1">OFFSET(A52,0, 10) -0</f>
        <v>-2.453007346281197</v>
      </c>
      <c r="BK52" s="1">
        <f ca="1">OFFSET(A52,0, 1) -0</f>
        <v>62.216166207106198</v>
      </c>
      <c r="BL52" s="1">
        <f ca="1">OFFSET(A52,0, 8) -0</f>
        <v>-21.415413223306246</v>
      </c>
      <c r="BM52" s="1">
        <f ca="1">OFFSET(A52,0, 4) -0</f>
        <v>90.659775022643771</v>
      </c>
      <c r="BN52" s="1">
        <f ca="1">OFFSET(A52,0, 6) -0</f>
        <v>-40.37781910033118</v>
      </c>
      <c r="BO52" s="1">
        <f ca="1">OFFSET(A52,0, 13) -0</f>
        <v>25.990601469256248</v>
      </c>
      <c r="BP52" s="1">
        <f ca="1">OFFSET(A52,0, 20) -0</f>
        <v>-27.640977961156295</v>
      </c>
      <c r="BQ52" s="1">
        <f ca="1">OFFSET(A52,0, 18) -0</f>
        <v>-6.6033838381813439</v>
      </c>
      <c r="BR52" s="1">
        <f ca="1">OFFSET(A52,0, 22) -0</f>
        <v>-28.678572084131247</v>
      </c>
      <c r="BS52" s="1">
        <f ca="1">OFFSET(A52,0, 16) -0</f>
        <v>14.434210284793721</v>
      </c>
      <c r="BT52" s="1">
        <f ca="1">OFFSET(A52,0, 24) -0</f>
        <v>10.283833792893802</v>
      </c>
      <c r="BU52" s="1">
        <f ca="1">OFFSET(A52,0, 15) -0</f>
        <v>-55.046992653718803</v>
      </c>
      <c r="BV52" s="1">
        <f ca="1">OFFSET(A52,0, 23) -0</f>
        <v>-29.197369145618723</v>
      </c>
      <c r="BW52" s="1">
        <f ca="1">OFFSET(A52,0, 14) -0</f>
        <v>-4.5281955922312704</v>
      </c>
      <c r="BX52" s="1">
        <f ca="1">OFFSET(A52,0, 21) -0</f>
        <v>-48.159775022643771</v>
      </c>
      <c r="BY52" s="1">
        <f ca="1">OFFSET(A52,0, 17) -0</f>
        <v>23.915413223306246</v>
      </c>
      <c r="BZ52" s="1">
        <f ca="1">OFFSET(A52,0, 19) -0</f>
        <v>-37.12218089966882</v>
      </c>
      <c r="CB52" s="1">
        <f>COUNTIF(B52,"&lt;-74")</f>
        <v>0</v>
      </c>
      <c r="CC52" s="1">
        <f ca="1">COUNTIF(BC52:BN52,"&lt;-53")</f>
        <v>0</v>
      </c>
      <c r="CD52" s="1">
        <f ca="1">COUNTIF(BC52:BN52,"&gt;+53")</f>
        <v>4</v>
      </c>
      <c r="CE52" s="1">
        <f ca="1">COUNTIF(BO52:BZ52,"&lt;-53")</f>
        <v>1</v>
      </c>
      <c r="CF52" s="1">
        <f ca="1">COUNTIF(BO52:BZ52,"&gt;+53")</f>
        <v>0</v>
      </c>
    </row>
    <row r="53" spans="1:84">
      <c r="A53" s="1">
        <v>50</v>
      </c>
      <c r="B53" s="1">
        <f>'Touch 1 1'!B53-'Touch 1 1'!$AA53-('Touch 1 1'!B$2- 12.5)*'Touch 1 1'!$AC53</f>
        <v>44.236272818629914</v>
      </c>
      <c r="C53" s="1">
        <f>'Touch 1 1'!C53-'Touch 1 1'!$AA53-('Touch 1 1'!C$2- 12.5)*'Touch 1 1'!$AC53</f>
        <v>13.759205617010139</v>
      </c>
      <c r="D53" s="1">
        <f>'Touch 1 1'!D53-'Touch 1 1'!$AA53-('Touch 1 1'!D$2- 12.5)*'Touch 1 1'!$AC53</f>
        <v>33.282138415389909</v>
      </c>
      <c r="E53" s="1">
        <f>'Touch 1 1'!E53-'Touch 1 1'!$AA53-('Touch 1 1'!E$2- 12.5)*'Touch 1 1'!$AC53</f>
        <v>32.805071213770134</v>
      </c>
      <c r="F53" s="1">
        <f>'Touch 1 1'!F53-'Touch 1 1'!$AA53-('Touch 1 1'!F$2- 12.5)*'Touch 1 1'!$AC53</f>
        <v>22.328004012149904</v>
      </c>
      <c r="G53" s="1">
        <f>'Touch 1 1'!G53-'Touch 1 1'!$AA53-('Touch 1 1'!G$2- 12.5)*'Touch 1 1'!$AC53</f>
        <v>11.850936810530129</v>
      </c>
      <c r="H53" s="1">
        <f>'Touch 1 1'!H53-'Touch 1 1'!$AA53-('Touch 1 1'!H$2- 12.5)*'Touch 1 1'!$AC53</f>
        <v>11.373869608909899</v>
      </c>
      <c r="I53" s="1">
        <f>'Touch 1 1'!I53-'Touch 1 1'!$AA53-('Touch 1 1'!I$2- 12.5)*'Touch 1 1'!$AC53</f>
        <v>-69.103197592709989</v>
      </c>
      <c r="J53" s="1">
        <f>'Touch 1 1'!J53-'Touch 1 1'!$AA53-('Touch 1 1'!J$2- 12.5)*'Touch 1 1'!$AC53</f>
        <v>-19.580264794329992</v>
      </c>
      <c r="K53" s="1">
        <f>'Touch 1 1'!K53-'Touch 1 1'!$AA53-('Touch 1 1'!K$2- 12.5)*'Touch 1 1'!$AC53</f>
        <v>-120.05733199594999</v>
      </c>
      <c r="L53" s="1">
        <f>'Touch 1 1'!L53-'Touch 1 1'!$AA53-('Touch 1 1'!L$2- 12.5)*'Touch 1 1'!$AC53</f>
        <v>-30.534399197569996</v>
      </c>
      <c r="M53" s="1">
        <f>'Touch 1 1'!M53-'Touch 1 1'!$AA53-('Touch 1 1'!M$2- 12.5)*'Touch 1 1'!$AC53</f>
        <v>-21.011466399189999</v>
      </c>
      <c r="N53" s="1">
        <f>'Touch 1 1'!N53-'Touch 1 1'!$AA53-('Touch 1 1'!N$2- 12.5)*'Touch 1 1'!$AC53</f>
        <v>128.51146639919</v>
      </c>
      <c r="O53" s="1">
        <f>'Touch 1 1'!O53-'Touch 1 1'!$AA53-('Touch 1 1'!O$2- 12.5)*'Touch 1 1'!$AC53</f>
        <v>28.034399197569996</v>
      </c>
      <c r="P53" s="1">
        <f>'Touch 1 1'!P53-'Touch 1 1'!$AA53-('Touch 1 1'!P$2- 12.5)*'Touch 1 1'!$AC53</f>
        <v>37.557331995949994</v>
      </c>
      <c r="Q53" s="1">
        <f>'Touch 1 1'!Q53-'Touch 1 1'!$AA53-('Touch 1 1'!Q$2- 12.5)*'Touch 1 1'!$AC53</f>
        <v>17.080264794329992</v>
      </c>
      <c r="R53" s="1">
        <f>'Touch 1 1'!R53-'Touch 1 1'!$AA53-('Touch 1 1'!R$2- 12.5)*'Touch 1 1'!$AC53</f>
        <v>-13.396802407290011</v>
      </c>
      <c r="S53" s="1">
        <f>'Touch 1 1'!S53-'Touch 1 1'!$AA53-('Touch 1 1'!S$2- 12.5)*'Touch 1 1'!$AC53</f>
        <v>6.1261303910901006</v>
      </c>
      <c r="T53" s="1">
        <f>'Touch 1 1'!T53-'Touch 1 1'!$AA53-('Touch 1 1'!T$2- 12.5)*'Touch 1 1'!$AC53</f>
        <v>15.649063189469871</v>
      </c>
      <c r="U53" s="1">
        <f>'Touch 1 1'!U53-'Touch 1 1'!$AA53-('Touch 1 1'!U$2- 12.5)*'Touch 1 1'!$AC53</f>
        <v>-84.828004012149904</v>
      </c>
      <c r="V53" s="1">
        <f>'Touch 1 1'!V53-'Touch 1 1'!$AA53-('Touch 1 1'!V$2- 12.5)*'Touch 1 1'!$AC53</f>
        <v>-75.305071213770134</v>
      </c>
      <c r="W53" s="1">
        <f>'Touch 1 1'!W53-'Touch 1 1'!$AA53-('Touch 1 1'!W$2- 12.5)*'Touch 1 1'!$AC53</f>
        <v>-15.782138415389909</v>
      </c>
      <c r="X53" s="1">
        <f>'Touch 1 1'!X53-'Touch 1 1'!$AA53-('Touch 1 1'!X$2- 12.5)*'Touch 1 1'!$AC53</f>
        <v>13.740794382989861</v>
      </c>
      <c r="Y53" s="1">
        <f>'Touch 1 1'!Y53-'Touch 1 1'!$AA53-('Touch 1 1'!Y$2- 12.5)*'Touch 1 1'!$AC53</f>
        <v>33.263727181370086</v>
      </c>
      <c r="AB53" s="1">
        <f>STDEV(B53:Y53)</f>
        <v>51.041728158693054</v>
      </c>
      <c r="AD53" s="11">
        <v>9</v>
      </c>
      <c r="AE53" s="11">
        <v>1</v>
      </c>
      <c r="AF53" s="11">
        <v>5</v>
      </c>
      <c r="AG53" s="11">
        <v>7</v>
      </c>
      <c r="AH53" s="11">
        <v>3</v>
      </c>
      <c r="AI53" s="11" t="s">
        <v>45</v>
      </c>
      <c r="AJ53" s="11">
        <v>2</v>
      </c>
      <c r="AK53" s="11" t="s">
        <v>46</v>
      </c>
      <c r="AL53" s="11">
        <v>4</v>
      </c>
      <c r="AM53" s="11" t="s">
        <v>44</v>
      </c>
      <c r="AN53" s="11">
        <v>6</v>
      </c>
      <c r="AO53" s="11">
        <v>8</v>
      </c>
      <c r="AP53" s="11">
        <v>9</v>
      </c>
      <c r="AQ53" s="11">
        <v>5</v>
      </c>
      <c r="AR53" s="11">
        <v>1</v>
      </c>
      <c r="AS53" s="11">
        <v>7</v>
      </c>
      <c r="AT53" s="11" t="s">
        <v>45</v>
      </c>
      <c r="AU53" s="11">
        <v>3</v>
      </c>
      <c r="AV53" s="11" t="s">
        <v>46</v>
      </c>
      <c r="AW53" s="11">
        <v>2</v>
      </c>
      <c r="AX53" s="11" t="s">
        <v>44</v>
      </c>
      <c r="AY53" s="11">
        <v>4</v>
      </c>
      <c r="AZ53" s="11">
        <v>8</v>
      </c>
      <c r="BA53" s="11">
        <v>6</v>
      </c>
      <c r="BB53" s="5"/>
      <c r="BC53" s="1">
        <f ca="1">OFFSET(A53,0, 2) -0</f>
        <v>13.759205617010139</v>
      </c>
      <c r="BD53" s="1">
        <f ca="1">OFFSET(A53,0, 7) -0</f>
        <v>11.373869608909899</v>
      </c>
      <c r="BE53" s="1">
        <f ca="1">OFFSET(A53,0, 5) -0</f>
        <v>22.328004012149904</v>
      </c>
      <c r="BF53" s="1">
        <f ca="1">OFFSET(A53,0, 9) -0</f>
        <v>-19.580264794329992</v>
      </c>
      <c r="BG53" s="1">
        <f ca="1">OFFSET(A53,0, 3) -0</f>
        <v>33.282138415389909</v>
      </c>
      <c r="BH53" s="1">
        <f ca="1">OFFSET(A53,0, 11) -0</f>
        <v>-30.534399197569996</v>
      </c>
      <c r="BI53" s="1">
        <f ca="1">OFFSET(A53,0, 4) -0</f>
        <v>32.805071213770134</v>
      </c>
      <c r="BJ53" s="1">
        <f ca="1">OFFSET(A53,0, 12) -0</f>
        <v>-21.011466399189999</v>
      </c>
      <c r="BK53" s="1">
        <f ca="1">OFFSET(A53,0, 1) -0</f>
        <v>44.236272818629914</v>
      </c>
      <c r="BL53" s="1">
        <f ca="1">OFFSET(A53,0, 10) -0</f>
        <v>-120.05733199594999</v>
      </c>
      <c r="BM53" s="1">
        <f ca="1">OFFSET(A53,0, 6) -0</f>
        <v>11.850936810530129</v>
      </c>
      <c r="BN53" s="1">
        <f ca="1">OFFSET(A53,0, 8) -0</f>
        <v>-69.103197592709989</v>
      </c>
      <c r="BO53" s="1">
        <f ca="1">OFFSET(A53,0, 15) -0</f>
        <v>37.557331995949994</v>
      </c>
      <c r="BP53" s="1">
        <f ca="1">OFFSET(A53,0, 20) -0</f>
        <v>-84.828004012149904</v>
      </c>
      <c r="BQ53" s="1">
        <f ca="1">OFFSET(A53,0, 18) -0</f>
        <v>6.1261303910901006</v>
      </c>
      <c r="BR53" s="1">
        <f ca="1">OFFSET(A53,0, 22) -0</f>
        <v>-15.782138415389909</v>
      </c>
      <c r="BS53" s="1">
        <f ca="1">OFFSET(A53,0, 14) -0</f>
        <v>28.034399197569996</v>
      </c>
      <c r="BT53" s="1">
        <f ca="1">OFFSET(A53,0, 24) -0</f>
        <v>33.263727181370086</v>
      </c>
      <c r="BU53" s="1">
        <f ca="1">OFFSET(A53,0, 16) -0</f>
        <v>17.080264794329992</v>
      </c>
      <c r="BV53" s="1">
        <f ca="1">OFFSET(A53,0, 23) -0</f>
        <v>13.740794382989861</v>
      </c>
      <c r="BW53" s="1">
        <f ca="1">OFFSET(A53,0, 13) -0</f>
        <v>128.51146639919</v>
      </c>
      <c r="BX53" s="1">
        <f ca="1">OFFSET(A53,0, 21) -0</f>
        <v>-75.305071213770134</v>
      </c>
      <c r="BY53" s="1">
        <f ca="1">OFFSET(A53,0, 17) -0</f>
        <v>-13.396802407290011</v>
      </c>
      <c r="BZ53" s="1">
        <f ca="1">OFFSET(A53,0, 19) -0</f>
        <v>15.649063189469871</v>
      </c>
      <c r="CB53" s="1">
        <f>COUNTIF(B53,"&lt;-74")</f>
        <v>0</v>
      </c>
      <c r="CC53" s="1">
        <f ca="1">COUNTIF(BC53:BN53,"&lt;-53")</f>
        <v>2</v>
      </c>
      <c r="CD53" s="1">
        <f ca="1">COUNTIF(BC53:BN53,"&gt;+53")</f>
        <v>0</v>
      </c>
      <c r="CE53" s="1">
        <f ca="1">COUNTIF(BO53:BZ53,"&lt;-53")</f>
        <v>2</v>
      </c>
      <c r="CF53" s="1">
        <f ca="1">COUNTIF(BO53:BZ53,"&gt;+53")</f>
        <v>1</v>
      </c>
    </row>
    <row r="54" spans="1:84">
      <c r="A54" s="1">
        <v>51</v>
      </c>
      <c r="B54" s="1">
        <f>'Touch 1 1'!B54-'Touch 1 1'!$AA54-('Touch 1 1'!B$2- 12.5)*'Touch 1 1'!$AC54</f>
        <v>-22.917118806396502</v>
      </c>
      <c r="C54" s="1">
        <f>'Touch 1 1'!C54-'Touch 1 1'!$AA54-('Touch 1 1'!C$2- 12.5)*'Touch 1 1'!$AC54</f>
        <v>6.3220509448824487</v>
      </c>
      <c r="D54" s="1">
        <f>'Touch 1 1'!D54-'Touch 1 1'!$AA54-('Touch 1 1'!D$2- 12.5)*'Touch 1 1'!$AC54</f>
        <v>25.561220696161854</v>
      </c>
      <c r="E54" s="1">
        <f>'Touch 1 1'!E54-'Touch 1 1'!$AA54-('Touch 1 1'!E$2- 12.5)*'Touch 1 1'!$AC54</f>
        <v>34.800390447440805</v>
      </c>
      <c r="F54" s="1">
        <f>'Touch 1 1'!F54-'Touch 1 1'!$AA54-('Touch 1 1'!F$2- 12.5)*'Touch 1 1'!$AC54</f>
        <v>94.03956019872021</v>
      </c>
      <c r="G54" s="1">
        <f>'Touch 1 1'!G54-'Touch 1 1'!$AA54-('Touch 1 1'!G$2- 12.5)*'Touch 1 1'!$AC54</f>
        <v>13.27872994999916</v>
      </c>
      <c r="H54" s="1">
        <f>'Touch 1 1'!H54-'Touch 1 1'!$AA54-('Touch 1 1'!H$2- 12.5)*'Touch 1 1'!$AC54</f>
        <v>2.5178997012785658</v>
      </c>
      <c r="I54" s="1">
        <f>'Touch 1 1'!I54-'Touch 1 1'!$AA54-('Touch 1 1'!I$2- 12.5)*'Touch 1 1'!$AC54</f>
        <v>-78.24293054744237</v>
      </c>
      <c r="J54" s="1">
        <f>'Touch 1 1'!J54-'Touch 1 1'!$AA54-('Touch 1 1'!J$2- 12.5)*'Touch 1 1'!$AC54</f>
        <v>-19.003760796163192</v>
      </c>
      <c r="K54" s="1">
        <f>'Touch 1 1'!K54-'Touch 1 1'!$AA54-('Touch 1 1'!K$2- 12.5)*'Touch 1 1'!$AC54</f>
        <v>-59.764591044884014</v>
      </c>
      <c r="L54" s="1">
        <f>'Touch 1 1'!L54-'Touch 1 1'!$AA54-('Touch 1 1'!L$2- 12.5)*'Touch 1 1'!$AC54</f>
        <v>19.474578706395164</v>
      </c>
      <c r="M54" s="1">
        <f>'Touch 1 1'!M54-'Touch 1 1'!$AA54-('Touch 1 1'!M$2- 12.5)*'Touch 1 1'!$AC54</f>
        <v>58.713748457674342</v>
      </c>
      <c r="N54" s="1">
        <f>'Touch 1 1'!N54-'Touch 1 1'!$AA54-('Touch 1 1'!N$2- 12.5)*'Touch 1 1'!$AC54</f>
        <v>-42.04708179104648</v>
      </c>
      <c r="O54" s="1">
        <f>'Touch 1 1'!O54-'Touch 1 1'!$AA54-('Touch 1 1'!O$2- 12.5)*'Touch 1 1'!$AC54</f>
        <v>37.192087960232698</v>
      </c>
      <c r="P54" s="1">
        <f>'Touch 1 1'!P54-'Touch 1 1'!$AA54-('Touch 1 1'!P$2- 12.5)*'Touch 1 1'!$AC54</f>
        <v>76.431257711511876</v>
      </c>
      <c r="Q54" s="1">
        <f>'Touch 1 1'!Q54-'Touch 1 1'!$AA54-('Touch 1 1'!Q$2- 12.5)*'Touch 1 1'!$AC54</f>
        <v>-4.3295725372089464</v>
      </c>
      <c r="R54" s="1">
        <f>'Touch 1 1'!R54-'Touch 1 1'!$AA54-('Touch 1 1'!R$2- 12.5)*'Touch 1 1'!$AC54</f>
        <v>24.909597214070232</v>
      </c>
      <c r="S54" s="1">
        <f>'Touch 1 1'!S54-'Touch 1 1'!$AA54-('Touch 1 1'!S$2- 12.5)*'Touch 1 1'!$AC54</f>
        <v>4.1487669653492958</v>
      </c>
      <c r="T54" s="1">
        <f>'Touch 1 1'!T54-'Touch 1 1'!$AA54-('Touch 1 1'!T$2- 12.5)*'Touch 1 1'!$AC54</f>
        <v>-56.612063283371299</v>
      </c>
      <c r="U54" s="1">
        <f>'Touch 1 1'!U54-'Touch 1 1'!$AA54-('Touch 1 1'!U$2- 12.5)*'Touch 1 1'!$AC54</f>
        <v>2.6271064679076517</v>
      </c>
      <c r="V54" s="1">
        <f>'Touch 1 1'!V54-'Touch 1 1'!$AA54-('Touch 1 1'!V$2- 12.5)*'Touch 1 1'!$AC54</f>
        <v>-58.133723780812943</v>
      </c>
      <c r="W54" s="1">
        <f>'Touch 1 1'!W54-'Touch 1 1'!$AA54-('Touch 1 1'!W$2- 12.5)*'Touch 1 1'!$AC54</f>
        <v>-18.894554029533992</v>
      </c>
      <c r="X54" s="1">
        <f>'Touch 1 1'!X54-'Touch 1 1'!$AA54-('Touch 1 1'!X$2- 12.5)*'Touch 1 1'!$AC54</f>
        <v>-49.655384278254587</v>
      </c>
      <c r="Y54" s="1">
        <f>'Touch 1 1'!Y54-'Touch 1 1'!$AA54-('Touch 1 1'!Y$2- 12.5)*'Touch 1 1'!$AC54</f>
        <v>9.5837854730243635</v>
      </c>
      <c r="AB54" s="1">
        <f>STDEV(B54:Y54)</f>
        <v>43.982425750980887</v>
      </c>
      <c r="AD54" s="11">
        <v>5</v>
      </c>
      <c r="AE54" s="11">
        <v>9</v>
      </c>
      <c r="AF54" s="11">
        <v>7</v>
      </c>
      <c r="AG54" s="11">
        <v>1</v>
      </c>
      <c r="AH54" s="11">
        <v>3</v>
      </c>
      <c r="AI54" s="11" t="s">
        <v>45</v>
      </c>
      <c r="AJ54" s="11">
        <v>2</v>
      </c>
      <c r="AK54" s="11" t="s">
        <v>46</v>
      </c>
      <c r="AL54" s="11">
        <v>4</v>
      </c>
      <c r="AM54" s="11" t="s">
        <v>44</v>
      </c>
      <c r="AN54" s="11">
        <v>6</v>
      </c>
      <c r="AO54" s="11">
        <v>8</v>
      </c>
      <c r="AP54" s="11">
        <v>5</v>
      </c>
      <c r="AQ54" s="11">
        <v>9</v>
      </c>
      <c r="AR54" s="11">
        <v>1</v>
      </c>
      <c r="AS54" s="11">
        <v>7</v>
      </c>
      <c r="AT54" s="11">
        <v>3</v>
      </c>
      <c r="AU54" s="11">
        <v>2</v>
      </c>
      <c r="AV54" s="11" t="s">
        <v>45</v>
      </c>
      <c r="AW54" s="11">
        <v>4</v>
      </c>
      <c r="AX54" s="11" t="s">
        <v>46</v>
      </c>
      <c r="AY54" s="11">
        <v>6</v>
      </c>
      <c r="AZ54" s="11" t="s">
        <v>44</v>
      </c>
      <c r="BA54" s="11">
        <v>8</v>
      </c>
      <c r="BB54" s="5"/>
      <c r="BC54" s="1">
        <f ca="1">OFFSET(A54,0, 4) -0</f>
        <v>34.800390447440805</v>
      </c>
      <c r="BD54" s="1">
        <f ca="1">OFFSET(A54,0, 7) -0</f>
        <v>2.5178997012785658</v>
      </c>
      <c r="BE54" s="1">
        <f ca="1">OFFSET(A54,0, 5) -0</f>
        <v>94.03956019872021</v>
      </c>
      <c r="BF54" s="1">
        <f ca="1">OFFSET(A54,0, 9) -0</f>
        <v>-19.003760796163192</v>
      </c>
      <c r="BG54" s="1">
        <f ca="1">OFFSET(A54,0, 1) -0</f>
        <v>-22.917118806396502</v>
      </c>
      <c r="BH54" s="1">
        <f ca="1">OFFSET(A54,0, 11) -0</f>
        <v>19.474578706395164</v>
      </c>
      <c r="BI54" s="1">
        <f ca="1">OFFSET(A54,0, 3) -0</f>
        <v>25.561220696161854</v>
      </c>
      <c r="BJ54" s="1">
        <f ca="1">OFFSET(A54,0, 12) -0</f>
        <v>58.713748457674342</v>
      </c>
      <c r="BK54" s="1">
        <f ca="1">OFFSET(A54,0, 2) -0</f>
        <v>6.3220509448824487</v>
      </c>
      <c r="BL54" s="1">
        <f ca="1">OFFSET(A54,0, 10) -0</f>
        <v>-59.764591044884014</v>
      </c>
      <c r="BM54" s="1">
        <f ca="1">OFFSET(A54,0, 6) -0</f>
        <v>13.27872994999916</v>
      </c>
      <c r="BN54" s="1">
        <f ca="1">OFFSET(A54,0, 8) -0</f>
        <v>-78.24293054744237</v>
      </c>
      <c r="BO54" s="1">
        <f ca="1">OFFSET(A54,0, 15) -0</f>
        <v>76.431257711511876</v>
      </c>
      <c r="BP54" s="1">
        <f ca="1">OFFSET(A54,0, 18) -0</f>
        <v>4.1487669653492958</v>
      </c>
      <c r="BQ54" s="1">
        <f ca="1">OFFSET(A54,0, 17) -0</f>
        <v>24.909597214070232</v>
      </c>
      <c r="BR54" s="1">
        <f ca="1">OFFSET(A54,0, 20) -0</f>
        <v>2.6271064679076517</v>
      </c>
      <c r="BS54" s="1">
        <f ca="1">OFFSET(A54,0, 13) -0</f>
        <v>-42.04708179104648</v>
      </c>
      <c r="BT54" s="1">
        <f ca="1">OFFSET(A54,0, 22) -0</f>
        <v>-18.894554029533992</v>
      </c>
      <c r="BU54" s="1">
        <f ca="1">OFFSET(A54,0, 16) -0</f>
        <v>-4.3295725372089464</v>
      </c>
      <c r="BV54" s="1">
        <f ca="1">OFFSET(A54,0, 24) -0</f>
        <v>9.5837854730243635</v>
      </c>
      <c r="BW54" s="1">
        <f ca="1">OFFSET(A54,0, 14) -0</f>
        <v>37.192087960232698</v>
      </c>
      <c r="BX54" s="1">
        <f ca="1">OFFSET(A54,0, 23) -0</f>
        <v>-49.655384278254587</v>
      </c>
      <c r="BY54" s="1">
        <f ca="1">OFFSET(A54,0, 19) -0</f>
        <v>-56.612063283371299</v>
      </c>
      <c r="BZ54" s="1">
        <f ca="1">OFFSET(A54,0, 21) -0</f>
        <v>-58.133723780812943</v>
      </c>
      <c r="CB54" s="1">
        <f>COUNTIF(B54,"&lt;-75")</f>
        <v>0</v>
      </c>
      <c r="CC54" s="1">
        <f ca="1">COUNTIF(BC54:BN54,"&lt;-53")</f>
        <v>2</v>
      </c>
      <c r="CD54" s="1">
        <f ca="1">COUNTIF(BC54:BN54,"&gt;+53")</f>
        <v>2</v>
      </c>
      <c r="CE54" s="1">
        <f ca="1">COUNTIF(BO54:BZ54,"&lt;-53")</f>
        <v>2</v>
      </c>
      <c r="CF54" s="1">
        <f ca="1">COUNTIF(BO54:BZ54,"&gt;+53")</f>
        <v>1</v>
      </c>
    </row>
    <row r="55" spans="1:84">
      <c r="A55" s="1">
        <v>52</v>
      </c>
      <c r="B55" s="1">
        <f>'Touch 1 1'!B55-'Touch 1 1'!$AA55-('Touch 1 1'!B$2- 12.5)*'Touch 1 1'!$AC55</f>
        <v>3.1127262622680973</v>
      </c>
      <c r="C55" s="1">
        <f>'Touch 1 1'!C55-'Touch 1 1'!$AA55-('Touch 1 1'!C$2- 12.5)*'Touch 1 1'!$AC55</f>
        <v>2.5521993409133756</v>
      </c>
      <c r="D55" s="1">
        <f>'Touch 1 1'!D55-'Touch 1 1'!$AA55-('Touch 1 1'!D$2- 12.5)*'Touch 1 1'!$AC55</f>
        <v>71.991672419558427</v>
      </c>
      <c r="E55" s="1">
        <f>'Touch 1 1'!E55-'Touch 1 1'!$AA55-('Touch 1 1'!E$2- 12.5)*'Touch 1 1'!$AC55</f>
        <v>41.431145498203477</v>
      </c>
      <c r="F55" s="1">
        <f>'Touch 1 1'!F55-'Touch 1 1'!$AA55-('Touch 1 1'!F$2- 12.5)*'Touch 1 1'!$AC55</f>
        <v>30.870618576848301</v>
      </c>
      <c r="G55" s="1">
        <f>'Touch 1 1'!G55-'Touch 1 1'!$AA55-('Touch 1 1'!G$2- 12.5)*'Touch 1 1'!$AC55</f>
        <v>40.310091655493352</v>
      </c>
      <c r="H55" s="1">
        <f>'Touch 1 1'!H55-'Touch 1 1'!$AA55-('Touch 1 1'!H$2- 12.5)*'Touch 1 1'!$AC55</f>
        <v>-20.250435265861597</v>
      </c>
      <c r="I55" s="1">
        <f>'Touch 1 1'!I55-'Touch 1 1'!$AA55-('Touch 1 1'!I$2- 12.5)*'Touch 1 1'!$AC55</f>
        <v>-40.810962187216546</v>
      </c>
      <c r="J55" s="1">
        <f>'Touch 1 1'!J55-'Touch 1 1'!$AA55-('Touch 1 1'!J$2- 12.5)*'Touch 1 1'!$AC55</f>
        <v>-11.371489108571495</v>
      </c>
      <c r="K55" s="1">
        <f>'Touch 1 1'!K55-'Touch 1 1'!$AA55-('Touch 1 1'!K$2- 12.5)*'Touch 1 1'!$AC55</f>
        <v>-91.932016029926444</v>
      </c>
      <c r="L55" s="1">
        <f>'Touch 1 1'!L55-'Touch 1 1'!$AA55-('Touch 1 1'!L$2- 12.5)*'Touch 1 1'!$AC55</f>
        <v>-42.49254295128145</v>
      </c>
      <c r="M55" s="1">
        <f>'Touch 1 1'!M55-'Touch 1 1'!$AA55-('Touch 1 1'!M$2- 12.5)*'Touch 1 1'!$AC55</f>
        <v>-83.053069872636442</v>
      </c>
      <c r="N55" s="1">
        <f>'Touch 1 1'!N55-'Touch 1 1'!$AA55-('Touch 1 1'!N$2- 12.5)*'Touch 1 1'!$AC55</f>
        <v>26.38640320600858</v>
      </c>
      <c r="O55" s="1">
        <f>'Touch 1 1'!O55-'Touch 1 1'!$AA55-('Touch 1 1'!O$2- 12.5)*'Touch 1 1'!$AC55</f>
        <v>45.825876284653589</v>
      </c>
      <c r="P55" s="1">
        <f>'Touch 1 1'!P55-'Touch 1 1'!$AA55-('Touch 1 1'!P$2- 12.5)*'Touch 1 1'!$AC55</f>
        <v>-24.734650636701417</v>
      </c>
      <c r="Q55" s="1">
        <f>'Touch 1 1'!Q55-'Touch 1 1'!$AA55-('Touch 1 1'!Q$2- 12.5)*'Touch 1 1'!$AC55</f>
        <v>14.704822441943634</v>
      </c>
      <c r="R55" s="1">
        <f>'Touch 1 1'!R55-'Touch 1 1'!$AA55-('Touch 1 1'!R$2- 12.5)*'Touch 1 1'!$AC55</f>
        <v>44.144295520588685</v>
      </c>
      <c r="S55" s="1">
        <f>'Touch 1 1'!S55-'Touch 1 1'!$AA55-('Touch 1 1'!S$2- 12.5)*'Touch 1 1'!$AC55</f>
        <v>33.583768599233736</v>
      </c>
      <c r="T55" s="1">
        <f>'Touch 1 1'!T55-'Touch 1 1'!$AA55-('Touch 1 1'!T$2- 12.5)*'Touch 1 1'!$AC55</f>
        <v>3.0232416778787865</v>
      </c>
      <c r="U55" s="1">
        <f>'Touch 1 1'!U55-'Touch 1 1'!$AA55-('Touch 1 1'!U$2- 12.5)*'Touch 1 1'!$AC55</f>
        <v>22.462714756523837</v>
      </c>
      <c r="V55" s="1">
        <f>'Touch 1 1'!V55-'Touch 1 1'!$AA55-('Touch 1 1'!V$2- 12.5)*'Touch 1 1'!$AC55</f>
        <v>-28.097812164831339</v>
      </c>
      <c r="W55" s="1">
        <f>'Touch 1 1'!W55-'Touch 1 1'!$AA55-('Touch 1 1'!W$2- 12.5)*'Touch 1 1'!$AC55</f>
        <v>1.3416609138137119</v>
      </c>
      <c r="X55" s="1">
        <f>'Touch 1 1'!X55-'Touch 1 1'!$AA55-('Touch 1 1'!X$2- 12.5)*'Touch 1 1'!$AC55</f>
        <v>-29.218866007541237</v>
      </c>
      <c r="Y55" s="1">
        <f>'Touch 1 1'!Y55-'Touch 1 1'!$AA55-('Touch 1 1'!Y$2- 12.5)*'Touch 1 1'!$AC55</f>
        <v>-9.7793929288959589</v>
      </c>
      <c r="AB55" s="1">
        <f>STDEV(B55:Y55)</f>
        <v>40.544418692337686</v>
      </c>
      <c r="AD55" s="11">
        <v>9</v>
      </c>
      <c r="AE55" s="11">
        <v>5</v>
      </c>
      <c r="AF55" s="11">
        <v>7</v>
      </c>
      <c r="AG55" s="11">
        <v>1</v>
      </c>
      <c r="AH55" s="11">
        <v>2</v>
      </c>
      <c r="AI55" s="11">
        <v>3</v>
      </c>
      <c r="AJ55" s="11">
        <v>4</v>
      </c>
      <c r="AK55" s="11" t="s">
        <v>45</v>
      </c>
      <c r="AL55" s="11">
        <v>6</v>
      </c>
      <c r="AM55" s="11" t="s">
        <v>46</v>
      </c>
      <c r="AN55" s="11">
        <v>8</v>
      </c>
      <c r="AO55" s="11" t="s">
        <v>44</v>
      </c>
      <c r="AP55" s="11">
        <v>5</v>
      </c>
      <c r="AQ55" s="11">
        <v>9</v>
      </c>
      <c r="AR55" s="11">
        <v>7</v>
      </c>
      <c r="AS55" s="11">
        <v>2</v>
      </c>
      <c r="AT55" s="11">
        <v>1</v>
      </c>
      <c r="AU55" s="11">
        <v>3</v>
      </c>
      <c r="AV55" s="11" t="s">
        <v>45</v>
      </c>
      <c r="AW55" s="11">
        <v>4</v>
      </c>
      <c r="AX55" s="11" t="s">
        <v>46</v>
      </c>
      <c r="AY55" s="11">
        <v>6</v>
      </c>
      <c r="AZ55" s="11" t="s">
        <v>44</v>
      </c>
      <c r="BA55" s="11">
        <v>8</v>
      </c>
      <c r="BB55" s="5"/>
      <c r="BC55" s="1">
        <f ca="1">OFFSET(A55,0, 4) -0</f>
        <v>41.431145498203477</v>
      </c>
      <c r="BD55" s="1">
        <f ca="1">OFFSET(A55,0, 5) -0</f>
        <v>30.870618576848301</v>
      </c>
      <c r="BE55" s="1">
        <f ca="1">OFFSET(A55,0, 6) -0</f>
        <v>40.310091655493352</v>
      </c>
      <c r="BF55" s="1">
        <f ca="1">OFFSET(A55,0, 7) -0</f>
        <v>-20.250435265861597</v>
      </c>
      <c r="BG55" s="1">
        <f ca="1">OFFSET(A55,0, 2) -0</f>
        <v>2.5521993409133756</v>
      </c>
      <c r="BH55" s="1">
        <f ca="1">OFFSET(A55,0, 9) -0</f>
        <v>-11.371489108571495</v>
      </c>
      <c r="BI55" s="1">
        <f ca="1">OFFSET(A55,0, 3) -0</f>
        <v>71.991672419558427</v>
      </c>
      <c r="BJ55" s="1">
        <f ca="1">OFFSET(A55,0, 11) -0</f>
        <v>-42.49254295128145</v>
      </c>
      <c r="BK55" s="1">
        <f ca="1">OFFSET(A55,0, 1) -0</f>
        <v>3.1127262622680973</v>
      </c>
      <c r="BL55" s="1">
        <f ca="1">OFFSET(A55,0, 12) -0</f>
        <v>-83.053069872636442</v>
      </c>
      <c r="BM55" s="1">
        <f ca="1">OFFSET(A55,0, 8) -0</f>
        <v>-40.810962187216546</v>
      </c>
      <c r="BN55" s="1">
        <f ca="1">OFFSET(A55,0, 10) -0</f>
        <v>-91.932016029926444</v>
      </c>
      <c r="BO55" s="1">
        <f ca="1">OFFSET(A55,0, 17) -0</f>
        <v>44.144295520588685</v>
      </c>
      <c r="BP55" s="1">
        <f ca="1">OFFSET(A55,0, 16) -0</f>
        <v>14.704822441943634</v>
      </c>
      <c r="BQ55" s="1">
        <f ca="1">OFFSET(A55,0, 18) -0</f>
        <v>33.583768599233736</v>
      </c>
      <c r="BR55" s="1">
        <f ca="1">OFFSET(A55,0, 20) -0</f>
        <v>22.462714756523837</v>
      </c>
      <c r="BS55" s="1">
        <f ca="1">OFFSET(A55,0, 13) -0</f>
        <v>26.38640320600858</v>
      </c>
      <c r="BT55" s="1">
        <f ca="1">OFFSET(A55,0, 22) -0</f>
        <v>1.3416609138137119</v>
      </c>
      <c r="BU55" s="1">
        <f ca="1">OFFSET(A55,0, 15) -0</f>
        <v>-24.734650636701417</v>
      </c>
      <c r="BV55" s="1">
        <f ca="1">OFFSET(A55,0, 24) -0</f>
        <v>-9.7793929288959589</v>
      </c>
      <c r="BW55" s="1">
        <f ca="1">OFFSET(A55,0, 14) -0</f>
        <v>45.825876284653589</v>
      </c>
      <c r="BX55" s="1">
        <f ca="1">OFFSET(A55,0, 23) -0</f>
        <v>-29.218866007541237</v>
      </c>
      <c r="BY55" s="1">
        <f ca="1">OFFSET(A55,0, 19) -0</f>
        <v>3.0232416778787865</v>
      </c>
      <c r="BZ55" s="1">
        <f ca="1">OFFSET(A55,0, 21) -0</f>
        <v>-28.097812164831339</v>
      </c>
      <c r="CB55" s="1">
        <f>COUNTIF(B55,"&lt;-74")</f>
        <v>0</v>
      </c>
      <c r="CC55" s="1">
        <f ca="1">COUNTIF(BC55:BN55,"&lt;-53")</f>
        <v>2</v>
      </c>
      <c r="CD55" s="1">
        <f ca="1">COUNTIF(BC55:BN55,"&gt;+53")</f>
        <v>1</v>
      </c>
      <c r="CE55" s="1">
        <f ca="1">COUNTIF(BO55:BZ55,"&lt;-53")</f>
        <v>0</v>
      </c>
      <c r="CF55" s="1">
        <f ca="1">COUNTIF(BO55:BZ55,"&gt;+53")</f>
        <v>0</v>
      </c>
    </row>
    <row r="56" spans="1:84">
      <c r="A56" s="1">
        <v>53</v>
      </c>
      <c r="B56" s="1">
        <f>'Touch 1 1'!B56-'Touch 1 1'!$AA56-('Touch 1 1'!B$2- 12.5)*'Touch 1 1'!$AC56</f>
        <v>-0.75917280146450139</v>
      </c>
      <c r="C56" s="1">
        <f>'Touch 1 1'!C56-'Touch 1 1'!$AA56-('Touch 1 1'!C$2- 12.5)*'Touch 1 1'!$AC56</f>
        <v>8.9807552682277674</v>
      </c>
      <c r="D56" s="1">
        <f>'Touch 1 1'!D56-'Touch 1 1'!$AA56-('Touch 1 1'!D$2- 12.5)*'Touch 1 1'!$AC56</f>
        <v>18.720683337920491</v>
      </c>
      <c r="E56" s="1">
        <f>'Touch 1 1'!E56-'Touch 1 1'!$AA56-('Touch 1 1'!E$2- 12.5)*'Touch 1 1'!$AC56</f>
        <v>18.460611407612987</v>
      </c>
      <c r="F56" s="1">
        <f>'Touch 1 1'!F56-'Touch 1 1'!$AA56-('Touch 1 1'!F$2- 12.5)*'Touch 1 1'!$AC56</f>
        <v>48.200539477305711</v>
      </c>
      <c r="G56" s="1">
        <f>'Touch 1 1'!G56-'Touch 1 1'!$AA56-('Touch 1 1'!G$2- 12.5)*'Touch 1 1'!$AC56</f>
        <v>57.940467546998207</v>
      </c>
      <c r="H56" s="1">
        <f>'Touch 1 1'!H56-'Touch 1 1'!$AA56-('Touch 1 1'!H$2- 12.5)*'Touch 1 1'!$AC56</f>
        <v>-12.319604383309297</v>
      </c>
      <c r="I56" s="1">
        <f>'Touch 1 1'!I56-'Touch 1 1'!$AA56-('Touch 1 1'!I$2- 12.5)*'Touch 1 1'!$AC56</f>
        <v>27.420323686383426</v>
      </c>
      <c r="J56" s="1">
        <f>'Touch 1 1'!J56-'Touch 1 1'!$AA56-('Touch 1 1'!J$2- 12.5)*'Touch 1 1'!$AC56</f>
        <v>17.160251756075922</v>
      </c>
      <c r="K56" s="1">
        <f>'Touch 1 1'!K56-'Touch 1 1'!$AA56-('Touch 1 1'!K$2- 12.5)*'Touch 1 1'!$AC56</f>
        <v>-23.099820174231468</v>
      </c>
      <c r="L56" s="1">
        <f>'Touch 1 1'!L56-'Touch 1 1'!$AA56-('Touch 1 1'!L$2- 12.5)*'Touch 1 1'!$AC56</f>
        <v>-63.359892104538858</v>
      </c>
      <c r="M56" s="1">
        <f>'Touch 1 1'!M56-'Touch 1 1'!$AA56-('Touch 1 1'!M$2- 12.5)*'Touch 1 1'!$AC56</f>
        <v>-73.619964034846291</v>
      </c>
      <c r="N56" s="1">
        <f>'Touch 1 1'!N56-'Touch 1 1'!$AA56-('Touch 1 1'!N$2- 12.5)*'Touch 1 1'!$AC56</f>
        <v>46.119964034846291</v>
      </c>
      <c r="O56" s="1">
        <f>'Touch 1 1'!O56-'Touch 1 1'!$AA56-('Touch 1 1'!O$2- 12.5)*'Touch 1 1'!$AC56</f>
        <v>45.859892104538858</v>
      </c>
      <c r="P56" s="1">
        <f>'Touch 1 1'!P56-'Touch 1 1'!$AA56-('Touch 1 1'!P$2- 12.5)*'Touch 1 1'!$AC56</f>
        <v>-54.400179825768532</v>
      </c>
      <c r="Q56" s="1">
        <f>'Touch 1 1'!Q56-'Touch 1 1'!$AA56-('Touch 1 1'!Q$2- 12.5)*'Touch 1 1'!$AC56</f>
        <v>-14.660251756075922</v>
      </c>
      <c r="R56" s="1">
        <f>'Touch 1 1'!R56-'Touch 1 1'!$AA56-('Touch 1 1'!R$2- 12.5)*'Touch 1 1'!$AC56</f>
        <v>25.079676313616574</v>
      </c>
      <c r="S56" s="1">
        <f>'Touch 1 1'!S56-'Touch 1 1'!$AA56-('Touch 1 1'!S$2- 12.5)*'Touch 1 1'!$AC56</f>
        <v>-15.180395616690703</v>
      </c>
      <c r="T56" s="1">
        <f>'Touch 1 1'!T56-'Touch 1 1'!$AA56-('Touch 1 1'!T$2- 12.5)*'Touch 1 1'!$AC56</f>
        <v>4.5595324530017933</v>
      </c>
      <c r="U56" s="1">
        <f>'Touch 1 1'!U56-'Touch 1 1'!$AA56-('Touch 1 1'!U$2- 12.5)*'Touch 1 1'!$AC56</f>
        <v>-25.700539477305711</v>
      </c>
      <c r="V56" s="1">
        <f>'Touch 1 1'!V56-'Touch 1 1'!$AA56-('Touch 1 1'!V$2- 12.5)*'Touch 1 1'!$AC56</f>
        <v>-15.960611407612987</v>
      </c>
      <c r="W56" s="1">
        <f>'Touch 1 1'!W56-'Touch 1 1'!$AA56-('Touch 1 1'!W$2- 12.5)*'Touch 1 1'!$AC56</f>
        <v>-16.220683337920491</v>
      </c>
      <c r="X56" s="1">
        <f>'Touch 1 1'!X56-'Touch 1 1'!$AA56-('Touch 1 1'!X$2- 12.5)*'Touch 1 1'!$AC56</f>
        <v>-16.480755268227767</v>
      </c>
      <c r="Y56" s="1">
        <f>'Touch 1 1'!Y56-'Touch 1 1'!$AA56-('Touch 1 1'!Y$2- 12.5)*'Touch 1 1'!$AC56</f>
        <v>13.259172801464501</v>
      </c>
      <c r="AB56" s="1">
        <f>STDEV(B56:Y56)</f>
        <v>34.596728694053382</v>
      </c>
      <c r="AD56" s="11">
        <v>9</v>
      </c>
      <c r="AE56" s="11">
        <v>5</v>
      </c>
      <c r="AF56" s="11">
        <v>2</v>
      </c>
      <c r="AG56" s="11">
        <v>7</v>
      </c>
      <c r="AH56" s="11">
        <v>3</v>
      </c>
      <c r="AI56" s="11">
        <v>1</v>
      </c>
      <c r="AJ56" s="11">
        <v>4</v>
      </c>
      <c r="AK56" s="11" t="s">
        <v>45</v>
      </c>
      <c r="AL56" s="11">
        <v>6</v>
      </c>
      <c r="AM56" s="11" t="s">
        <v>46</v>
      </c>
      <c r="AN56" s="11">
        <v>8</v>
      </c>
      <c r="AO56" s="11" t="s">
        <v>44</v>
      </c>
      <c r="AP56" s="11">
        <v>9</v>
      </c>
      <c r="AQ56" s="11">
        <v>2</v>
      </c>
      <c r="AR56" s="11">
        <v>5</v>
      </c>
      <c r="AS56" s="11">
        <v>7</v>
      </c>
      <c r="AT56" s="11">
        <v>1</v>
      </c>
      <c r="AU56" s="11">
        <v>3</v>
      </c>
      <c r="AV56" s="11">
        <v>4</v>
      </c>
      <c r="AW56" s="11">
        <v>6</v>
      </c>
      <c r="AX56" s="11" t="s">
        <v>45</v>
      </c>
      <c r="AY56" s="11">
        <v>8</v>
      </c>
      <c r="AZ56" s="11" t="s">
        <v>46</v>
      </c>
      <c r="BA56" s="11" t="s">
        <v>44</v>
      </c>
      <c r="BB56" s="5"/>
      <c r="BC56" s="1">
        <f ca="1">OFFSET(A56,0, 6) -0</f>
        <v>57.940467546998207</v>
      </c>
      <c r="BD56" s="1">
        <f ca="1">OFFSET(A56,0, 3) -0</f>
        <v>18.720683337920491</v>
      </c>
      <c r="BE56" s="1">
        <f ca="1">OFFSET(A56,0, 5) -0</f>
        <v>48.200539477305711</v>
      </c>
      <c r="BF56" s="1">
        <f ca="1">OFFSET(A56,0, 7) -0</f>
        <v>-12.319604383309297</v>
      </c>
      <c r="BG56" s="1">
        <f ca="1">OFFSET(A56,0, 2) -0</f>
        <v>8.9807552682277674</v>
      </c>
      <c r="BH56" s="1">
        <f ca="1">OFFSET(A56,0, 9) -0</f>
        <v>17.160251756075922</v>
      </c>
      <c r="BI56" s="1">
        <f ca="1">OFFSET(A56,0, 4) -0</f>
        <v>18.460611407612987</v>
      </c>
      <c r="BJ56" s="1">
        <f ca="1">OFFSET(A56,0, 11) -0</f>
        <v>-63.359892104538858</v>
      </c>
      <c r="BK56" s="1">
        <f ca="1">OFFSET(A56,0, 1) -0</f>
        <v>-0.75917280146450139</v>
      </c>
      <c r="BL56" s="1">
        <f ca="1">OFFSET(A56,0, 12) -0</f>
        <v>-73.619964034846291</v>
      </c>
      <c r="BM56" s="1">
        <f ca="1">OFFSET(A56,0, 8) -0</f>
        <v>27.420323686383426</v>
      </c>
      <c r="BN56" s="1">
        <f ca="1">OFFSET(A56,0, 10) -0</f>
        <v>-23.099820174231468</v>
      </c>
      <c r="BO56" s="1">
        <f ca="1">OFFSET(A56,0, 17) -0</f>
        <v>25.079676313616574</v>
      </c>
      <c r="BP56" s="1">
        <f ca="1">OFFSET(A56,0, 14) -0</f>
        <v>45.859892104538858</v>
      </c>
      <c r="BQ56" s="1">
        <f ca="1">OFFSET(A56,0, 18) -0</f>
        <v>-15.180395616690703</v>
      </c>
      <c r="BR56" s="1">
        <f ca="1">OFFSET(A56,0, 19) -0</f>
        <v>4.5595324530017933</v>
      </c>
      <c r="BS56" s="1">
        <f ca="1">OFFSET(A56,0, 15) -0</f>
        <v>-54.400179825768532</v>
      </c>
      <c r="BT56" s="1">
        <f ca="1">OFFSET(A56,0, 20) -0</f>
        <v>-25.700539477305711</v>
      </c>
      <c r="BU56" s="1">
        <f ca="1">OFFSET(A56,0, 16) -0</f>
        <v>-14.660251756075922</v>
      </c>
      <c r="BV56" s="1">
        <f ca="1">OFFSET(A56,0, 22) -0</f>
        <v>-16.220683337920491</v>
      </c>
      <c r="BW56" s="1">
        <f ca="1">OFFSET(A56,0, 13) -0</f>
        <v>46.119964034846291</v>
      </c>
      <c r="BX56" s="1">
        <f ca="1">OFFSET(A56,0, 24) -0</f>
        <v>13.259172801464501</v>
      </c>
      <c r="BY56" s="1">
        <f ca="1">OFFSET(A56,0, 21) -0</f>
        <v>-15.960611407612987</v>
      </c>
      <c r="BZ56" s="1">
        <f ca="1">OFFSET(A56,0, 23) -0</f>
        <v>-16.480755268227767</v>
      </c>
      <c r="CB56" s="1">
        <f>COUNTIF(B56,"&lt;-74")</f>
        <v>0</v>
      </c>
      <c r="CC56" s="1">
        <f ca="1">COUNTIF(BC56:BN56,"&lt;-53")</f>
        <v>2</v>
      </c>
      <c r="CD56" s="1">
        <f ca="1">COUNTIF(BC56:BN56,"&gt;+53")</f>
        <v>1</v>
      </c>
      <c r="CE56" s="1">
        <f ca="1">COUNTIF(BO56:BZ56,"&lt;-53")</f>
        <v>1</v>
      </c>
      <c r="CF56" s="1">
        <f ca="1">COUNTIF(BO56:BZ56,"&gt;+53")</f>
        <v>0</v>
      </c>
    </row>
    <row r="57" spans="1:84">
      <c r="A57" s="1">
        <v>54</v>
      </c>
      <c r="B57" s="1">
        <f>'Touch 1 1'!B57-'Touch 1 1'!$AA57-('Touch 1 1'!B$2- 12.5)*'Touch 1 1'!$AC57</f>
        <v>10.060497392133584</v>
      </c>
      <c r="C57" s="1">
        <f>'Touch 1 1'!C57-'Touch 1 1'!$AA57-('Touch 1 1'!C$2- 12.5)*'Touch 1 1'!$AC57</f>
        <v>-0.85056035211164271</v>
      </c>
      <c r="D57" s="1">
        <f>'Touch 1 1'!D57-'Touch 1 1'!$AA57-('Touch 1 1'!D$2- 12.5)*'Touch 1 1'!$AC57</f>
        <v>-11.761618096356642</v>
      </c>
      <c r="E57" s="1">
        <f>'Touch 1 1'!E57-'Touch 1 1'!$AA57-('Touch 1 1'!E$2- 12.5)*'Touch 1 1'!$AC57</f>
        <v>-2.6726758406018689</v>
      </c>
      <c r="F57" s="1">
        <f>'Touch 1 1'!F57-'Touch 1 1'!$AA57-('Touch 1 1'!F$2- 12.5)*'Touch 1 1'!$AC57</f>
        <v>56.416266415152904</v>
      </c>
      <c r="G57" s="1">
        <f>'Touch 1 1'!G57-'Touch 1 1'!$AA57-('Touch 1 1'!G$2- 12.5)*'Touch 1 1'!$AC57</f>
        <v>75.505208670907678</v>
      </c>
      <c r="H57" s="1">
        <f>'Touch 1 1'!H57-'Touch 1 1'!$AA57-('Touch 1 1'!H$2- 12.5)*'Touch 1 1'!$AC57</f>
        <v>-15.405849073337549</v>
      </c>
      <c r="I57" s="1">
        <f>'Touch 1 1'!I57-'Touch 1 1'!$AA57-('Touch 1 1'!I$2- 12.5)*'Touch 1 1'!$AC57</f>
        <v>-66.316906817582662</v>
      </c>
      <c r="J57" s="1">
        <f>'Touch 1 1'!J57-'Touch 1 1'!$AA57-('Touch 1 1'!J$2- 12.5)*'Touch 1 1'!$AC57</f>
        <v>2.7720354381721108</v>
      </c>
      <c r="K57" s="1">
        <f>'Touch 1 1'!K57-'Touch 1 1'!$AA57-('Touch 1 1'!K$2- 12.5)*'Touch 1 1'!$AC57</f>
        <v>11.860977693926884</v>
      </c>
      <c r="L57" s="1">
        <f>'Touch 1 1'!L57-'Touch 1 1'!$AA57-('Touch 1 1'!L$2- 12.5)*'Touch 1 1'!$AC57</f>
        <v>-19.050080050318286</v>
      </c>
      <c r="M57" s="1">
        <f>'Touch 1 1'!M57-'Touch 1 1'!$AA57-('Touch 1 1'!M$2- 12.5)*'Touch 1 1'!$AC57</f>
        <v>-69.96113779456347</v>
      </c>
      <c r="N57" s="1">
        <f>'Touch 1 1'!N57-'Touch 1 1'!$AA57-('Touch 1 1'!N$2- 12.5)*'Touch 1 1'!$AC57</f>
        <v>29.127804461191332</v>
      </c>
      <c r="O57" s="1">
        <f>'Touch 1 1'!O57-'Touch 1 1'!$AA57-('Touch 1 1'!O$2- 12.5)*'Touch 1 1'!$AC57</f>
        <v>-11.783253283053853</v>
      </c>
      <c r="P57" s="1">
        <f>'Touch 1 1'!P57-'Touch 1 1'!$AA57-('Touch 1 1'!P$2- 12.5)*'Touch 1 1'!$AC57</f>
        <v>37.305688972700978</v>
      </c>
      <c r="Q57" s="1">
        <f>'Touch 1 1'!Q57-'Touch 1 1'!$AA57-('Touch 1 1'!Q$2- 12.5)*'Touch 1 1'!$AC57</f>
        <v>26.394631228455751</v>
      </c>
      <c r="R57" s="1">
        <f>'Touch 1 1'!R57-'Touch 1 1'!$AA57-('Touch 1 1'!R$2- 12.5)*'Touch 1 1'!$AC57</f>
        <v>25.483573484210524</v>
      </c>
      <c r="S57" s="1">
        <f>'Touch 1 1'!S57-'Touch 1 1'!$AA57-('Touch 1 1'!S$2- 12.5)*'Touch 1 1'!$AC57</f>
        <v>14.572515739965411</v>
      </c>
      <c r="T57" s="1">
        <f>'Touch 1 1'!T57-'Touch 1 1'!$AA57-('Touch 1 1'!T$2- 12.5)*'Touch 1 1'!$AC57</f>
        <v>13.661457995720184</v>
      </c>
      <c r="U57" s="1">
        <f>'Touch 1 1'!U57-'Touch 1 1'!$AA57-('Touch 1 1'!U$2- 12.5)*'Touch 1 1'!$AC57</f>
        <v>12.750400251474957</v>
      </c>
      <c r="V57" s="1">
        <f>'Touch 1 1'!V57-'Touch 1 1'!$AA57-('Touch 1 1'!V$2- 12.5)*'Touch 1 1'!$AC57</f>
        <v>-48.16065749277027</v>
      </c>
      <c r="W57" s="1">
        <f>'Touch 1 1'!W57-'Touch 1 1'!$AA57-('Touch 1 1'!W$2- 12.5)*'Touch 1 1'!$AC57</f>
        <v>-29.071715237015496</v>
      </c>
      <c r="X57" s="1">
        <f>'Touch 1 1'!X57-'Touch 1 1'!$AA57-('Touch 1 1'!X$2- 12.5)*'Touch 1 1'!$AC57</f>
        <v>-39.982772981260496</v>
      </c>
      <c r="Y57" s="1">
        <f>'Touch 1 1'!Y57-'Touch 1 1'!$AA57-('Touch 1 1'!Y$2- 12.5)*'Touch 1 1'!$AC57</f>
        <v>-0.89383072550572251</v>
      </c>
      <c r="AB57" s="1">
        <f>STDEV(B57:Y57)</f>
        <v>35.029820678932282</v>
      </c>
      <c r="AD57" s="11">
        <v>2</v>
      </c>
      <c r="AE57" s="11">
        <v>9</v>
      </c>
      <c r="AF57" s="11">
        <v>7</v>
      </c>
      <c r="AG57" s="11">
        <v>5</v>
      </c>
      <c r="AH57" s="11">
        <v>3</v>
      </c>
      <c r="AI57" s="11">
        <v>1</v>
      </c>
      <c r="AJ57" s="11">
        <v>6</v>
      </c>
      <c r="AK57" s="11">
        <v>4</v>
      </c>
      <c r="AL57" s="11">
        <v>8</v>
      </c>
      <c r="AM57" s="11" t="s">
        <v>45</v>
      </c>
      <c r="AN57" s="11" t="s">
        <v>44</v>
      </c>
      <c r="AO57" s="11" t="s">
        <v>46</v>
      </c>
      <c r="AP57" s="11">
        <v>9</v>
      </c>
      <c r="AQ57" s="11">
        <v>2</v>
      </c>
      <c r="AR57" s="11">
        <v>5</v>
      </c>
      <c r="AS57" s="11">
        <v>7</v>
      </c>
      <c r="AT57" s="11">
        <v>3</v>
      </c>
      <c r="AU57" s="11">
        <v>6</v>
      </c>
      <c r="AV57" s="11">
        <v>1</v>
      </c>
      <c r="AW57" s="11">
        <v>4</v>
      </c>
      <c r="AX57" s="11" t="s">
        <v>45</v>
      </c>
      <c r="AY57" s="11">
        <v>8</v>
      </c>
      <c r="AZ57" s="11" t="s">
        <v>46</v>
      </c>
      <c r="BA57" s="11" t="s">
        <v>44</v>
      </c>
      <c r="BB57" s="5"/>
      <c r="BC57" s="1">
        <f ca="1">OFFSET(A57,0, 6) -0</f>
        <v>75.505208670907678</v>
      </c>
      <c r="BD57" s="1">
        <f ca="1">OFFSET(A57,0, 1) -0</f>
        <v>10.060497392133584</v>
      </c>
      <c r="BE57" s="1">
        <f ca="1">OFFSET(A57,0, 5) -0</f>
        <v>56.416266415152904</v>
      </c>
      <c r="BF57" s="1">
        <f ca="1">OFFSET(A57,0, 8) -0</f>
        <v>-66.316906817582662</v>
      </c>
      <c r="BG57" s="1">
        <f ca="1">OFFSET(A57,0, 4) -0</f>
        <v>-2.6726758406018689</v>
      </c>
      <c r="BH57" s="1">
        <f ca="1">OFFSET(A57,0, 7) -0</f>
        <v>-15.405849073337549</v>
      </c>
      <c r="BI57" s="1">
        <f ca="1">OFFSET(A57,0, 3) -0</f>
        <v>-11.761618096356642</v>
      </c>
      <c r="BJ57" s="1">
        <f ca="1">OFFSET(A57,0, 9) -0</f>
        <v>2.7720354381721108</v>
      </c>
      <c r="BK57" s="1">
        <f ca="1">OFFSET(A57,0, 2) -0</f>
        <v>-0.85056035211164271</v>
      </c>
      <c r="BL57" s="1">
        <f ca="1">OFFSET(A57,0, 11) -0</f>
        <v>-19.050080050318286</v>
      </c>
      <c r="BM57" s="1">
        <f ca="1">OFFSET(A57,0, 10) -0</f>
        <v>11.860977693926884</v>
      </c>
      <c r="BN57" s="1">
        <f ca="1">OFFSET(A57,0, 12) -0</f>
        <v>-69.96113779456347</v>
      </c>
      <c r="BO57" s="1">
        <f ca="1">OFFSET(A57,0, 19) -0</f>
        <v>13.661457995720184</v>
      </c>
      <c r="BP57" s="1">
        <f ca="1">OFFSET(A57,0, 14) -0</f>
        <v>-11.783253283053853</v>
      </c>
      <c r="BQ57" s="1">
        <f ca="1">OFFSET(A57,0, 17) -0</f>
        <v>25.483573484210524</v>
      </c>
      <c r="BR57" s="1">
        <f ca="1">OFFSET(A57,0, 20) -0</f>
        <v>12.750400251474957</v>
      </c>
      <c r="BS57" s="1">
        <f ca="1">OFFSET(A57,0, 15) -0</f>
        <v>37.305688972700978</v>
      </c>
      <c r="BT57" s="1">
        <f ca="1">OFFSET(A57,0, 18) -0</f>
        <v>14.572515739965411</v>
      </c>
      <c r="BU57" s="1">
        <f ca="1">OFFSET(A57,0, 16) -0</f>
        <v>26.394631228455751</v>
      </c>
      <c r="BV57" s="1">
        <f ca="1">OFFSET(A57,0, 22) -0</f>
        <v>-29.071715237015496</v>
      </c>
      <c r="BW57" s="1">
        <f ca="1">OFFSET(A57,0, 13) -0</f>
        <v>29.127804461191332</v>
      </c>
      <c r="BX57" s="1">
        <f ca="1">OFFSET(A57,0, 24) -0</f>
        <v>-0.89383072550572251</v>
      </c>
      <c r="BY57" s="1">
        <f ca="1">OFFSET(A57,0, 21) -0</f>
        <v>-48.16065749277027</v>
      </c>
      <c r="BZ57" s="1">
        <f ca="1">OFFSET(A57,0, 23) -0</f>
        <v>-39.982772981260496</v>
      </c>
      <c r="CB57" s="1">
        <f>COUNTIF(B57,"&lt;-75")</f>
        <v>0</v>
      </c>
      <c r="CC57" s="1">
        <f ca="1">COUNTIF(BC57:BN57,"&lt;-53")</f>
        <v>2</v>
      </c>
      <c r="CD57" s="1">
        <f ca="1">COUNTIF(BC57:BN57,"&gt;+53")</f>
        <v>2</v>
      </c>
      <c r="CE57" s="1">
        <f ca="1">COUNTIF(BO57:BZ57,"&lt;-53")</f>
        <v>0</v>
      </c>
      <c r="CF57" s="1">
        <f ca="1">COUNTIF(BO57:BZ57,"&gt;+53")</f>
        <v>0</v>
      </c>
    </row>
    <row r="58" spans="1:84">
      <c r="A58" s="1">
        <v>55</v>
      </c>
      <c r="B58" s="1">
        <f>'Touch 1 1'!B58-'Touch 1 1'!$AA58-('Touch 1 1'!B$2- 12.5)*'Touch 1 1'!$AC58</f>
        <v>11.366892544130678</v>
      </c>
      <c r="C58" s="1">
        <f>'Touch 1 1'!C58-'Touch 1 1'!$AA58-('Touch 1 1'!C$2- 12.5)*'Touch 1 1'!$AC58</f>
        <v>-29.911387966951224</v>
      </c>
      <c r="D58" s="1">
        <f>'Touch 1 1'!D58-'Touch 1 1'!$AA58-('Touch 1 1'!D$2- 12.5)*'Touch 1 1'!$AC58</f>
        <v>38.810331521966646</v>
      </c>
      <c r="E58" s="1">
        <f>'Touch 1 1'!E58-'Touch 1 1'!$AA58-('Touch 1 1'!E$2- 12.5)*'Touch 1 1'!$AC58</f>
        <v>-32.467948989115484</v>
      </c>
      <c r="F58" s="1">
        <f>'Touch 1 1'!F58-'Touch 1 1'!$AA58-('Touch 1 1'!F$2- 12.5)*'Touch 1 1'!$AC58</f>
        <v>46.253770499802158</v>
      </c>
      <c r="G58" s="1">
        <f>'Touch 1 1'!G58-'Touch 1 1'!$AA58-('Touch 1 1'!G$2- 12.5)*'Touch 1 1'!$AC58</f>
        <v>34.975489988720028</v>
      </c>
      <c r="H58" s="1">
        <f>'Touch 1 1'!H58-'Touch 1 1'!$AA58-('Touch 1 1'!H$2- 12.5)*'Touch 1 1'!$AC58</f>
        <v>33.697209477637898</v>
      </c>
      <c r="I58" s="1">
        <f>'Touch 1 1'!I58-'Touch 1 1'!$AA58-('Touch 1 1'!I$2- 12.5)*'Touch 1 1'!$AC58</f>
        <v>42.418928966555768</v>
      </c>
      <c r="J58" s="1">
        <f>'Touch 1 1'!J58-'Touch 1 1'!$AA58-('Touch 1 1'!J$2- 12.5)*'Touch 1 1'!$AC58</f>
        <v>-18.859351544526362</v>
      </c>
      <c r="K58" s="1">
        <f>'Touch 1 1'!K58-'Touch 1 1'!$AA58-('Touch 1 1'!K$2- 12.5)*'Touch 1 1'!$AC58</f>
        <v>-0.13763205560849201</v>
      </c>
      <c r="L58" s="1">
        <f>'Touch 1 1'!L58-'Touch 1 1'!$AA58-('Touch 1 1'!L$2- 12.5)*'Touch 1 1'!$AC58</f>
        <v>-31.415912566690679</v>
      </c>
      <c r="M58" s="1">
        <f>'Touch 1 1'!M58-'Touch 1 1'!$AA58-('Touch 1 1'!M$2- 12.5)*'Touch 1 1'!$AC58</f>
        <v>-42.694193077772852</v>
      </c>
      <c r="N58" s="1">
        <f>'Touch 1 1'!N58-'Touch 1 1'!$AA58-('Touch 1 1'!N$2- 12.5)*'Touch 1 1'!$AC58</f>
        <v>36.02752641114499</v>
      </c>
      <c r="O58" s="1">
        <f>'Touch 1 1'!O58-'Touch 1 1'!$AA58-('Touch 1 1'!O$2- 12.5)*'Touch 1 1'!$AC58</f>
        <v>-15.250754099937183</v>
      </c>
      <c r="P58" s="1">
        <f>'Touch 1 1'!P58-'Touch 1 1'!$AA58-('Touch 1 1'!P$2- 12.5)*'Touch 1 1'!$AC58</f>
        <v>13.47096538898063</v>
      </c>
      <c r="Q58" s="1">
        <f>'Touch 1 1'!Q58-'Touch 1 1'!$AA58-('Touch 1 1'!Q$2- 12.5)*'Touch 1 1'!$AC58</f>
        <v>12.1926848778985</v>
      </c>
      <c r="R58" s="1">
        <f>'Touch 1 1'!R58-'Touch 1 1'!$AA58-('Touch 1 1'!R$2- 12.5)*'Touch 1 1'!$AC58</f>
        <v>-59.08559563318363</v>
      </c>
      <c r="S58" s="1">
        <f>'Touch 1 1'!S58-'Touch 1 1'!$AA58-('Touch 1 1'!S$2- 12.5)*'Touch 1 1'!$AC58</f>
        <v>19.63612385573424</v>
      </c>
      <c r="T58" s="1">
        <f>'Touch 1 1'!T58-'Touch 1 1'!$AA58-('Touch 1 1'!T$2- 12.5)*'Touch 1 1'!$AC58</f>
        <v>38.35784334465211</v>
      </c>
      <c r="U58" s="1">
        <f>'Touch 1 1'!U58-'Touch 1 1'!$AA58-('Touch 1 1'!U$2- 12.5)*'Touch 1 1'!$AC58</f>
        <v>-2.9204371664300197</v>
      </c>
      <c r="V58" s="1">
        <f>'Touch 1 1'!V58-'Touch 1 1'!$AA58-('Touch 1 1'!V$2- 12.5)*'Touch 1 1'!$AC58</f>
        <v>-4.1987176775123771</v>
      </c>
      <c r="W58" s="1">
        <f>'Touch 1 1'!W58-'Touch 1 1'!$AA58-('Touch 1 1'!W$2- 12.5)*'Touch 1 1'!$AC58</f>
        <v>-55.476998188594507</v>
      </c>
      <c r="X58" s="1">
        <f>'Touch 1 1'!X58-'Touch 1 1'!$AA58-('Touch 1 1'!X$2- 12.5)*'Touch 1 1'!$AC58</f>
        <v>-26.755278699676637</v>
      </c>
      <c r="Y58" s="1">
        <f>'Touch 1 1'!Y58-'Touch 1 1'!$AA58-('Touch 1 1'!Y$2- 12.5)*'Touch 1 1'!$AC58</f>
        <v>-8.0335592107585398</v>
      </c>
      <c r="AB58" s="1">
        <f>STDEV(B58:Y58)</f>
        <v>32.397170172452775</v>
      </c>
      <c r="AD58" s="11">
        <v>2</v>
      </c>
      <c r="AE58" s="11">
        <v>9</v>
      </c>
      <c r="AF58" s="11">
        <v>7</v>
      </c>
      <c r="AG58" s="11">
        <v>5</v>
      </c>
      <c r="AH58" s="11">
        <v>6</v>
      </c>
      <c r="AI58" s="11">
        <v>3</v>
      </c>
      <c r="AJ58" s="11">
        <v>4</v>
      </c>
      <c r="AK58" s="11">
        <v>1</v>
      </c>
      <c r="AL58" s="11">
        <v>8</v>
      </c>
      <c r="AM58" s="11" t="s">
        <v>45</v>
      </c>
      <c r="AN58" s="11" t="s">
        <v>44</v>
      </c>
      <c r="AO58" s="11" t="s">
        <v>46</v>
      </c>
      <c r="AP58" s="11">
        <v>2</v>
      </c>
      <c r="AQ58" s="11">
        <v>7</v>
      </c>
      <c r="AR58" s="11">
        <v>9</v>
      </c>
      <c r="AS58" s="11">
        <v>6</v>
      </c>
      <c r="AT58" s="11">
        <v>5</v>
      </c>
      <c r="AU58" s="11">
        <v>3</v>
      </c>
      <c r="AV58" s="11">
        <v>1</v>
      </c>
      <c r="AW58" s="11">
        <v>4</v>
      </c>
      <c r="AX58" s="11">
        <v>8</v>
      </c>
      <c r="AY58" s="11" t="s">
        <v>44</v>
      </c>
      <c r="AZ58" s="11" t="s">
        <v>45</v>
      </c>
      <c r="BA58" s="11" t="s">
        <v>46</v>
      </c>
      <c r="BB58" s="5"/>
      <c r="BC58" s="1">
        <f ca="1">OFFSET(A58,0, 8) -0</f>
        <v>42.418928966555768</v>
      </c>
      <c r="BD58" s="1">
        <f ca="1">OFFSET(A58,0, 1) -0</f>
        <v>11.366892544130678</v>
      </c>
      <c r="BE58" s="1">
        <f ca="1">OFFSET(A58,0, 6) -0</f>
        <v>34.975489988720028</v>
      </c>
      <c r="BF58" s="1">
        <f ca="1">OFFSET(A58,0, 7) -0</f>
        <v>33.697209477637898</v>
      </c>
      <c r="BG58" s="1">
        <f ca="1">OFFSET(A58,0, 4) -0</f>
        <v>-32.467948989115484</v>
      </c>
      <c r="BH58" s="1">
        <f ca="1">OFFSET(A58,0, 5) -0</f>
        <v>46.253770499802158</v>
      </c>
      <c r="BI58" s="1">
        <f ca="1">OFFSET(A58,0, 3) -0</f>
        <v>38.810331521966646</v>
      </c>
      <c r="BJ58" s="1">
        <f ca="1">OFFSET(A58,0, 9) -0</f>
        <v>-18.859351544526362</v>
      </c>
      <c r="BK58" s="1">
        <f ca="1">OFFSET(A58,0, 2) -0</f>
        <v>-29.911387966951224</v>
      </c>
      <c r="BL58" s="1">
        <f ca="1">OFFSET(A58,0, 11) -0</f>
        <v>-31.415912566690679</v>
      </c>
      <c r="BM58" s="1">
        <f ca="1">OFFSET(A58,0, 10) -0</f>
        <v>-0.13763205560849201</v>
      </c>
      <c r="BN58" s="1">
        <f ca="1">OFFSET(A58,0, 12) -0</f>
        <v>-42.694193077772852</v>
      </c>
      <c r="BO58" s="1">
        <f ca="1">OFFSET(A58,0, 19) -0</f>
        <v>38.35784334465211</v>
      </c>
      <c r="BP58" s="1">
        <f ca="1">OFFSET(A58,0, 13) -0</f>
        <v>36.02752641114499</v>
      </c>
      <c r="BQ58" s="1">
        <f ca="1">OFFSET(A58,0, 18) -0</f>
        <v>19.63612385573424</v>
      </c>
      <c r="BR58" s="1">
        <f ca="1">OFFSET(A58,0, 20) -0</f>
        <v>-2.9204371664300197</v>
      </c>
      <c r="BS58" s="1">
        <f ca="1">OFFSET(A58,0, 17) -0</f>
        <v>-59.08559563318363</v>
      </c>
      <c r="BT58" s="1">
        <f ca="1">OFFSET(A58,0, 16) -0</f>
        <v>12.1926848778985</v>
      </c>
      <c r="BU58" s="1">
        <f ca="1">OFFSET(A58,0, 14) -0</f>
        <v>-15.250754099937183</v>
      </c>
      <c r="BV58" s="1">
        <f ca="1">OFFSET(A58,0, 21) -0</f>
        <v>-4.1987176775123771</v>
      </c>
      <c r="BW58" s="1">
        <f ca="1">OFFSET(A58,0, 15) -0</f>
        <v>13.47096538898063</v>
      </c>
      <c r="BX58" s="1">
        <f ca="1">OFFSET(A58,0, 22) -0</f>
        <v>-55.476998188594507</v>
      </c>
      <c r="BY58" s="1">
        <f ca="1">OFFSET(A58,0, 23) -0</f>
        <v>-26.755278699676637</v>
      </c>
      <c r="BZ58" s="1">
        <f ca="1">OFFSET(A58,0, 24) -0</f>
        <v>-8.0335592107585398</v>
      </c>
      <c r="CB58" s="1">
        <f>COUNTIF(B58,"&lt;-75")</f>
        <v>0</v>
      </c>
      <c r="CC58" s="1">
        <f ca="1">COUNTIF(BC58:BN58,"&lt;-53")</f>
        <v>0</v>
      </c>
      <c r="CD58" s="1">
        <f ca="1">COUNTIF(BC58:BN58,"&gt;+53")</f>
        <v>0</v>
      </c>
      <c r="CE58" s="1">
        <f ca="1">COUNTIF(BO58:BZ58,"&lt;-53")</f>
        <v>2</v>
      </c>
      <c r="CF58" s="1">
        <f ca="1">COUNTIF(BO58:BZ58,"&gt;+53")</f>
        <v>0</v>
      </c>
    </row>
    <row r="59" spans="1:84">
      <c r="A59" s="1">
        <v>56</v>
      </c>
      <c r="B59" s="1">
        <f>'Touch 1 1'!B59-'Touch 1 1'!$AA59-('Touch 1 1'!B$2- 12.5)*'Touch 1 1'!$AC59</f>
        <v>29.360449072322808</v>
      </c>
      <c r="C59" s="1">
        <f>'Touch 1 1'!C59-'Touch 1 1'!$AA59-('Touch 1 1'!C$2- 12.5)*'Touch 1 1'!$AC59</f>
        <v>8.6914245153107004</v>
      </c>
      <c r="D59" s="1">
        <f>'Touch 1 1'!D59-'Touch 1 1'!$AA59-('Touch 1 1'!D$2- 12.5)*'Touch 1 1'!$AC59</f>
        <v>28.022399958299047</v>
      </c>
      <c r="E59" s="1">
        <f>'Touch 1 1'!E59-'Touch 1 1'!$AA59-('Touch 1 1'!E$2- 12.5)*'Touch 1 1'!$AC59</f>
        <v>-42.646624598713061</v>
      </c>
      <c r="F59" s="1">
        <f>'Touch 1 1'!F59-'Touch 1 1'!$AA59-('Touch 1 1'!F$2- 12.5)*'Touch 1 1'!$AC59</f>
        <v>-23.315649155724714</v>
      </c>
      <c r="G59" s="1">
        <f>'Touch 1 1'!G59-'Touch 1 1'!$AA59-('Touch 1 1'!G$2- 12.5)*'Touch 1 1'!$AC59</f>
        <v>-33.984673712736821</v>
      </c>
      <c r="H59" s="1">
        <f>'Touch 1 1'!H59-'Touch 1 1'!$AA59-('Touch 1 1'!H$2- 12.5)*'Touch 1 1'!$AC59</f>
        <v>45.346301730251525</v>
      </c>
      <c r="I59" s="1">
        <f>'Touch 1 1'!I59-'Touch 1 1'!$AA59-('Touch 1 1'!I$2- 12.5)*'Touch 1 1'!$AC59</f>
        <v>44.677277173239531</v>
      </c>
      <c r="J59" s="1">
        <f>'Touch 1 1'!J59-'Touch 1 1'!$AA59-('Touch 1 1'!J$2- 12.5)*'Touch 1 1'!$AC59</f>
        <v>-35.991747383772349</v>
      </c>
      <c r="K59" s="1">
        <f>'Touch 1 1'!K59-'Touch 1 1'!$AA59-('Touch 1 1'!K$2- 12.5)*'Touch 1 1'!$AC59</f>
        <v>-46.66077194078423</v>
      </c>
      <c r="L59" s="1">
        <f>'Touch 1 1'!L59-'Touch 1 1'!$AA59-('Touch 1 1'!L$2- 12.5)*'Touch 1 1'!$AC59</f>
        <v>-27.32979649779611</v>
      </c>
      <c r="M59" s="1">
        <f>'Touch 1 1'!M59-'Touch 1 1'!$AA59-('Touch 1 1'!M$2- 12.5)*'Touch 1 1'!$AC59</f>
        <v>12.001178945192009</v>
      </c>
      <c r="N59" s="1">
        <f>'Touch 1 1'!N59-'Touch 1 1'!$AA59-('Touch 1 1'!N$2- 12.5)*'Touch 1 1'!$AC59</f>
        <v>61.332154388180129</v>
      </c>
      <c r="O59" s="1">
        <f>'Touch 1 1'!O59-'Touch 1 1'!$AA59-('Touch 1 1'!O$2- 12.5)*'Touch 1 1'!$AC59</f>
        <v>50.663129831168249</v>
      </c>
      <c r="P59" s="1">
        <f>'Touch 1 1'!P59-'Touch 1 1'!$AA59-('Touch 1 1'!P$2- 12.5)*'Touch 1 1'!$AC59</f>
        <v>19.994105274156368</v>
      </c>
      <c r="Q59" s="1">
        <f>'Touch 1 1'!Q59-'Touch 1 1'!$AA59-('Touch 1 1'!Q$2- 12.5)*'Touch 1 1'!$AC59</f>
        <v>39.325080717144488</v>
      </c>
      <c r="R59" s="1">
        <f>'Touch 1 1'!R59-'Touch 1 1'!$AA59-('Touch 1 1'!R$2- 12.5)*'Touch 1 1'!$AC59</f>
        <v>-61.343943839867393</v>
      </c>
      <c r="S59" s="1">
        <f>'Touch 1 1'!S59-'Touch 1 1'!$AA59-('Touch 1 1'!S$2- 12.5)*'Touch 1 1'!$AC59</f>
        <v>-12.012968396879387</v>
      </c>
      <c r="T59" s="1">
        <f>'Touch 1 1'!T59-'Touch 1 1'!$AA59-('Touch 1 1'!T$2- 12.5)*'Touch 1 1'!$AC59</f>
        <v>-22.68199295389104</v>
      </c>
      <c r="U59" s="1">
        <f>'Touch 1 1'!U59-'Touch 1 1'!$AA59-('Touch 1 1'!U$2- 12.5)*'Touch 1 1'!$AC59</f>
        <v>16.648982489096852</v>
      </c>
      <c r="V59" s="1">
        <f>'Touch 1 1'!V59-'Touch 1 1'!$AA59-('Touch 1 1'!V$2- 12.5)*'Touch 1 1'!$AC59</f>
        <v>45.979957932085199</v>
      </c>
      <c r="W59" s="1">
        <f>'Touch 1 1'!W59-'Touch 1 1'!$AA59-('Touch 1 1'!W$2- 12.5)*'Touch 1 1'!$AC59</f>
        <v>-34.689066624926909</v>
      </c>
      <c r="X59" s="1">
        <f>'Touch 1 1'!X59-'Touch 1 1'!$AA59-('Touch 1 1'!X$2- 12.5)*'Touch 1 1'!$AC59</f>
        <v>-45.358091181938562</v>
      </c>
      <c r="Y59" s="1">
        <f>'Touch 1 1'!Y59-'Touch 1 1'!$AA59-('Touch 1 1'!Y$2- 12.5)*'Touch 1 1'!$AC59</f>
        <v>-16.02711573895067</v>
      </c>
      <c r="AB59" s="1">
        <f>STDEV(B59:Y59)</f>
        <v>37.452257586240954</v>
      </c>
      <c r="AD59" s="11">
        <v>7</v>
      </c>
      <c r="AE59" s="11">
        <v>2</v>
      </c>
      <c r="AF59" s="11">
        <v>6</v>
      </c>
      <c r="AG59" s="11">
        <v>9</v>
      </c>
      <c r="AH59" s="11">
        <v>3</v>
      </c>
      <c r="AI59" s="11">
        <v>5</v>
      </c>
      <c r="AJ59" s="11">
        <v>4</v>
      </c>
      <c r="AK59" s="11">
        <v>1</v>
      </c>
      <c r="AL59" s="11" t="s">
        <v>44</v>
      </c>
      <c r="AM59" s="11">
        <v>8</v>
      </c>
      <c r="AN59" s="11" t="s">
        <v>46</v>
      </c>
      <c r="AO59" s="11" t="s">
        <v>45</v>
      </c>
      <c r="AP59" s="11">
        <v>2</v>
      </c>
      <c r="AQ59" s="11">
        <v>7</v>
      </c>
      <c r="AR59" s="11">
        <v>9</v>
      </c>
      <c r="AS59" s="11">
        <v>6</v>
      </c>
      <c r="AT59" s="11">
        <v>5</v>
      </c>
      <c r="AU59" s="11">
        <v>3</v>
      </c>
      <c r="AV59" s="11">
        <v>4</v>
      </c>
      <c r="AW59" s="11" t="s">
        <v>44</v>
      </c>
      <c r="AX59" s="11">
        <v>1</v>
      </c>
      <c r="AY59" s="11">
        <v>8</v>
      </c>
      <c r="AZ59" s="11" t="s">
        <v>45</v>
      </c>
      <c r="BA59" s="11" t="s">
        <v>46</v>
      </c>
      <c r="BB59" s="5"/>
      <c r="BC59" s="1">
        <f ca="1">OFFSET(A59,0, 8) -0</f>
        <v>44.677277173239531</v>
      </c>
      <c r="BD59" s="1">
        <f ca="1">OFFSET(A59,0, 2) -0</f>
        <v>8.6914245153107004</v>
      </c>
      <c r="BE59" s="1">
        <f ca="1">OFFSET(A59,0, 5) -0</f>
        <v>-23.315649155724714</v>
      </c>
      <c r="BF59" s="1">
        <f ca="1">OFFSET(A59,0, 7) -0</f>
        <v>45.346301730251525</v>
      </c>
      <c r="BG59" s="1">
        <f ca="1">OFFSET(A59,0, 6) -0</f>
        <v>-33.984673712736821</v>
      </c>
      <c r="BH59" s="1">
        <f ca="1">OFFSET(A59,0, 3) -0</f>
        <v>28.022399958299047</v>
      </c>
      <c r="BI59" s="1">
        <f ca="1">OFFSET(A59,0, 1) -0</f>
        <v>29.360449072322808</v>
      </c>
      <c r="BJ59" s="1">
        <f ca="1">OFFSET(A59,0, 10) -0</f>
        <v>-46.66077194078423</v>
      </c>
      <c r="BK59" s="1">
        <f ca="1">OFFSET(A59,0, 4) -0</f>
        <v>-42.646624598713061</v>
      </c>
      <c r="BL59" s="1">
        <f ca="1">OFFSET(A59,0, 9) -0</f>
        <v>-35.991747383772349</v>
      </c>
      <c r="BM59" s="1">
        <f ca="1">OFFSET(A59,0, 12) -0</f>
        <v>12.001178945192009</v>
      </c>
      <c r="BN59" s="1">
        <f ca="1">OFFSET(A59,0, 11) -0</f>
        <v>-27.32979649779611</v>
      </c>
      <c r="BO59" s="1">
        <f ca="1">OFFSET(A59,0, 21) -0</f>
        <v>45.979957932085199</v>
      </c>
      <c r="BP59" s="1">
        <f ca="1">OFFSET(A59,0, 13) -0</f>
        <v>61.332154388180129</v>
      </c>
      <c r="BQ59" s="1">
        <f ca="1">OFFSET(A59,0, 18) -0</f>
        <v>-12.012968396879387</v>
      </c>
      <c r="BR59" s="1">
        <f ca="1">OFFSET(A59,0, 19) -0</f>
        <v>-22.68199295389104</v>
      </c>
      <c r="BS59" s="1">
        <f ca="1">OFFSET(A59,0, 17) -0</f>
        <v>-61.343943839867393</v>
      </c>
      <c r="BT59" s="1">
        <f ca="1">OFFSET(A59,0, 16) -0</f>
        <v>39.325080717144488</v>
      </c>
      <c r="BU59" s="1">
        <f ca="1">OFFSET(A59,0, 14) -0</f>
        <v>50.663129831168249</v>
      </c>
      <c r="BV59" s="1">
        <f ca="1">OFFSET(A59,0, 22) -0</f>
        <v>-34.689066624926909</v>
      </c>
      <c r="BW59" s="1">
        <f ca="1">OFFSET(A59,0, 15) -0</f>
        <v>19.994105274156368</v>
      </c>
      <c r="BX59" s="1">
        <f ca="1">OFFSET(A59,0, 20) -0</f>
        <v>16.648982489096852</v>
      </c>
      <c r="BY59" s="1">
        <f ca="1">OFFSET(A59,0, 23) -0</f>
        <v>-45.358091181938562</v>
      </c>
      <c r="BZ59" s="1">
        <f ca="1">OFFSET(A59,0, 24) -0</f>
        <v>-16.02711573895067</v>
      </c>
      <c r="CB59" s="1">
        <f>COUNTIF(B59,"&lt;-74")</f>
        <v>0</v>
      </c>
      <c r="CC59" s="1">
        <f ca="1">COUNTIF(BC59:BN59,"&lt;-53")</f>
        <v>0</v>
      </c>
      <c r="CD59" s="1">
        <f ca="1">COUNTIF(BC59:BN59,"&gt;+53")</f>
        <v>0</v>
      </c>
      <c r="CE59" s="1">
        <f ca="1">COUNTIF(BO59:BZ59,"&lt;-53")</f>
        <v>1</v>
      </c>
      <c r="CF59" s="1">
        <f ca="1">COUNTIF(BO59:BZ59,"&gt;+53")</f>
        <v>1</v>
      </c>
    </row>
    <row r="60" spans="1:84">
      <c r="A60" s="1">
        <v>57</v>
      </c>
      <c r="B60" s="1">
        <f>'Touch 1 1'!B60-'Touch 1 1'!$AA60-('Touch 1 1'!B$2- 12.5)*'Touch 1 1'!$AC60</f>
        <v>24.269024774527225</v>
      </c>
      <c r="C60" s="1">
        <f>'Touch 1 1'!C60-'Touch 1 1'!$AA60-('Touch 1 1'!C$2- 12.5)*'Touch 1 1'!$AC60</f>
        <v>13.82534146080161</v>
      </c>
      <c r="D60" s="1">
        <f>'Touch 1 1'!D60-'Touch 1 1'!$AA60-('Touch 1 1'!D$2- 12.5)*'Touch 1 1'!$AC60</f>
        <v>43.38165814707645</v>
      </c>
      <c r="E60" s="1">
        <f>'Touch 1 1'!E60-'Touch 1 1'!$AA60-('Touch 1 1'!E$2- 12.5)*'Touch 1 1'!$AC60</f>
        <v>-17.062025166648937</v>
      </c>
      <c r="F60" s="1">
        <f>'Touch 1 1'!F60-'Touch 1 1'!$AA60-('Touch 1 1'!F$2- 12.5)*'Touch 1 1'!$AC60</f>
        <v>22.494291519625904</v>
      </c>
      <c r="G60" s="1">
        <f>'Touch 1 1'!G60-'Touch 1 1'!$AA60-('Touch 1 1'!G$2- 12.5)*'Touch 1 1'!$AC60</f>
        <v>62.050608205900517</v>
      </c>
      <c r="H60" s="1">
        <f>'Touch 1 1'!H60-'Touch 1 1'!$AA60-('Touch 1 1'!H$2- 12.5)*'Touch 1 1'!$AC60</f>
        <v>-48.39307510782487</v>
      </c>
      <c r="I60" s="1">
        <f>'Touch 1 1'!I60-'Touch 1 1'!$AA60-('Touch 1 1'!I$2- 12.5)*'Touch 1 1'!$AC60</f>
        <v>11.16324157844997</v>
      </c>
      <c r="J60" s="1">
        <f>'Touch 1 1'!J60-'Touch 1 1'!$AA60-('Touch 1 1'!J$2- 12.5)*'Touch 1 1'!$AC60</f>
        <v>-9.2804417352754172</v>
      </c>
      <c r="K60" s="1">
        <f>'Touch 1 1'!K60-'Touch 1 1'!$AA60-('Touch 1 1'!K$2- 12.5)*'Touch 1 1'!$AC60</f>
        <v>10.275874950999309</v>
      </c>
      <c r="L60" s="1">
        <f>'Touch 1 1'!L60-'Touch 1 1'!$AA60-('Touch 1 1'!L$2- 12.5)*'Touch 1 1'!$AC60</f>
        <v>-40.167808362725964</v>
      </c>
      <c r="M60" s="1">
        <f>'Touch 1 1'!M60-'Touch 1 1'!$AA60-('Touch 1 1'!M$2- 12.5)*'Touch 1 1'!$AC60</f>
        <v>9.3885083235487201</v>
      </c>
      <c r="N60" s="1">
        <f>'Touch 1 1'!N60-'Touch 1 1'!$AA60-('Touch 1 1'!N$2- 12.5)*'Touch 1 1'!$AC60</f>
        <v>-21.055174990176582</v>
      </c>
      <c r="O60" s="1">
        <f>'Touch 1 1'!O60-'Touch 1 1'!$AA60-('Touch 1 1'!O$2- 12.5)*'Touch 1 1'!$AC60</f>
        <v>48.501141696098102</v>
      </c>
      <c r="P60" s="1">
        <f>'Touch 1 1'!P60-'Touch 1 1'!$AA60-('Touch 1 1'!P$2- 12.5)*'Touch 1 1'!$AC60</f>
        <v>58.057458382372829</v>
      </c>
      <c r="Q60" s="1">
        <f>'Touch 1 1'!Q60-'Touch 1 1'!$AA60-('Touch 1 1'!Q$2- 12.5)*'Touch 1 1'!$AC60</f>
        <v>47.613775068647556</v>
      </c>
      <c r="R60" s="1">
        <f>'Touch 1 1'!R60-'Touch 1 1'!$AA60-('Touch 1 1'!R$2- 12.5)*'Touch 1 1'!$AC60</f>
        <v>17.170091754922169</v>
      </c>
      <c r="S60" s="1">
        <f>'Touch 1 1'!S60-'Touch 1 1'!$AA60-('Touch 1 1'!S$2- 12.5)*'Touch 1 1'!$AC60</f>
        <v>-63.273591558802991</v>
      </c>
      <c r="T60" s="1">
        <f>'Touch 1 1'!T60-'Touch 1 1'!$AA60-('Touch 1 1'!T$2- 12.5)*'Touch 1 1'!$AC60</f>
        <v>-113.71727487252838</v>
      </c>
      <c r="U60" s="1">
        <f>'Touch 1 1'!U60-'Touch 1 1'!$AA60-('Touch 1 1'!U$2- 12.5)*'Touch 1 1'!$AC60</f>
        <v>5.8390418137462348</v>
      </c>
      <c r="V60" s="1">
        <f>'Touch 1 1'!V60-'Touch 1 1'!$AA60-('Touch 1 1'!V$2- 12.5)*'Touch 1 1'!$AC60</f>
        <v>35.395358500021075</v>
      </c>
      <c r="W60" s="1">
        <f>'Touch 1 1'!W60-'Touch 1 1'!$AA60-('Touch 1 1'!W$2- 12.5)*'Touch 1 1'!$AC60</f>
        <v>-55.048324813704312</v>
      </c>
      <c r="X60" s="1">
        <f>'Touch 1 1'!X60-'Touch 1 1'!$AA60-('Touch 1 1'!X$2- 12.5)*'Touch 1 1'!$AC60</f>
        <v>-5.4920081274294716</v>
      </c>
      <c r="Y60" s="1">
        <f>'Touch 1 1'!Y60-'Touch 1 1'!$AA60-('Touch 1 1'!Y$2- 12.5)*'Touch 1 1'!$AC60</f>
        <v>-35.935691441155086</v>
      </c>
      <c r="AB60" s="1">
        <f>STDEV(B60:Y60)</f>
        <v>43.22412858424876</v>
      </c>
      <c r="AD60" s="11">
        <v>7</v>
      </c>
      <c r="AE60" s="11">
        <v>2</v>
      </c>
      <c r="AF60" s="11">
        <v>6</v>
      </c>
      <c r="AG60" s="11">
        <v>9</v>
      </c>
      <c r="AH60" s="11">
        <v>3</v>
      </c>
      <c r="AI60" s="11">
        <v>5</v>
      </c>
      <c r="AJ60" s="11" t="s">
        <v>44</v>
      </c>
      <c r="AK60" s="11">
        <v>4</v>
      </c>
      <c r="AL60" s="11">
        <v>8</v>
      </c>
      <c r="AM60" s="11">
        <v>1</v>
      </c>
      <c r="AN60" s="11" t="s">
        <v>46</v>
      </c>
      <c r="AO60" s="11" t="s">
        <v>45</v>
      </c>
      <c r="AP60" s="11">
        <v>7</v>
      </c>
      <c r="AQ60" s="11">
        <v>6</v>
      </c>
      <c r="AR60" s="11">
        <v>2</v>
      </c>
      <c r="AS60" s="11">
        <v>3</v>
      </c>
      <c r="AT60" s="11">
        <v>9</v>
      </c>
      <c r="AU60" s="11" t="s">
        <v>44</v>
      </c>
      <c r="AV60" s="11">
        <v>5</v>
      </c>
      <c r="AW60" s="11">
        <v>4</v>
      </c>
      <c r="AX60" s="11">
        <v>1</v>
      </c>
      <c r="AY60" s="11">
        <v>8</v>
      </c>
      <c r="AZ60" s="11" t="s">
        <v>45</v>
      </c>
      <c r="BA60" s="11" t="s">
        <v>46</v>
      </c>
      <c r="BB60" s="5"/>
      <c r="BC60" s="1">
        <f ca="1">OFFSET(A60,0, 10) -0</f>
        <v>10.275874950999309</v>
      </c>
      <c r="BD60" s="1">
        <f ca="1">OFFSET(A60,0, 2) -0</f>
        <v>13.82534146080161</v>
      </c>
      <c r="BE60" s="1">
        <f ca="1">OFFSET(A60,0, 5) -0</f>
        <v>22.494291519625904</v>
      </c>
      <c r="BF60" s="1">
        <f ca="1">OFFSET(A60,0, 8) -0</f>
        <v>11.16324157844997</v>
      </c>
      <c r="BG60" s="1">
        <f ca="1">OFFSET(A60,0, 6) -0</f>
        <v>62.050608205900517</v>
      </c>
      <c r="BH60" s="1">
        <f ca="1">OFFSET(A60,0, 3) -0</f>
        <v>43.38165814707645</v>
      </c>
      <c r="BI60" s="1">
        <f ca="1">OFFSET(A60,0, 1) -0</f>
        <v>24.269024774527225</v>
      </c>
      <c r="BJ60" s="1">
        <f ca="1">OFFSET(A60,0, 9) -0</f>
        <v>-9.2804417352754172</v>
      </c>
      <c r="BK60" s="1">
        <f ca="1">OFFSET(A60,0, 4) -0</f>
        <v>-17.062025166648937</v>
      </c>
      <c r="BL60" s="1">
        <f ca="1">OFFSET(A60,0, 7) -0</f>
        <v>-48.39307510782487</v>
      </c>
      <c r="BM60" s="1">
        <f ca="1">OFFSET(A60,0, 12) -0</f>
        <v>9.3885083235487201</v>
      </c>
      <c r="BN60" s="1">
        <f ca="1">OFFSET(A60,0, 11) -0</f>
        <v>-40.167808362725964</v>
      </c>
      <c r="BO60" s="1">
        <f ca="1">OFFSET(A60,0, 21) -0</f>
        <v>35.395358500021075</v>
      </c>
      <c r="BP60" s="1">
        <f ca="1">OFFSET(A60,0, 15) -0</f>
        <v>58.057458382372829</v>
      </c>
      <c r="BQ60" s="1">
        <f ca="1">OFFSET(A60,0, 16) -0</f>
        <v>47.613775068647556</v>
      </c>
      <c r="BR60" s="1">
        <f ca="1">OFFSET(A60,0, 20) -0</f>
        <v>5.8390418137462348</v>
      </c>
      <c r="BS60" s="1">
        <f ca="1">OFFSET(A60,0, 19) -0</f>
        <v>-113.71727487252838</v>
      </c>
      <c r="BT60" s="1">
        <f ca="1">OFFSET(A60,0, 14) -0</f>
        <v>48.501141696098102</v>
      </c>
      <c r="BU60" s="1">
        <f ca="1">OFFSET(A60,0, 13) -0</f>
        <v>-21.055174990176582</v>
      </c>
      <c r="BV60" s="1">
        <f ca="1">OFFSET(A60,0, 22) -0</f>
        <v>-55.048324813704312</v>
      </c>
      <c r="BW60" s="1">
        <f ca="1">OFFSET(A60,0, 17) -0</f>
        <v>17.170091754922169</v>
      </c>
      <c r="BX60" s="1">
        <f ca="1">OFFSET(A60,0, 18) -0</f>
        <v>-63.273591558802991</v>
      </c>
      <c r="BY60" s="1">
        <f ca="1">OFFSET(A60,0, 23) -0</f>
        <v>-5.4920081274294716</v>
      </c>
      <c r="BZ60" s="1">
        <f ca="1">OFFSET(A60,0, 24) -0</f>
        <v>-35.935691441155086</v>
      </c>
      <c r="CB60" s="1">
        <f>COUNTIF(B60,"&lt;-74")</f>
        <v>0</v>
      </c>
      <c r="CC60" s="1">
        <f ca="1">COUNTIF(BC60:BN60,"&lt;-53")</f>
        <v>0</v>
      </c>
      <c r="CD60" s="1">
        <f ca="1">COUNTIF(BC60:BN60,"&gt;+53")</f>
        <v>1</v>
      </c>
      <c r="CE60" s="1">
        <f ca="1">COUNTIF(BO60:BZ60,"&lt;-53")</f>
        <v>3</v>
      </c>
      <c r="CF60" s="1">
        <f ca="1">COUNTIF(BO60:BZ60,"&gt;+53")</f>
        <v>1</v>
      </c>
    </row>
    <row r="61" spans="1:84">
      <c r="A61" s="1">
        <v>58</v>
      </c>
      <c r="B61" s="1">
        <f>'Touch 1 1'!B61-'Touch 1 1'!$AA61-('Touch 1 1'!B$2- 12.5)*'Touch 1 1'!$AC61</f>
        <v>2.822513039234309</v>
      </c>
      <c r="C61" s="1">
        <f>'Touch 1 1'!C61-'Touch 1 1'!$AA61-('Touch 1 1'!C$2- 12.5)*'Touch 1 1'!$AC61</f>
        <v>2.1785263981432763</v>
      </c>
      <c r="D61" s="1">
        <f>'Touch 1 1'!D61-'Touch 1 1'!$AA61-('Touch 1 1'!D$2- 12.5)*'Touch 1 1'!$AC61</f>
        <v>31.534539757052016</v>
      </c>
      <c r="E61" s="1">
        <f>'Touch 1 1'!E61-'Touch 1 1'!$AA61-('Touch 1 1'!E$2- 12.5)*'Touch 1 1'!$AC61</f>
        <v>20.890553115960756</v>
      </c>
      <c r="F61" s="1">
        <f>'Touch 1 1'!F61-'Touch 1 1'!$AA61-('Touch 1 1'!F$2- 12.5)*'Touch 1 1'!$AC61</f>
        <v>-39.753433525130276</v>
      </c>
      <c r="G61" s="1">
        <f>'Touch 1 1'!G61-'Touch 1 1'!$AA61-('Touch 1 1'!G$2- 12.5)*'Touch 1 1'!$AC61</f>
        <v>-50.397420166221536</v>
      </c>
      <c r="H61" s="1">
        <f>'Touch 1 1'!H61-'Touch 1 1'!$AA61-('Touch 1 1'!H$2- 12.5)*'Touch 1 1'!$AC61</f>
        <v>-31.041406807312569</v>
      </c>
      <c r="I61" s="1">
        <f>'Touch 1 1'!I61-'Touch 1 1'!$AA61-('Touch 1 1'!I$2- 12.5)*'Touch 1 1'!$AC61</f>
        <v>38.314606551596171</v>
      </c>
      <c r="J61" s="1">
        <f>'Touch 1 1'!J61-'Touch 1 1'!$AA61-('Touch 1 1'!J$2- 12.5)*'Touch 1 1'!$AC61</f>
        <v>-32.329380089494862</v>
      </c>
      <c r="K61" s="1">
        <f>'Touch 1 1'!K61-'Touch 1 1'!$AA61-('Touch 1 1'!K$2- 12.5)*'Touch 1 1'!$AC61</f>
        <v>17.026633269413878</v>
      </c>
      <c r="L61" s="1">
        <f>'Touch 1 1'!L61-'Touch 1 1'!$AA61-('Touch 1 1'!L$2- 12.5)*'Touch 1 1'!$AC61</f>
        <v>-33.617353371677211</v>
      </c>
      <c r="M61" s="1">
        <f>'Touch 1 1'!M61-'Touch 1 1'!$AA61-('Touch 1 1'!M$2- 12.5)*'Touch 1 1'!$AC61</f>
        <v>25.738659987231642</v>
      </c>
      <c r="N61" s="1">
        <f>'Touch 1 1'!N61-'Touch 1 1'!$AA61-('Touch 1 1'!N$2- 12.5)*'Touch 1 1'!$AC61</f>
        <v>45.094673346140496</v>
      </c>
      <c r="O61" s="1">
        <f>'Touch 1 1'!O61-'Touch 1 1'!$AA61-('Touch 1 1'!O$2- 12.5)*'Touch 1 1'!$AC61</f>
        <v>74.45068670504935</v>
      </c>
      <c r="P61" s="1">
        <f>'Touch 1 1'!P61-'Touch 1 1'!$AA61-('Touch 1 1'!P$2- 12.5)*'Touch 1 1'!$AC61</f>
        <v>23.80670006395826</v>
      </c>
      <c r="Q61" s="1">
        <f>'Touch 1 1'!Q61-'Touch 1 1'!$AA61-('Touch 1 1'!Q$2- 12.5)*'Touch 1 1'!$AC61</f>
        <v>-6.8372865771329998</v>
      </c>
      <c r="R61" s="1">
        <f>'Touch 1 1'!R61-'Touch 1 1'!$AA61-('Touch 1 1'!R$2- 12.5)*'Touch 1 1'!$AC61</f>
        <v>22.518726781775968</v>
      </c>
      <c r="S61" s="1">
        <f>'Touch 1 1'!S61-'Touch 1 1'!$AA61-('Touch 1 1'!S$2- 12.5)*'Touch 1 1'!$AC61</f>
        <v>-58.125259859315292</v>
      </c>
      <c r="T61" s="1">
        <f>'Touch 1 1'!T61-'Touch 1 1'!$AA61-('Touch 1 1'!T$2- 12.5)*'Touch 1 1'!$AC61</f>
        <v>-38.769246500406325</v>
      </c>
      <c r="U61" s="1">
        <f>'Touch 1 1'!U61-'Touch 1 1'!$AA61-('Touch 1 1'!U$2- 12.5)*'Touch 1 1'!$AC61</f>
        <v>-9.4132331414975852</v>
      </c>
      <c r="V61" s="1">
        <f>'Touch 1 1'!V61-'Touch 1 1'!$AA61-('Touch 1 1'!V$2- 12.5)*'Touch 1 1'!$AC61</f>
        <v>-10.057219782588618</v>
      </c>
      <c r="W61" s="1">
        <f>'Touch 1 1'!W61-'Touch 1 1'!$AA61-('Touch 1 1'!W$2- 12.5)*'Touch 1 1'!$AC61</f>
        <v>-10.701206423679878</v>
      </c>
      <c r="X61" s="1">
        <f>'Touch 1 1'!X61-'Touch 1 1'!$AA61-('Touch 1 1'!X$2- 12.5)*'Touch 1 1'!$AC61</f>
        <v>-21.345193064771138</v>
      </c>
      <c r="Y61" s="1">
        <f>'Touch 1 1'!Y61-'Touch 1 1'!$AA61-('Touch 1 1'!Y$2- 12.5)*'Touch 1 1'!$AC61</f>
        <v>38.010820294137829</v>
      </c>
      <c r="AB61" s="1">
        <f>STDEV(B61:Y61)</f>
        <v>34.202984768955545</v>
      </c>
      <c r="AD61" s="11">
        <v>6</v>
      </c>
      <c r="AE61" s="11">
        <v>7</v>
      </c>
      <c r="AF61" s="11">
        <v>3</v>
      </c>
      <c r="AG61" s="11">
        <v>2</v>
      </c>
      <c r="AH61" s="11" t="s">
        <v>44</v>
      </c>
      <c r="AI61" s="11">
        <v>9</v>
      </c>
      <c r="AJ61" s="11">
        <v>4</v>
      </c>
      <c r="AK61" s="11">
        <v>5</v>
      </c>
      <c r="AL61" s="11">
        <v>8</v>
      </c>
      <c r="AM61" s="11">
        <v>1</v>
      </c>
      <c r="AN61" s="11" t="s">
        <v>46</v>
      </c>
      <c r="AO61" s="11" t="s">
        <v>45</v>
      </c>
      <c r="AP61" s="11">
        <v>7</v>
      </c>
      <c r="AQ61" s="11">
        <v>6</v>
      </c>
      <c r="AR61" s="11">
        <v>2</v>
      </c>
      <c r="AS61" s="11">
        <v>3</v>
      </c>
      <c r="AT61" s="11">
        <v>9</v>
      </c>
      <c r="AU61" s="11" t="s">
        <v>44</v>
      </c>
      <c r="AV61" s="11">
        <v>5</v>
      </c>
      <c r="AW61" s="11">
        <v>4</v>
      </c>
      <c r="AX61" s="11">
        <v>8</v>
      </c>
      <c r="AY61" s="11" t="s">
        <v>46</v>
      </c>
      <c r="AZ61" s="11">
        <v>1</v>
      </c>
      <c r="BA61" s="11" t="s">
        <v>45</v>
      </c>
      <c r="BB61" s="5"/>
      <c r="BC61" s="1">
        <f ca="1">OFFSET(A61,0, 10) -0</f>
        <v>17.026633269413878</v>
      </c>
      <c r="BD61" s="1">
        <f ca="1">OFFSET(A61,0, 4) -0</f>
        <v>20.890553115960756</v>
      </c>
      <c r="BE61" s="1">
        <f ca="1">OFFSET(A61,0, 3) -0</f>
        <v>31.534539757052016</v>
      </c>
      <c r="BF61" s="1">
        <f ca="1">OFFSET(A61,0, 7) -0</f>
        <v>-31.041406807312569</v>
      </c>
      <c r="BG61" s="1">
        <f ca="1">OFFSET(A61,0, 8) -0</f>
        <v>38.314606551596171</v>
      </c>
      <c r="BH61" s="1">
        <f ca="1">OFFSET(A61,0, 1) -0</f>
        <v>2.822513039234309</v>
      </c>
      <c r="BI61" s="1">
        <f ca="1">OFFSET(A61,0, 2) -0</f>
        <v>2.1785263981432763</v>
      </c>
      <c r="BJ61" s="1">
        <f ca="1">OFFSET(A61,0, 9) -0</f>
        <v>-32.329380089494862</v>
      </c>
      <c r="BK61" s="1">
        <f ca="1">OFFSET(A61,0, 6) -0</f>
        <v>-50.397420166221536</v>
      </c>
      <c r="BL61" s="1">
        <f ca="1">OFFSET(A61,0, 5) -0</f>
        <v>-39.753433525130276</v>
      </c>
      <c r="BM61" s="1">
        <f ca="1">OFFSET(A61,0, 12) -0</f>
        <v>25.738659987231642</v>
      </c>
      <c r="BN61" s="1">
        <f ca="1">OFFSET(A61,0, 11) -0</f>
        <v>-33.617353371677211</v>
      </c>
      <c r="BO61" s="1">
        <f ca="1">OFFSET(A61,0, 23) -0</f>
        <v>-21.345193064771138</v>
      </c>
      <c r="BP61" s="1">
        <f ca="1">OFFSET(A61,0, 15) -0</f>
        <v>23.80670006395826</v>
      </c>
      <c r="BQ61" s="1">
        <f ca="1">OFFSET(A61,0, 16) -0</f>
        <v>-6.8372865771329998</v>
      </c>
      <c r="BR61" s="1">
        <f ca="1">OFFSET(A61,0, 20) -0</f>
        <v>-9.4132331414975852</v>
      </c>
      <c r="BS61" s="1">
        <f ca="1">OFFSET(A61,0, 19) -0</f>
        <v>-38.769246500406325</v>
      </c>
      <c r="BT61" s="1">
        <f ca="1">OFFSET(A61,0, 14) -0</f>
        <v>74.45068670504935</v>
      </c>
      <c r="BU61" s="1">
        <f ca="1">OFFSET(A61,0, 13) -0</f>
        <v>45.094673346140496</v>
      </c>
      <c r="BV61" s="1">
        <f ca="1">OFFSET(A61,0, 21) -0</f>
        <v>-10.057219782588618</v>
      </c>
      <c r="BW61" s="1">
        <f ca="1">OFFSET(A61,0, 17) -0</f>
        <v>22.518726781775968</v>
      </c>
      <c r="BX61" s="1">
        <f ca="1">OFFSET(A61,0, 18) -0</f>
        <v>-58.125259859315292</v>
      </c>
      <c r="BY61" s="1">
        <f ca="1">OFFSET(A61,0, 24) -0</f>
        <v>38.010820294137829</v>
      </c>
      <c r="BZ61" s="1">
        <f ca="1">OFFSET(A61,0, 22) -0</f>
        <v>-10.701206423679878</v>
      </c>
      <c r="CB61" s="1">
        <f>COUNTIF(B61,"&lt;-74")</f>
        <v>0</v>
      </c>
      <c r="CC61" s="1">
        <f ca="1">COUNTIF(BC61:BN61,"&lt;-53")</f>
        <v>0</v>
      </c>
      <c r="CD61" s="1">
        <f ca="1">COUNTIF(BC61:BN61,"&gt;+53")</f>
        <v>0</v>
      </c>
      <c r="CE61" s="1">
        <f ca="1">COUNTIF(BO61:BZ61,"&lt;-53")</f>
        <v>1</v>
      </c>
      <c r="CF61" s="1">
        <f ca="1">COUNTIF(BO61:BZ61,"&gt;+53")</f>
        <v>1</v>
      </c>
    </row>
    <row r="62" spans="1:84">
      <c r="A62" s="1">
        <v>59</v>
      </c>
      <c r="B62" s="1">
        <f>'Touch 1 1'!B62-'Touch 1 1'!$AA62-('Touch 1 1'!B$2- 12.5)*'Touch 1 1'!$AC62</f>
        <v>48.786854196105196</v>
      </c>
      <c r="C62" s="1">
        <f>'Touch 1 1'!C62-'Touch 1 1'!$AA62-('Touch 1 1'!C$2- 12.5)*'Touch 1 1'!$AC62</f>
        <v>28.276403106590351</v>
      </c>
      <c r="D62" s="1">
        <f>'Touch 1 1'!D62-'Touch 1 1'!$AA62-('Touch 1 1'!D$2- 12.5)*'Touch 1 1'!$AC62</f>
        <v>7.7659520170757332</v>
      </c>
      <c r="E62" s="1">
        <f>'Touch 1 1'!E62-'Touch 1 1'!$AA62-('Touch 1 1'!E$2- 12.5)*'Touch 1 1'!$AC62</f>
        <v>7.2555009275611155</v>
      </c>
      <c r="F62" s="1">
        <f>'Touch 1 1'!F62-'Touch 1 1'!$AA62-('Touch 1 1'!F$2- 12.5)*'Touch 1 1'!$AC62</f>
        <v>-63.25495016195373</v>
      </c>
      <c r="G62" s="1">
        <f>'Touch 1 1'!G62-'Touch 1 1'!$AA62-('Touch 1 1'!G$2- 12.5)*'Touch 1 1'!$AC62</f>
        <v>-23.765401251468347</v>
      </c>
      <c r="H62" s="1">
        <f>'Touch 1 1'!H62-'Touch 1 1'!$AA62-('Touch 1 1'!H$2- 12.5)*'Touch 1 1'!$AC62</f>
        <v>-14.275852340982965</v>
      </c>
      <c r="I62" s="1">
        <f>'Touch 1 1'!I62-'Touch 1 1'!$AA62-('Touch 1 1'!I$2- 12.5)*'Touch 1 1'!$AC62</f>
        <v>35.21369656950219</v>
      </c>
      <c r="J62" s="1">
        <f>'Touch 1 1'!J62-'Touch 1 1'!$AA62-('Touch 1 1'!J$2- 12.5)*'Touch 1 1'!$AC62</f>
        <v>-35.296754520012428</v>
      </c>
      <c r="K62" s="1">
        <f>'Touch 1 1'!K62-'Touch 1 1'!$AA62-('Touch 1 1'!K$2- 12.5)*'Touch 1 1'!$AC62</f>
        <v>-5.8072056095271591</v>
      </c>
      <c r="L62" s="1">
        <f>'Touch 1 1'!L62-'Touch 1 1'!$AA62-('Touch 1 1'!L$2- 12.5)*'Touch 1 1'!$AC62</f>
        <v>73.682343300958109</v>
      </c>
      <c r="M62" s="1">
        <f>'Touch 1 1'!M62-'Touch 1 1'!$AA62-('Touch 1 1'!M$2- 12.5)*'Touch 1 1'!$AC62</f>
        <v>63.171892211443421</v>
      </c>
      <c r="N62" s="1">
        <f>'Touch 1 1'!N62-'Touch 1 1'!$AA62-('Touch 1 1'!N$2- 12.5)*'Touch 1 1'!$AC62</f>
        <v>2.6614411219287177</v>
      </c>
      <c r="O62" s="1">
        <f>'Touch 1 1'!O62-'Touch 1 1'!$AA62-('Touch 1 1'!O$2- 12.5)*'Touch 1 1'!$AC62</f>
        <v>32.150990032414029</v>
      </c>
      <c r="P62" s="1">
        <f>'Touch 1 1'!P62-'Touch 1 1'!$AA62-('Touch 1 1'!P$2- 12.5)*'Touch 1 1'!$AC62</f>
        <v>-8.3594610571007024</v>
      </c>
      <c r="Q62" s="1">
        <f>'Touch 1 1'!Q62-'Touch 1 1'!$AA62-('Touch 1 1'!Q$2- 12.5)*'Touch 1 1'!$AC62</f>
        <v>-18.869912146615434</v>
      </c>
      <c r="R62" s="1">
        <f>'Touch 1 1'!R62-'Touch 1 1'!$AA62-('Touch 1 1'!R$2- 12.5)*'Touch 1 1'!$AC62</f>
        <v>-19.380363236130052</v>
      </c>
      <c r="S62" s="1">
        <f>'Touch 1 1'!S62-'Touch 1 1'!$AA62-('Touch 1 1'!S$2- 12.5)*'Touch 1 1'!$AC62</f>
        <v>-19.890814325644897</v>
      </c>
      <c r="T62" s="1">
        <f>'Touch 1 1'!T62-'Touch 1 1'!$AA62-('Touch 1 1'!T$2- 12.5)*'Touch 1 1'!$AC62</f>
        <v>19.598734584840486</v>
      </c>
      <c r="U62" s="1">
        <f>'Touch 1 1'!U62-'Touch 1 1'!$AA62-('Touch 1 1'!U$2- 12.5)*'Touch 1 1'!$AC62</f>
        <v>19.088283495325868</v>
      </c>
      <c r="V62" s="1">
        <f>'Touch 1 1'!V62-'Touch 1 1'!$AA62-('Touch 1 1'!V$2- 12.5)*'Touch 1 1'!$AC62</f>
        <v>-101.42216759418898</v>
      </c>
      <c r="W62" s="1">
        <f>'Touch 1 1'!W62-'Touch 1 1'!$AA62-('Touch 1 1'!W$2- 12.5)*'Touch 1 1'!$AC62</f>
        <v>-11.932618683703595</v>
      </c>
      <c r="X62" s="1">
        <f>'Touch 1 1'!X62-'Touch 1 1'!$AA62-('Touch 1 1'!X$2- 12.5)*'Touch 1 1'!$AC62</f>
        <v>-12.443069773218213</v>
      </c>
      <c r="Y62" s="1">
        <f>'Touch 1 1'!Y62-'Touch 1 1'!$AA62-('Touch 1 1'!Y$2- 12.5)*'Touch 1 1'!$AC62</f>
        <v>-2.9535208627330576</v>
      </c>
      <c r="AB62" s="1">
        <f>STDEV(B62:Y62)</f>
        <v>38.210315189408966</v>
      </c>
      <c r="AD62" s="11">
        <v>6</v>
      </c>
      <c r="AE62" s="11">
        <v>7</v>
      </c>
      <c r="AF62" s="11">
        <v>3</v>
      </c>
      <c r="AG62" s="11">
        <v>2</v>
      </c>
      <c r="AH62" s="11" t="s">
        <v>44</v>
      </c>
      <c r="AI62" s="11">
        <v>9</v>
      </c>
      <c r="AJ62" s="11">
        <v>4</v>
      </c>
      <c r="AK62" s="11">
        <v>5</v>
      </c>
      <c r="AL62" s="11" t="s">
        <v>46</v>
      </c>
      <c r="AM62" s="11">
        <v>8</v>
      </c>
      <c r="AN62" s="11" t="s">
        <v>45</v>
      </c>
      <c r="AO62" s="11">
        <v>1</v>
      </c>
      <c r="AP62" s="11">
        <v>6</v>
      </c>
      <c r="AQ62" s="11">
        <v>3</v>
      </c>
      <c r="AR62" s="11">
        <v>7</v>
      </c>
      <c r="AS62" s="11" t="s">
        <v>44</v>
      </c>
      <c r="AT62" s="11">
        <v>2</v>
      </c>
      <c r="AU62" s="11">
        <v>4</v>
      </c>
      <c r="AV62" s="11">
        <v>9</v>
      </c>
      <c r="AW62" s="11" t="s">
        <v>46</v>
      </c>
      <c r="AX62" s="11">
        <v>5</v>
      </c>
      <c r="AY62" s="11">
        <v>8</v>
      </c>
      <c r="AZ62" s="11">
        <v>1</v>
      </c>
      <c r="BA62" s="11" t="s">
        <v>45</v>
      </c>
      <c r="BB62" s="5"/>
      <c r="BC62" s="1">
        <f ca="1">OFFSET(A62,0, 12) -0</f>
        <v>63.171892211443421</v>
      </c>
      <c r="BD62" s="1">
        <f ca="1">OFFSET(A62,0, 4) -0</f>
        <v>7.2555009275611155</v>
      </c>
      <c r="BE62" s="1">
        <f ca="1">OFFSET(A62,0, 3) -0</f>
        <v>7.7659520170757332</v>
      </c>
      <c r="BF62" s="1">
        <f ca="1">OFFSET(A62,0, 7) -0</f>
        <v>-14.275852340982965</v>
      </c>
      <c r="BG62" s="1">
        <f ca="1">OFFSET(A62,0, 8) -0</f>
        <v>35.21369656950219</v>
      </c>
      <c r="BH62" s="1">
        <f ca="1">OFFSET(A62,0, 1) -0</f>
        <v>48.786854196105196</v>
      </c>
      <c r="BI62" s="1">
        <f ca="1">OFFSET(A62,0, 2) -0</f>
        <v>28.276403106590351</v>
      </c>
      <c r="BJ62" s="1">
        <f ca="1">OFFSET(A62,0, 10) -0</f>
        <v>-5.8072056095271591</v>
      </c>
      <c r="BK62" s="1">
        <f ca="1">OFFSET(A62,0, 6) -0</f>
        <v>-23.765401251468347</v>
      </c>
      <c r="BL62" s="1">
        <f ca="1">OFFSET(A62,0, 5) -0</f>
        <v>-63.25495016195373</v>
      </c>
      <c r="BM62" s="1">
        <f ca="1">OFFSET(A62,0, 11) -0</f>
        <v>73.682343300958109</v>
      </c>
      <c r="BN62" s="1">
        <f ca="1">OFFSET(A62,0, 9) -0</f>
        <v>-35.296754520012428</v>
      </c>
      <c r="BO62" s="1">
        <f ca="1">OFFSET(A62,0, 23) -0</f>
        <v>-12.443069773218213</v>
      </c>
      <c r="BP62" s="1">
        <f ca="1">OFFSET(A62,0, 17) -0</f>
        <v>-19.380363236130052</v>
      </c>
      <c r="BQ62" s="1">
        <f ca="1">OFFSET(A62,0, 14) -0</f>
        <v>32.150990032414029</v>
      </c>
      <c r="BR62" s="1">
        <f ca="1">OFFSET(A62,0, 18) -0</f>
        <v>-19.890814325644897</v>
      </c>
      <c r="BS62" s="1">
        <f ca="1">OFFSET(A62,0, 21) -0</f>
        <v>-101.42216759418898</v>
      </c>
      <c r="BT62" s="1">
        <f ca="1">OFFSET(A62,0, 13) -0</f>
        <v>2.6614411219287177</v>
      </c>
      <c r="BU62" s="1">
        <f ca="1">OFFSET(A62,0, 15) -0</f>
        <v>-8.3594610571007024</v>
      </c>
      <c r="BV62" s="1">
        <f ca="1">OFFSET(A62,0, 22) -0</f>
        <v>-11.932618683703595</v>
      </c>
      <c r="BW62" s="1">
        <f ca="1">OFFSET(A62,0, 19) -0</f>
        <v>19.598734584840486</v>
      </c>
      <c r="BX62" s="1">
        <f ca="1">OFFSET(A62,0, 16) -0</f>
        <v>-18.869912146615434</v>
      </c>
      <c r="BY62" s="1">
        <f ca="1">OFFSET(A62,0, 24) -0</f>
        <v>-2.9535208627330576</v>
      </c>
      <c r="BZ62" s="1">
        <f ca="1">OFFSET(A62,0, 20) -0</f>
        <v>19.088283495325868</v>
      </c>
      <c r="CB62" s="1">
        <f>COUNTIF(B62,"&lt;-74")</f>
        <v>0</v>
      </c>
      <c r="CC62" s="1">
        <f ca="1">COUNTIF(BC62:BN62,"&lt;-53")</f>
        <v>1</v>
      </c>
      <c r="CD62" s="1">
        <f ca="1">COUNTIF(BC62:BN62,"&gt;+53")</f>
        <v>2</v>
      </c>
      <c r="CE62" s="1">
        <f ca="1">COUNTIF(BO62:BZ62,"&lt;-53")</f>
        <v>1</v>
      </c>
      <c r="CF62" s="1">
        <f ca="1">COUNTIF(BO62:BZ62,"&gt;+53")</f>
        <v>0</v>
      </c>
    </row>
    <row r="63" spans="1:84">
      <c r="A63" s="1">
        <v>60</v>
      </c>
      <c r="B63" s="1">
        <f>'Touch 1 1'!B63-'Touch 1 1'!$AA63-('Touch 1 1'!B$2- 12.5)*'Touch 1 1'!$AC63</f>
        <v>61.031670118855345</v>
      </c>
      <c r="C63" s="1">
        <f>'Touch 1 1'!C63-'Touch 1 1'!$AA63-('Touch 1 1'!C$2- 12.5)*'Touch 1 1'!$AC63</f>
        <v>30.579640833156191</v>
      </c>
      <c r="D63" s="1">
        <f>'Touch 1 1'!D63-'Touch 1 1'!$AA63-('Touch 1 1'!D$2- 12.5)*'Touch 1 1'!$AC63</f>
        <v>-9.8723884525429639</v>
      </c>
      <c r="E63" s="1">
        <f>'Touch 1 1'!E63-'Touch 1 1'!$AA63-('Touch 1 1'!E$2- 12.5)*'Touch 1 1'!$AC63</f>
        <v>29.675582261757654</v>
      </c>
      <c r="F63" s="1">
        <f>'Touch 1 1'!F63-'Touch 1 1'!$AA63-('Touch 1 1'!F$2- 12.5)*'Touch 1 1'!$AC63</f>
        <v>9.2235529760584996</v>
      </c>
      <c r="G63" s="1">
        <f>'Touch 1 1'!G63-'Touch 1 1'!$AA63-('Touch 1 1'!G$2- 12.5)*'Touch 1 1'!$AC63</f>
        <v>-11.228476309640882</v>
      </c>
      <c r="H63" s="1">
        <f>'Touch 1 1'!H63-'Touch 1 1'!$AA63-('Touch 1 1'!H$2- 12.5)*'Touch 1 1'!$AC63</f>
        <v>38.319494404659963</v>
      </c>
      <c r="I63" s="1">
        <f>'Touch 1 1'!I63-'Touch 1 1'!$AA63-('Touch 1 1'!I$2- 12.5)*'Touch 1 1'!$AC63</f>
        <v>-52.132534881039419</v>
      </c>
      <c r="J63" s="1">
        <f>'Touch 1 1'!J63-'Touch 1 1'!$AA63-('Touch 1 1'!J$2- 12.5)*'Touch 1 1'!$AC63</f>
        <v>-32.584564166738573</v>
      </c>
      <c r="K63" s="1">
        <f>'Touch 1 1'!K63-'Touch 1 1'!$AA63-('Touch 1 1'!K$2- 12.5)*'Touch 1 1'!$AC63</f>
        <v>-63.036593452437955</v>
      </c>
      <c r="L63" s="1">
        <f>'Touch 1 1'!L63-'Touch 1 1'!$AA63-('Touch 1 1'!L$2- 12.5)*'Touch 1 1'!$AC63</f>
        <v>36.511377261862833</v>
      </c>
      <c r="M63" s="1">
        <f>'Touch 1 1'!M63-'Touch 1 1'!$AA63-('Touch 1 1'!M$2- 12.5)*'Touch 1 1'!$AC63</f>
        <v>-13.940652023836435</v>
      </c>
      <c r="N63" s="1">
        <f>'Touch 1 1'!N63-'Touch 1 1'!$AA63-('Touch 1 1'!N$2- 12.5)*'Touch 1 1'!$AC63</f>
        <v>25.607318690464297</v>
      </c>
      <c r="O63" s="1">
        <f>'Touch 1 1'!O63-'Touch 1 1'!$AA63-('Touch 1 1'!O$2- 12.5)*'Touch 1 1'!$AC63</f>
        <v>55.155289404765028</v>
      </c>
      <c r="P63" s="1">
        <f>'Touch 1 1'!P63-'Touch 1 1'!$AA63-('Touch 1 1'!P$2- 12.5)*'Touch 1 1'!$AC63</f>
        <v>-35.296739880934183</v>
      </c>
      <c r="Q63" s="1">
        <f>'Touch 1 1'!Q63-'Touch 1 1'!$AA63-('Touch 1 1'!Q$2- 12.5)*'Touch 1 1'!$AC63</f>
        <v>-15.748769166633565</v>
      </c>
      <c r="R63" s="1">
        <f>'Touch 1 1'!R63-'Touch 1 1'!$AA63-('Touch 1 1'!R$2- 12.5)*'Touch 1 1'!$AC63</f>
        <v>33.79920154766728</v>
      </c>
      <c r="S63" s="1">
        <f>'Touch 1 1'!S63-'Touch 1 1'!$AA63-('Touch 1 1'!S$2- 12.5)*'Touch 1 1'!$AC63</f>
        <v>33.347172261967899</v>
      </c>
      <c r="T63" s="1">
        <f>'Touch 1 1'!T63-'Touch 1 1'!$AA63-('Touch 1 1'!T$2- 12.5)*'Touch 1 1'!$AC63</f>
        <v>32.895142976268744</v>
      </c>
      <c r="U63" s="1">
        <f>'Touch 1 1'!U63-'Touch 1 1'!$AA63-('Touch 1 1'!U$2- 12.5)*'Touch 1 1'!$AC63</f>
        <v>-37.556886309430638</v>
      </c>
      <c r="V63" s="1">
        <f>'Touch 1 1'!V63-'Touch 1 1'!$AA63-('Touch 1 1'!V$2- 12.5)*'Touch 1 1'!$AC63</f>
        <v>-138.00891559512979</v>
      </c>
      <c r="W63" s="1">
        <f>'Touch 1 1'!W63-'Touch 1 1'!$AA63-('Touch 1 1'!W$2- 12.5)*'Touch 1 1'!$AC63</f>
        <v>-58.460944880829175</v>
      </c>
      <c r="X63" s="1">
        <f>'Touch 1 1'!X63-'Touch 1 1'!$AA63-('Touch 1 1'!X$2- 12.5)*'Touch 1 1'!$AC63</f>
        <v>1.0870258334716709</v>
      </c>
      <c r="Y63" s="1">
        <f>'Touch 1 1'!Y63-'Touch 1 1'!$AA63-('Touch 1 1'!Y$2- 12.5)*'Touch 1 1'!$AC63</f>
        <v>80.634996547772516</v>
      </c>
      <c r="AB63" s="1">
        <f>STDEV(B63:Y63)</f>
        <v>49.124637748284087</v>
      </c>
      <c r="AD63" s="11">
        <v>3</v>
      </c>
      <c r="AE63" s="11">
        <v>6</v>
      </c>
      <c r="AF63" s="11" t="s">
        <v>44</v>
      </c>
      <c r="AG63" s="11">
        <v>7</v>
      </c>
      <c r="AH63" s="11">
        <v>4</v>
      </c>
      <c r="AI63" s="11">
        <v>2</v>
      </c>
      <c r="AJ63" s="11" t="s">
        <v>46</v>
      </c>
      <c r="AK63" s="11">
        <v>9</v>
      </c>
      <c r="AL63" s="11">
        <v>8</v>
      </c>
      <c r="AM63" s="11">
        <v>5</v>
      </c>
      <c r="AN63" s="11" t="s">
        <v>45</v>
      </c>
      <c r="AO63" s="11">
        <v>1</v>
      </c>
      <c r="AP63" s="11">
        <v>6</v>
      </c>
      <c r="AQ63" s="11">
        <v>3</v>
      </c>
      <c r="AR63" s="11">
        <v>7</v>
      </c>
      <c r="AS63" s="11" t="s">
        <v>44</v>
      </c>
      <c r="AT63" s="11">
        <v>2</v>
      </c>
      <c r="AU63" s="11">
        <v>4</v>
      </c>
      <c r="AV63" s="11">
        <v>9</v>
      </c>
      <c r="AW63" s="11" t="s">
        <v>46</v>
      </c>
      <c r="AX63" s="11">
        <v>5</v>
      </c>
      <c r="AY63" s="11">
        <v>8</v>
      </c>
      <c r="AZ63" s="11" t="s">
        <v>45</v>
      </c>
      <c r="BA63" s="11">
        <v>1</v>
      </c>
      <c r="BB63" s="5"/>
      <c r="BC63" s="1">
        <f ca="1">OFFSET(A63,0, 12) -0</f>
        <v>-13.940652023836435</v>
      </c>
      <c r="BD63" s="1">
        <f ca="1">OFFSET(A63,0, 6) -0</f>
        <v>-11.228476309640882</v>
      </c>
      <c r="BE63" s="1">
        <f ca="1">OFFSET(A63,0, 1) -0</f>
        <v>61.031670118855345</v>
      </c>
      <c r="BF63" s="1">
        <f ca="1">OFFSET(A63,0, 5) -0</f>
        <v>9.2235529760584996</v>
      </c>
      <c r="BG63" s="1">
        <f ca="1">OFFSET(A63,0, 10) -0</f>
        <v>-63.036593452437955</v>
      </c>
      <c r="BH63" s="1">
        <f ca="1">OFFSET(A63,0, 2) -0</f>
        <v>30.579640833156191</v>
      </c>
      <c r="BI63" s="1">
        <f ca="1">OFFSET(A63,0, 4) -0</f>
        <v>29.675582261757654</v>
      </c>
      <c r="BJ63" s="1">
        <f ca="1">OFFSET(A63,0, 9) -0</f>
        <v>-32.584564166738573</v>
      </c>
      <c r="BK63" s="1">
        <f ca="1">OFFSET(A63,0, 8) -0</f>
        <v>-52.132534881039419</v>
      </c>
      <c r="BL63" s="1">
        <f ca="1">OFFSET(A63,0, 3) -0</f>
        <v>-9.8723884525429639</v>
      </c>
      <c r="BM63" s="1">
        <f ca="1">OFFSET(A63,0, 11) -0</f>
        <v>36.511377261862833</v>
      </c>
      <c r="BN63" s="1">
        <f ca="1">OFFSET(A63,0, 7) -0</f>
        <v>38.319494404659963</v>
      </c>
      <c r="BO63" s="1">
        <f ca="1">OFFSET(A63,0, 24) -0</f>
        <v>80.634996547772516</v>
      </c>
      <c r="BP63" s="1">
        <f ca="1">OFFSET(A63,0, 17) -0</f>
        <v>33.79920154766728</v>
      </c>
      <c r="BQ63" s="1">
        <f ca="1">OFFSET(A63,0, 14) -0</f>
        <v>55.155289404765028</v>
      </c>
      <c r="BR63" s="1">
        <f ca="1">OFFSET(A63,0, 18) -0</f>
        <v>33.347172261967899</v>
      </c>
      <c r="BS63" s="1">
        <f ca="1">OFFSET(A63,0, 21) -0</f>
        <v>-138.00891559512979</v>
      </c>
      <c r="BT63" s="1">
        <f ca="1">OFFSET(A63,0, 13) -0</f>
        <v>25.607318690464297</v>
      </c>
      <c r="BU63" s="1">
        <f ca="1">OFFSET(A63,0, 15) -0</f>
        <v>-35.296739880934183</v>
      </c>
      <c r="BV63" s="1">
        <f ca="1">OFFSET(A63,0, 22) -0</f>
        <v>-58.460944880829175</v>
      </c>
      <c r="BW63" s="1">
        <f ca="1">OFFSET(A63,0, 19) -0</f>
        <v>32.895142976268744</v>
      </c>
      <c r="BX63" s="1">
        <f ca="1">OFFSET(A63,0, 16) -0</f>
        <v>-15.748769166633565</v>
      </c>
      <c r="BY63" s="1">
        <f ca="1">OFFSET(A63,0, 23) -0</f>
        <v>1.0870258334716709</v>
      </c>
      <c r="BZ63" s="1">
        <f ca="1">OFFSET(A63,0, 20) -0</f>
        <v>-37.556886309430638</v>
      </c>
      <c r="CB63" s="1">
        <f>COUNTIF(B63,"&lt;-74")</f>
        <v>0</v>
      </c>
      <c r="CC63" s="1">
        <f ca="1">COUNTIF(BC63:BN63,"&lt;-53")</f>
        <v>1</v>
      </c>
      <c r="CD63" s="1">
        <f ca="1">COUNTIF(BC63:BN63,"&gt;+53")</f>
        <v>1</v>
      </c>
      <c r="CE63" s="1">
        <f ca="1">COUNTIF(BO63:BZ63,"&lt;-53")</f>
        <v>2</v>
      </c>
      <c r="CF63" s="1">
        <f ca="1">COUNTIF(BO63:BZ63,"&gt;+53")</f>
        <v>2</v>
      </c>
    </row>
    <row r="64" spans="1:84">
      <c r="A64" s="1">
        <v>61</v>
      </c>
      <c r="B64" s="1">
        <f>'Touch 1 1'!B64-'Touch 1 1'!$AA64-('Touch 1 1'!B$2- 12.5)*'Touch 1 1'!$AC64</f>
        <v>73.751825050235311</v>
      </c>
      <c r="C64" s="1">
        <f>'Touch 1 1'!C64-'Touch 1 1'!$AA64-('Touch 1 1'!C$2- 12.5)*'Touch 1 1'!$AC64</f>
        <v>33.099492437171648</v>
      </c>
      <c r="D64" s="1">
        <f>'Touch 1 1'!D64-'Touch 1 1'!$AA64-('Touch 1 1'!D$2- 12.5)*'Touch 1 1'!$AC64</f>
        <v>22.44715982410753</v>
      </c>
      <c r="E64" s="1">
        <f>'Touch 1 1'!E64-'Touch 1 1'!$AA64-('Touch 1 1'!E$2- 12.5)*'Touch 1 1'!$AC64</f>
        <v>-8.2051727889563608</v>
      </c>
      <c r="F64" s="1">
        <f>'Touch 1 1'!F64-'Touch 1 1'!$AA64-('Touch 1 1'!F$2- 12.5)*'Touch 1 1'!$AC64</f>
        <v>41.142494597979521</v>
      </c>
      <c r="G64" s="1">
        <f>'Touch 1 1'!G64-'Touch 1 1'!$AA64-('Touch 1 1'!G$2- 12.5)*'Touch 1 1'!$AC64</f>
        <v>20.49016198491563</v>
      </c>
      <c r="H64" s="1">
        <f>'Touch 1 1'!H64-'Touch 1 1'!$AA64-('Touch 1 1'!H$2- 12.5)*'Touch 1 1'!$AC64</f>
        <v>-50.16217062814826</v>
      </c>
      <c r="I64" s="1">
        <f>'Touch 1 1'!I64-'Touch 1 1'!$AA64-('Touch 1 1'!I$2- 12.5)*'Touch 1 1'!$AC64</f>
        <v>-50.814503241212265</v>
      </c>
      <c r="J64" s="1">
        <f>'Touch 1 1'!J64-'Touch 1 1'!$AA64-('Touch 1 1'!J$2- 12.5)*'Touch 1 1'!$AC64</f>
        <v>-41.466835854276155</v>
      </c>
      <c r="K64" s="1">
        <f>'Touch 1 1'!K64-'Touch 1 1'!$AA64-('Touch 1 1'!K$2- 12.5)*'Touch 1 1'!$AC64</f>
        <v>-42.11916846734016</v>
      </c>
      <c r="L64" s="1">
        <f>'Touch 1 1'!L64-'Touch 1 1'!$AA64-('Touch 1 1'!L$2- 12.5)*'Touch 1 1'!$AC64</f>
        <v>-42.77150108040405</v>
      </c>
      <c r="M64" s="1">
        <f>'Touch 1 1'!M64-'Touch 1 1'!$AA64-('Touch 1 1'!M$2- 12.5)*'Touch 1 1'!$AC64</f>
        <v>96.576166306531974</v>
      </c>
      <c r="N64" s="1">
        <f>'Touch 1 1'!N64-'Touch 1 1'!$AA64-('Touch 1 1'!N$2- 12.5)*'Touch 1 1'!$AC64</f>
        <v>5.9238336934680262</v>
      </c>
      <c r="O64" s="1">
        <f>'Touch 1 1'!O64-'Touch 1 1'!$AA64-('Touch 1 1'!O$2- 12.5)*'Touch 1 1'!$AC64</f>
        <v>45.27150108040405</v>
      </c>
      <c r="P64" s="1">
        <f>'Touch 1 1'!P64-'Touch 1 1'!$AA64-('Touch 1 1'!P$2- 12.5)*'Touch 1 1'!$AC64</f>
        <v>4.6191684673401596</v>
      </c>
      <c r="Q64" s="1">
        <f>'Touch 1 1'!Q64-'Touch 1 1'!$AA64-('Touch 1 1'!Q$2- 12.5)*'Touch 1 1'!$AC64</f>
        <v>3.9668358542761553</v>
      </c>
      <c r="R64" s="1">
        <f>'Touch 1 1'!R64-'Touch 1 1'!$AA64-('Touch 1 1'!R$2- 12.5)*'Touch 1 1'!$AC64</f>
        <v>-6.6854967587877354</v>
      </c>
      <c r="S64" s="1">
        <f>'Touch 1 1'!S64-'Touch 1 1'!$AA64-('Touch 1 1'!S$2- 12.5)*'Touch 1 1'!$AC64</f>
        <v>-7.3378293718517398</v>
      </c>
      <c r="T64" s="1">
        <f>'Touch 1 1'!T64-'Touch 1 1'!$AA64-('Touch 1 1'!T$2- 12.5)*'Touch 1 1'!$AC64</f>
        <v>-47.99016198491563</v>
      </c>
      <c r="U64" s="1">
        <f>'Touch 1 1'!U64-'Touch 1 1'!$AA64-('Touch 1 1'!U$2- 12.5)*'Touch 1 1'!$AC64</f>
        <v>-18.642494597979521</v>
      </c>
      <c r="V64" s="1">
        <f>'Touch 1 1'!V64-'Touch 1 1'!$AA64-('Touch 1 1'!V$2- 12.5)*'Touch 1 1'!$AC64</f>
        <v>-9.2948272110436392</v>
      </c>
      <c r="W64" s="1">
        <f>'Touch 1 1'!W64-'Touch 1 1'!$AA64-('Touch 1 1'!W$2- 12.5)*'Touch 1 1'!$AC64</f>
        <v>-79.94715982410753</v>
      </c>
      <c r="X64" s="1">
        <f>'Touch 1 1'!X64-'Touch 1 1'!$AA64-('Touch 1 1'!X$2- 12.5)*'Touch 1 1'!$AC64</f>
        <v>19.400507562828352</v>
      </c>
      <c r="Y64" s="1">
        <f>'Touch 1 1'!Y64-'Touch 1 1'!$AA64-('Touch 1 1'!Y$2- 12.5)*'Touch 1 1'!$AC64</f>
        <v>38.748174949764689</v>
      </c>
      <c r="AB64" s="1">
        <f>STDEV(B64:Y64)</f>
        <v>42.831038413666668</v>
      </c>
      <c r="AD64" s="11">
        <v>3</v>
      </c>
      <c r="AE64" s="11">
        <v>6</v>
      </c>
      <c r="AF64" s="11" t="s">
        <v>44</v>
      </c>
      <c r="AG64" s="11">
        <v>7</v>
      </c>
      <c r="AH64" s="11">
        <v>4</v>
      </c>
      <c r="AI64" s="11">
        <v>2</v>
      </c>
      <c r="AJ64" s="11" t="s">
        <v>46</v>
      </c>
      <c r="AK64" s="11">
        <v>9</v>
      </c>
      <c r="AL64" s="11">
        <v>8</v>
      </c>
      <c r="AM64" s="11">
        <v>5</v>
      </c>
      <c r="AN64" s="11">
        <v>1</v>
      </c>
      <c r="AO64" s="11" t="s">
        <v>45</v>
      </c>
      <c r="AP64" s="11">
        <v>3</v>
      </c>
      <c r="AQ64" s="11" t="s">
        <v>44</v>
      </c>
      <c r="AR64" s="11">
        <v>6</v>
      </c>
      <c r="AS64" s="11">
        <v>4</v>
      </c>
      <c r="AT64" s="11">
        <v>7</v>
      </c>
      <c r="AU64" s="11" t="s">
        <v>46</v>
      </c>
      <c r="AV64" s="11">
        <v>2</v>
      </c>
      <c r="AW64" s="11">
        <v>8</v>
      </c>
      <c r="AX64" s="11">
        <v>9</v>
      </c>
      <c r="AY64" s="11">
        <v>5</v>
      </c>
      <c r="AZ64" s="11" t="s">
        <v>45</v>
      </c>
      <c r="BA64" s="11">
        <v>1</v>
      </c>
      <c r="BB64" s="5"/>
      <c r="BC64" s="1">
        <f ca="1">OFFSET(A64,0, 11) -0</f>
        <v>-42.77150108040405</v>
      </c>
      <c r="BD64" s="1">
        <f ca="1">OFFSET(A64,0, 6) -0</f>
        <v>20.49016198491563</v>
      </c>
      <c r="BE64" s="1">
        <f ca="1">OFFSET(A64,0, 1) -0</f>
        <v>73.751825050235311</v>
      </c>
      <c r="BF64" s="1">
        <f ca="1">OFFSET(A64,0, 5) -0</f>
        <v>41.142494597979521</v>
      </c>
      <c r="BG64" s="1">
        <f ca="1">OFFSET(A64,0, 10) -0</f>
        <v>-42.11916846734016</v>
      </c>
      <c r="BH64" s="1">
        <f ca="1">OFFSET(A64,0, 2) -0</f>
        <v>33.099492437171648</v>
      </c>
      <c r="BI64" s="1">
        <f ca="1">OFFSET(A64,0, 4) -0</f>
        <v>-8.2051727889563608</v>
      </c>
      <c r="BJ64" s="1">
        <f ca="1">OFFSET(A64,0, 9) -0</f>
        <v>-41.466835854276155</v>
      </c>
      <c r="BK64" s="1">
        <f ca="1">OFFSET(A64,0, 8) -0</f>
        <v>-50.814503241212265</v>
      </c>
      <c r="BL64" s="1">
        <f ca="1">OFFSET(A64,0, 3) -0</f>
        <v>22.44715982410753</v>
      </c>
      <c r="BM64" s="1">
        <f ca="1">OFFSET(A64,0, 12) -0</f>
        <v>96.576166306531974</v>
      </c>
      <c r="BN64" s="1">
        <f ca="1">OFFSET(A64,0, 7) -0</f>
        <v>-50.16217062814826</v>
      </c>
      <c r="BO64" s="1">
        <f ca="1">OFFSET(A64,0, 24) -0</f>
        <v>38.748174949764689</v>
      </c>
      <c r="BP64" s="1">
        <f ca="1">OFFSET(A64,0, 19) -0</f>
        <v>-47.99016198491563</v>
      </c>
      <c r="BQ64" s="1">
        <f ca="1">OFFSET(A64,0, 13) -0</f>
        <v>5.9238336934680262</v>
      </c>
      <c r="BR64" s="1">
        <f ca="1">OFFSET(A64,0, 16) -0</f>
        <v>3.9668358542761553</v>
      </c>
      <c r="BS64" s="1">
        <f ca="1">OFFSET(A64,0, 22) -0</f>
        <v>-79.94715982410753</v>
      </c>
      <c r="BT64" s="1">
        <f ca="1">OFFSET(A64,0, 15) -0</f>
        <v>4.6191684673401596</v>
      </c>
      <c r="BU64" s="1">
        <f ca="1">OFFSET(A64,0, 17) -0</f>
        <v>-6.6854967587877354</v>
      </c>
      <c r="BV64" s="1">
        <f ca="1">OFFSET(A64,0, 20) -0</f>
        <v>-18.642494597979521</v>
      </c>
      <c r="BW64" s="1">
        <f ca="1">OFFSET(A64,0, 21) -0</f>
        <v>-9.2948272110436392</v>
      </c>
      <c r="BX64" s="1">
        <f ca="1">OFFSET(A64,0, 14) -0</f>
        <v>45.27150108040405</v>
      </c>
      <c r="BY64" s="1">
        <f ca="1">OFFSET(A64,0, 23) -0</f>
        <v>19.400507562828352</v>
      </c>
      <c r="BZ64" s="1">
        <f ca="1">OFFSET(A64,0, 18) -0</f>
        <v>-7.3378293718517398</v>
      </c>
      <c r="CB64" s="1">
        <f>COUNTIF(B64,"&lt;-74")</f>
        <v>0</v>
      </c>
      <c r="CC64" s="1">
        <f ca="1">COUNTIF(BC64:BN64,"&lt;-53")</f>
        <v>0</v>
      </c>
      <c r="CD64" s="1">
        <f ca="1">COUNTIF(BC64:BN64,"&gt;+53")</f>
        <v>2</v>
      </c>
      <c r="CE64" s="1">
        <f ca="1">COUNTIF(BO64:BZ64,"&lt;-53")</f>
        <v>1</v>
      </c>
      <c r="CF64" s="1">
        <f ca="1">COUNTIF(BO64:BZ64,"&gt;+53")</f>
        <v>0</v>
      </c>
    </row>
    <row r="65" spans="1:84">
      <c r="A65" s="1">
        <v>62</v>
      </c>
      <c r="B65" s="1">
        <f>'Touch 1 1'!B65-'Touch 1 1'!$AA65-('Touch 1 1'!B$2- 12.5)*'Touch 1 1'!$AC65</f>
        <v>18.396107915465109</v>
      </c>
      <c r="C65" s="1">
        <f>'Touch 1 1'!C65-'Touch 1 1'!$AA65-('Touch 1 1'!C$2- 12.5)*'Touch 1 1'!$AC65</f>
        <v>17.593547806875904</v>
      </c>
      <c r="D65" s="1">
        <f>'Touch 1 1'!D65-'Touch 1 1'!$AA65-('Touch 1 1'!D$2- 12.5)*'Touch 1 1'!$AC65</f>
        <v>26.790987698286244</v>
      </c>
      <c r="E65" s="1">
        <f>'Touch 1 1'!E65-'Touch 1 1'!$AA65-('Touch 1 1'!E$2- 12.5)*'Touch 1 1'!$AC65</f>
        <v>25.988427589696812</v>
      </c>
      <c r="F65" s="1">
        <f>'Touch 1 1'!F65-'Touch 1 1'!$AA65-('Touch 1 1'!F$2- 12.5)*'Touch 1 1'!$AC65</f>
        <v>25.185867481107152</v>
      </c>
      <c r="G65" s="1">
        <f>'Touch 1 1'!G65-'Touch 1 1'!$AA65-('Touch 1 1'!G$2- 12.5)*'Touch 1 1'!$AC65</f>
        <v>64.38330737251772</v>
      </c>
      <c r="H65" s="1">
        <f>'Touch 1 1'!H65-'Touch 1 1'!$AA65-('Touch 1 1'!H$2- 12.5)*'Touch 1 1'!$AC65</f>
        <v>43.580747263928288</v>
      </c>
      <c r="I65" s="1">
        <f>'Touch 1 1'!I65-'Touch 1 1'!$AA65-('Touch 1 1'!I$2- 12.5)*'Touch 1 1'!$AC65</f>
        <v>22.778187155338742</v>
      </c>
      <c r="J65" s="1">
        <f>'Touch 1 1'!J65-'Touch 1 1'!$AA65-('Touch 1 1'!J$2- 12.5)*'Touch 1 1'!$AC65</f>
        <v>11.97562704674931</v>
      </c>
      <c r="K65" s="1">
        <f>'Touch 1 1'!K65-'Touch 1 1'!$AA65-('Touch 1 1'!K$2- 12.5)*'Touch 1 1'!$AC65</f>
        <v>-68.826933061840236</v>
      </c>
      <c r="L65" s="1">
        <f>'Touch 1 1'!L65-'Touch 1 1'!$AA65-('Touch 1 1'!L$2- 12.5)*'Touch 1 1'!$AC65</f>
        <v>0.37050682957033132</v>
      </c>
      <c r="M65" s="1">
        <f>'Touch 1 1'!M65-'Touch 1 1'!$AA65-('Touch 1 1'!M$2- 12.5)*'Touch 1 1'!$AC65</f>
        <v>-50.432053279019186</v>
      </c>
      <c r="N65" s="1">
        <f>'Touch 1 1'!N65-'Touch 1 1'!$AA65-('Touch 1 1'!N$2- 12.5)*'Touch 1 1'!$AC65</f>
        <v>-41.234613387608675</v>
      </c>
      <c r="O65" s="1">
        <f>'Touch 1 1'!O65-'Touch 1 1'!$AA65-('Touch 1 1'!O$2- 12.5)*'Touch 1 1'!$AC65</f>
        <v>-42.037173496198193</v>
      </c>
      <c r="P65" s="1">
        <f>'Touch 1 1'!P65-'Touch 1 1'!$AA65-('Touch 1 1'!P$2- 12.5)*'Touch 1 1'!$AC65</f>
        <v>-32.839733604787625</v>
      </c>
      <c r="Q65" s="1">
        <f>'Touch 1 1'!Q65-'Touch 1 1'!$AA65-('Touch 1 1'!Q$2- 12.5)*'Touch 1 1'!$AC65</f>
        <v>6.3577062866228289</v>
      </c>
      <c r="R65" s="1">
        <f>'Touch 1 1'!R65-'Touch 1 1'!$AA65-('Touch 1 1'!R$2- 12.5)*'Touch 1 1'!$AC65</f>
        <v>-34.444853821966603</v>
      </c>
      <c r="S65" s="1">
        <f>'Touch 1 1'!S65-'Touch 1 1'!$AA65-('Touch 1 1'!S$2- 12.5)*'Touch 1 1'!$AC65</f>
        <v>14.752586069443851</v>
      </c>
      <c r="T65" s="1">
        <f>'Touch 1 1'!T65-'Touch 1 1'!$AA65-('Touch 1 1'!T$2- 12.5)*'Touch 1 1'!$AC65</f>
        <v>-116.04997403914558</v>
      </c>
      <c r="U65" s="1">
        <f>'Touch 1 1'!U65-'Touch 1 1'!$AA65-('Touch 1 1'!U$2- 12.5)*'Touch 1 1'!$AC65</f>
        <v>23.147465852264986</v>
      </c>
      <c r="V65" s="1">
        <f>'Touch 1 1'!V65-'Touch 1 1'!$AA65-('Touch 1 1'!V$2- 12.5)*'Touch 1 1'!$AC65</f>
        <v>2.3449057436753264</v>
      </c>
      <c r="W65" s="1">
        <f>'Touch 1 1'!W65-'Touch 1 1'!$AA65-('Touch 1 1'!W$2- 12.5)*'Touch 1 1'!$AC65</f>
        <v>51.542345635085894</v>
      </c>
      <c r="X65" s="1">
        <f>'Touch 1 1'!X65-'Touch 1 1'!$AA65-('Touch 1 1'!X$2- 12.5)*'Touch 1 1'!$AC65</f>
        <v>30.739785526496235</v>
      </c>
      <c r="Y65" s="1">
        <f>'Touch 1 1'!Y65-'Touch 1 1'!$AA65-('Touch 1 1'!Y$2- 12.5)*'Touch 1 1'!$AC65</f>
        <v>-6.2774582092970377E-2</v>
      </c>
      <c r="AB65" s="1">
        <f>STDEV(B65:Y65)</f>
        <v>41.840113280571586</v>
      </c>
      <c r="AD65" s="11" t="s">
        <v>44</v>
      </c>
      <c r="AE65" s="11">
        <v>3</v>
      </c>
      <c r="AF65" s="11">
        <v>4</v>
      </c>
      <c r="AG65" s="11">
        <v>6</v>
      </c>
      <c r="AH65" s="11" t="s">
        <v>46</v>
      </c>
      <c r="AI65" s="11">
        <v>7</v>
      </c>
      <c r="AJ65" s="11">
        <v>8</v>
      </c>
      <c r="AK65" s="11">
        <v>2</v>
      </c>
      <c r="AL65" s="11">
        <v>5</v>
      </c>
      <c r="AM65" s="11">
        <v>9</v>
      </c>
      <c r="AN65" s="11">
        <v>1</v>
      </c>
      <c r="AO65" s="11" t="s">
        <v>45</v>
      </c>
      <c r="AP65" s="11">
        <v>3</v>
      </c>
      <c r="AQ65" s="11" t="s">
        <v>44</v>
      </c>
      <c r="AR65" s="11">
        <v>6</v>
      </c>
      <c r="AS65" s="11">
        <v>4</v>
      </c>
      <c r="AT65" s="11">
        <v>7</v>
      </c>
      <c r="AU65" s="11" t="s">
        <v>46</v>
      </c>
      <c r="AV65" s="11">
        <v>2</v>
      </c>
      <c r="AW65" s="11">
        <v>8</v>
      </c>
      <c r="AX65" s="11">
        <v>5</v>
      </c>
      <c r="AY65" s="11">
        <v>1</v>
      </c>
      <c r="AZ65" s="11">
        <v>9</v>
      </c>
      <c r="BA65" s="11" t="s">
        <v>45</v>
      </c>
      <c r="BB65" s="5"/>
      <c r="BC65" s="1">
        <f ca="1">OFFSET(A65,0, 11) -0</f>
        <v>0.37050682957033132</v>
      </c>
      <c r="BD65" s="1">
        <f ca="1">OFFSET(A65,0, 8) -0</f>
        <v>22.778187155338742</v>
      </c>
      <c r="BE65" s="1">
        <f ca="1">OFFSET(A65,0, 2) -0</f>
        <v>17.593547806875904</v>
      </c>
      <c r="BF65" s="1">
        <f ca="1">OFFSET(A65,0, 3) -0</f>
        <v>26.790987698286244</v>
      </c>
      <c r="BG65" s="1">
        <f ca="1">OFFSET(A65,0, 9) -0</f>
        <v>11.97562704674931</v>
      </c>
      <c r="BH65" s="1">
        <f ca="1">OFFSET(A65,0, 4) -0</f>
        <v>25.988427589696812</v>
      </c>
      <c r="BI65" s="1">
        <f ca="1">OFFSET(A65,0, 6) -0</f>
        <v>64.38330737251772</v>
      </c>
      <c r="BJ65" s="1">
        <f ca="1">OFFSET(A65,0, 7) -0</f>
        <v>43.580747263928288</v>
      </c>
      <c r="BK65" s="1">
        <f ca="1">OFFSET(A65,0, 10) -0</f>
        <v>-68.826933061840236</v>
      </c>
      <c r="BL65" s="1">
        <f ca="1">OFFSET(A65,0, 1) -0</f>
        <v>18.396107915465109</v>
      </c>
      <c r="BM65" s="1">
        <f ca="1">OFFSET(A65,0, 12) -0</f>
        <v>-50.432053279019186</v>
      </c>
      <c r="BN65" s="1">
        <f ca="1">OFFSET(A65,0, 5) -0</f>
        <v>25.185867481107152</v>
      </c>
      <c r="BO65" s="1">
        <f ca="1">OFFSET(A65,0, 22) -0</f>
        <v>51.542345635085894</v>
      </c>
      <c r="BP65" s="1">
        <f ca="1">OFFSET(A65,0, 19) -0</f>
        <v>-116.04997403914558</v>
      </c>
      <c r="BQ65" s="1">
        <f ca="1">OFFSET(A65,0, 13) -0</f>
        <v>-41.234613387608675</v>
      </c>
      <c r="BR65" s="1">
        <f ca="1">OFFSET(A65,0, 16) -0</f>
        <v>6.3577062866228289</v>
      </c>
      <c r="BS65" s="1">
        <f ca="1">OFFSET(A65,0, 21) -0</f>
        <v>2.3449057436753264</v>
      </c>
      <c r="BT65" s="1">
        <f ca="1">OFFSET(A65,0, 15) -0</f>
        <v>-32.839733604787625</v>
      </c>
      <c r="BU65" s="1">
        <f ca="1">OFFSET(A65,0, 17) -0</f>
        <v>-34.444853821966603</v>
      </c>
      <c r="BV65" s="1">
        <f ca="1">OFFSET(A65,0, 20) -0</f>
        <v>23.147465852264986</v>
      </c>
      <c r="BW65" s="1">
        <f ca="1">OFFSET(A65,0, 23) -0</f>
        <v>30.739785526496235</v>
      </c>
      <c r="BX65" s="1">
        <f ca="1">OFFSET(A65,0, 14) -0</f>
        <v>-42.037173496198193</v>
      </c>
      <c r="BY65" s="1">
        <f ca="1">OFFSET(A65,0, 24) -0</f>
        <v>-6.2774582092970377E-2</v>
      </c>
      <c r="BZ65" s="1">
        <f ca="1">OFFSET(A65,0, 18) -0</f>
        <v>14.752586069443851</v>
      </c>
      <c r="CB65" s="1">
        <f>COUNTIF(B65,"&lt;-75")</f>
        <v>0</v>
      </c>
      <c r="CC65" s="1">
        <f ca="1">COUNTIF(BC65:BN65,"&lt;-53")</f>
        <v>1</v>
      </c>
      <c r="CD65" s="1">
        <f ca="1">COUNTIF(BC65:BN65,"&gt;+53")</f>
        <v>1</v>
      </c>
      <c r="CE65" s="1">
        <f ca="1">COUNTIF(BO65:BZ65,"&lt;-53")</f>
        <v>1</v>
      </c>
      <c r="CF65" s="1">
        <f ca="1">COUNTIF(BO65:BZ65,"&gt;+53")</f>
        <v>0</v>
      </c>
    </row>
    <row r="66" spans="1:84">
      <c r="A66" s="1">
        <v>63</v>
      </c>
      <c r="B66" s="1">
        <f>'Touch 1 1'!B66-'Touch 1 1'!$AA66-('Touch 1 1'!B$2- 12.5)*'Touch 1 1'!$AC66</f>
        <v>-1.2786497157026133</v>
      </c>
      <c r="C66" s="1">
        <f>'Touch 1 1'!C66-'Touch 1 1'!$AA66-('Touch 1 1'!C$2- 12.5)*'Touch 1 1'!$AC66</f>
        <v>-11.855868581005325</v>
      </c>
      <c r="D66" s="1">
        <f>'Touch 1 1'!D66-'Touch 1 1'!$AA66-('Touch 1 1'!D$2- 12.5)*'Touch 1 1'!$AC66</f>
        <v>17.566912553691509</v>
      </c>
      <c r="E66" s="1">
        <f>'Touch 1 1'!E66-'Touch 1 1'!$AA66-('Touch 1 1'!E$2- 12.5)*'Touch 1 1'!$AC66</f>
        <v>66.98969368838857</v>
      </c>
      <c r="F66" s="1">
        <f>'Touch 1 1'!F66-'Touch 1 1'!$AA66-('Touch 1 1'!F$2- 12.5)*'Touch 1 1'!$AC66</f>
        <v>-43.587525176914141</v>
      </c>
      <c r="G66" s="1">
        <f>'Touch 1 1'!G66-'Touch 1 1'!$AA66-('Touch 1 1'!G$2- 12.5)*'Touch 1 1'!$AC66</f>
        <v>-54.16474404221708</v>
      </c>
      <c r="H66" s="1">
        <f>'Touch 1 1'!H66-'Touch 1 1'!$AA66-('Touch 1 1'!H$2- 12.5)*'Touch 1 1'!$AC66</f>
        <v>15.258037092479981</v>
      </c>
      <c r="I66" s="1">
        <f>'Touch 1 1'!I66-'Touch 1 1'!$AA66-('Touch 1 1'!I$2- 12.5)*'Touch 1 1'!$AC66</f>
        <v>-5.319181772822958</v>
      </c>
      <c r="J66" s="1">
        <f>'Touch 1 1'!J66-'Touch 1 1'!$AA66-('Touch 1 1'!J$2- 12.5)*'Touch 1 1'!$AC66</f>
        <v>-25.896400638125897</v>
      </c>
      <c r="K66" s="1">
        <f>'Touch 1 1'!K66-'Touch 1 1'!$AA66-('Touch 1 1'!K$2- 12.5)*'Touch 1 1'!$AC66</f>
        <v>23.526380496571164</v>
      </c>
      <c r="L66" s="1">
        <f>'Touch 1 1'!L66-'Touch 1 1'!$AA66-('Touch 1 1'!L$2- 12.5)*'Touch 1 1'!$AC66</f>
        <v>-27.050838368731718</v>
      </c>
      <c r="M66" s="1">
        <f>'Touch 1 1'!M66-'Touch 1 1'!$AA66-('Touch 1 1'!M$2- 12.5)*'Touch 1 1'!$AC66</f>
        <v>-7.628057234034614</v>
      </c>
      <c r="N66" s="1">
        <f>'Touch 1 1'!N66-'Touch 1 1'!$AA66-('Touch 1 1'!N$2- 12.5)*'Touch 1 1'!$AC66</f>
        <v>-18.205276099337524</v>
      </c>
      <c r="O66" s="1">
        <f>'Touch 1 1'!O66-'Touch 1 1'!$AA66-('Touch 1 1'!O$2- 12.5)*'Touch 1 1'!$AC66</f>
        <v>31.217505035359579</v>
      </c>
      <c r="P66" s="1">
        <f>'Touch 1 1'!P66-'Touch 1 1'!$AA66-('Touch 1 1'!P$2- 12.5)*'Touch 1 1'!$AC66</f>
        <v>30.640286170056697</v>
      </c>
      <c r="Q66" s="1">
        <f>'Touch 1 1'!Q66-'Touch 1 1'!$AA66-('Touch 1 1'!Q$2- 12.5)*'Touch 1 1'!$AC66</f>
        <v>-39.936932695246242</v>
      </c>
      <c r="R66" s="1">
        <f>'Touch 1 1'!R66-'Touch 1 1'!$AA66-('Touch 1 1'!R$2- 12.5)*'Touch 1 1'!$AC66</f>
        <v>-40.51415156054918</v>
      </c>
      <c r="S66" s="1">
        <f>'Touch 1 1'!S66-'Touch 1 1'!$AA66-('Touch 1 1'!S$2- 12.5)*'Touch 1 1'!$AC66</f>
        <v>8.9086295741478807</v>
      </c>
      <c r="T66" s="1">
        <f>'Touch 1 1'!T66-'Touch 1 1'!$AA66-('Touch 1 1'!T$2- 12.5)*'Touch 1 1'!$AC66</f>
        <v>-11.668589291155058</v>
      </c>
      <c r="U66" s="1">
        <f>'Touch 1 1'!U66-'Touch 1 1'!$AA66-('Touch 1 1'!U$2- 12.5)*'Touch 1 1'!$AC66</f>
        <v>-42.245808156457997</v>
      </c>
      <c r="V66" s="1">
        <f>'Touch 1 1'!V66-'Touch 1 1'!$AA66-('Touch 1 1'!V$2- 12.5)*'Touch 1 1'!$AC66</f>
        <v>7.1769729782392915</v>
      </c>
      <c r="W66" s="1">
        <f>'Touch 1 1'!W66-'Touch 1 1'!$AA66-('Touch 1 1'!W$2- 12.5)*'Touch 1 1'!$AC66</f>
        <v>16.599754112936353</v>
      </c>
      <c r="X66" s="1">
        <f>'Touch 1 1'!X66-'Touch 1 1'!$AA66-('Touch 1 1'!X$2- 12.5)*'Touch 1 1'!$AC66</f>
        <v>56.022535247633186</v>
      </c>
      <c r="Y66" s="1">
        <f>'Touch 1 1'!Y66-'Touch 1 1'!$AA66-('Touch 1 1'!Y$2- 12.5)*'Touch 1 1'!$AC66</f>
        <v>55.445316382330475</v>
      </c>
      <c r="AB66" s="1">
        <f>STDEV(B66:Y66)</f>
        <v>33.66613428720288</v>
      </c>
      <c r="AD66" s="11" t="s">
        <v>44</v>
      </c>
      <c r="AE66" s="11">
        <v>3</v>
      </c>
      <c r="AF66" s="11">
        <v>4</v>
      </c>
      <c r="AG66" s="11">
        <v>6</v>
      </c>
      <c r="AH66" s="11" t="s">
        <v>46</v>
      </c>
      <c r="AI66" s="11">
        <v>7</v>
      </c>
      <c r="AJ66" s="11">
        <v>8</v>
      </c>
      <c r="AK66" s="11">
        <v>2</v>
      </c>
      <c r="AL66" s="11">
        <v>1</v>
      </c>
      <c r="AM66" s="11">
        <v>5</v>
      </c>
      <c r="AN66" s="11" t="s">
        <v>45</v>
      </c>
      <c r="AO66" s="11">
        <v>9</v>
      </c>
      <c r="AP66" s="11" t="s">
        <v>44</v>
      </c>
      <c r="AQ66" s="11">
        <v>4</v>
      </c>
      <c r="AR66" s="11">
        <v>3</v>
      </c>
      <c r="AS66" s="11" t="s">
        <v>46</v>
      </c>
      <c r="AT66" s="11">
        <v>6</v>
      </c>
      <c r="AU66" s="11">
        <v>8</v>
      </c>
      <c r="AV66" s="11">
        <v>7</v>
      </c>
      <c r="AW66" s="11">
        <v>2</v>
      </c>
      <c r="AX66" s="11">
        <v>5</v>
      </c>
      <c r="AY66" s="11">
        <v>1</v>
      </c>
      <c r="AZ66" s="11">
        <v>9</v>
      </c>
      <c r="BA66" s="11" t="s">
        <v>45</v>
      </c>
      <c r="BB66" s="5"/>
      <c r="BC66" s="1">
        <f ca="1">OFFSET(A66,0, 9) -0</f>
        <v>-25.896400638125897</v>
      </c>
      <c r="BD66" s="1">
        <f ca="1">OFFSET(A66,0, 8) -0</f>
        <v>-5.319181772822958</v>
      </c>
      <c r="BE66" s="1">
        <f ca="1">OFFSET(A66,0, 2) -0</f>
        <v>-11.855868581005325</v>
      </c>
      <c r="BF66" s="1">
        <f ca="1">OFFSET(A66,0, 3) -0</f>
        <v>17.566912553691509</v>
      </c>
      <c r="BG66" s="1">
        <f ca="1">OFFSET(A66,0, 10) -0</f>
        <v>23.526380496571164</v>
      </c>
      <c r="BH66" s="1">
        <f ca="1">OFFSET(A66,0, 4) -0</f>
        <v>66.98969368838857</v>
      </c>
      <c r="BI66" s="1">
        <f ca="1">OFFSET(A66,0, 6) -0</f>
        <v>-54.16474404221708</v>
      </c>
      <c r="BJ66" s="1">
        <f ca="1">OFFSET(A66,0, 7) -0</f>
        <v>15.258037092479981</v>
      </c>
      <c r="BK66" s="1">
        <f ca="1">OFFSET(A66,0, 12) -0</f>
        <v>-7.628057234034614</v>
      </c>
      <c r="BL66" s="1">
        <f ca="1">OFFSET(A66,0, 1) -0</f>
        <v>-1.2786497157026133</v>
      </c>
      <c r="BM66" s="1">
        <f ca="1">OFFSET(A66,0, 11) -0</f>
        <v>-27.050838368731718</v>
      </c>
      <c r="BN66" s="1">
        <f ca="1">OFFSET(A66,0, 5) -0</f>
        <v>-43.587525176914141</v>
      </c>
      <c r="BO66" s="1">
        <f ca="1">OFFSET(A66,0, 22) -0</f>
        <v>16.599754112936353</v>
      </c>
      <c r="BP66" s="1">
        <f ca="1">OFFSET(A66,0, 20) -0</f>
        <v>-42.245808156457997</v>
      </c>
      <c r="BQ66" s="1">
        <f ca="1">OFFSET(A66,0, 15) -0</f>
        <v>30.640286170056697</v>
      </c>
      <c r="BR66" s="1">
        <f ca="1">OFFSET(A66,0, 14) -0</f>
        <v>31.217505035359579</v>
      </c>
      <c r="BS66" s="1">
        <f ca="1">OFFSET(A66,0, 21) -0</f>
        <v>7.1769729782392915</v>
      </c>
      <c r="BT66" s="1">
        <f ca="1">OFFSET(A66,0, 17) -0</f>
        <v>-40.51415156054918</v>
      </c>
      <c r="BU66" s="1">
        <f ca="1">OFFSET(A66,0, 19) -0</f>
        <v>-11.668589291155058</v>
      </c>
      <c r="BV66" s="1">
        <f ca="1">OFFSET(A66,0, 18) -0</f>
        <v>8.9086295741478807</v>
      </c>
      <c r="BW66" s="1">
        <f ca="1">OFFSET(A66,0, 23) -0</f>
        <v>56.022535247633186</v>
      </c>
      <c r="BX66" s="1">
        <f ca="1">OFFSET(A66,0, 13) -0</f>
        <v>-18.205276099337524</v>
      </c>
      <c r="BY66" s="1">
        <f ca="1">OFFSET(A66,0, 24) -0</f>
        <v>55.445316382330475</v>
      </c>
      <c r="BZ66" s="1">
        <f ca="1">OFFSET(A66,0, 16) -0</f>
        <v>-39.936932695246242</v>
      </c>
      <c r="CB66" s="1">
        <f>COUNTIF(B66,"&lt;-74")</f>
        <v>0</v>
      </c>
      <c r="CC66" s="1">
        <f ca="1">COUNTIF(BC66:BN66,"&lt;-53")</f>
        <v>1</v>
      </c>
      <c r="CD66" s="1">
        <f ca="1">COUNTIF(BC66:BN66,"&gt;+53")</f>
        <v>1</v>
      </c>
      <c r="CE66" s="1">
        <f ca="1">COUNTIF(BO66:BZ66,"&lt;-53")</f>
        <v>0</v>
      </c>
      <c r="CF66" s="1">
        <f ca="1">COUNTIF(BO66:BZ66,"&gt;+53")</f>
        <v>2</v>
      </c>
    </row>
    <row r="67" spans="1:84">
      <c r="A67" s="1">
        <v>64</v>
      </c>
      <c r="B67" s="1">
        <f>'Touch 1 1'!B67-'Touch 1 1'!$AA67-('Touch 1 1'!B$2- 12.5)*'Touch 1 1'!$AC67</f>
        <v>21.544315463228941</v>
      </c>
      <c r="C67" s="1">
        <f>'Touch 1 1'!C67-'Touch 1 1'!$AA67-('Touch 1 1'!C$2- 12.5)*'Touch 1 1'!$AC67</f>
        <v>-18.916059794443299</v>
      </c>
      <c r="D67" s="1">
        <f>'Touch 1 1'!D67-'Touch 1 1'!$AA67-('Touch 1 1'!D$2- 12.5)*'Touch 1 1'!$AC67</f>
        <v>-49.376435052115312</v>
      </c>
      <c r="E67" s="1">
        <f>'Touch 1 1'!E67-'Touch 1 1'!$AA67-('Touch 1 1'!E$2- 12.5)*'Touch 1 1'!$AC67</f>
        <v>0.16318969021267549</v>
      </c>
      <c r="F67" s="1">
        <f>'Touch 1 1'!F67-'Touch 1 1'!$AA67-('Touch 1 1'!F$2- 12.5)*'Touch 1 1'!$AC67</f>
        <v>29.702814432540436</v>
      </c>
      <c r="G67" s="1">
        <f>'Touch 1 1'!G67-'Touch 1 1'!$AA67-('Touch 1 1'!G$2- 12.5)*'Touch 1 1'!$AC67</f>
        <v>9.2424391748684229</v>
      </c>
      <c r="H67" s="1">
        <f>'Touch 1 1'!H67-'Touch 1 1'!$AA67-('Touch 1 1'!H$2- 12.5)*'Touch 1 1'!$AC67</f>
        <v>38.78206391719641</v>
      </c>
      <c r="I67" s="1">
        <f>'Touch 1 1'!I67-'Touch 1 1'!$AA67-('Touch 1 1'!I$2- 12.5)*'Touch 1 1'!$AC67</f>
        <v>-11.678311340475716</v>
      </c>
      <c r="J67" s="1">
        <f>'Touch 1 1'!J67-'Touch 1 1'!$AA67-('Touch 1 1'!J$2- 12.5)*'Touch 1 1'!$AC67</f>
        <v>-32.138686598147729</v>
      </c>
      <c r="K67" s="1">
        <f>'Touch 1 1'!K67-'Touch 1 1'!$AA67-('Touch 1 1'!K$2- 12.5)*'Touch 1 1'!$AC67</f>
        <v>-22.599061855819855</v>
      </c>
      <c r="L67" s="1">
        <f>'Touch 1 1'!L67-'Touch 1 1'!$AA67-('Touch 1 1'!L$2- 12.5)*'Touch 1 1'!$AC67</f>
        <v>-3.0594371134918674</v>
      </c>
      <c r="M67" s="1">
        <f>'Touch 1 1'!M67-'Touch 1 1'!$AA67-('Touch 1 1'!M$2- 12.5)*'Touch 1 1'!$AC67</f>
        <v>-33.519812371163965</v>
      </c>
      <c r="N67" s="1">
        <f>'Touch 1 1'!N67-'Touch 1 1'!$AA67-('Touch 1 1'!N$2- 12.5)*'Touch 1 1'!$AC67</f>
        <v>6.0198123711639653</v>
      </c>
      <c r="O67" s="1">
        <f>'Touch 1 1'!O67-'Touch 1 1'!$AA67-('Touch 1 1'!O$2- 12.5)*'Touch 1 1'!$AC67</f>
        <v>25.559437113491867</v>
      </c>
      <c r="P67" s="1">
        <f>'Touch 1 1'!P67-'Touch 1 1'!$AA67-('Touch 1 1'!P$2- 12.5)*'Touch 1 1'!$AC67</f>
        <v>5.0990618558198548</v>
      </c>
      <c r="Q67" s="1">
        <f>'Touch 1 1'!Q67-'Touch 1 1'!$AA67-('Touch 1 1'!Q$2- 12.5)*'Touch 1 1'!$AC67</f>
        <v>-45.361313401852271</v>
      </c>
      <c r="R67" s="1">
        <f>'Touch 1 1'!R67-'Touch 1 1'!$AA67-('Touch 1 1'!R$2- 12.5)*'Touch 1 1'!$AC67</f>
        <v>-75.821688659524284</v>
      </c>
      <c r="S67" s="1">
        <f>'Touch 1 1'!S67-'Touch 1 1'!$AA67-('Touch 1 1'!S$2- 12.5)*'Touch 1 1'!$AC67</f>
        <v>23.71793608280359</v>
      </c>
      <c r="T67" s="1">
        <f>'Touch 1 1'!T67-'Touch 1 1'!$AA67-('Touch 1 1'!T$2- 12.5)*'Touch 1 1'!$AC67</f>
        <v>23.257560825131577</v>
      </c>
      <c r="U67" s="1">
        <f>'Touch 1 1'!U67-'Touch 1 1'!$AA67-('Touch 1 1'!U$2- 12.5)*'Touch 1 1'!$AC67</f>
        <v>42.797185567459564</v>
      </c>
      <c r="V67" s="1">
        <f>'Touch 1 1'!V67-'Touch 1 1'!$AA67-('Touch 1 1'!V$2- 12.5)*'Touch 1 1'!$AC67</f>
        <v>-27.663189690212675</v>
      </c>
      <c r="W67" s="1">
        <f>'Touch 1 1'!W67-'Touch 1 1'!$AA67-('Touch 1 1'!W$2- 12.5)*'Touch 1 1'!$AC67</f>
        <v>-18.123564947884688</v>
      </c>
      <c r="X67" s="1">
        <f>'Touch 1 1'!X67-'Touch 1 1'!$AA67-('Touch 1 1'!X$2- 12.5)*'Touch 1 1'!$AC67</f>
        <v>51.416059794443299</v>
      </c>
      <c r="Y67" s="1">
        <f>'Touch 1 1'!Y67-'Touch 1 1'!$AA67-('Touch 1 1'!Y$2- 12.5)*'Touch 1 1'!$AC67</f>
        <v>60.955684536771059</v>
      </c>
      <c r="AB67" s="1">
        <f>STDEV(B67:Y67)</f>
        <v>34.549757795793113</v>
      </c>
      <c r="AD67" s="11">
        <v>4</v>
      </c>
      <c r="AE67" s="11" t="s">
        <v>44</v>
      </c>
      <c r="AF67" s="11" t="s">
        <v>46</v>
      </c>
      <c r="AG67" s="11">
        <v>3</v>
      </c>
      <c r="AH67" s="11">
        <v>8</v>
      </c>
      <c r="AI67" s="11">
        <v>6</v>
      </c>
      <c r="AJ67" s="11">
        <v>2</v>
      </c>
      <c r="AK67" s="11">
        <v>7</v>
      </c>
      <c r="AL67" s="11">
        <v>1</v>
      </c>
      <c r="AM67" s="11">
        <v>5</v>
      </c>
      <c r="AN67" s="11" t="s">
        <v>45</v>
      </c>
      <c r="AO67" s="11">
        <v>9</v>
      </c>
      <c r="AP67" s="11" t="s">
        <v>44</v>
      </c>
      <c r="AQ67" s="11">
        <v>4</v>
      </c>
      <c r="AR67" s="11">
        <v>3</v>
      </c>
      <c r="AS67" s="11" t="s">
        <v>46</v>
      </c>
      <c r="AT67" s="11">
        <v>6</v>
      </c>
      <c r="AU67" s="11">
        <v>8</v>
      </c>
      <c r="AV67" s="11">
        <v>2</v>
      </c>
      <c r="AW67" s="11">
        <v>1</v>
      </c>
      <c r="AX67" s="11">
        <v>7</v>
      </c>
      <c r="AY67" s="11">
        <v>5</v>
      </c>
      <c r="AZ67" s="11">
        <v>9</v>
      </c>
      <c r="BA67" s="11" t="s">
        <v>45</v>
      </c>
      <c r="BB67" s="5"/>
      <c r="BC67" s="1">
        <f ca="1">OFFSET(A67,0, 9) -0</f>
        <v>-32.138686598147729</v>
      </c>
      <c r="BD67" s="1">
        <f ca="1">OFFSET(A67,0, 7) -0</f>
        <v>38.78206391719641</v>
      </c>
      <c r="BE67" s="1">
        <f ca="1">OFFSET(A67,0, 4) -0</f>
        <v>0.16318969021267549</v>
      </c>
      <c r="BF67" s="1">
        <f ca="1">OFFSET(A67,0, 1) -0</f>
        <v>21.544315463228941</v>
      </c>
      <c r="BG67" s="1">
        <f ca="1">OFFSET(A67,0, 10) -0</f>
        <v>-22.599061855819855</v>
      </c>
      <c r="BH67" s="1">
        <f ca="1">OFFSET(A67,0, 6) -0</f>
        <v>9.2424391748684229</v>
      </c>
      <c r="BI67" s="1">
        <f ca="1">OFFSET(A67,0, 8) -0</f>
        <v>-11.678311340475716</v>
      </c>
      <c r="BJ67" s="1">
        <f ca="1">OFFSET(A67,0, 5) -0</f>
        <v>29.702814432540436</v>
      </c>
      <c r="BK67" s="1">
        <f ca="1">OFFSET(A67,0, 12) -0</f>
        <v>-33.519812371163965</v>
      </c>
      <c r="BL67" s="1">
        <f ca="1">OFFSET(A67,0, 2) -0</f>
        <v>-18.916059794443299</v>
      </c>
      <c r="BM67" s="1">
        <f ca="1">OFFSET(A67,0, 11) -0</f>
        <v>-3.0594371134918674</v>
      </c>
      <c r="BN67" s="1">
        <f ca="1">OFFSET(A67,0, 3) -0</f>
        <v>-49.376435052115312</v>
      </c>
      <c r="BO67" s="1">
        <f ca="1">OFFSET(A67,0, 20) -0</f>
        <v>42.797185567459564</v>
      </c>
      <c r="BP67" s="1">
        <f ca="1">OFFSET(A67,0, 19) -0</f>
        <v>23.257560825131577</v>
      </c>
      <c r="BQ67" s="1">
        <f ca="1">OFFSET(A67,0, 15) -0</f>
        <v>5.0990618558198548</v>
      </c>
      <c r="BR67" s="1">
        <f ca="1">OFFSET(A67,0, 14) -0</f>
        <v>25.559437113491867</v>
      </c>
      <c r="BS67" s="1">
        <f ca="1">OFFSET(A67,0, 22) -0</f>
        <v>-18.123564947884688</v>
      </c>
      <c r="BT67" s="1">
        <f ca="1">OFFSET(A67,0, 17) -0</f>
        <v>-75.821688659524284</v>
      </c>
      <c r="BU67" s="1">
        <f ca="1">OFFSET(A67,0, 21) -0</f>
        <v>-27.663189690212675</v>
      </c>
      <c r="BV67" s="1">
        <f ca="1">OFFSET(A67,0, 18) -0</f>
        <v>23.71793608280359</v>
      </c>
      <c r="BW67" s="1">
        <f ca="1">OFFSET(A67,0, 23) -0</f>
        <v>51.416059794443299</v>
      </c>
      <c r="BX67" s="1">
        <f ca="1">OFFSET(A67,0, 13) -0</f>
        <v>6.0198123711639653</v>
      </c>
      <c r="BY67" s="1">
        <f ca="1">OFFSET(A67,0, 24) -0</f>
        <v>60.955684536771059</v>
      </c>
      <c r="BZ67" s="1">
        <f ca="1">OFFSET(A67,0, 16) -0</f>
        <v>-45.361313401852271</v>
      </c>
      <c r="CB67" s="1">
        <f>COUNTIF(B67,"&lt;-74")</f>
        <v>0</v>
      </c>
      <c r="CC67" s="1">
        <f ca="1">COUNTIF(BC67:BN67,"&lt;-53")</f>
        <v>0</v>
      </c>
      <c r="CD67" s="1">
        <f ca="1">COUNTIF(BC67:BN67,"&gt;+53")</f>
        <v>0</v>
      </c>
      <c r="CE67" s="1">
        <f ca="1">COUNTIF(BO67:BZ67,"&lt;-53")</f>
        <v>1</v>
      </c>
      <c r="CF67" s="1">
        <f ca="1">COUNTIF(BO67:BZ67,"&gt;+53")</f>
        <v>1</v>
      </c>
    </row>
    <row r="68" spans="1:84">
      <c r="A68" s="1">
        <v>65</v>
      </c>
      <c r="B68" s="1">
        <f>'Touch 1 1'!B68-'Touch 1 1'!$AA68-('Touch 1 1'!B$2- 12.5)*'Touch 1 1'!$AC68</f>
        <v>19.604247199757538</v>
      </c>
      <c r="C68" s="1">
        <f>'Touch 1 1'!C68-'Touch 1 1'!$AA68-('Touch 1 1'!C$2- 12.5)*'Touch 1 1'!$AC68</f>
        <v>-71.665687339351734</v>
      </c>
      <c r="D68" s="1">
        <f>'Touch 1 1'!D68-'Touch 1 1'!$AA68-('Touch 1 1'!D$2- 12.5)*'Touch 1 1'!$AC68</f>
        <v>-32.935621878461006</v>
      </c>
      <c r="E68" s="1">
        <f>'Touch 1 1'!E68-'Touch 1 1'!$AA68-('Touch 1 1'!E$2- 12.5)*'Touch 1 1'!$AC68</f>
        <v>5.7944435824294942</v>
      </c>
      <c r="F68" s="1">
        <f>'Touch 1 1'!F68-'Touch 1 1'!$AA68-('Touch 1 1'!F$2- 12.5)*'Touch 1 1'!$AC68</f>
        <v>34.524509043320222</v>
      </c>
      <c r="G68" s="1">
        <f>'Touch 1 1'!G68-'Touch 1 1'!$AA68-('Touch 1 1'!G$2- 12.5)*'Touch 1 1'!$AC68</f>
        <v>53.254574504210723</v>
      </c>
      <c r="H68" s="1">
        <f>'Touch 1 1'!H68-'Touch 1 1'!$AA68-('Touch 1 1'!H$2- 12.5)*'Touch 1 1'!$AC68</f>
        <v>-18.015360034898549</v>
      </c>
      <c r="I68" s="1">
        <f>'Touch 1 1'!I68-'Touch 1 1'!$AA68-('Touch 1 1'!I$2- 12.5)*'Touch 1 1'!$AC68</f>
        <v>10.714705425992065</v>
      </c>
      <c r="J68" s="1">
        <f>'Touch 1 1'!J68-'Touch 1 1'!$AA68-('Touch 1 1'!J$2- 12.5)*'Touch 1 1'!$AC68</f>
        <v>-40.555229113117207</v>
      </c>
      <c r="K68" s="1">
        <f>'Touch 1 1'!K68-'Touch 1 1'!$AA68-('Touch 1 1'!K$2- 12.5)*'Touch 1 1'!$AC68</f>
        <v>-31.825163652226593</v>
      </c>
      <c r="L68" s="1">
        <f>'Touch 1 1'!L68-'Touch 1 1'!$AA68-('Touch 1 1'!L$2- 12.5)*'Touch 1 1'!$AC68</f>
        <v>-23.095098191335978</v>
      </c>
      <c r="M68" s="1">
        <f>'Touch 1 1'!M68-'Touch 1 1'!$AA68-('Touch 1 1'!M$2- 12.5)*'Touch 1 1'!$AC68</f>
        <v>-4.3650327304453214</v>
      </c>
      <c r="N68" s="1">
        <f>'Touch 1 1'!N68-'Touch 1 1'!$AA68-('Touch 1 1'!N$2- 12.5)*'Touch 1 1'!$AC68</f>
        <v>14.365032730445321</v>
      </c>
      <c r="O68" s="1">
        <f>'Touch 1 1'!O68-'Touch 1 1'!$AA68-('Touch 1 1'!O$2- 12.5)*'Touch 1 1'!$AC68</f>
        <v>-6.9049018086640217</v>
      </c>
      <c r="P68" s="1">
        <f>'Touch 1 1'!P68-'Touch 1 1'!$AA68-('Touch 1 1'!P$2- 12.5)*'Touch 1 1'!$AC68</f>
        <v>-38.174836347773407</v>
      </c>
      <c r="Q68" s="1">
        <f>'Touch 1 1'!Q68-'Touch 1 1'!$AA68-('Touch 1 1'!Q$2- 12.5)*'Touch 1 1'!$AC68</f>
        <v>30.555229113117207</v>
      </c>
      <c r="R68" s="1">
        <f>'Touch 1 1'!R68-'Touch 1 1'!$AA68-('Touch 1 1'!R$2- 12.5)*'Touch 1 1'!$AC68</f>
        <v>9.2852945740079349</v>
      </c>
      <c r="S68" s="1">
        <f>'Touch 1 1'!S68-'Touch 1 1'!$AA68-('Touch 1 1'!S$2- 12.5)*'Touch 1 1'!$AC68</f>
        <v>48.015360034898549</v>
      </c>
      <c r="T68" s="1">
        <f>'Touch 1 1'!T68-'Touch 1 1'!$AA68-('Touch 1 1'!T$2- 12.5)*'Touch 1 1'!$AC68</f>
        <v>46.745425495789277</v>
      </c>
      <c r="U68" s="1">
        <f>'Touch 1 1'!U68-'Touch 1 1'!$AA68-('Touch 1 1'!U$2- 12.5)*'Touch 1 1'!$AC68</f>
        <v>85.475490956679778</v>
      </c>
      <c r="V68" s="1">
        <f>'Touch 1 1'!V68-'Touch 1 1'!$AA68-('Touch 1 1'!V$2- 12.5)*'Touch 1 1'!$AC68</f>
        <v>-65.794443582429494</v>
      </c>
      <c r="W68" s="1">
        <f>'Touch 1 1'!W68-'Touch 1 1'!$AA68-('Touch 1 1'!W$2- 12.5)*'Touch 1 1'!$AC68</f>
        <v>-17.064378121538994</v>
      </c>
      <c r="X68" s="1">
        <f>'Touch 1 1'!X68-'Touch 1 1'!$AA68-('Touch 1 1'!X$2- 12.5)*'Touch 1 1'!$AC68</f>
        <v>-28.334312660648266</v>
      </c>
      <c r="Y68" s="1">
        <f>'Touch 1 1'!Y68-'Touch 1 1'!$AA68-('Touch 1 1'!Y$2- 12.5)*'Touch 1 1'!$AC68</f>
        <v>20.395752800242462</v>
      </c>
      <c r="AB68" s="1">
        <f>STDEV(B68:Y68)</f>
        <v>38.832282588406542</v>
      </c>
      <c r="AD68" s="11">
        <v>4</v>
      </c>
      <c r="AE68" s="11" t="s">
        <v>44</v>
      </c>
      <c r="AF68" s="11" t="s">
        <v>46</v>
      </c>
      <c r="AG68" s="11">
        <v>3</v>
      </c>
      <c r="AH68" s="11">
        <v>8</v>
      </c>
      <c r="AI68" s="11">
        <v>6</v>
      </c>
      <c r="AJ68" s="11">
        <v>1</v>
      </c>
      <c r="AK68" s="11">
        <v>2</v>
      </c>
      <c r="AL68" s="11">
        <v>5</v>
      </c>
      <c r="AM68" s="11">
        <v>7</v>
      </c>
      <c r="AN68" s="11" t="s">
        <v>45</v>
      </c>
      <c r="AO68" s="11">
        <v>9</v>
      </c>
      <c r="AP68" s="11">
        <v>4</v>
      </c>
      <c r="AQ68" s="11" t="s">
        <v>46</v>
      </c>
      <c r="AR68" s="11" t="s">
        <v>44</v>
      </c>
      <c r="AS68" s="11">
        <v>8</v>
      </c>
      <c r="AT68" s="11">
        <v>3</v>
      </c>
      <c r="AU68" s="11">
        <v>6</v>
      </c>
      <c r="AV68" s="11">
        <v>2</v>
      </c>
      <c r="AW68" s="11">
        <v>1</v>
      </c>
      <c r="AX68" s="11">
        <v>5</v>
      </c>
      <c r="AY68" s="11" t="s">
        <v>45</v>
      </c>
      <c r="AZ68" s="11">
        <v>7</v>
      </c>
      <c r="BA68" s="11">
        <v>9</v>
      </c>
      <c r="BB68" s="5"/>
      <c r="BC68" s="1">
        <f ca="1">OFFSET(A68,0, 7) -0</f>
        <v>-18.015360034898549</v>
      </c>
      <c r="BD68" s="1">
        <f ca="1">OFFSET(A68,0, 8) -0</f>
        <v>10.714705425992065</v>
      </c>
      <c r="BE68" s="1">
        <f ca="1">OFFSET(A68,0, 4) -0</f>
        <v>5.7944435824294942</v>
      </c>
      <c r="BF68" s="1">
        <f ca="1">OFFSET(A68,0, 1) -0</f>
        <v>19.604247199757538</v>
      </c>
      <c r="BG68" s="1">
        <f ca="1">OFFSET(A68,0, 9) -0</f>
        <v>-40.555229113117207</v>
      </c>
      <c r="BH68" s="1">
        <f ca="1">OFFSET(A68,0, 6) -0</f>
        <v>53.254574504210723</v>
      </c>
      <c r="BI68" s="1">
        <f ca="1">OFFSET(A68,0, 10) -0</f>
        <v>-31.825163652226593</v>
      </c>
      <c r="BJ68" s="1">
        <f ca="1">OFFSET(A68,0, 5) -0</f>
        <v>34.524509043320222</v>
      </c>
      <c r="BK68" s="1">
        <f ca="1">OFFSET(A68,0, 12) -0</f>
        <v>-4.3650327304453214</v>
      </c>
      <c r="BL68" s="1">
        <f ca="1">OFFSET(A68,0, 2) -0</f>
        <v>-71.665687339351734</v>
      </c>
      <c r="BM68" s="1">
        <f ca="1">OFFSET(A68,0, 11) -0</f>
        <v>-23.095098191335978</v>
      </c>
      <c r="BN68" s="1">
        <f ca="1">OFFSET(A68,0, 3) -0</f>
        <v>-32.935621878461006</v>
      </c>
      <c r="BO68" s="1">
        <f ca="1">OFFSET(A68,0, 20) -0</f>
        <v>85.475490956679778</v>
      </c>
      <c r="BP68" s="1">
        <f ca="1">OFFSET(A68,0, 19) -0</f>
        <v>46.745425495789277</v>
      </c>
      <c r="BQ68" s="1">
        <f ca="1">OFFSET(A68,0, 17) -0</f>
        <v>9.2852945740079349</v>
      </c>
      <c r="BR68" s="1">
        <f ca="1">OFFSET(A68,0, 13) -0</f>
        <v>14.365032730445321</v>
      </c>
      <c r="BS68" s="1">
        <f ca="1">OFFSET(A68,0, 21) -0</f>
        <v>-65.794443582429494</v>
      </c>
      <c r="BT68" s="1">
        <f ca="1">OFFSET(A68,0, 18) -0</f>
        <v>48.015360034898549</v>
      </c>
      <c r="BU68" s="1">
        <f ca="1">OFFSET(A68,0, 23) -0</f>
        <v>-28.334312660648266</v>
      </c>
      <c r="BV68" s="1">
        <f ca="1">OFFSET(A68,0, 16) -0</f>
        <v>30.555229113117207</v>
      </c>
      <c r="BW68" s="1">
        <f ca="1">OFFSET(A68,0, 24) -0</f>
        <v>20.395752800242462</v>
      </c>
      <c r="BX68" s="1">
        <f ca="1">OFFSET(A68,0, 15) -0</f>
        <v>-38.174836347773407</v>
      </c>
      <c r="BY68" s="1">
        <f ca="1">OFFSET(A68,0, 22) -0</f>
        <v>-17.064378121538994</v>
      </c>
      <c r="BZ68" s="1">
        <f ca="1">OFFSET(A68,0, 14) -0</f>
        <v>-6.9049018086640217</v>
      </c>
      <c r="CB68" s="1">
        <f>COUNTIF(B68,"&lt;-75")</f>
        <v>0</v>
      </c>
      <c r="CC68" s="1">
        <f ca="1">COUNTIF(BC68:BN68,"&lt;-53")</f>
        <v>1</v>
      </c>
      <c r="CD68" s="1">
        <f ca="1">COUNTIF(BC68:BN68,"&gt;+53")</f>
        <v>1</v>
      </c>
      <c r="CE68" s="1">
        <f ca="1">COUNTIF(BO68:BZ68,"&lt;-53")</f>
        <v>1</v>
      </c>
      <c r="CF68" s="1">
        <f ca="1">COUNTIF(BO68:BZ68,"&gt;+53")</f>
        <v>1</v>
      </c>
    </row>
    <row r="69" spans="1:84">
      <c r="A69" s="1">
        <v>66</v>
      </c>
      <c r="B69" s="1">
        <f>'Touch 1 1'!B69-'Touch 1 1'!$AA69-('Touch 1 1'!B$2- 12.5)*'Touch 1 1'!$AC69</f>
        <v>-18.085432965684049</v>
      </c>
      <c r="C69" s="1">
        <f>'Touch 1 1'!C69-'Touch 1 1'!$AA69-('Touch 1 1'!C$2- 12.5)*'Touch 1 1'!$AC69</f>
        <v>60.769822074809781</v>
      </c>
      <c r="D69" s="1">
        <f>'Touch 1 1'!D69-'Touch 1 1'!$AA69-('Touch 1 1'!D$2- 12.5)*'Touch 1 1'!$AC69</f>
        <v>29.625077115304293</v>
      </c>
      <c r="E69" s="1">
        <f>'Touch 1 1'!E69-'Touch 1 1'!$AA69-('Touch 1 1'!E$2- 12.5)*'Touch 1 1'!$AC69</f>
        <v>-61.519667844201422</v>
      </c>
      <c r="F69" s="1">
        <f>'Touch 1 1'!F69-'Touch 1 1'!$AA69-('Touch 1 1'!F$2- 12.5)*'Touch 1 1'!$AC69</f>
        <v>67.335587196292863</v>
      </c>
      <c r="G69" s="1">
        <f>'Touch 1 1'!G69-'Touch 1 1'!$AA69-('Touch 1 1'!G$2- 12.5)*'Touch 1 1'!$AC69</f>
        <v>36.190842236787148</v>
      </c>
      <c r="H69" s="1">
        <f>'Touch 1 1'!H69-'Touch 1 1'!$AA69-('Touch 1 1'!H$2- 12.5)*'Touch 1 1'!$AC69</f>
        <v>-14.953902722718567</v>
      </c>
      <c r="I69" s="1">
        <f>'Touch 1 1'!I69-'Touch 1 1'!$AA69-('Touch 1 1'!I$2- 12.5)*'Touch 1 1'!$AC69</f>
        <v>23.901352317775718</v>
      </c>
      <c r="J69" s="1">
        <f>'Touch 1 1'!J69-'Touch 1 1'!$AA69-('Touch 1 1'!J$2- 12.5)*'Touch 1 1'!$AC69</f>
        <v>-67.243392641729997</v>
      </c>
      <c r="K69" s="1">
        <f>'Touch 1 1'!K69-'Touch 1 1'!$AA69-('Touch 1 1'!K$2- 12.5)*'Touch 1 1'!$AC69</f>
        <v>-18.388137601235712</v>
      </c>
      <c r="L69" s="1">
        <f>'Touch 1 1'!L69-'Touch 1 1'!$AA69-('Touch 1 1'!L$2- 12.5)*'Touch 1 1'!$AC69</f>
        <v>-29.532882560741427</v>
      </c>
      <c r="M69" s="1">
        <f>'Touch 1 1'!M69-'Touch 1 1'!$AA69-('Touch 1 1'!M$2- 12.5)*'Touch 1 1'!$AC69</f>
        <v>29.322372479752858</v>
      </c>
      <c r="N69" s="1">
        <f>'Touch 1 1'!N69-'Touch 1 1'!$AA69-('Touch 1 1'!N$2- 12.5)*'Touch 1 1'!$AC69</f>
        <v>8.1776275202471425</v>
      </c>
      <c r="O69" s="1">
        <f>'Touch 1 1'!O69-'Touch 1 1'!$AA69-('Touch 1 1'!O$2- 12.5)*'Touch 1 1'!$AC69</f>
        <v>-32.967117439258573</v>
      </c>
      <c r="P69" s="1">
        <f>'Touch 1 1'!P69-'Touch 1 1'!$AA69-('Touch 1 1'!P$2- 12.5)*'Touch 1 1'!$AC69</f>
        <v>-24.111862398764288</v>
      </c>
      <c r="Q69" s="1">
        <f>'Touch 1 1'!Q69-'Touch 1 1'!$AA69-('Touch 1 1'!Q$2- 12.5)*'Touch 1 1'!$AC69</f>
        <v>14.743392641729997</v>
      </c>
      <c r="R69" s="1">
        <f>'Touch 1 1'!R69-'Touch 1 1'!$AA69-('Touch 1 1'!R$2- 12.5)*'Touch 1 1'!$AC69</f>
        <v>83.598647682224282</v>
      </c>
      <c r="S69" s="1">
        <f>'Touch 1 1'!S69-'Touch 1 1'!$AA69-('Touch 1 1'!S$2- 12.5)*'Touch 1 1'!$AC69</f>
        <v>22.453902722718567</v>
      </c>
      <c r="T69" s="1">
        <f>'Touch 1 1'!T69-'Touch 1 1'!$AA69-('Touch 1 1'!T$2- 12.5)*'Touch 1 1'!$AC69</f>
        <v>21.309157763212852</v>
      </c>
      <c r="U69" s="1">
        <f>'Touch 1 1'!U69-'Touch 1 1'!$AA69-('Touch 1 1'!U$2- 12.5)*'Touch 1 1'!$AC69</f>
        <v>30.164412803707137</v>
      </c>
      <c r="V69" s="1">
        <f>'Touch 1 1'!V69-'Touch 1 1'!$AA69-('Touch 1 1'!V$2- 12.5)*'Touch 1 1'!$AC69</f>
        <v>29.019667844201422</v>
      </c>
      <c r="W69" s="1">
        <f>'Touch 1 1'!W69-'Touch 1 1'!$AA69-('Touch 1 1'!W$2- 12.5)*'Touch 1 1'!$AC69</f>
        <v>-52.125077115304293</v>
      </c>
      <c r="X69" s="1">
        <f>'Touch 1 1'!X69-'Touch 1 1'!$AA69-('Touch 1 1'!X$2- 12.5)*'Touch 1 1'!$AC69</f>
        <v>-83.269822074809781</v>
      </c>
      <c r="Y69" s="1">
        <f>'Touch 1 1'!Y69-'Touch 1 1'!$AA69-('Touch 1 1'!Y$2- 12.5)*'Touch 1 1'!$AC69</f>
        <v>-54.414567034315951</v>
      </c>
      <c r="AB69" s="1">
        <f>STDEV(B69:Y69)</f>
        <v>44.806939487868526</v>
      </c>
      <c r="AD69" s="11" t="s">
        <v>46</v>
      </c>
      <c r="AE69" s="11">
        <v>4</v>
      </c>
      <c r="AF69" s="11">
        <v>8</v>
      </c>
      <c r="AG69" s="11" t="s">
        <v>44</v>
      </c>
      <c r="AH69" s="11">
        <v>6</v>
      </c>
      <c r="AI69" s="11">
        <v>3</v>
      </c>
      <c r="AJ69" s="11">
        <v>1</v>
      </c>
      <c r="AK69" s="11">
        <v>2</v>
      </c>
      <c r="AL69" s="11" t="s">
        <v>45</v>
      </c>
      <c r="AM69" s="11">
        <v>5</v>
      </c>
      <c r="AN69" s="11">
        <v>9</v>
      </c>
      <c r="AO69" s="11">
        <v>7</v>
      </c>
      <c r="AP69" s="11">
        <v>4</v>
      </c>
      <c r="AQ69" s="11" t="s">
        <v>46</v>
      </c>
      <c r="AR69" s="11" t="s">
        <v>44</v>
      </c>
      <c r="AS69" s="11">
        <v>8</v>
      </c>
      <c r="AT69" s="11">
        <v>6</v>
      </c>
      <c r="AU69" s="11">
        <v>1</v>
      </c>
      <c r="AV69" s="11">
        <v>3</v>
      </c>
      <c r="AW69" s="11">
        <v>2</v>
      </c>
      <c r="AX69" s="11">
        <v>5</v>
      </c>
      <c r="AY69" s="11" t="s">
        <v>45</v>
      </c>
      <c r="AZ69" s="11">
        <v>7</v>
      </c>
      <c r="BA69" s="11">
        <v>9</v>
      </c>
      <c r="BB69" s="5"/>
      <c r="BC69" s="1">
        <f ca="1">OFFSET(A69,0, 7) -0</f>
        <v>-14.953902722718567</v>
      </c>
      <c r="BD69" s="1">
        <f ca="1">OFFSET(A69,0, 8) -0</f>
        <v>23.901352317775718</v>
      </c>
      <c r="BE69" s="1">
        <f ca="1">OFFSET(A69,0, 6) -0</f>
        <v>36.190842236787148</v>
      </c>
      <c r="BF69" s="1">
        <f ca="1">OFFSET(A69,0, 2) -0</f>
        <v>60.769822074809781</v>
      </c>
      <c r="BG69" s="1">
        <f ca="1">OFFSET(A69,0, 10) -0</f>
        <v>-18.388137601235712</v>
      </c>
      <c r="BH69" s="1">
        <f ca="1">OFFSET(A69,0, 5) -0</f>
        <v>67.335587196292863</v>
      </c>
      <c r="BI69" s="1">
        <f ca="1">OFFSET(A69,0, 12) -0</f>
        <v>29.322372479752858</v>
      </c>
      <c r="BJ69" s="1">
        <f ca="1">OFFSET(A69,0, 3) -0</f>
        <v>29.625077115304293</v>
      </c>
      <c r="BK69" s="1">
        <f ca="1">OFFSET(A69,0, 11) -0</f>
        <v>-29.532882560741427</v>
      </c>
      <c r="BL69" s="1">
        <f ca="1">OFFSET(A69,0, 4) -0</f>
        <v>-61.519667844201422</v>
      </c>
      <c r="BM69" s="1">
        <f ca="1">OFFSET(A69,0, 9) -0</f>
        <v>-67.243392641729997</v>
      </c>
      <c r="BN69" s="1">
        <f ca="1">OFFSET(A69,0, 1) -0</f>
        <v>-18.085432965684049</v>
      </c>
      <c r="BO69" s="1">
        <f ca="1">OFFSET(A69,0, 18) -0</f>
        <v>22.453902722718567</v>
      </c>
      <c r="BP69" s="1">
        <f ca="1">OFFSET(A69,0, 20) -0</f>
        <v>30.164412803707137</v>
      </c>
      <c r="BQ69" s="1">
        <f ca="1">OFFSET(A69,0, 19) -0</f>
        <v>21.309157763212852</v>
      </c>
      <c r="BR69" s="1">
        <f ca="1">OFFSET(A69,0, 13) -0</f>
        <v>8.1776275202471425</v>
      </c>
      <c r="BS69" s="1">
        <f ca="1">OFFSET(A69,0, 21) -0</f>
        <v>29.019667844201422</v>
      </c>
      <c r="BT69" s="1">
        <f ca="1">OFFSET(A69,0, 17) -0</f>
        <v>83.598647682224282</v>
      </c>
      <c r="BU69" s="1">
        <f ca="1">OFFSET(A69,0, 23) -0</f>
        <v>-83.269822074809781</v>
      </c>
      <c r="BV69" s="1">
        <f ca="1">OFFSET(A69,0, 16) -0</f>
        <v>14.743392641729997</v>
      </c>
      <c r="BW69" s="1">
        <f ca="1">OFFSET(A69,0, 24) -0</f>
        <v>-54.414567034315951</v>
      </c>
      <c r="BX69" s="1">
        <f ca="1">OFFSET(A69,0, 15) -0</f>
        <v>-24.111862398764288</v>
      </c>
      <c r="BY69" s="1">
        <f ca="1">OFFSET(A69,0, 22) -0</f>
        <v>-52.125077115304293</v>
      </c>
      <c r="BZ69" s="1">
        <f ca="1">OFFSET(A69,0, 14) -0</f>
        <v>-32.967117439258573</v>
      </c>
      <c r="CB69" s="1">
        <f>COUNTIF(B69,"&lt;-75")</f>
        <v>0</v>
      </c>
      <c r="CC69" s="1">
        <f ca="1">COUNTIF(BC69:BN69,"&lt;-53")</f>
        <v>2</v>
      </c>
      <c r="CD69" s="1">
        <f ca="1">COUNTIF(BC69:BN69,"&gt;+53")</f>
        <v>2</v>
      </c>
      <c r="CE69" s="1">
        <f ca="1">COUNTIF(BO69:BZ69,"&lt;-53")</f>
        <v>2</v>
      </c>
      <c r="CF69" s="1">
        <f ca="1">COUNTIF(BO69:BZ69,"&gt;+53")</f>
        <v>1</v>
      </c>
    </row>
    <row r="70" spans="1:84">
      <c r="A70" s="1">
        <v>67</v>
      </c>
      <c r="B70" s="1">
        <f>'Touch 1 1'!B70-'Touch 1 1'!$AA70-('Touch 1 1'!B$2- 12.5)*'Touch 1 1'!$AC70</f>
        <v>-50.8597058590708</v>
      </c>
      <c r="C70" s="1">
        <f>'Touch 1 1'!C70-'Touch 1 1'!$AA70-('Touch 1 1'!C$2- 12.5)*'Touch 1 1'!$AC70</f>
        <v>18.67157291128342</v>
      </c>
      <c r="D70" s="1">
        <f>'Touch 1 1'!D70-'Touch 1 1'!$AA70-('Touch 1 1'!D$2- 12.5)*'Touch 1 1'!$AC70</f>
        <v>28.202851681637412</v>
      </c>
      <c r="E70" s="1">
        <f>'Touch 1 1'!E70-'Touch 1 1'!$AA70-('Touch 1 1'!E$2- 12.5)*'Touch 1 1'!$AC70</f>
        <v>-22.265869548008595</v>
      </c>
      <c r="F70" s="1">
        <f>'Touch 1 1'!F70-'Touch 1 1'!$AA70-('Touch 1 1'!F$2- 12.5)*'Touch 1 1'!$AC70</f>
        <v>17.26540922234517</v>
      </c>
      <c r="G70" s="1">
        <f>'Touch 1 1'!G70-'Touch 1 1'!$AA70-('Touch 1 1'!G$2- 12.5)*'Touch 1 1'!$AC70</f>
        <v>66.796687992699162</v>
      </c>
      <c r="H70" s="1">
        <f>'Touch 1 1'!H70-'Touch 1 1'!$AA70-('Touch 1 1'!H$2- 12.5)*'Touch 1 1'!$AC70</f>
        <v>56.327966763053155</v>
      </c>
      <c r="I70" s="1">
        <f>'Touch 1 1'!I70-'Touch 1 1'!$AA70-('Touch 1 1'!I$2- 12.5)*'Touch 1 1'!$AC70</f>
        <v>45.859245533407147</v>
      </c>
      <c r="J70" s="1">
        <f>'Touch 1 1'!J70-'Touch 1 1'!$AA70-('Touch 1 1'!J$2- 12.5)*'Touch 1 1'!$AC70</f>
        <v>-54.60947569623886</v>
      </c>
      <c r="K70" s="1">
        <f>'Touch 1 1'!K70-'Touch 1 1'!$AA70-('Touch 1 1'!K$2- 12.5)*'Touch 1 1'!$AC70</f>
        <v>-45.078196925884868</v>
      </c>
      <c r="L70" s="1">
        <f>'Touch 1 1'!L70-'Touch 1 1'!$AA70-('Touch 1 1'!L$2- 12.5)*'Touch 1 1'!$AC70</f>
        <v>-75.546918155530932</v>
      </c>
      <c r="M70" s="1">
        <f>'Touch 1 1'!M70-'Touch 1 1'!$AA70-('Touch 1 1'!M$2- 12.5)*'Touch 1 1'!$AC70</f>
        <v>-96.015639385176982</v>
      </c>
      <c r="N70" s="1">
        <f>'Touch 1 1'!N70-'Touch 1 1'!$AA70-('Touch 1 1'!N$2- 12.5)*'Touch 1 1'!$AC70</f>
        <v>-46.484360614823018</v>
      </c>
      <c r="O70" s="1">
        <f>'Touch 1 1'!O70-'Touch 1 1'!$AA70-('Touch 1 1'!O$2- 12.5)*'Touch 1 1'!$AC70</f>
        <v>33.046918155530932</v>
      </c>
      <c r="P70" s="1">
        <f>'Touch 1 1'!P70-'Touch 1 1'!$AA70-('Touch 1 1'!P$2- 12.5)*'Touch 1 1'!$AC70</f>
        <v>32.578196925884868</v>
      </c>
      <c r="Q70" s="1">
        <f>'Touch 1 1'!Q70-'Touch 1 1'!$AA70-('Touch 1 1'!Q$2- 12.5)*'Touch 1 1'!$AC70</f>
        <v>22.10947569623886</v>
      </c>
      <c r="R70" s="1">
        <f>'Touch 1 1'!R70-'Touch 1 1'!$AA70-('Touch 1 1'!R$2- 12.5)*'Touch 1 1'!$AC70</f>
        <v>71.640754466592853</v>
      </c>
      <c r="S70" s="1">
        <f>'Touch 1 1'!S70-'Touch 1 1'!$AA70-('Touch 1 1'!S$2- 12.5)*'Touch 1 1'!$AC70</f>
        <v>71.172033236946845</v>
      </c>
      <c r="T70" s="1">
        <f>'Touch 1 1'!T70-'Touch 1 1'!$AA70-('Touch 1 1'!T$2- 12.5)*'Touch 1 1'!$AC70</f>
        <v>20.703312007300838</v>
      </c>
      <c r="U70" s="1">
        <f>'Touch 1 1'!U70-'Touch 1 1'!$AA70-('Touch 1 1'!U$2- 12.5)*'Touch 1 1'!$AC70</f>
        <v>-19.76540922234517</v>
      </c>
      <c r="V70" s="1">
        <f>'Touch 1 1'!V70-'Touch 1 1'!$AA70-('Touch 1 1'!V$2- 12.5)*'Touch 1 1'!$AC70</f>
        <v>9.7658695480085953</v>
      </c>
      <c r="W70" s="1">
        <f>'Touch 1 1'!W70-'Touch 1 1'!$AA70-('Touch 1 1'!W$2- 12.5)*'Touch 1 1'!$AC70</f>
        <v>-0.70285168163741218</v>
      </c>
      <c r="X70" s="1">
        <f>'Touch 1 1'!X70-'Touch 1 1'!$AA70-('Touch 1 1'!X$2- 12.5)*'Touch 1 1'!$AC70</f>
        <v>-81.17157291128342</v>
      </c>
      <c r="Y70" s="1">
        <f>'Touch 1 1'!Y70-'Touch 1 1'!$AA70-('Touch 1 1'!Y$2- 12.5)*'Touch 1 1'!$AC70</f>
        <v>-1.6402941409291998</v>
      </c>
      <c r="AB70" s="1">
        <f>STDEV(B70:Y70)</f>
        <v>49.655546443788786</v>
      </c>
      <c r="AD70" s="11" t="s">
        <v>46</v>
      </c>
      <c r="AE70" s="11">
        <v>4</v>
      </c>
      <c r="AF70" s="11">
        <v>8</v>
      </c>
      <c r="AG70" s="11" t="s">
        <v>44</v>
      </c>
      <c r="AH70" s="11">
        <v>1</v>
      </c>
      <c r="AI70" s="11">
        <v>6</v>
      </c>
      <c r="AJ70" s="11">
        <v>2</v>
      </c>
      <c r="AK70" s="11">
        <v>3</v>
      </c>
      <c r="AL70" s="11" t="s">
        <v>45</v>
      </c>
      <c r="AM70" s="11">
        <v>5</v>
      </c>
      <c r="AN70" s="11">
        <v>9</v>
      </c>
      <c r="AO70" s="11">
        <v>7</v>
      </c>
      <c r="AP70" s="11" t="s">
        <v>46</v>
      </c>
      <c r="AQ70" s="11">
        <v>8</v>
      </c>
      <c r="AR70" s="11">
        <v>4</v>
      </c>
      <c r="AS70" s="11" t="s">
        <v>44</v>
      </c>
      <c r="AT70" s="11">
        <v>6</v>
      </c>
      <c r="AU70" s="11">
        <v>1</v>
      </c>
      <c r="AV70" s="11">
        <v>2</v>
      </c>
      <c r="AW70" s="11" t="s">
        <v>45</v>
      </c>
      <c r="AX70" s="11">
        <v>3</v>
      </c>
      <c r="AY70" s="11">
        <v>9</v>
      </c>
      <c r="AZ70" s="11">
        <v>5</v>
      </c>
      <c r="BA70" s="11">
        <v>7</v>
      </c>
      <c r="BB70" s="5"/>
      <c r="BC70" s="1">
        <f ca="1">OFFSET(A70,0, 5) -0</f>
        <v>17.26540922234517</v>
      </c>
      <c r="BD70" s="1">
        <f ca="1">OFFSET(A70,0, 7) -0</f>
        <v>56.327966763053155</v>
      </c>
      <c r="BE70" s="1">
        <f ca="1">OFFSET(A70,0, 8) -0</f>
        <v>45.859245533407147</v>
      </c>
      <c r="BF70" s="1">
        <f ca="1">OFFSET(A70,0, 2) -0</f>
        <v>18.67157291128342</v>
      </c>
      <c r="BG70" s="1">
        <f ca="1">OFFSET(A70,0, 10) -0</f>
        <v>-45.078196925884868</v>
      </c>
      <c r="BH70" s="1">
        <f ca="1">OFFSET(A70,0, 6) -0</f>
        <v>66.796687992699162</v>
      </c>
      <c r="BI70" s="1">
        <f ca="1">OFFSET(A70,0, 12) -0</f>
        <v>-96.015639385176982</v>
      </c>
      <c r="BJ70" s="1">
        <f ca="1">OFFSET(A70,0, 3) -0</f>
        <v>28.202851681637412</v>
      </c>
      <c r="BK70" s="1">
        <f ca="1">OFFSET(A70,0, 11) -0</f>
        <v>-75.546918155530932</v>
      </c>
      <c r="BL70" s="1">
        <f ca="1">OFFSET(A70,0, 4) -0</f>
        <v>-22.265869548008595</v>
      </c>
      <c r="BM70" s="1">
        <f ca="1">OFFSET(A70,0, 9) -0</f>
        <v>-54.60947569623886</v>
      </c>
      <c r="BN70" s="1">
        <f ca="1">OFFSET(A70,0, 1) -0</f>
        <v>-50.8597058590708</v>
      </c>
      <c r="BO70" s="1">
        <f ca="1">OFFSET(A70,0, 18) -0</f>
        <v>71.172033236946845</v>
      </c>
      <c r="BP70" s="1">
        <f ca="1">OFFSET(A70,0, 19) -0</f>
        <v>20.703312007300838</v>
      </c>
      <c r="BQ70" s="1">
        <f ca="1">OFFSET(A70,0, 21) -0</f>
        <v>9.7658695480085953</v>
      </c>
      <c r="BR70" s="1">
        <f ca="1">OFFSET(A70,0, 15) -0</f>
        <v>32.578196925884868</v>
      </c>
      <c r="BS70" s="1">
        <f ca="1">OFFSET(A70,0, 23) -0</f>
        <v>-81.17157291128342</v>
      </c>
      <c r="BT70" s="1">
        <f ca="1">OFFSET(A70,0, 17) -0</f>
        <v>71.640754466592853</v>
      </c>
      <c r="BU70" s="1">
        <f ca="1">OFFSET(A70,0, 24) -0</f>
        <v>-1.6402941409291998</v>
      </c>
      <c r="BV70" s="1">
        <f ca="1">OFFSET(A70,0, 14) -0</f>
        <v>33.046918155530932</v>
      </c>
      <c r="BW70" s="1">
        <f ca="1">OFFSET(A70,0, 22) -0</f>
        <v>-0.70285168163741218</v>
      </c>
      <c r="BX70" s="1">
        <f ca="1">OFFSET(A70,0, 16) -0</f>
        <v>22.10947569623886</v>
      </c>
      <c r="BY70" s="1">
        <f ca="1">OFFSET(A70,0, 20) -0</f>
        <v>-19.76540922234517</v>
      </c>
      <c r="BZ70" s="1">
        <f ca="1">OFFSET(A70,0, 13) -0</f>
        <v>-46.484360614823018</v>
      </c>
      <c r="CB70" s="1">
        <f>COUNTIF(B70,"&lt;-74")</f>
        <v>0</v>
      </c>
      <c r="CC70" s="1">
        <f ca="1">COUNTIF(BC70:BN70,"&lt;-53")</f>
        <v>3</v>
      </c>
      <c r="CD70" s="1">
        <f ca="1">COUNTIF(BC70:BN70,"&gt;+53")</f>
        <v>2</v>
      </c>
      <c r="CE70" s="1">
        <f ca="1">COUNTIF(BO70:BZ70,"&lt;-53")</f>
        <v>1</v>
      </c>
      <c r="CF70" s="1">
        <f ca="1">COUNTIF(BO70:BZ70,"&gt;+53")</f>
        <v>2</v>
      </c>
    </row>
    <row r="71" spans="1:84">
      <c r="A71" s="1">
        <v>68</v>
      </c>
      <c r="B71" s="1">
        <f>'Touch 1 1'!B71-'Touch 1 1'!$AA71-('Touch 1 1'!B$2- 12.5)*'Touch 1 1'!$AC71</f>
        <v>-45.66319412377743</v>
      </c>
      <c r="C71" s="1">
        <f>'Touch 1 1'!C71-'Touch 1 1'!$AA71-('Touch 1 1'!C$2- 12.5)*'Touch 1 1'!$AC71</f>
        <v>-85.931612026057792</v>
      </c>
      <c r="D71" s="1">
        <f>'Touch 1 1'!D71-'Touch 1 1'!$AA71-('Touch 1 1'!D$2- 12.5)*'Touch 1 1'!$AC71</f>
        <v>-36.200029928337926</v>
      </c>
      <c r="E71" s="1">
        <f>'Touch 1 1'!E71-'Touch 1 1'!$AA71-('Touch 1 1'!E$2- 12.5)*'Touch 1 1'!$AC71</f>
        <v>43.531552169381939</v>
      </c>
      <c r="F71" s="1">
        <f>'Touch 1 1'!F71-'Touch 1 1'!$AA71-('Touch 1 1'!F$2- 12.5)*'Touch 1 1'!$AC71</f>
        <v>3.2631342671015773</v>
      </c>
      <c r="G71" s="1">
        <f>'Touch 1 1'!G71-'Touch 1 1'!$AA71-('Touch 1 1'!G$2- 12.5)*'Touch 1 1'!$AC71</f>
        <v>52.994716364821443</v>
      </c>
      <c r="H71" s="1">
        <f>'Touch 1 1'!H71-'Touch 1 1'!$AA71-('Touch 1 1'!H$2- 12.5)*'Touch 1 1'!$AC71</f>
        <v>12.726298462541308</v>
      </c>
      <c r="I71" s="1">
        <f>'Touch 1 1'!I71-'Touch 1 1'!$AA71-('Touch 1 1'!I$2- 12.5)*'Touch 1 1'!$AC71</f>
        <v>2.4578805602609464</v>
      </c>
      <c r="J71" s="1">
        <f>'Touch 1 1'!J71-'Touch 1 1'!$AA71-('Touch 1 1'!J$2- 12.5)*'Touch 1 1'!$AC71</f>
        <v>-27.810537342019188</v>
      </c>
      <c r="K71" s="1">
        <f>'Touch 1 1'!K71-'Touch 1 1'!$AA71-('Touch 1 1'!K$2- 12.5)*'Touch 1 1'!$AC71</f>
        <v>1.9210447557005637</v>
      </c>
      <c r="L71" s="1">
        <f>'Touch 1 1'!L71-'Touch 1 1'!$AA71-('Touch 1 1'!L$2- 12.5)*'Touch 1 1'!$AC71</f>
        <v>-38.347373146579685</v>
      </c>
      <c r="M71" s="1">
        <f>'Touch 1 1'!M71-'Touch 1 1'!$AA71-('Touch 1 1'!M$2- 12.5)*'Touch 1 1'!$AC71</f>
        <v>-58.61579104885989</v>
      </c>
      <c r="N71" s="1">
        <f>'Touch 1 1'!N71-'Touch 1 1'!$AA71-('Touch 1 1'!N$2- 12.5)*'Touch 1 1'!$AC71</f>
        <v>-38.88420895114011</v>
      </c>
      <c r="O71" s="1">
        <f>'Touch 1 1'!O71-'Touch 1 1'!$AA71-('Touch 1 1'!O$2- 12.5)*'Touch 1 1'!$AC71</f>
        <v>-59.152626853420315</v>
      </c>
      <c r="P71" s="1">
        <f>'Touch 1 1'!P71-'Touch 1 1'!$AA71-('Touch 1 1'!P$2- 12.5)*'Touch 1 1'!$AC71</f>
        <v>-49.421044755700564</v>
      </c>
      <c r="Q71" s="1">
        <f>'Touch 1 1'!Q71-'Touch 1 1'!$AA71-('Touch 1 1'!Q$2- 12.5)*'Touch 1 1'!$AC71</f>
        <v>30.310537342019188</v>
      </c>
      <c r="R71" s="1">
        <f>'Touch 1 1'!R71-'Touch 1 1'!$AA71-('Touch 1 1'!R$2- 12.5)*'Touch 1 1'!$AC71</f>
        <v>20.042119439739054</v>
      </c>
      <c r="S71" s="1">
        <f>'Touch 1 1'!S71-'Touch 1 1'!$AA71-('Touch 1 1'!S$2- 12.5)*'Touch 1 1'!$AC71</f>
        <v>39.773701537458692</v>
      </c>
      <c r="T71" s="1">
        <f>'Touch 1 1'!T71-'Touch 1 1'!$AA71-('Touch 1 1'!T$2- 12.5)*'Touch 1 1'!$AC71</f>
        <v>39.505283635178557</v>
      </c>
      <c r="U71" s="1">
        <f>'Touch 1 1'!U71-'Touch 1 1'!$AA71-('Touch 1 1'!U$2- 12.5)*'Touch 1 1'!$AC71</f>
        <v>59.236865732898423</v>
      </c>
      <c r="V71" s="1">
        <f>'Touch 1 1'!V71-'Touch 1 1'!$AA71-('Touch 1 1'!V$2- 12.5)*'Touch 1 1'!$AC71</f>
        <v>18.968447830618061</v>
      </c>
      <c r="W71" s="1">
        <f>'Touch 1 1'!W71-'Touch 1 1'!$AA71-('Touch 1 1'!W$2- 12.5)*'Touch 1 1'!$AC71</f>
        <v>-21.299970071662074</v>
      </c>
      <c r="X71" s="1">
        <f>'Touch 1 1'!X71-'Touch 1 1'!$AA71-('Touch 1 1'!X$2- 12.5)*'Touch 1 1'!$AC71</f>
        <v>18.431612026057792</v>
      </c>
      <c r="Y71" s="1">
        <f>'Touch 1 1'!Y71-'Touch 1 1'!$AA71-('Touch 1 1'!Y$2- 12.5)*'Touch 1 1'!$AC71</f>
        <v>118.16319412377743</v>
      </c>
      <c r="AB71" s="1">
        <f>STDEV(B71:Y71)</f>
        <v>47.496723038137254</v>
      </c>
      <c r="AD71" s="11">
        <v>8</v>
      </c>
      <c r="AE71" s="11" t="s">
        <v>46</v>
      </c>
      <c r="AF71" s="11" t="s">
        <v>44</v>
      </c>
      <c r="AG71" s="11">
        <v>4</v>
      </c>
      <c r="AH71" s="11">
        <v>1</v>
      </c>
      <c r="AI71" s="11">
        <v>6</v>
      </c>
      <c r="AJ71" s="11" t="s">
        <v>45</v>
      </c>
      <c r="AK71" s="11">
        <v>2</v>
      </c>
      <c r="AL71" s="11">
        <v>9</v>
      </c>
      <c r="AM71" s="11">
        <v>3</v>
      </c>
      <c r="AN71" s="11">
        <v>7</v>
      </c>
      <c r="AO71" s="11">
        <v>5</v>
      </c>
      <c r="AP71" s="11" t="s">
        <v>46</v>
      </c>
      <c r="AQ71" s="11">
        <v>8</v>
      </c>
      <c r="AR71" s="11" t="s">
        <v>44</v>
      </c>
      <c r="AS71" s="11">
        <v>1</v>
      </c>
      <c r="AT71" s="11">
        <v>4</v>
      </c>
      <c r="AU71" s="11">
        <v>6</v>
      </c>
      <c r="AV71" s="11">
        <v>2</v>
      </c>
      <c r="AW71" s="11" t="s">
        <v>45</v>
      </c>
      <c r="AX71" s="11">
        <v>3</v>
      </c>
      <c r="AY71" s="11">
        <v>9</v>
      </c>
      <c r="AZ71" s="11">
        <v>5</v>
      </c>
      <c r="BA71" s="11">
        <v>7</v>
      </c>
      <c r="BB71" s="5"/>
      <c r="BC71" s="1">
        <f ca="1">OFFSET(A71,0, 5) -0</f>
        <v>3.2631342671015773</v>
      </c>
      <c r="BD71" s="1">
        <f ca="1">OFFSET(A71,0, 8) -0</f>
        <v>2.4578805602609464</v>
      </c>
      <c r="BE71" s="1">
        <f ca="1">OFFSET(A71,0, 10) -0</f>
        <v>1.9210447557005637</v>
      </c>
      <c r="BF71" s="1">
        <f ca="1">OFFSET(A71,0, 4) -0</f>
        <v>43.531552169381939</v>
      </c>
      <c r="BG71" s="1">
        <f ca="1">OFFSET(A71,0, 12) -0</f>
        <v>-58.61579104885989</v>
      </c>
      <c r="BH71" s="1">
        <f ca="1">OFFSET(A71,0, 6) -0</f>
        <v>52.994716364821443</v>
      </c>
      <c r="BI71" s="1">
        <f ca="1">OFFSET(A71,0, 11) -0</f>
        <v>-38.347373146579685</v>
      </c>
      <c r="BJ71" s="1">
        <f ca="1">OFFSET(A71,0, 1) -0</f>
        <v>-45.66319412377743</v>
      </c>
      <c r="BK71" s="1">
        <f ca="1">OFFSET(A71,0, 9) -0</f>
        <v>-27.810537342019188</v>
      </c>
      <c r="BL71" s="1">
        <f ca="1">OFFSET(A71,0, 3) -0</f>
        <v>-36.200029928337926</v>
      </c>
      <c r="BM71" s="1">
        <f ca="1">OFFSET(A71,0, 7) -0</f>
        <v>12.726298462541308</v>
      </c>
      <c r="BN71" s="1">
        <f ca="1">OFFSET(A71,0, 2) -0</f>
        <v>-85.931612026057792</v>
      </c>
      <c r="BO71" s="1">
        <f ca="1">OFFSET(A71,0, 16) -0</f>
        <v>30.310537342019188</v>
      </c>
      <c r="BP71" s="1">
        <f ca="1">OFFSET(A71,0, 19) -0</f>
        <v>39.505283635178557</v>
      </c>
      <c r="BQ71" s="1">
        <f ca="1">OFFSET(A71,0, 21) -0</f>
        <v>18.968447830618061</v>
      </c>
      <c r="BR71" s="1">
        <f ca="1">OFFSET(A71,0, 17) -0</f>
        <v>20.042119439739054</v>
      </c>
      <c r="BS71" s="1">
        <f ca="1">OFFSET(A71,0, 23) -0</f>
        <v>18.431612026057792</v>
      </c>
      <c r="BT71" s="1">
        <f ca="1">OFFSET(A71,0, 18) -0</f>
        <v>39.773701537458692</v>
      </c>
      <c r="BU71" s="1">
        <f ca="1">OFFSET(A71,0, 24) -0</f>
        <v>118.16319412377743</v>
      </c>
      <c r="BV71" s="1">
        <f ca="1">OFFSET(A71,0, 14) -0</f>
        <v>-59.152626853420315</v>
      </c>
      <c r="BW71" s="1">
        <f ca="1">OFFSET(A71,0, 22) -0</f>
        <v>-21.299970071662074</v>
      </c>
      <c r="BX71" s="1">
        <f ca="1">OFFSET(A71,0, 15) -0</f>
        <v>-49.421044755700564</v>
      </c>
      <c r="BY71" s="1">
        <f ca="1">OFFSET(A71,0, 20) -0</f>
        <v>59.236865732898423</v>
      </c>
      <c r="BZ71" s="1">
        <f ca="1">OFFSET(A71,0, 13) -0</f>
        <v>-38.88420895114011</v>
      </c>
      <c r="CB71" s="1">
        <f>COUNTIF(B71,"&lt;-74")</f>
        <v>0</v>
      </c>
      <c r="CC71" s="1">
        <f ca="1">COUNTIF(BC71:BN71,"&lt;-53")</f>
        <v>2</v>
      </c>
      <c r="CD71" s="1">
        <f ca="1">COUNTIF(BC71:BN71,"&gt;+53")</f>
        <v>0</v>
      </c>
      <c r="CE71" s="1">
        <f ca="1">COUNTIF(BO71:BZ71,"&lt;-53")</f>
        <v>1</v>
      </c>
      <c r="CF71" s="1">
        <f ca="1">COUNTIF(BO71:BZ71,"&gt;+53")</f>
        <v>2</v>
      </c>
    </row>
    <row r="72" spans="1:84">
      <c r="A72" s="1">
        <v>69</v>
      </c>
      <c r="B72" s="1">
        <f>'Touch 1 1'!B72-'Touch 1 1'!$AA72-('Touch 1 1'!B$2- 12.5)*'Touch 1 1'!$AC72</f>
        <v>33.079974306371241</v>
      </c>
      <c r="C72" s="1">
        <f>'Touch 1 1'!C72-'Touch 1 1'!$AA72-('Touch 1 1'!C$2- 12.5)*'Touch 1 1'!$AC72</f>
        <v>-27.513936502878551</v>
      </c>
      <c r="D72" s="1">
        <f>'Touch 1 1'!D72-'Touch 1 1'!$AA72-('Touch 1 1'!D$2- 12.5)*'Touch 1 1'!$AC72</f>
        <v>-48.107847312128115</v>
      </c>
      <c r="E72" s="1">
        <f>'Touch 1 1'!E72-'Touch 1 1'!$AA72-('Touch 1 1'!E$2- 12.5)*'Touch 1 1'!$AC72</f>
        <v>-78.701758121377679</v>
      </c>
      <c r="F72" s="1">
        <f>'Touch 1 1'!F72-'Touch 1 1'!$AA72-('Touch 1 1'!F$2- 12.5)*'Touch 1 1'!$AC72</f>
        <v>-39.295668930627471</v>
      </c>
      <c r="G72" s="1">
        <f>'Touch 1 1'!G72-'Touch 1 1'!$AA72-('Touch 1 1'!G$2- 12.5)*'Touch 1 1'!$AC72</f>
        <v>40.110420260122964</v>
      </c>
      <c r="H72" s="1">
        <f>'Touch 1 1'!H72-'Touch 1 1'!$AA72-('Touch 1 1'!H$2- 12.5)*'Touch 1 1'!$AC72</f>
        <v>19.516509450873173</v>
      </c>
      <c r="I72" s="1">
        <f>'Touch 1 1'!I72-'Touch 1 1'!$AA72-('Touch 1 1'!I$2- 12.5)*'Touch 1 1'!$AC72</f>
        <v>-21.077401358376392</v>
      </c>
      <c r="J72" s="1">
        <f>'Touch 1 1'!J72-'Touch 1 1'!$AA72-('Touch 1 1'!J$2- 12.5)*'Touch 1 1'!$AC72</f>
        <v>-41.671312167626184</v>
      </c>
      <c r="K72" s="1">
        <f>'Touch 1 1'!K72-'Touch 1 1'!$AA72-('Touch 1 1'!K$2- 12.5)*'Touch 1 1'!$AC72</f>
        <v>27.734777023124252</v>
      </c>
      <c r="L72" s="1">
        <f>'Touch 1 1'!L72-'Touch 1 1'!$AA72-('Touch 1 1'!L$2- 12.5)*'Touch 1 1'!$AC72</f>
        <v>17.140866213874517</v>
      </c>
      <c r="M72" s="1">
        <f>'Touch 1 1'!M72-'Touch 1 1'!$AA72-('Touch 1 1'!M$2- 12.5)*'Touch 1 1'!$AC72</f>
        <v>-23.453044595375161</v>
      </c>
      <c r="N72" s="1">
        <f>'Touch 1 1'!N72-'Touch 1 1'!$AA72-('Touch 1 1'!N$2- 12.5)*'Touch 1 1'!$AC72</f>
        <v>5.953044595375161</v>
      </c>
      <c r="O72" s="1">
        <f>'Touch 1 1'!O72-'Touch 1 1'!$AA72-('Touch 1 1'!O$2- 12.5)*'Touch 1 1'!$AC72</f>
        <v>15.359133786125483</v>
      </c>
      <c r="P72" s="1">
        <f>'Touch 1 1'!P72-'Touch 1 1'!$AA72-('Touch 1 1'!P$2- 12.5)*'Touch 1 1'!$AC72</f>
        <v>24.765222976875748</v>
      </c>
      <c r="Q72" s="1">
        <f>'Touch 1 1'!Q72-'Touch 1 1'!$AA72-('Touch 1 1'!Q$2- 12.5)*'Touch 1 1'!$AC72</f>
        <v>64.171312167626184</v>
      </c>
      <c r="R72" s="1">
        <f>'Touch 1 1'!R72-'Touch 1 1'!$AA72-('Touch 1 1'!R$2- 12.5)*'Touch 1 1'!$AC72</f>
        <v>-26.422598641623608</v>
      </c>
      <c r="S72" s="1">
        <f>'Touch 1 1'!S72-'Touch 1 1'!$AA72-('Touch 1 1'!S$2- 12.5)*'Touch 1 1'!$AC72</f>
        <v>-7.0165094508731727</v>
      </c>
      <c r="T72" s="1">
        <f>'Touch 1 1'!T72-'Touch 1 1'!$AA72-('Touch 1 1'!T$2- 12.5)*'Touch 1 1'!$AC72</f>
        <v>-7.6104202601229645</v>
      </c>
      <c r="U72" s="1">
        <f>'Touch 1 1'!U72-'Touch 1 1'!$AA72-('Touch 1 1'!U$2- 12.5)*'Touch 1 1'!$AC72</f>
        <v>41.795668930627471</v>
      </c>
      <c r="V72" s="1">
        <f>'Touch 1 1'!V72-'Touch 1 1'!$AA72-('Touch 1 1'!V$2- 12.5)*'Touch 1 1'!$AC72</f>
        <v>11.201758121377679</v>
      </c>
      <c r="W72" s="1">
        <f>'Touch 1 1'!W72-'Touch 1 1'!$AA72-('Touch 1 1'!W$2- 12.5)*'Touch 1 1'!$AC72</f>
        <v>30.607847312128115</v>
      </c>
      <c r="X72" s="1">
        <f>'Touch 1 1'!X72-'Touch 1 1'!$AA72-('Touch 1 1'!X$2- 12.5)*'Touch 1 1'!$AC72</f>
        <v>1.3936502878550527E-2</v>
      </c>
      <c r="Y72" s="1">
        <f>'Touch 1 1'!Y72-'Touch 1 1'!$AA72-('Touch 1 1'!Y$2- 12.5)*'Touch 1 1'!$AC72</f>
        <v>-10.579974306371241</v>
      </c>
      <c r="AB72" s="1">
        <f>STDEV(B72:Y72)</f>
        <v>33.890105542559738</v>
      </c>
      <c r="AD72" s="11">
        <v>8</v>
      </c>
      <c r="AE72" s="11" t="s">
        <v>46</v>
      </c>
      <c r="AF72" s="11">
        <v>1</v>
      </c>
      <c r="AG72" s="11" t="s">
        <v>44</v>
      </c>
      <c r="AH72" s="11">
        <v>6</v>
      </c>
      <c r="AI72" s="11">
        <v>4</v>
      </c>
      <c r="AJ72" s="11" t="s">
        <v>45</v>
      </c>
      <c r="AK72" s="11">
        <v>2</v>
      </c>
      <c r="AL72" s="11">
        <v>9</v>
      </c>
      <c r="AM72" s="11">
        <v>3</v>
      </c>
      <c r="AN72" s="11">
        <v>7</v>
      </c>
      <c r="AO72" s="11">
        <v>5</v>
      </c>
      <c r="AP72" s="11">
        <v>8</v>
      </c>
      <c r="AQ72" s="11" t="s">
        <v>46</v>
      </c>
      <c r="AR72" s="11" t="s">
        <v>44</v>
      </c>
      <c r="AS72" s="11">
        <v>1</v>
      </c>
      <c r="AT72" s="11">
        <v>6</v>
      </c>
      <c r="AU72" s="11" t="s">
        <v>45</v>
      </c>
      <c r="AV72" s="11">
        <v>4</v>
      </c>
      <c r="AW72" s="11">
        <v>9</v>
      </c>
      <c r="AX72" s="11">
        <v>2</v>
      </c>
      <c r="AY72" s="11">
        <v>7</v>
      </c>
      <c r="AZ72" s="11">
        <v>3</v>
      </c>
      <c r="BA72" s="11">
        <v>5</v>
      </c>
      <c r="BB72" s="5"/>
      <c r="BC72" s="1">
        <f ca="1">OFFSET(A72,0, 3) -0</f>
        <v>-48.107847312128115</v>
      </c>
      <c r="BD72" s="1">
        <f ca="1">OFFSET(A72,0, 8) -0</f>
        <v>-21.077401358376392</v>
      </c>
      <c r="BE72" s="1">
        <f ca="1">OFFSET(A72,0, 10) -0</f>
        <v>27.734777023124252</v>
      </c>
      <c r="BF72" s="1">
        <f ca="1">OFFSET(A72,0, 6) -0</f>
        <v>40.110420260122964</v>
      </c>
      <c r="BG72" s="1">
        <f ca="1">OFFSET(A72,0, 12) -0</f>
        <v>-23.453044595375161</v>
      </c>
      <c r="BH72" s="1">
        <f ca="1">OFFSET(A72,0, 5) -0</f>
        <v>-39.295668930627471</v>
      </c>
      <c r="BI72" s="1">
        <f ca="1">OFFSET(A72,0, 11) -0</f>
        <v>17.140866213874517</v>
      </c>
      <c r="BJ72" s="1">
        <f ca="1">OFFSET(A72,0, 1) -0</f>
        <v>33.079974306371241</v>
      </c>
      <c r="BK72" s="1">
        <f ca="1">OFFSET(A72,0, 9) -0</f>
        <v>-41.671312167626184</v>
      </c>
      <c r="BL72" s="1">
        <f ca="1">OFFSET(A72,0, 4) -0</f>
        <v>-78.701758121377679</v>
      </c>
      <c r="BM72" s="1">
        <f ca="1">OFFSET(A72,0, 7) -0</f>
        <v>19.516509450873173</v>
      </c>
      <c r="BN72" s="1">
        <f ca="1">OFFSET(A72,0, 2) -0</f>
        <v>-27.513936502878551</v>
      </c>
      <c r="BO72" s="1">
        <f ca="1">OFFSET(A72,0, 16) -0</f>
        <v>64.171312167626184</v>
      </c>
      <c r="BP72" s="1">
        <f ca="1">OFFSET(A72,0, 21) -0</f>
        <v>11.201758121377679</v>
      </c>
      <c r="BQ72" s="1">
        <f ca="1">OFFSET(A72,0, 23) -0</f>
        <v>1.3936502878550527E-2</v>
      </c>
      <c r="BR72" s="1">
        <f ca="1">OFFSET(A72,0, 19) -0</f>
        <v>-7.6104202601229645</v>
      </c>
      <c r="BS72" s="1">
        <f ca="1">OFFSET(A72,0, 24) -0</f>
        <v>-10.579974306371241</v>
      </c>
      <c r="BT72" s="1">
        <f ca="1">OFFSET(A72,0, 17) -0</f>
        <v>-26.422598641623608</v>
      </c>
      <c r="BU72" s="1">
        <f ca="1">OFFSET(A72,0, 22) -0</f>
        <v>30.607847312128115</v>
      </c>
      <c r="BV72" s="1">
        <f ca="1">OFFSET(A72,0, 13) -0</f>
        <v>5.953044595375161</v>
      </c>
      <c r="BW72" s="1">
        <f ca="1">OFFSET(A72,0, 20) -0</f>
        <v>41.795668930627471</v>
      </c>
      <c r="BX72" s="1">
        <f ca="1">OFFSET(A72,0, 15) -0</f>
        <v>24.765222976875748</v>
      </c>
      <c r="BY72" s="1">
        <f ca="1">OFFSET(A72,0, 18) -0</f>
        <v>-7.0165094508731727</v>
      </c>
      <c r="BZ72" s="1">
        <f ca="1">OFFSET(A72,0, 14) -0</f>
        <v>15.359133786125483</v>
      </c>
      <c r="CB72" s="1">
        <f>COUNTIF(B72,"&lt;-74")</f>
        <v>0</v>
      </c>
      <c r="CC72" s="1">
        <f ca="1">COUNTIF(BC72:BN72,"&lt;-53")</f>
        <v>1</v>
      </c>
      <c r="CD72" s="1">
        <f ca="1">COUNTIF(BC72:BN72,"&gt;+53")</f>
        <v>0</v>
      </c>
      <c r="CE72" s="1">
        <f ca="1">COUNTIF(BO72:BZ72,"&lt;-53")</f>
        <v>0</v>
      </c>
      <c r="CF72" s="1">
        <f ca="1">COUNTIF(BO72:BZ72,"&gt;+53")</f>
        <v>1</v>
      </c>
    </row>
    <row r="73" spans="1:84">
      <c r="A73" s="1">
        <v>70</v>
      </c>
      <c r="B73" s="1">
        <f>'Touch 1 1'!B73-'Touch 1 1'!$AA73-('Touch 1 1'!B$2- 12.5)*'Touch 1 1'!$AC73</f>
        <v>-9.6233689987725484</v>
      </c>
      <c r="C73" s="1">
        <f>'Touch 1 1'!C73-'Touch 1 1'!$AA73-('Touch 1 1'!C$2- 12.5)*'Touch 1 1'!$AC73</f>
        <v>-0.74307604235764302</v>
      </c>
      <c r="D73" s="1">
        <f>'Touch 1 1'!D73-'Touch 1 1'!$AA73-('Touch 1 1'!D$2- 12.5)*'Touch 1 1'!$AC73</f>
        <v>8.1372169140572623</v>
      </c>
      <c r="E73" s="1">
        <f>'Touch 1 1'!E73-'Touch 1 1'!$AA73-('Touch 1 1'!E$2- 12.5)*'Touch 1 1'!$AC73</f>
        <v>-42.982490129527605</v>
      </c>
      <c r="F73" s="1">
        <f>'Touch 1 1'!F73-'Touch 1 1'!$AA73-('Touch 1 1'!F$2- 12.5)*'Touch 1 1'!$AC73</f>
        <v>25.8978028268873</v>
      </c>
      <c r="G73" s="1">
        <f>'Touch 1 1'!G73-'Touch 1 1'!$AA73-('Touch 1 1'!G$2- 12.5)*'Touch 1 1'!$AC73</f>
        <v>84.778095783302433</v>
      </c>
      <c r="H73" s="1">
        <f>'Touch 1 1'!H73-'Touch 1 1'!$AA73-('Touch 1 1'!H$2- 12.5)*'Touch 1 1'!$AC73</f>
        <v>13.658388739717338</v>
      </c>
      <c r="I73" s="1">
        <f>'Touch 1 1'!I73-'Touch 1 1'!$AA73-('Touch 1 1'!I$2- 12.5)*'Touch 1 1'!$AC73</f>
        <v>72.538681696132471</v>
      </c>
      <c r="J73" s="1">
        <f>'Touch 1 1'!J73-'Touch 1 1'!$AA73-('Touch 1 1'!J$2- 12.5)*'Touch 1 1'!$AC73</f>
        <v>-68.581025347452623</v>
      </c>
      <c r="K73" s="1">
        <f>'Touch 1 1'!K73-'Touch 1 1'!$AA73-('Touch 1 1'!K$2- 12.5)*'Touch 1 1'!$AC73</f>
        <v>-39.700732391037491</v>
      </c>
      <c r="L73" s="1">
        <f>'Touch 1 1'!L73-'Touch 1 1'!$AA73-('Touch 1 1'!L$2- 12.5)*'Touch 1 1'!$AC73</f>
        <v>-20.820439434622529</v>
      </c>
      <c r="M73" s="1">
        <f>'Touch 1 1'!M73-'Touch 1 1'!$AA73-('Touch 1 1'!M$2- 12.5)*'Touch 1 1'!$AC73</f>
        <v>28.05985352179249</v>
      </c>
      <c r="N73" s="1">
        <f>'Touch 1 1'!N73-'Touch 1 1'!$AA73-('Touch 1 1'!N$2- 12.5)*'Touch 1 1'!$AC73</f>
        <v>-23.05985352179249</v>
      </c>
      <c r="O73" s="1">
        <f>'Touch 1 1'!O73-'Touch 1 1'!$AA73-('Touch 1 1'!O$2- 12.5)*'Touch 1 1'!$AC73</f>
        <v>25.820439434622529</v>
      </c>
      <c r="P73" s="1">
        <f>'Touch 1 1'!P73-'Touch 1 1'!$AA73-('Touch 1 1'!P$2- 12.5)*'Touch 1 1'!$AC73</f>
        <v>-15.299267608962509</v>
      </c>
      <c r="Q73" s="1">
        <f>'Touch 1 1'!Q73-'Touch 1 1'!$AA73-('Touch 1 1'!Q$2- 12.5)*'Touch 1 1'!$AC73</f>
        <v>-56.418974652547377</v>
      </c>
      <c r="R73" s="1">
        <f>'Touch 1 1'!R73-'Touch 1 1'!$AA73-('Touch 1 1'!R$2- 12.5)*'Touch 1 1'!$AC73</f>
        <v>52.461318303867529</v>
      </c>
      <c r="S73" s="1">
        <f>'Touch 1 1'!S73-'Touch 1 1'!$AA73-('Touch 1 1'!S$2- 12.5)*'Touch 1 1'!$AC73</f>
        <v>1.3416112602826615</v>
      </c>
      <c r="T73" s="1">
        <f>'Touch 1 1'!T73-'Touch 1 1'!$AA73-('Touch 1 1'!T$2- 12.5)*'Touch 1 1'!$AC73</f>
        <v>-19.778095783302433</v>
      </c>
      <c r="U73" s="1">
        <f>'Touch 1 1'!U73-'Touch 1 1'!$AA73-('Touch 1 1'!U$2- 12.5)*'Touch 1 1'!$AC73</f>
        <v>-0.8978028268873004</v>
      </c>
      <c r="V73" s="1">
        <f>'Touch 1 1'!V73-'Touch 1 1'!$AA73-('Touch 1 1'!V$2- 12.5)*'Touch 1 1'!$AC73</f>
        <v>-12.017509870472395</v>
      </c>
      <c r="W73" s="1">
        <f>'Touch 1 1'!W73-'Touch 1 1'!$AA73-('Touch 1 1'!W$2- 12.5)*'Touch 1 1'!$AC73</f>
        <v>6.8627830859427377</v>
      </c>
      <c r="X73" s="1">
        <f>'Touch 1 1'!X73-'Touch 1 1'!$AA73-('Touch 1 1'!X$2- 12.5)*'Touch 1 1'!$AC73</f>
        <v>5.743076042357643</v>
      </c>
      <c r="Y73" s="1">
        <f>'Touch 1 1'!Y73-'Touch 1 1'!$AA73-('Touch 1 1'!Y$2- 12.5)*'Touch 1 1'!$AC73</f>
        <v>-15.376631001227452</v>
      </c>
      <c r="AB73" s="1">
        <f>STDEV(B73:Y73)</f>
        <v>36.73417215281529</v>
      </c>
      <c r="AD73" s="11" t="s">
        <v>46</v>
      </c>
      <c r="AE73" s="11">
        <v>8</v>
      </c>
      <c r="AF73" s="11">
        <v>1</v>
      </c>
      <c r="AG73" s="11" t="s">
        <v>44</v>
      </c>
      <c r="AH73" s="11" t="s">
        <v>45</v>
      </c>
      <c r="AI73" s="11">
        <v>6</v>
      </c>
      <c r="AJ73" s="11">
        <v>9</v>
      </c>
      <c r="AK73" s="11">
        <v>4</v>
      </c>
      <c r="AL73" s="11">
        <v>7</v>
      </c>
      <c r="AM73" s="11">
        <v>2</v>
      </c>
      <c r="AN73" s="11">
        <v>5</v>
      </c>
      <c r="AO73" s="11">
        <v>3</v>
      </c>
      <c r="AP73" s="11" t="s">
        <v>46</v>
      </c>
      <c r="AQ73" s="11">
        <v>1</v>
      </c>
      <c r="AR73" s="11">
        <v>8</v>
      </c>
      <c r="AS73" s="11" t="s">
        <v>44</v>
      </c>
      <c r="AT73" s="11">
        <v>6</v>
      </c>
      <c r="AU73" s="11" t="s">
        <v>45</v>
      </c>
      <c r="AV73" s="11">
        <v>4</v>
      </c>
      <c r="AW73" s="11">
        <v>9</v>
      </c>
      <c r="AX73" s="11">
        <v>2</v>
      </c>
      <c r="AY73" s="11">
        <v>7</v>
      </c>
      <c r="AZ73" s="11">
        <v>3</v>
      </c>
      <c r="BA73" s="11">
        <v>5</v>
      </c>
      <c r="BB73" s="5"/>
      <c r="BC73" s="1">
        <f ca="1">OFFSET(A73,0, 3) -0</f>
        <v>8.1372169140572623</v>
      </c>
      <c r="BD73" s="1">
        <f ca="1">OFFSET(A73,0, 10) -0</f>
        <v>-39.700732391037491</v>
      </c>
      <c r="BE73" s="1">
        <f ca="1">OFFSET(A73,0, 12) -0</f>
        <v>28.05985352179249</v>
      </c>
      <c r="BF73" s="1">
        <f ca="1">OFFSET(A73,0, 8) -0</f>
        <v>72.538681696132471</v>
      </c>
      <c r="BG73" s="1">
        <f ca="1">OFFSET(A73,0, 11) -0</f>
        <v>-20.820439434622529</v>
      </c>
      <c r="BH73" s="1">
        <f ca="1">OFFSET(A73,0, 6) -0</f>
        <v>84.778095783302433</v>
      </c>
      <c r="BI73" s="1">
        <f ca="1">OFFSET(A73,0, 9) -0</f>
        <v>-68.581025347452623</v>
      </c>
      <c r="BJ73" s="1">
        <f ca="1">OFFSET(A73,0, 2) -0</f>
        <v>-0.74307604235764302</v>
      </c>
      <c r="BK73" s="1">
        <f ca="1">OFFSET(A73,0, 7) -0</f>
        <v>13.658388739717338</v>
      </c>
      <c r="BL73" s="1">
        <f ca="1">OFFSET(A73,0, 4) -0</f>
        <v>-42.982490129527605</v>
      </c>
      <c r="BM73" s="1">
        <f ca="1">OFFSET(A73,0, 5) -0</f>
        <v>25.8978028268873</v>
      </c>
      <c r="BN73" s="1">
        <f ca="1">OFFSET(A73,0, 1) -0</f>
        <v>-9.6233689987725484</v>
      </c>
      <c r="BO73" s="1">
        <f ca="1">OFFSET(A73,0, 14) -0</f>
        <v>25.820439434622529</v>
      </c>
      <c r="BP73" s="1">
        <f ca="1">OFFSET(A73,0, 21) -0</f>
        <v>-12.017509870472395</v>
      </c>
      <c r="BQ73" s="1">
        <f ca="1">OFFSET(A73,0, 23) -0</f>
        <v>5.743076042357643</v>
      </c>
      <c r="BR73" s="1">
        <f ca="1">OFFSET(A73,0, 19) -0</f>
        <v>-19.778095783302433</v>
      </c>
      <c r="BS73" s="1">
        <f ca="1">OFFSET(A73,0, 24) -0</f>
        <v>-15.376631001227452</v>
      </c>
      <c r="BT73" s="1">
        <f ca="1">OFFSET(A73,0, 17) -0</f>
        <v>52.461318303867529</v>
      </c>
      <c r="BU73" s="1">
        <f ca="1">OFFSET(A73,0, 22) -0</f>
        <v>6.8627830859427377</v>
      </c>
      <c r="BV73" s="1">
        <f ca="1">OFFSET(A73,0, 15) -0</f>
        <v>-15.299267608962509</v>
      </c>
      <c r="BW73" s="1">
        <f ca="1">OFFSET(A73,0, 20) -0</f>
        <v>-0.8978028268873004</v>
      </c>
      <c r="BX73" s="1">
        <f ca="1">OFFSET(A73,0, 16) -0</f>
        <v>-56.418974652547377</v>
      </c>
      <c r="BY73" s="1">
        <f ca="1">OFFSET(A73,0, 18) -0</f>
        <v>1.3416112602826615</v>
      </c>
      <c r="BZ73" s="1">
        <f ca="1">OFFSET(A73,0, 13) -0</f>
        <v>-23.05985352179249</v>
      </c>
      <c r="CB73" s="1">
        <f>COUNTIF(B73,"&lt;-75")</f>
        <v>0</v>
      </c>
      <c r="CC73" s="1">
        <f ca="1">COUNTIF(BC73:BN73,"&lt;-53")</f>
        <v>1</v>
      </c>
      <c r="CD73" s="1">
        <f ca="1">COUNTIF(BC73:BN73,"&gt;+53")</f>
        <v>2</v>
      </c>
      <c r="CE73" s="1">
        <f ca="1">COUNTIF(BO73:BZ73,"&lt;-53")</f>
        <v>1</v>
      </c>
      <c r="CF73" s="1">
        <f ca="1">COUNTIF(BO73:BZ73,"&gt;+53")</f>
        <v>0</v>
      </c>
    </row>
    <row r="74" spans="1:84">
      <c r="A74" s="1">
        <v>71</v>
      </c>
      <c r="B74" s="1">
        <f>'Touch 1 1'!B74-'Touch 1 1'!$AA74-('Touch 1 1'!B$2- 12.5)*'Touch 1 1'!$AC74</f>
        <v>17.878908191173196</v>
      </c>
      <c r="C74" s="1">
        <f>'Touch 1 1'!C74-'Touch 1 1'!$AA74-('Touch 1 1'!C$2- 12.5)*'Touch 1 1'!$AC74</f>
        <v>-103.13230121675497</v>
      </c>
      <c r="D74" s="1">
        <f>'Touch 1 1'!D74-'Touch 1 1'!$AA74-('Touch 1 1'!D$2- 12.5)*'Touch 1 1'!$AC74</f>
        <v>-14.143510624682904</v>
      </c>
      <c r="E74" s="1">
        <f>'Touch 1 1'!E74-'Touch 1 1'!$AA74-('Touch 1 1'!E$2- 12.5)*'Touch 1 1'!$AC74</f>
        <v>-5.1547200326110669</v>
      </c>
      <c r="F74" s="1">
        <f>'Touch 1 1'!F74-'Touch 1 1'!$AA74-('Touch 1 1'!F$2- 12.5)*'Touch 1 1'!$AC74</f>
        <v>23.83407055946077</v>
      </c>
      <c r="G74" s="1">
        <f>'Touch 1 1'!G74-'Touch 1 1'!$AA74-('Touch 1 1'!G$2- 12.5)*'Touch 1 1'!$AC74</f>
        <v>82.822861151532607</v>
      </c>
      <c r="H74" s="1">
        <f>'Touch 1 1'!H74-'Touch 1 1'!$AA74-('Touch 1 1'!H$2- 12.5)*'Touch 1 1'!$AC74</f>
        <v>31.811651743604671</v>
      </c>
      <c r="I74" s="1">
        <f>'Touch 1 1'!I74-'Touch 1 1'!$AA74-('Touch 1 1'!I$2- 12.5)*'Touch 1 1'!$AC74</f>
        <v>30.800442335676507</v>
      </c>
      <c r="J74" s="1">
        <f>'Touch 1 1'!J74-'Touch 1 1'!$AA74-('Touch 1 1'!J$2- 12.5)*'Touch 1 1'!$AC74</f>
        <v>-10.210767072251656</v>
      </c>
      <c r="K74" s="1">
        <f>'Touch 1 1'!K74-'Touch 1 1'!$AA74-('Touch 1 1'!K$2- 12.5)*'Touch 1 1'!$AC74</f>
        <v>-41.221976480179706</v>
      </c>
      <c r="L74" s="1">
        <f>'Touch 1 1'!L74-'Touch 1 1'!$AA74-('Touch 1 1'!L$2- 12.5)*'Touch 1 1'!$AC74</f>
        <v>-32.233185888107869</v>
      </c>
      <c r="M74" s="1">
        <f>'Touch 1 1'!M74-'Touch 1 1'!$AA74-('Touch 1 1'!M$2- 12.5)*'Touch 1 1'!$AC74</f>
        <v>-3.2443952960359468</v>
      </c>
      <c r="N74" s="1">
        <f>'Touch 1 1'!N74-'Touch 1 1'!$AA74-('Touch 1 1'!N$2- 12.5)*'Touch 1 1'!$AC74</f>
        <v>-44.255604703964053</v>
      </c>
      <c r="O74" s="1">
        <f>'Touch 1 1'!O74-'Touch 1 1'!$AA74-('Touch 1 1'!O$2- 12.5)*'Touch 1 1'!$AC74</f>
        <v>-15.266814111892131</v>
      </c>
      <c r="P74" s="1">
        <f>'Touch 1 1'!P74-'Touch 1 1'!$AA74-('Touch 1 1'!P$2- 12.5)*'Touch 1 1'!$AC74</f>
        <v>-86.278023519820294</v>
      </c>
      <c r="Q74" s="1">
        <f>'Touch 1 1'!Q74-'Touch 1 1'!$AA74-('Touch 1 1'!Q$2- 12.5)*'Touch 1 1'!$AC74</f>
        <v>42.710767072251656</v>
      </c>
      <c r="R74" s="1">
        <f>'Touch 1 1'!R74-'Touch 1 1'!$AA74-('Touch 1 1'!R$2- 12.5)*'Touch 1 1'!$AC74</f>
        <v>-8.3004423356765074</v>
      </c>
      <c r="S74" s="1">
        <f>'Touch 1 1'!S74-'Touch 1 1'!$AA74-('Touch 1 1'!S$2- 12.5)*'Touch 1 1'!$AC74</f>
        <v>60.688348256395329</v>
      </c>
      <c r="T74" s="1">
        <f>'Touch 1 1'!T74-'Touch 1 1'!$AA74-('Touch 1 1'!T$2- 12.5)*'Touch 1 1'!$AC74</f>
        <v>69.677138848467393</v>
      </c>
      <c r="U74" s="1">
        <f>'Touch 1 1'!U74-'Touch 1 1'!$AA74-('Touch 1 1'!U$2- 12.5)*'Touch 1 1'!$AC74</f>
        <v>38.66592944053923</v>
      </c>
      <c r="V74" s="1">
        <f>'Touch 1 1'!V74-'Touch 1 1'!$AA74-('Touch 1 1'!V$2- 12.5)*'Touch 1 1'!$AC74</f>
        <v>-2.3452799673889331</v>
      </c>
      <c r="W74" s="1">
        <f>'Touch 1 1'!W74-'Touch 1 1'!$AA74-('Touch 1 1'!W$2- 12.5)*'Touch 1 1'!$AC74</f>
        <v>-33.356489375317096</v>
      </c>
      <c r="X74" s="1">
        <f>'Touch 1 1'!X74-'Touch 1 1'!$AA74-('Touch 1 1'!X$2- 12.5)*'Touch 1 1'!$AC74</f>
        <v>-24.367698783245032</v>
      </c>
      <c r="Y74" s="1">
        <f>'Touch 1 1'!Y74-'Touch 1 1'!$AA74-('Touch 1 1'!Y$2- 12.5)*'Touch 1 1'!$AC74</f>
        <v>24.621091808826804</v>
      </c>
      <c r="AB74" s="1">
        <f>STDEV(B74:Y74)</f>
        <v>45.350663002224906</v>
      </c>
      <c r="AD74" s="11">
        <v>1</v>
      </c>
      <c r="AE74" s="11" t="s">
        <v>46</v>
      </c>
      <c r="AF74" s="11" t="s">
        <v>44</v>
      </c>
      <c r="AG74" s="11">
        <v>8</v>
      </c>
      <c r="AH74" s="11" t="s">
        <v>45</v>
      </c>
      <c r="AI74" s="11">
        <v>6</v>
      </c>
      <c r="AJ74" s="11">
        <v>9</v>
      </c>
      <c r="AK74" s="11">
        <v>4</v>
      </c>
      <c r="AL74" s="11">
        <v>7</v>
      </c>
      <c r="AM74" s="11">
        <v>2</v>
      </c>
      <c r="AN74" s="11">
        <v>5</v>
      </c>
      <c r="AO74" s="11">
        <v>3</v>
      </c>
      <c r="AP74" s="11" t="s">
        <v>46</v>
      </c>
      <c r="AQ74" s="11">
        <v>1</v>
      </c>
      <c r="AR74" s="11" t="s">
        <v>44</v>
      </c>
      <c r="AS74" s="11" t="s">
        <v>45</v>
      </c>
      <c r="AT74" s="11">
        <v>8</v>
      </c>
      <c r="AU74" s="11">
        <v>9</v>
      </c>
      <c r="AV74" s="11">
        <v>6</v>
      </c>
      <c r="AW74" s="11">
        <v>7</v>
      </c>
      <c r="AX74" s="11">
        <v>4</v>
      </c>
      <c r="AY74" s="11">
        <v>5</v>
      </c>
      <c r="AZ74" s="11">
        <v>2</v>
      </c>
      <c r="BA74" s="11">
        <v>3</v>
      </c>
      <c r="BB74" s="5"/>
      <c r="BC74" s="1">
        <f ca="1">OFFSET(A74,0, 1) -0</f>
        <v>17.878908191173196</v>
      </c>
      <c r="BD74" s="1">
        <f ca="1">OFFSET(A74,0, 10) -0</f>
        <v>-41.221976480179706</v>
      </c>
      <c r="BE74" s="1">
        <f ca="1">OFFSET(A74,0, 12) -0</f>
        <v>-3.2443952960359468</v>
      </c>
      <c r="BF74" s="1">
        <f ca="1">OFFSET(A74,0, 8) -0</f>
        <v>30.800442335676507</v>
      </c>
      <c r="BG74" s="1">
        <f ca="1">OFFSET(A74,0, 11) -0</f>
        <v>-32.233185888107869</v>
      </c>
      <c r="BH74" s="1">
        <f ca="1">OFFSET(A74,0, 6) -0</f>
        <v>82.822861151532607</v>
      </c>
      <c r="BI74" s="1">
        <f ca="1">OFFSET(A74,0, 9) -0</f>
        <v>-10.210767072251656</v>
      </c>
      <c r="BJ74" s="1">
        <f ca="1">OFFSET(A74,0, 4) -0</f>
        <v>-5.1547200326110669</v>
      </c>
      <c r="BK74" s="1">
        <f ca="1">OFFSET(A74,0, 7) -0</f>
        <v>31.811651743604671</v>
      </c>
      <c r="BL74" s="1">
        <f ca="1">OFFSET(A74,0, 3) -0</f>
        <v>-14.143510624682904</v>
      </c>
      <c r="BM74" s="1">
        <f ca="1">OFFSET(A74,0, 5) -0</f>
        <v>23.83407055946077</v>
      </c>
      <c r="BN74" s="1">
        <f ca="1">OFFSET(A74,0, 2) -0</f>
        <v>-103.13230121675497</v>
      </c>
      <c r="BO74" s="1">
        <f ca="1">OFFSET(A74,0, 14) -0</f>
        <v>-15.266814111892131</v>
      </c>
      <c r="BP74" s="1">
        <f ca="1">OFFSET(A74,0, 23) -0</f>
        <v>-24.367698783245032</v>
      </c>
      <c r="BQ74" s="1">
        <f ca="1">OFFSET(A74,0, 24) -0</f>
        <v>24.621091808826804</v>
      </c>
      <c r="BR74" s="1">
        <f ca="1">OFFSET(A74,0, 21) -0</f>
        <v>-2.3452799673889331</v>
      </c>
      <c r="BS74" s="1">
        <f ca="1">OFFSET(A74,0, 22) -0</f>
        <v>-33.356489375317096</v>
      </c>
      <c r="BT74" s="1">
        <f ca="1">OFFSET(A74,0, 19) -0</f>
        <v>69.677138848467393</v>
      </c>
      <c r="BU74" s="1">
        <f ca="1">OFFSET(A74,0, 20) -0</f>
        <v>38.66592944053923</v>
      </c>
      <c r="BV74" s="1">
        <f ca="1">OFFSET(A74,0, 17) -0</f>
        <v>-8.3004423356765074</v>
      </c>
      <c r="BW74" s="1">
        <f ca="1">OFFSET(A74,0, 18) -0</f>
        <v>60.688348256395329</v>
      </c>
      <c r="BX74" s="1">
        <f ca="1">OFFSET(A74,0, 15) -0</f>
        <v>-86.278023519820294</v>
      </c>
      <c r="BY74" s="1">
        <f ca="1">OFFSET(A74,0, 16) -0</f>
        <v>42.710767072251656</v>
      </c>
      <c r="BZ74" s="1">
        <f ca="1">OFFSET(A74,0, 13) -0</f>
        <v>-44.255604703964053</v>
      </c>
      <c r="CB74" s="1">
        <f>COUNTIF(B74,"&lt;-75")</f>
        <v>0</v>
      </c>
      <c r="CC74" s="1">
        <f ca="1">COUNTIF(BC74:BN74,"&lt;-53")</f>
        <v>1</v>
      </c>
      <c r="CD74" s="1">
        <f ca="1">COUNTIF(BC74:BN74,"&gt;+53")</f>
        <v>1</v>
      </c>
      <c r="CE74" s="1">
        <f ca="1">COUNTIF(BO74:BZ74,"&lt;-53")</f>
        <v>1</v>
      </c>
      <c r="CF74" s="1">
        <f ca="1">COUNTIF(BO74:BZ74,"&gt;+53")</f>
        <v>2</v>
      </c>
    </row>
    <row r="75" spans="1:84">
      <c r="A75" s="1">
        <v>72</v>
      </c>
      <c r="B75" s="1">
        <f>'Touch 1 1'!B75-'Touch 1 1'!$AA75-('Touch 1 1'!B$2- 12.5)*'Touch 1 1'!$AC75</f>
        <v>20.418491716935023</v>
      </c>
      <c r="C75" s="1">
        <f>'Touch 1 1'!C75-'Touch 1 1'!$AA75-('Touch 1 1'!C$2- 12.5)*'Touch 1 1'!$AC75</f>
        <v>-40.233840896130459</v>
      </c>
      <c r="D75" s="1">
        <f>'Touch 1 1'!D75-'Touch 1 1'!$AA75-('Touch 1 1'!D$2- 12.5)*'Touch 1 1'!$AC75</f>
        <v>9.1138264908047404</v>
      </c>
      <c r="E75" s="1">
        <f>'Touch 1 1'!E75-'Touch 1 1'!$AA75-('Touch 1 1'!E$2- 12.5)*'Touch 1 1'!$AC75</f>
        <v>8.4614938777394855</v>
      </c>
      <c r="F75" s="1">
        <f>'Touch 1 1'!F75-'Touch 1 1'!$AA75-('Touch 1 1'!F$2- 12.5)*'Touch 1 1'!$AC75</f>
        <v>-2.1908387353255421</v>
      </c>
      <c r="G75" s="1">
        <f>'Touch 1 1'!G75-'Touch 1 1'!$AA75-('Touch 1 1'!G$2- 12.5)*'Touch 1 1'!$AC75</f>
        <v>17.156828651609203</v>
      </c>
      <c r="H75" s="1">
        <f>'Touch 1 1'!H75-'Touch 1 1'!$AA75-('Touch 1 1'!H$2- 12.5)*'Touch 1 1'!$AC75</f>
        <v>-3.4955039614558245</v>
      </c>
      <c r="I75" s="1">
        <f>'Touch 1 1'!I75-'Touch 1 1'!$AA75-('Touch 1 1'!I$2- 12.5)*'Touch 1 1'!$AC75</f>
        <v>-24.147836574520966</v>
      </c>
      <c r="J75" s="1">
        <f>'Touch 1 1'!J75-'Touch 1 1'!$AA75-('Touch 1 1'!J$2- 12.5)*'Touch 1 1'!$AC75</f>
        <v>-34.800169187585993</v>
      </c>
      <c r="K75" s="1">
        <f>'Touch 1 1'!K75-'Touch 1 1'!$AA75-('Touch 1 1'!K$2- 12.5)*'Touch 1 1'!$AC75</f>
        <v>44.547498199348865</v>
      </c>
      <c r="L75" s="1">
        <f>'Touch 1 1'!L75-'Touch 1 1'!$AA75-('Touch 1 1'!L$2- 12.5)*'Touch 1 1'!$AC75</f>
        <v>43.895165586283724</v>
      </c>
      <c r="M75" s="1">
        <f>'Touch 1 1'!M75-'Touch 1 1'!$AA75-('Touch 1 1'!M$2- 12.5)*'Touch 1 1'!$AC75</f>
        <v>-16.757167026781374</v>
      </c>
      <c r="N75" s="1">
        <f>'Touch 1 1'!N75-'Touch 1 1'!$AA75-('Touch 1 1'!N$2- 12.5)*'Touch 1 1'!$AC75</f>
        <v>42.590500360153513</v>
      </c>
      <c r="O75" s="1">
        <f>'Touch 1 1'!O75-'Touch 1 1'!$AA75-('Touch 1 1'!O$2- 12.5)*'Touch 1 1'!$AC75</f>
        <v>-18.061832252911586</v>
      </c>
      <c r="P75" s="1">
        <f>'Touch 1 1'!P75-'Touch 1 1'!$AA75-('Touch 1 1'!P$2- 12.5)*'Touch 1 1'!$AC75</f>
        <v>-28.714164865976727</v>
      </c>
      <c r="Q75" s="1">
        <f>'Touch 1 1'!Q75-'Touch 1 1'!$AA75-('Touch 1 1'!Q$2- 12.5)*'Touch 1 1'!$AC75</f>
        <v>-9.3664974790418682</v>
      </c>
      <c r="R75" s="1">
        <f>'Touch 1 1'!R75-'Touch 1 1'!$AA75-('Touch 1 1'!R$2- 12.5)*'Touch 1 1'!$AC75</f>
        <v>-20.018830092106896</v>
      </c>
      <c r="S75" s="1">
        <f>'Touch 1 1'!S75-'Touch 1 1'!$AA75-('Touch 1 1'!S$2- 12.5)*'Touch 1 1'!$AC75</f>
        <v>19.328837294827963</v>
      </c>
      <c r="T75" s="1">
        <f>'Touch 1 1'!T75-'Touch 1 1'!$AA75-('Touch 1 1'!T$2- 12.5)*'Touch 1 1'!$AC75</f>
        <v>-11.323495318237065</v>
      </c>
      <c r="U75" s="1">
        <f>'Touch 1 1'!U75-'Touch 1 1'!$AA75-('Touch 1 1'!U$2- 12.5)*'Touch 1 1'!$AC75</f>
        <v>8.0241720686976805</v>
      </c>
      <c r="V75" s="1">
        <f>'Touch 1 1'!V75-'Touch 1 1'!$AA75-('Touch 1 1'!V$2- 12.5)*'Touch 1 1'!$AC75</f>
        <v>7.371839455632653</v>
      </c>
      <c r="W75" s="1">
        <f>'Touch 1 1'!W75-'Touch 1 1'!$AA75-('Touch 1 1'!W$2- 12.5)*'Touch 1 1'!$AC75</f>
        <v>-13.280493157432602</v>
      </c>
      <c r="X75" s="1">
        <f>'Touch 1 1'!X75-'Touch 1 1'!$AA75-('Touch 1 1'!X$2- 12.5)*'Touch 1 1'!$AC75</f>
        <v>-13.932825770497402</v>
      </c>
      <c r="Y75" s="1">
        <f>'Touch 1 1'!Y75-'Touch 1 1'!$AA75-('Touch 1 1'!Y$2- 12.5)*'Touch 1 1'!$AC75</f>
        <v>15.414841616437116</v>
      </c>
      <c r="AB75" s="1">
        <f>STDEV(B75:Y75)</f>
        <v>23.9290491832949</v>
      </c>
      <c r="AD75" s="11">
        <v>1</v>
      </c>
      <c r="AE75" s="11" t="s">
        <v>46</v>
      </c>
      <c r="AF75" s="11" t="s">
        <v>45</v>
      </c>
      <c r="AG75" s="11" t="s">
        <v>44</v>
      </c>
      <c r="AH75" s="11">
        <v>9</v>
      </c>
      <c r="AI75" s="11">
        <v>8</v>
      </c>
      <c r="AJ75" s="11">
        <v>7</v>
      </c>
      <c r="AK75" s="11">
        <v>6</v>
      </c>
      <c r="AL75" s="11">
        <v>5</v>
      </c>
      <c r="AM75" s="11">
        <v>4</v>
      </c>
      <c r="AN75" s="11">
        <v>3</v>
      </c>
      <c r="AO75" s="11">
        <v>2</v>
      </c>
      <c r="AP75" s="11">
        <v>1</v>
      </c>
      <c r="AQ75" s="11" t="s">
        <v>46</v>
      </c>
      <c r="AR75" s="11" t="s">
        <v>44</v>
      </c>
      <c r="AS75" s="11" t="s">
        <v>45</v>
      </c>
      <c r="AT75" s="11">
        <v>8</v>
      </c>
      <c r="AU75" s="11">
        <v>9</v>
      </c>
      <c r="AV75" s="11">
        <v>6</v>
      </c>
      <c r="AW75" s="11">
        <v>7</v>
      </c>
      <c r="AX75" s="11">
        <v>4</v>
      </c>
      <c r="AY75" s="11">
        <v>5</v>
      </c>
      <c r="AZ75" s="11">
        <v>2</v>
      </c>
      <c r="BA75" s="11">
        <v>3</v>
      </c>
      <c r="BB75" s="5"/>
      <c r="BC75" s="1">
        <f ca="1">OFFSET(A75,0, 1) -0</f>
        <v>20.418491716935023</v>
      </c>
      <c r="BD75" s="1">
        <f ca="1">OFFSET(A75,0, 12) -0</f>
        <v>-16.757167026781374</v>
      </c>
      <c r="BE75" s="1">
        <f ca="1">OFFSET(A75,0, 11) -0</f>
        <v>43.895165586283724</v>
      </c>
      <c r="BF75" s="1">
        <f ca="1">OFFSET(A75,0, 10) -0</f>
        <v>44.547498199348865</v>
      </c>
      <c r="BG75" s="1">
        <f ca="1">OFFSET(A75,0, 9) -0</f>
        <v>-34.800169187585993</v>
      </c>
      <c r="BH75" s="1">
        <f ca="1">OFFSET(A75,0, 8) -0</f>
        <v>-24.147836574520966</v>
      </c>
      <c r="BI75" s="1">
        <f ca="1">OFFSET(A75,0, 7) -0</f>
        <v>-3.4955039614558245</v>
      </c>
      <c r="BJ75" s="1">
        <f ca="1">OFFSET(A75,0, 6) -0</f>
        <v>17.156828651609203</v>
      </c>
      <c r="BK75" s="1">
        <f ca="1">OFFSET(A75,0, 5) -0</f>
        <v>-2.1908387353255421</v>
      </c>
      <c r="BL75" s="1">
        <f ca="1">OFFSET(A75,0, 4) -0</f>
        <v>8.4614938777394855</v>
      </c>
      <c r="BM75" s="1">
        <f ca="1">OFFSET(A75,0, 3) -0</f>
        <v>9.1138264908047404</v>
      </c>
      <c r="BN75" s="1">
        <f ca="1">OFFSET(A75,0, 2) -0</f>
        <v>-40.233840896130459</v>
      </c>
      <c r="BO75" s="1">
        <f ca="1">OFFSET(A75,0, 13) -0</f>
        <v>42.590500360153513</v>
      </c>
      <c r="BP75" s="1">
        <f ca="1">OFFSET(A75,0, 23) -0</f>
        <v>-13.932825770497402</v>
      </c>
      <c r="BQ75" s="1">
        <f ca="1">OFFSET(A75,0, 24) -0</f>
        <v>15.414841616437116</v>
      </c>
      <c r="BR75" s="1">
        <f ca="1">OFFSET(A75,0, 21) -0</f>
        <v>7.371839455632653</v>
      </c>
      <c r="BS75" s="1">
        <f ca="1">OFFSET(A75,0, 22) -0</f>
        <v>-13.280493157432602</v>
      </c>
      <c r="BT75" s="1">
        <f ca="1">OFFSET(A75,0, 19) -0</f>
        <v>-11.323495318237065</v>
      </c>
      <c r="BU75" s="1">
        <f ca="1">OFFSET(A75,0, 20) -0</f>
        <v>8.0241720686976805</v>
      </c>
      <c r="BV75" s="1">
        <f ca="1">OFFSET(A75,0, 17) -0</f>
        <v>-20.018830092106896</v>
      </c>
      <c r="BW75" s="1">
        <f ca="1">OFFSET(A75,0, 18) -0</f>
        <v>19.328837294827963</v>
      </c>
      <c r="BX75" s="1">
        <f ca="1">OFFSET(A75,0, 15) -0</f>
        <v>-28.714164865976727</v>
      </c>
      <c r="BY75" s="1">
        <f ca="1">OFFSET(A75,0, 16) -0</f>
        <v>-9.3664974790418682</v>
      </c>
      <c r="BZ75" s="1">
        <f ca="1">OFFSET(A75,0, 14) -0</f>
        <v>-18.061832252911586</v>
      </c>
      <c r="CB75" s="1">
        <f>COUNTIF(B75,"&lt;-74")</f>
        <v>0</v>
      </c>
      <c r="CC75" s="1">
        <f ca="1">COUNTIF(BC75:BN75,"&lt;-53")</f>
        <v>0</v>
      </c>
      <c r="CD75" s="1">
        <f ca="1">COUNTIF(BC75:BN75,"&gt;+53")</f>
        <v>0</v>
      </c>
      <c r="CE75" s="1">
        <f ca="1">COUNTIF(BO75:BZ75,"&lt;-53")</f>
        <v>0</v>
      </c>
      <c r="CF75" s="1">
        <f ca="1">COUNTIF(BO75:BZ75,"&gt;+53")</f>
        <v>0</v>
      </c>
    </row>
    <row r="76" spans="1:84">
      <c r="A76" s="1">
        <v>73</v>
      </c>
      <c r="B76" s="1">
        <f>'Touch 1 1'!B76-'Touch 1 1'!$AA76-('Touch 1 1'!B$2- 12.5)*'Touch 1 1'!$AC76</f>
        <v>-25.602244591933413</v>
      </c>
      <c r="C76" s="1">
        <f>'Touch 1 1'!C76-'Touch 1 1'!$AA76-('Touch 1 1'!C$2- 12.5)*'Touch 1 1'!$AC76</f>
        <v>-76.020889989737952</v>
      </c>
      <c r="D76" s="1">
        <f>'Touch 1 1'!D76-'Touch 1 1'!$AA76-('Touch 1 1'!D$2- 12.5)*'Touch 1 1'!$AC76</f>
        <v>33.560464612457508</v>
      </c>
      <c r="E76" s="1">
        <f>'Touch 1 1'!E76-'Touch 1 1'!$AA76-('Touch 1 1'!E$2- 12.5)*'Touch 1 1'!$AC76</f>
        <v>43.141819214652969</v>
      </c>
      <c r="F76" s="1">
        <f>'Touch 1 1'!F76-'Touch 1 1'!$AA76-('Touch 1 1'!F$2- 12.5)*'Touch 1 1'!$AC76</f>
        <v>-47.27682618315157</v>
      </c>
      <c r="G76" s="1">
        <f>'Touch 1 1'!G76-'Touch 1 1'!$AA76-('Touch 1 1'!G$2- 12.5)*'Touch 1 1'!$AC76</f>
        <v>52.304528419043891</v>
      </c>
      <c r="H76" s="1">
        <f>'Touch 1 1'!H76-'Touch 1 1'!$AA76-('Touch 1 1'!H$2- 12.5)*'Touch 1 1'!$AC76</f>
        <v>-18.114116978760876</v>
      </c>
      <c r="I76" s="1">
        <f>'Touch 1 1'!I76-'Touch 1 1'!$AA76-('Touch 1 1'!I$2- 12.5)*'Touch 1 1'!$AC76</f>
        <v>21.467237623434585</v>
      </c>
      <c r="J76" s="1">
        <f>'Touch 1 1'!J76-'Touch 1 1'!$AA76-('Touch 1 1'!J$2- 12.5)*'Touch 1 1'!$AC76</f>
        <v>11.048592225630046</v>
      </c>
      <c r="K76" s="1">
        <f>'Touch 1 1'!K76-'Touch 1 1'!$AA76-('Touch 1 1'!K$2- 12.5)*'Touch 1 1'!$AC76</f>
        <v>20.629946827825393</v>
      </c>
      <c r="L76" s="1">
        <f>'Touch 1 1'!L76-'Touch 1 1'!$AA76-('Touch 1 1'!L$2- 12.5)*'Touch 1 1'!$AC76</f>
        <v>0.21130143002085333</v>
      </c>
      <c r="M76" s="1">
        <f>'Touch 1 1'!M76-'Touch 1 1'!$AA76-('Touch 1 1'!M$2- 12.5)*'Touch 1 1'!$AC76</f>
        <v>-40.207343967783771</v>
      </c>
      <c r="N76" s="1">
        <f>'Touch 1 1'!N76-'Touch 1 1'!$AA76-('Touch 1 1'!N$2- 12.5)*'Touch 1 1'!$AC76</f>
        <v>9.3740106344116327</v>
      </c>
      <c r="O76" s="1">
        <f>'Touch 1 1'!O76-'Touch 1 1'!$AA76-('Touch 1 1'!O$2- 12.5)*'Touch 1 1'!$AC76</f>
        <v>-61.044634763392992</v>
      </c>
      <c r="P76" s="1">
        <f>'Touch 1 1'!P76-'Touch 1 1'!$AA76-('Touch 1 1'!P$2- 12.5)*'Touch 1 1'!$AC76</f>
        <v>-21.463280161197531</v>
      </c>
      <c r="Q76" s="1">
        <f>'Touch 1 1'!Q76-'Touch 1 1'!$AA76-('Touch 1 1'!Q$2- 12.5)*'Touch 1 1'!$AC76</f>
        <v>-21.881925559002184</v>
      </c>
      <c r="R76" s="1">
        <f>'Touch 1 1'!R76-'Touch 1 1'!$AA76-('Touch 1 1'!R$2- 12.5)*'Touch 1 1'!$AC76</f>
        <v>-12.300570956806723</v>
      </c>
      <c r="S76" s="1">
        <f>'Touch 1 1'!S76-'Touch 1 1'!$AA76-('Touch 1 1'!S$2- 12.5)*'Touch 1 1'!$AC76</f>
        <v>-72.719216354611262</v>
      </c>
      <c r="T76" s="1">
        <f>'Touch 1 1'!T76-'Touch 1 1'!$AA76-('Touch 1 1'!T$2- 12.5)*'Touch 1 1'!$AC76</f>
        <v>16.862138247583971</v>
      </c>
      <c r="U76" s="1">
        <f>'Touch 1 1'!U76-'Touch 1 1'!$AA76-('Touch 1 1'!U$2- 12.5)*'Touch 1 1'!$AC76</f>
        <v>16.443492849779432</v>
      </c>
      <c r="V76" s="1">
        <f>'Touch 1 1'!V76-'Touch 1 1'!$AA76-('Touch 1 1'!V$2- 12.5)*'Touch 1 1'!$AC76</f>
        <v>76.024847451974892</v>
      </c>
      <c r="W76" s="1">
        <f>'Touch 1 1'!W76-'Touch 1 1'!$AA76-('Touch 1 1'!W$2- 12.5)*'Touch 1 1'!$AC76</f>
        <v>65.606202054170353</v>
      </c>
      <c r="X76" s="1">
        <f>'Touch 1 1'!X76-'Touch 1 1'!$AA76-('Touch 1 1'!X$2- 12.5)*'Touch 1 1'!$AC76</f>
        <v>15.187556656365814</v>
      </c>
      <c r="Y76" s="1">
        <f>'Touch 1 1'!Y76-'Touch 1 1'!$AA76-('Touch 1 1'!Y$2- 12.5)*'Touch 1 1'!$AC76</f>
        <v>14.768911258561275</v>
      </c>
      <c r="AB76" s="1">
        <f>STDEV(B76:Y76)</f>
        <v>40.980903166868316</v>
      </c>
      <c r="AD76" s="11" t="s">
        <v>46</v>
      </c>
      <c r="AE76" s="11">
        <v>1</v>
      </c>
      <c r="AF76" s="11" t="s">
        <v>45</v>
      </c>
      <c r="AG76" s="11" t="s">
        <v>44</v>
      </c>
      <c r="AH76" s="11">
        <v>9</v>
      </c>
      <c r="AI76" s="11">
        <v>8</v>
      </c>
      <c r="AJ76" s="11">
        <v>7</v>
      </c>
      <c r="AK76" s="11">
        <v>6</v>
      </c>
      <c r="AL76" s="11">
        <v>5</v>
      </c>
      <c r="AM76" s="11">
        <v>4</v>
      </c>
      <c r="AN76" s="11">
        <v>3</v>
      </c>
      <c r="AO76" s="11">
        <v>2</v>
      </c>
      <c r="AP76" s="11">
        <v>1</v>
      </c>
      <c r="AQ76" s="11" t="s">
        <v>46</v>
      </c>
      <c r="AR76" s="11" t="s">
        <v>45</v>
      </c>
      <c r="AS76" s="11">
        <v>9</v>
      </c>
      <c r="AT76" s="11" t="s">
        <v>44</v>
      </c>
      <c r="AU76" s="11">
        <v>7</v>
      </c>
      <c r="AV76" s="11">
        <v>8</v>
      </c>
      <c r="AW76" s="11">
        <v>5</v>
      </c>
      <c r="AX76" s="11">
        <v>6</v>
      </c>
      <c r="AY76" s="11">
        <v>3</v>
      </c>
      <c r="AZ76" s="11">
        <v>4</v>
      </c>
      <c r="BA76" s="11">
        <v>2</v>
      </c>
      <c r="BB76" s="5"/>
      <c r="BC76" s="1">
        <f ca="1">OFFSET(A76,0, 2) -0</f>
        <v>-76.020889989737952</v>
      </c>
      <c r="BD76" s="1">
        <f ca="1">OFFSET(A76,0, 12) -0</f>
        <v>-40.207343967783771</v>
      </c>
      <c r="BE76" s="1">
        <f ca="1">OFFSET(A76,0, 11) -0</f>
        <v>0.21130143002085333</v>
      </c>
      <c r="BF76" s="1">
        <f ca="1">OFFSET(A76,0, 10) -0</f>
        <v>20.629946827825393</v>
      </c>
      <c r="BG76" s="1">
        <f ca="1">OFFSET(A76,0, 9) -0</f>
        <v>11.048592225630046</v>
      </c>
      <c r="BH76" s="1">
        <f ca="1">OFFSET(A76,0, 8) -0</f>
        <v>21.467237623434585</v>
      </c>
      <c r="BI76" s="1">
        <f ca="1">OFFSET(A76,0, 7) -0</f>
        <v>-18.114116978760876</v>
      </c>
      <c r="BJ76" s="1">
        <f ca="1">OFFSET(A76,0, 6) -0</f>
        <v>52.304528419043891</v>
      </c>
      <c r="BK76" s="1">
        <f ca="1">OFFSET(A76,0, 5) -0</f>
        <v>-47.27682618315157</v>
      </c>
      <c r="BL76" s="1">
        <f ca="1">OFFSET(A76,0, 4) -0</f>
        <v>43.141819214652969</v>
      </c>
      <c r="BM76" s="1">
        <f ca="1">OFFSET(A76,0, 3) -0</f>
        <v>33.560464612457508</v>
      </c>
      <c r="BN76" s="1">
        <f ca="1">OFFSET(A76,0, 1) -0</f>
        <v>-25.602244591933413</v>
      </c>
      <c r="BO76" s="1">
        <f ca="1">OFFSET(A76,0, 13) -0</f>
        <v>9.3740106344116327</v>
      </c>
      <c r="BP76" s="1">
        <f ca="1">OFFSET(A76,0, 24) -0</f>
        <v>14.768911258561275</v>
      </c>
      <c r="BQ76" s="1">
        <f ca="1">OFFSET(A76,0, 22) -0</f>
        <v>65.606202054170353</v>
      </c>
      <c r="BR76" s="1">
        <f ca="1">OFFSET(A76,0, 23) -0</f>
        <v>15.187556656365814</v>
      </c>
      <c r="BS76" s="1">
        <f ca="1">OFFSET(A76,0, 20) -0</f>
        <v>16.443492849779432</v>
      </c>
      <c r="BT76" s="1">
        <f ca="1">OFFSET(A76,0, 21) -0</f>
        <v>76.024847451974892</v>
      </c>
      <c r="BU76" s="1">
        <f ca="1">OFFSET(A76,0, 18) -0</f>
        <v>-72.719216354611262</v>
      </c>
      <c r="BV76" s="1">
        <f ca="1">OFFSET(A76,0, 19) -0</f>
        <v>16.862138247583971</v>
      </c>
      <c r="BW76" s="1">
        <f ca="1">OFFSET(A76,0, 16) -0</f>
        <v>-21.881925559002184</v>
      </c>
      <c r="BX76" s="1">
        <f ca="1">OFFSET(A76,0, 17) -0</f>
        <v>-12.300570956806723</v>
      </c>
      <c r="BY76" s="1">
        <f ca="1">OFFSET(A76,0, 15) -0</f>
        <v>-21.463280161197531</v>
      </c>
      <c r="BZ76" s="1">
        <f ca="1">OFFSET(A76,0, 14) -0</f>
        <v>-61.044634763392992</v>
      </c>
      <c r="CB76" s="1">
        <f>COUNTIF(B76,"&lt;-74")</f>
        <v>0</v>
      </c>
      <c r="CC76" s="1">
        <f ca="1">COUNTIF(BC76:BN76,"&lt;-53")</f>
        <v>1</v>
      </c>
      <c r="CD76" s="1">
        <f ca="1">COUNTIF(BC76:BN76,"&gt;+53")</f>
        <v>0</v>
      </c>
      <c r="CE76" s="1">
        <f ca="1">COUNTIF(BO76:BZ76,"&lt;-53")</f>
        <v>2</v>
      </c>
      <c r="CF76" s="1">
        <f ca="1">COUNTIF(BO76:BZ76,"&gt;+53")</f>
        <v>2</v>
      </c>
    </row>
    <row r="77" spans="1:84">
      <c r="A77" s="1">
        <v>74</v>
      </c>
      <c r="B77" s="1">
        <f>'Touch 1 1'!B77-'Touch 1 1'!$AA77-('Touch 1 1'!B$2- 12.5)*'Touch 1 1'!$AC77</f>
        <v>-34.005636216902076</v>
      </c>
      <c r="C77" s="1">
        <f>'Touch 1 1'!C77-'Touch 1 1'!$AA77-('Touch 1 1'!C$2- 12.5)*'Touch 1 1'!$AC77</f>
        <v>-94.708044661807435</v>
      </c>
      <c r="D77" s="1">
        <f>'Touch 1 1'!D77-'Touch 1 1'!$AA77-('Touch 1 1'!D$2- 12.5)*'Touch 1 1'!$AC77</f>
        <v>-75.410453106712794</v>
      </c>
      <c r="E77" s="1">
        <f>'Touch 1 1'!E77-'Touch 1 1'!$AA77-('Touch 1 1'!E$2- 12.5)*'Touch 1 1'!$AC77</f>
        <v>13.887138448381847</v>
      </c>
      <c r="F77" s="1">
        <f>'Touch 1 1'!F77-'Touch 1 1'!$AA77-('Touch 1 1'!F$2- 12.5)*'Touch 1 1'!$AC77</f>
        <v>-16.815269996523512</v>
      </c>
      <c r="G77" s="1">
        <f>'Touch 1 1'!G77-'Touch 1 1'!$AA77-('Touch 1 1'!G$2- 12.5)*'Touch 1 1'!$AC77</f>
        <v>-27.51767844142887</v>
      </c>
      <c r="H77" s="1">
        <f>'Touch 1 1'!H77-'Touch 1 1'!$AA77-('Touch 1 1'!H$2- 12.5)*'Touch 1 1'!$AC77</f>
        <v>-18.220086886334229</v>
      </c>
      <c r="I77" s="1">
        <f>'Touch 1 1'!I77-'Touch 1 1'!$AA77-('Touch 1 1'!I$2- 12.5)*'Touch 1 1'!$AC77</f>
        <v>51.077504668760298</v>
      </c>
      <c r="J77" s="1">
        <f>'Touch 1 1'!J77-'Touch 1 1'!$AA77-('Touch 1 1'!J$2- 12.5)*'Touch 1 1'!$AC77</f>
        <v>20.375096223854939</v>
      </c>
      <c r="K77" s="1">
        <f>'Touch 1 1'!K77-'Touch 1 1'!$AA77-('Touch 1 1'!K$2- 12.5)*'Touch 1 1'!$AC77</f>
        <v>-0.32731222105041979</v>
      </c>
      <c r="L77" s="1">
        <f>'Touch 1 1'!L77-'Touch 1 1'!$AA77-('Touch 1 1'!L$2- 12.5)*'Touch 1 1'!$AC77</f>
        <v>8.9702793340441644</v>
      </c>
      <c r="M77" s="1">
        <f>'Touch 1 1'!M77-'Touch 1 1'!$AA77-('Touch 1 1'!M$2- 12.5)*'Touch 1 1'!$AC77</f>
        <v>18.267870889138763</v>
      </c>
      <c r="N77" s="1">
        <f>'Touch 1 1'!N77-'Touch 1 1'!$AA77-('Touch 1 1'!N$2- 12.5)*'Touch 1 1'!$AC77</f>
        <v>-32.434537555766624</v>
      </c>
      <c r="O77" s="1">
        <f>'Touch 1 1'!O77-'Touch 1 1'!$AA77-('Touch 1 1'!O$2- 12.5)*'Touch 1 1'!$AC77</f>
        <v>-23.136946000672026</v>
      </c>
      <c r="P77" s="1">
        <f>'Touch 1 1'!P77-'Touch 1 1'!$AA77-('Touch 1 1'!P$2- 12.5)*'Touch 1 1'!$AC77</f>
        <v>16.160645554422558</v>
      </c>
      <c r="Q77" s="1">
        <f>'Touch 1 1'!Q77-'Touch 1 1'!$AA77-('Touch 1 1'!Q$2- 12.5)*'Touch 1 1'!$AC77</f>
        <v>15.458237109517199</v>
      </c>
      <c r="R77" s="1">
        <f>'Touch 1 1'!R77-'Touch 1 1'!$AA77-('Touch 1 1'!R$2- 12.5)*'Touch 1 1'!$AC77</f>
        <v>4.7558286646118404</v>
      </c>
      <c r="S77" s="1">
        <f>'Touch 1 1'!S77-'Touch 1 1'!$AA77-('Touch 1 1'!S$2- 12.5)*'Touch 1 1'!$AC77</f>
        <v>-45.946579780293632</v>
      </c>
      <c r="T77" s="1">
        <f>'Touch 1 1'!T77-'Touch 1 1'!$AA77-('Touch 1 1'!T$2- 12.5)*'Touch 1 1'!$AC77</f>
        <v>23.351011774801009</v>
      </c>
      <c r="U77" s="1">
        <f>'Touch 1 1'!U77-'Touch 1 1'!$AA77-('Touch 1 1'!U$2- 12.5)*'Touch 1 1'!$AC77</f>
        <v>22.64860332989565</v>
      </c>
      <c r="V77" s="1">
        <f>'Touch 1 1'!V77-'Touch 1 1'!$AA77-('Touch 1 1'!V$2- 12.5)*'Touch 1 1'!$AC77</f>
        <v>51.946194884990291</v>
      </c>
      <c r="W77" s="1">
        <f>'Touch 1 1'!W77-'Touch 1 1'!$AA77-('Touch 1 1'!W$2- 12.5)*'Touch 1 1'!$AC77</f>
        <v>41.243786440084932</v>
      </c>
      <c r="X77" s="1">
        <f>'Touch 1 1'!X77-'Touch 1 1'!$AA77-('Touch 1 1'!X$2- 12.5)*'Touch 1 1'!$AC77</f>
        <v>50.541377995179573</v>
      </c>
      <c r="Y77" s="1">
        <f>'Touch 1 1'!Y77-'Touch 1 1'!$AA77-('Touch 1 1'!Y$2- 12.5)*'Touch 1 1'!$AC77</f>
        <v>29.838969550274214</v>
      </c>
      <c r="AB77" s="1">
        <f>STDEV(B77:Y77)</f>
        <v>38.413938799930847</v>
      </c>
      <c r="AD77" s="11" t="s">
        <v>46</v>
      </c>
      <c r="AE77" s="11">
        <v>1</v>
      </c>
      <c r="AF77" s="11">
        <v>9</v>
      </c>
      <c r="AG77" s="11" t="s">
        <v>45</v>
      </c>
      <c r="AH77" s="11">
        <v>7</v>
      </c>
      <c r="AI77" s="11" t="s">
        <v>44</v>
      </c>
      <c r="AJ77" s="11">
        <v>5</v>
      </c>
      <c r="AK77" s="11">
        <v>8</v>
      </c>
      <c r="AL77" s="11">
        <v>3</v>
      </c>
      <c r="AM77" s="11">
        <v>6</v>
      </c>
      <c r="AN77" s="11">
        <v>2</v>
      </c>
      <c r="AO77" s="11">
        <v>4</v>
      </c>
      <c r="AP77" s="11" t="s">
        <v>46</v>
      </c>
      <c r="AQ77" s="11">
        <v>9</v>
      </c>
      <c r="AR77" s="11">
        <v>1</v>
      </c>
      <c r="AS77" s="11" t="s">
        <v>45</v>
      </c>
      <c r="AT77" s="11" t="s">
        <v>44</v>
      </c>
      <c r="AU77" s="11">
        <v>7</v>
      </c>
      <c r="AV77" s="11">
        <v>8</v>
      </c>
      <c r="AW77" s="11">
        <v>5</v>
      </c>
      <c r="AX77" s="11">
        <v>6</v>
      </c>
      <c r="AY77" s="11">
        <v>3</v>
      </c>
      <c r="AZ77" s="11">
        <v>4</v>
      </c>
      <c r="BA77" s="11">
        <v>2</v>
      </c>
      <c r="BB77" s="5"/>
      <c r="BC77" s="1">
        <f ca="1">OFFSET(A77,0, 2) -0</f>
        <v>-94.708044661807435</v>
      </c>
      <c r="BD77" s="1">
        <f ca="1">OFFSET(A77,0, 11) -0</f>
        <v>8.9702793340441644</v>
      </c>
      <c r="BE77" s="1">
        <f ca="1">OFFSET(A77,0, 9) -0</f>
        <v>20.375096223854939</v>
      </c>
      <c r="BF77" s="1">
        <f ca="1">OFFSET(A77,0, 12) -0</f>
        <v>18.267870889138763</v>
      </c>
      <c r="BG77" s="1">
        <f ca="1">OFFSET(A77,0, 7) -0</f>
        <v>-18.220086886334229</v>
      </c>
      <c r="BH77" s="1">
        <f ca="1">OFFSET(A77,0, 10) -0</f>
        <v>-0.32731222105041979</v>
      </c>
      <c r="BI77" s="1">
        <f ca="1">OFFSET(A77,0, 5) -0</f>
        <v>-16.815269996523512</v>
      </c>
      <c r="BJ77" s="1">
        <f ca="1">OFFSET(A77,0, 8) -0</f>
        <v>51.077504668760298</v>
      </c>
      <c r="BK77" s="1">
        <f ca="1">OFFSET(A77,0, 3) -0</f>
        <v>-75.410453106712794</v>
      </c>
      <c r="BL77" s="1">
        <f ca="1">OFFSET(A77,0, 6) -0</f>
        <v>-27.51767844142887</v>
      </c>
      <c r="BM77" s="1">
        <f ca="1">OFFSET(A77,0, 4) -0</f>
        <v>13.887138448381847</v>
      </c>
      <c r="BN77" s="1">
        <f ca="1">OFFSET(A77,0, 1) -0</f>
        <v>-34.005636216902076</v>
      </c>
      <c r="BO77" s="1">
        <f ca="1">OFFSET(A77,0, 15) -0</f>
        <v>16.160645554422558</v>
      </c>
      <c r="BP77" s="1">
        <f ca="1">OFFSET(A77,0, 24) -0</f>
        <v>29.838969550274214</v>
      </c>
      <c r="BQ77" s="1">
        <f ca="1">OFFSET(A77,0, 22) -0</f>
        <v>41.243786440084932</v>
      </c>
      <c r="BR77" s="1">
        <f ca="1">OFFSET(A77,0, 23) -0</f>
        <v>50.541377995179573</v>
      </c>
      <c r="BS77" s="1">
        <f ca="1">OFFSET(A77,0, 20) -0</f>
        <v>22.64860332989565</v>
      </c>
      <c r="BT77" s="1">
        <f ca="1">OFFSET(A77,0, 21) -0</f>
        <v>51.946194884990291</v>
      </c>
      <c r="BU77" s="1">
        <f ca="1">OFFSET(A77,0, 18) -0</f>
        <v>-45.946579780293632</v>
      </c>
      <c r="BV77" s="1">
        <f ca="1">OFFSET(A77,0, 19) -0</f>
        <v>23.351011774801009</v>
      </c>
      <c r="BW77" s="1">
        <f ca="1">OFFSET(A77,0, 14) -0</f>
        <v>-23.136946000672026</v>
      </c>
      <c r="BX77" s="1">
        <f ca="1">OFFSET(A77,0, 17) -0</f>
        <v>4.7558286646118404</v>
      </c>
      <c r="BY77" s="1">
        <f ca="1">OFFSET(A77,0, 16) -0</f>
        <v>15.458237109517199</v>
      </c>
      <c r="BZ77" s="1">
        <f ca="1">OFFSET(A77,0, 13) -0</f>
        <v>-32.434537555766624</v>
      </c>
      <c r="CB77" s="1">
        <f>COUNTIF(B77,"&lt;-74")</f>
        <v>0</v>
      </c>
      <c r="CC77" s="1">
        <f ca="1">COUNTIF(BC77:BN77,"&lt;-53")</f>
        <v>2</v>
      </c>
      <c r="CD77" s="1">
        <f ca="1">COUNTIF(BC77:BN77,"&gt;+53")</f>
        <v>0</v>
      </c>
      <c r="CE77" s="1">
        <f ca="1">COUNTIF(BO77:BZ77,"&lt;-53")</f>
        <v>0</v>
      </c>
      <c r="CF77" s="1">
        <f ca="1">COUNTIF(BO77:BZ77,"&gt;+53")</f>
        <v>0</v>
      </c>
    </row>
    <row r="78" spans="1:84">
      <c r="A78" s="1">
        <v>75</v>
      </c>
      <c r="B78" s="1">
        <f>'Touch 1 1'!B78-'Touch 1 1'!$AA78-('Touch 1 1'!B$2- 12.5)*'Touch 1 1'!$AC78</f>
        <v>0.12600130394093867</v>
      </c>
      <c r="C78" s="1">
        <f>'Touch 1 1'!C78-'Touch 1 1'!$AA78-('Touch 1 1'!C$2- 12.5)*'Touch 1 1'!$AC78</f>
        <v>-80.718288664515967</v>
      </c>
      <c r="D78" s="1">
        <f>'Touch 1 1'!D78-'Touch 1 1'!$AA78-('Touch 1 1'!D$2- 12.5)*'Touch 1 1'!$AC78</f>
        <v>-1.5625786329728726</v>
      </c>
      <c r="E78" s="1">
        <f>'Touch 1 1'!E78-'Touch 1 1'!$AA78-('Touch 1 1'!E$2- 12.5)*'Touch 1 1'!$AC78</f>
        <v>-22.406868601429778</v>
      </c>
      <c r="F78" s="1">
        <f>'Touch 1 1'!F78-'Touch 1 1'!$AA78-('Touch 1 1'!F$2- 12.5)*'Touch 1 1'!$AC78</f>
        <v>16.748841430113316</v>
      </c>
      <c r="G78" s="1">
        <f>'Touch 1 1'!G78-'Touch 1 1'!$AA78-('Touch 1 1'!G$2- 12.5)*'Touch 1 1'!$AC78</f>
        <v>-24.095448538343589</v>
      </c>
      <c r="H78" s="1">
        <f>'Touch 1 1'!H78-'Touch 1 1'!$AA78-('Touch 1 1'!H$2- 12.5)*'Touch 1 1'!$AC78</f>
        <v>-24.939738506800722</v>
      </c>
      <c r="I78" s="1">
        <f>'Touch 1 1'!I78-'Touch 1 1'!$AA78-('Touch 1 1'!I$2- 12.5)*'Touch 1 1'!$AC78</f>
        <v>44.215971524742372</v>
      </c>
      <c r="J78" s="1">
        <f>'Touch 1 1'!J78-'Touch 1 1'!$AA78-('Touch 1 1'!J$2- 12.5)*'Touch 1 1'!$AC78</f>
        <v>3.3716815562854663</v>
      </c>
      <c r="K78" s="1">
        <f>'Touch 1 1'!K78-'Touch 1 1'!$AA78-('Touch 1 1'!K$2- 12.5)*'Touch 1 1'!$AC78</f>
        <v>12.527391587828447</v>
      </c>
      <c r="L78" s="1">
        <f>'Touch 1 1'!L78-'Touch 1 1'!$AA78-('Touch 1 1'!L$2- 12.5)*'Touch 1 1'!$AC78</f>
        <v>41.683101619371541</v>
      </c>
      <c r="M78" s="1">
        <f>'Touch 1 1'!M78-'Touch 1 1'!$AA78-('Touch 1 1'!M$2- 12.5)*'Touch 1 1'!$AC78</f>
        <v>0.83881165091455046</v>
      </c>
      <c r="N78" s="1">
        <f>'Touch 1 1'!N78-'Touch 1 1'!$AA78-('Touch 1 1'!N$2- 12.5)*'Touch 1 1'!$AC78</f>
        <v>69.994521682457588</v>
      </c>
      <c r="O78" s="1">
        <f>'Touch 1 1'!O78-'Touch 1 1'!$AA78-('Touch 1 1'!O$2- 12.5)*'Touch 1 1'!$AC78</f>
        <v>-40.849768285999403</v>
      </c>
      <c r="P78" s="1">
        <f>'Touch 1 1'!P78-'Touch 1 1'!$AA78-('Touch 1 1'!P$2- 12.5)*'Touch 1 1'!$AC78</f>
        <v>58.305941745543691</v>
      </c>
      <c r="Q78" s="1">
        <f>'Touch 1 1'!Q78-'Touch 1 1'!$AA78-('Touch 1 1'!Q$2- 12.5)*'Touch 1 1'!$AC78</f>
        <v>-12.538348222913328</v>
      </c>
      <c r="R78" s="1">
        <f>'Touch 1 1'!R78-'Touch 1 1'!$AA78-('Touch 1 1'!R$2- 12.5)*'Touch 1 1'!$AC78</f>
        <v>-43.382638191370233</v>
      </c>
      <c r="S78" s="1">
        <f>'Touch 1 1'!S78-'Touch 1 1'!$AA78-('Touch 1 1'!S$2- 12.5)*'Touch 1 1'!$AC78</f>
        <v>5.7730718401728609</v>
      </c>
      <c r="T78" s="1">
        <f>'Touch 1 1'!T78-'Touch 1 1'!$AA78-('Touch 1 1'!T$2- 12.5)*'Touch 1 1'!$AC78</f>
        <v>-75.071218128284272</v>
      </c>
      <c r="U78" s="1">
        <f>'Touch 1 1'!U78-'Touch 1 1'!$AA78-('Touch 1 1'!U$2- 12.5)*'Touch 1 1'!$AC78</f>
        <v>-25.915508096741178</v>
      </c>
      <c r="V78" s="1">
        <f>'Touch 1 1'!V78-'Touch 1 1'!$AA78-('Touch 1 1'!V$2- 12.5)*'Touch 1 1'!$AC78</f>
        <v>3.2402019348019167</v>
      </c>
      <c r="W78" s="1">
        <f>'Touch 1 1'!W78-'Touch 1 1'!$AA78-('Touch 1 1'!W$2- 12.5)*'Touch 1 1'!$AC78</f>
        <v>22.395911966345011</v>
      </c>
      <c r="X78" s="1">
        <f>'Touch 1 1'!X78-'Touch 1 1'!$AA78-('Touch 1 1'!X$2- 12.5)*'Touch 1 1'!$AC78</f>
        <v>11.551621997888105</v>
      </c>
      <c r="Y78" s="1">
        <f>'Touch 1 1'!Y78-'Touch 1 1'!$AA78-('Touch 1 1'!Y$2- 12.5)*'Touch 1 1'!$AC78</f>
        <v>60.7073320294312</v>
      </c>
      <c r="AB78" s="1">
        <f>STDEV(B78:Y78)</f>
        <v>39.033386687055831</v>
      </c>
      <c r="AD78" s="11">
        <v>9</v>
      </c>
      <c r="AE78" s="11" t="s">
        <v>46</v>
      </c>
      <c r="AF78" s="11" t="s">
        <v>45</v>
      </c>
      <c r="AG78" s="11">
        <v>1</v>
      </c>
      <c r="AH78" s="11">
        <v>7</v>
      </c>
      <c r="AI78" s="11" t="s">
        <v>44</v>
      </c>
      <c r="AJ78" s="11">
        <v>5</v>
      </c>
      <c r="AK78" s="11">
        <v>8</v>
      </c>
      <c r="AL78" s="11">
        <v>3</v>
      </c>
      <c r="AM78" s="11">
        <v>6</v>
      </c>
      <c r="AN78" s="11">
        <v>2</v>
      </c>
      <c r="AO78" s="11">
        <v>4</v>
      </c>
      <c r="AP78" s="11">
        <v>9</v>
      </c>
      <c r="AQ78" s="11" t="s">
        <v>46</v>
      </c>
      <c r="AR78" s="11">
        <v>1</v>
      </c>
      <c r="AS78" s="11" t="s">
        <v>45</v>
      </c>
      <c r="AT78" s="11">
        <v>7</v>
      </c>
      <c r="AU78" s="11">
        <v>5</v>
      </c>
      <c r="AV78" s="11" t="s">
        <v>44</v>
      </c>
      <c r="AW78" s="11">
        <v>3</v>
      </c>
      <c r="AX78" s="11">
        <v>8</v>
      </c>
      <c r="AY78" s="11">
        <v>2</v>
      </c>
      <c r="AZ78" s="11">
        <v>6</v>
      </c>
      <c r="BA78" s="11">
        <v>4</v>
      </c>
      <c r="BB78" s="5"/>
      <c r="BC78" s="1">
        <f ca="1">OFFSET(A78,0, 4) -0</f>
        <v>-22.406868601429778</v>
      </c>
      <c r="BD78" s="1">
        <f ca="1">OFFSET(A78,0, 11) -0</f>
        <v>41.683101619371541</v>
      </c>
      <c r="BE78" s="1">
        <f ca="1">OFFSET(A78,0, 9) -0</f>
        <v>3.3716815562854663</v>
      </c>
      <c r="BF78" s="1">
        <f ca="1">OFFSET(A78,0, 12) -0</f>
        <v>0.83881165091455046</v>
      </c>
      <c r="BG78" s="1">
        <f ca="1">OFFSET(A78,0, 7) -0</f>
        <v>-24.939738506800722</v>
      </c>
      <c r="BH78" s="1">
        <f ca="1">OFFSET(A78,0, 10) -0</f>
        <v>12.527391587828447</v>
      </c>
      <c r="BI78" s="1">
        <f ca="1">OFFSET(A78,0, 5) -0</f>
        <v>16.748841430113316</v>
      </c>
      <c r="BJ78" s="1">
        <f ca="1">OFFSET(A78,0, 8) -0</f>
        <v>44.215971524742372</v>
      </c>
      <c r="BK78" s="1">
        <f ca="1">OFFSET(A78,0, 1) -0</f>
        <v>0.12600130394093867</v>
      </c>
      <c r="BL78" s="1">
        <f ca="1">OFFSET(A78,0, 6) -0</f>
        <v>-24.095448538343589</v>
      </c>
      <c r="BM78" s="1">
        <f ca="1">OFFSET(A78,0, 3) -0</f>
        <v>-1.5625786329728726</v>
      </c>
      <c r="BN78" s="1">
        <f ca="1">OFFSET(A78,0, 2) -0</f>
        <v>-80.718288664515967</v>
      </c>
      <c r="BO78" s="1">
        <f ca="1">OFFSET(A78,0, 15) -0</f>
        <v>58.305941745543691</v>
      </c>
      <c r="BP78" s="1">
        <f ca="1">OFFSET(A78,0, 22) -0</f>
        <v>22.395911966345011</v>
      </c>
      <c r="BQ78" s="1">
        <f ca="1">OFFSET(A78,0, 20) -0</f>
        <v>-25.915508096741178</v>
      </c>
      <c r="BR78" s="1">
        <f ca="1">OFFSET(A78,0, 24) -0</f>
        <v>60.7073320294312</v>
      </c>
      <c r="BS78" s="1">
        <f ca="1">OFFSET(A78,0, 18) -0</f>
        <v>5.7730718401728609</v>
      </c>
      <c r="BT78" s="1">
        <f ca="1">OFFSET(A78,0, 23) -0</f>
        <v>11.551621997888105</v>
      </c>
      <c r="BU78" s="1">
        <f ca="1">OFFSET(A78,0, 17) -0</f>
        <v>-43.382638191370233</v>
      </c>
      <c r="BV78" s="1">
        <f ca="1">OFFSET(A78,0, 21) -0</f>
        <v>3.2402019348019167</v>
      </c>
      <c r="BW78" s="1">
        <f ca="1">OFFSET(A78,0, 13) -0</f>
        <v>69.994521682457588</v>
      </c>
      <c r="BX78" s="1">
        <f ca="1">OFFSET(A78,0, 19) -0</f>
        <v>-75.071218128284272</v>
      </c>
      <c r="BY78" s="1">
        <f ca="1">OFFSET(A78,0, 16) -0</f>
        <v>-12.538348222913328</v>
      </c>
      <c r="BZ78" s="1">
        <f ca="1">OFFSET(A78,0, 14) -0</f>
        <v>-40.849768285999403</v>
      </c>
      <c r="CB78" s="1">
        <f>COUNTIF(B78,"&lt;-75")</f>
        <v>0</v>
      </c>
      <c r="CC78" s="1">
        <f ca="1">COUNTIF(BC78:BN78,"&lt;-53")</f>
        <v>1</v>
      </c>
      <c r="CD78" s="1">
        <f ca="1">COUNTIF(BC78:BN78,"&gt;+53")</f>
        <v>0</v>
      </c>
      <c r="CE78" s="1">
        <f ca="1">COUNTIF(BO78:BZ78,"&lt;-53")</f>
        <v>1</v>
      </c>
      <c r="CF78" s="1">
        <f ca="1">COUNTIF(BO78:BZ78,"&gt;+53")</f>
        <v>3</v>
      </c>
    </row>
    <row r="79" spans="1:84">
      <c r="A79" s="1">
        <v>76</v>
      </c>
      <c r="B79" s="1">
        <f>'Touch 1 1'!B79-'Touch 1 1'!$AA79-('Touch 1 1'!B$2- 12.5)*'Touch 1 1'!$AC79</f>
        <v>-12.001469935025852</v>
      </c>
      <c r="C79" s="1">
        <f>'Touch 1 1'!C79-'Touch 1 1'!$AA79-('Touch 1 1'!C$2- 12.5)*'Touch 1 1'!$AC79</f>
        <v>-3.4216319696597566</v>
      </c>
      <c r="D79" s="1">
        <f>'Touch 1 1'!D79-'Touch 1 1'!$AA79-('Touch 1 1'!D$2- 12.5)*'Touch 1 1'!$AC79</f>
        <v>-4.8417940042934333</v>
      </c>
      <c r="E79" s="1">
        <f>'Touch 1 1'!E79-'Touch 1 1'!$AA79-('Touch 1 1'!E$2- 12.5)*'Touch 1 1'!$AC79</f>
        <v>-16.26195603892711</v>
      </c>
      <c r="F79" s="1">
        <f>'Touch 1 1'!F79-'Touch 1 1'!$AA79-('Touch 1 1'!F$2- 12.5)*'Touch 1 1'!$AC79</f>
        <v>22.317881926438986</v>
      </c>
      <c r="G79" s="1">
        <f>'Touch 1 1'!G79-'Touch 1 1'!$AA79-('Touch 1 1'!G$2- 12.5)*'Touch 1 1'!$AC79</f>
        <v>60.897719891805309</v>
      </c>
      <c r="H79" s="1">
        <f>'Touch 1 1'!H79-'Touch 1 1'!$AA79-('Touch 1 1'!H$2- 12.5)*'Touch 1 1'!$AC79</f>
        <v>29.477557857171632</v>
      </c>
      <c r="I79" s="1">
        <f>'Touch 1 1'!I79-'Touch 1 1'!$AA79-('Touch 1 1'!I$2- 12.5)*'Touch 1 1'!$AC79</f>
        <v>-51.942604177462158</v>
      </c>
      <c r="J79" s="1">
        <f>'Touch 1 1'!J79-'Touch 1 1'!$AA79-('Touch 1 1'!J$2- 12.5)*'Touch 1 1'!$AC79</f>
        <v>-13.362766212095835</v>
      </c>
      <c r="K79" s="1">
        <f>'Touch 1 1'!K79-'Touch 1 1'!$AA79-('Touch 1 1'!K$2- 12.5)*'Touch 1 1'!$AC79</f>
        <v>5.2170717532703748</v>
      </c>
      <c r="L79" s="1">
        <f>'Touch 1 1'!L79-'Touch 1 1'!$AA79-('Touch 1 1'!L$2- 12.5)*'Touch 1 1'!$AC79</f>
        <v>-36.203090281363302</v>
      </c>
      <c r="M79" s="1">
        <f>'Touch 1 1'!M79-'Touch 1 1'!$AA79-('Touch 1 1'!M$2- 12.5)*'Touch 1 1'!$AC79</f>
        <v>-17.623252315997064</v>
      </c>
      <c r="N79" s="1">
        <f>'Touch 1 1'!N79-'Touch 1 1'!$AA79-('Touch 1 1'!N$2- 12.5)*'Touch 1 1'!$AC79</f>
        <v>50.956585649369202</v>
      </c>
      <c r="O79" s="1">
        <f>'Touch 1 1'!O79-'Touch 1 1'!$AA79-('Touch 1 1'!O$2- 12.5)*'Touch 1 1'!$AC79</f>
        <v>-40.46357638526456</v>
      </c>
      <c r="P79" s="1">
        <f>'Touch 1 1'!P79-'Touch 1 1'!$AA79-('Touch 1 1'!P$2- 12.5)*'Touch 1 1'!$AC79</f>
        <v>8.1162615801017637</v>
      </c>
      <c r="Q79" s="1">
        <f>'Touch 1 1'!Q79-'Touch 1 1'!$AA79-('Touch 1 1'!Q$2- 12.5)*'Touch 1 1'!$AC79</f>
        <v>-13.303900454532027</v>
      </c>
      <c r="R79" s="1">
        <f>'Touch 1 1'!R79-'Touch 1 1'!$AA79-('Touch 1 1'!R$2- 12.5)*'Touch 1 1'!$AC79</f>
        <v>-4.7240624891657035</v>
      </c>
      <c r="S79" s="1">
        <f>'Touch 1 1'!S79-'Touch 1 1'!$AA79-('Touch 1 1'!S$2- 12.5)*'Touch 1 1'!$AC79</f>
        <v>13.855775476200506</v>
      </c>
      <c r="T79" s="1">
        <f>'Touch 1 1'!T79-'Touch 1 1'!$AA79-('Touch 1 1'!T$2- 12.5)*'Touch 1 1'!$AC79</f>
        <v>12.435613441566829</v>
      </c>
      <c r="U79" s="1">
        <f>'Touch 1 1'!U79-'Touch 1 1'!$AA79-('Touch 1 1'!U$2- 12.5)*'Touch 1 1'!$AC79</f>
        <v>-8.9845485930668474</v>
      </c>
      <c r="V79" s="1">
        <f>'Touch 1 1'!V79-'Touch 1 1'!$AA79-('Touch 1 1'!V$2- 12.5)*'Touch 1 1'!$AC79</f>
        <v>-10.404710627700752</v>
      </c>
      <c r="W79" s="1">
        <f>'Touch 1 1'!W79-'Touch 1 1'!$AA79-('Touch 1 1'!W$2- 12.5)*'Touch 1 1'!$AC79</f>
        <v>18.175127337665572</v>
      </c>
      <c r="X79" s="1">
        <f>'Touch 1 1'!X79-'Touch 1 1'!$AA79-('Touch 1 1'!X$2- 12.5)*'Touch 1 1'!$AC79</f>
        <v>-23.245034696968105</v>
      </c>
      <c r="Y79" s="1">
        <f>'Touch 1 1'!Y79-'Touch 1 1'!$AA79-('Touch 1 1'!Y$2- 12.5)*'Touch 1 1'!$AC79</f>
        <v>35.334803268397991</v>
      </c>
      <c r="AB79" s="1">
        <f>STDEV(B79:Y79)</f>
        <v>27.344916895495505</v>
      </c>
      <c r="AD79" s="11" t="s">
        <v>46</v>
      </c>
      <c r="AE79" s="11">
        <v>9</v>
      </c>
      <c r="AF79" s="11" t="s">
        <v>45</v>
      </c>
      <c r="AG79" s="11">
        <v>1</v>
      </c>
      <c r="AH79" s="11">
        <v>5</v>
      </c>
      <c r="AI79" s="11">
        <v>7</v>
      </c>
      <c r="AJ79" s="11">
        <v>3</v>
      </c>
      <c r="AK79" s="11" t="s">
        <v>44</v>
      </c>
      <c r="AL79" s="11">
        <v>2</v>
      </c>
      <c r="AM79" s="11">
        <v>8</v>
      </c>
      <c r="AN79" s="11">
        <v>4</v>
      </c>
      <c r="AO79" s="11">
        <v>6</v>
      </c>
      <c r="AP79" s="11">
        <v>9</v>
      </c>
      <c r="AQ79" s="11" t="s">
        <v>46</v>
      </c>
      <c r="AR79" s="11" t="s">
        <v>45</v>
      </c>
      <c r="AS79" s="11">
        <v>5</v>
      </c>
      <c r="AT79" s="11">
        <v>1</v>
      </c>
      <c r="AU79" s="11">
        <v>7</v>
      </c>
      <c r="AV79" s="11" t="s">
        <v>44</v>
      </c>
      <c r="AW79" s="11">
        <v>3</v>
      </c>
      <c r="AX79" s="11">
        <v>8</v>
      </c>
      <c r="AY79" s="11">
        <v>2</v>
      </c>
      <c r="AZ79" s="11">
        <v>6</v>
      </c>
      <c r="BA79" s="11">
        <v>4</v>
      </c>
      <c r="BB79" s="5"/>
      <c r="BC79" s="1">
        <f ca="1">OFFSET(A79,0, 4) -0</f>
        <v>-16.26195603892711</v>
      </c>
      <c r="BD79" s="1">
        <f ca="1">OFFSET(A79,0, 9) -0</f>
        <v>-13.362766212095835</v>
      </c>
      <c r="BE79" s="1">
        <f ca="1">OFFSET(A79,0, 7) -0</f>
        <v>29.477557857171632</v>
      </c>
      <c r="BF79" s="1">
        <f ca="1">OFFSET(A79,0, 11) -0</f>
        <v>-36.203090281363302</v>
      </c>
      <c r="BG79" s="1">
        <f ca="1">OFFSET(A79,0, 5) -0</f>
        <v>22.317881926438986</v>
      </c>
      <c r="BH79" s="1">
        <f ca="1">OFFSET(A79,0, 12) -0</f>
        <v>-17.623252315997064</v>
      </c>
      <c r="BI79" s="1">
        <f ca="1">OFFSET(A79,0, 6) -0</f>
        <v>60.897719891805309</v>
      </c>
      <c r="BJ79" s="1">
        <f ca="1">OFFSET(A79,0, 10) -0</f>
        <v>5.2170717532703748</v>
      </c>
      <c r="BK79" s="1">
        <f ca="1">OFFSET(A79,0, 2) -0</f>
        <v>-3.4216319696597566</v>
      </c>
      <c r="BL79" s="1">
        <f ca="1">OFFSET(A79,0, 8) -0</f>
        <v>-51.942604177462158</v>
      </c>
      <c r="BM79" s="1">
        <f ca="1">OFFSET(A79,0, 3) -0</f>
        <v>-4.8417940042934333</v>
      </c>
      <c r="BN79" s="1">
        <f ca="1">OFFSET(A79,0, 1) -0</f>
        <v>-12.001469935025852</v>
      </c>
      <c r="BO79" s="1">
        <f ca="1">OFFSET(A79,0, 17) -0</f>
        <v>-4.7240624891657035</v>
      </c>
      <c r="BP79" s="1">
        <f ca="1">OFFSET(A79,0, 22) -0</f>
        <v>18.175127337665572</v>
      </c>
      <c r="BQ79" s="1">
        <f ca="1">OFFSET(A79,0, 20) -0</f>
        <v>-8.9845485930668474</v>
      </c>
      <c r="BR79" s="1">
        <f ca="1">OFFSET(A79,0, 24) -0</f>
        <v>35.334803268397991</v>
      </c>
      <c r="BS79" s="1">
        <f ca="1">OFFSET(A79,0, 16) -0</f>
        <v>-13.303900454532027</v>
      </c>
      <c r="BT79" s="1">
        <f ca="1">OFFSET(A79,0, 23) -0</f>
        <v>-23.245034696968105</v>
      </c>
      <c r="BU79" s="1">
        <f ca="1">OFFSET(A79,0, 18) -0</f>
        <v>13.855775476200506</v>
      </c>
      <c r="BV79" s="1">
        <f ca="1">OFFSET(A79,0, 21) -0</f>
        <v>-10.404710627700752</v>
      </c>
      <c r="BW79" s="1">
        <f ca="1">OFFSET(A79,0, 13) -0</f>
        <v>50.956585649369202</v>
      </c>
      <c r="BX79" s="1">
        <f ca="1">OFFSET(A79,0, 19) -0</f>
        <v>12.435613441566829</v>
      </c>
      <c r="BY79" s="1">
        <f ca="1">OFFSET(A79,0, 15) -0</f>
        <v>8.1162615801017637</v>
      </c>
      <c r="BZ79" s="1">
        <f ca="1">OFFSET(A79,0, 14) -0</f>
        <v>-40.46357638526456</v>
      </c>
      <c r="CB79" s="1">
        <f>COUNTIF(B79,"&lt;-75")</f>
        <v>0</v>
      </c>
      <c r="CC79" s="1">
        <f ca="1">COUNTIF(BC79:BN79,"&lt;-53")</f>
        <v>0</v>
      </c>
      <c r="CD79" s="1">
        <f ca="1">COUNTIF(BC79:BN79,"&gt;+53")</f>
        <v>1</v>
      </c>
      <c r="CE79" s="1">
        <f ca="1">COUNTIF(BO79:BZ79,"&lt;-53")</f>
        <v>0</v>
      </c>
      <c r="CF79" s="1">
        <f ca="1">COUNTIF(BO79:BZ79,"&gt;+53")</f>
        <v>0</v>
      </c>
    </row>
    <row r="80" spans="1:84">
      <c r="A80" s="1">
        <v>77</v>
      </c>
      <c r="B80" s="1">
        <f>'Touch 1 1'!B80-'Touch 1 1'!$AA80-('Touch 1 1'!B$2- 12.5)*'Touch 1 1'!$AC80</f>
        <v>226.08578808090715</v>
      </c>
      <c r="C80" s="1">
        <f>'Touch 1 1'!C80-'Touch 1 1'!$AA80-('Touch 1 1'!C$2- 12.5)*'Touch 1 1'!$AC80</f>
        <v>75.158038392713934</v>
      </c>
      <c r="D80" s="1">
        <f>'Touch 1 1'!D80-'Touch 1 1'!$AA80-('Touch 1 1'!D$2- 12.5)*'Touch 1 1'!$AC80</f>
        <v>-75.769711295479283</v>
      </c>
      <c r="E80" s="1">
        <f>'Touch 1 1'!E80-'Touch 1 1'!$AA80-('Touch 1 1'!E$2- 12.5)*'Touch 1 1'!$AC80</f>
        <v>53.302539016327728</v>
      </c>
      <c r="F80" s="1">
        <f>'Touch 1 1'!F80-'Touch 1 1'!$AA80-('Touch 1 1'!F$2- 12.5)*'Touch 1 1'!$AC80</f>
        <v>-27.625210671865489</v>
      </c>
      <c r="G80" s="1">
        <f>'Touch 1 1'!G80-'Touch 1 1'!$AA80-('Touch 1 1'!G$2- 12.5)*'Touch 1 1'!$AC80</f>
        <v>-8.5529603600584778</v>
      </c>
      <c r="H80" s="1">
        <f>'Touch 1 1'!H80-'Touch 1 1'!$AA80-('Touch 1 1'!H$2- 12.5)*'Touch 1 1'!$AC80</f>
        <v>0.51928995174830561</v>
      </c>
      <c r="I80" s="1">
        <f>'Touch 1 1'!I80-'Touch 1 1'!$AA80-('Touch 1 1'!I$2- 12.5)*'Touch 1 1'!$AC80</f>
        <v>-60.408459736444797</v>
      </c>
      <c r="J80" s="1">
        <f>'Touch 1 1'!J80-'Touch 1 1'!$AA80-('Touch 1 1'!J$2- 12.5)*'Touch 1 1'!$AC80</f>
        <v>8.6637905753619862</v>
      </c>
      <c r="K80" s="1">
        <f>'Touch 1 1'!K80-'Touch 1 1'!$AA80-('Touch 1 1'!K$2- 12.5)*'Touch 1 1'!$AC80</f>
        <v>17.736040887168883</v>
      </c>
      <c r="L80" s="1">
        <f>'Touch 1 1'!L80-'Touch 1 1'!$AA80-('Touch 1 1'!L$2- 12.5)*'Touch 1 1'!$AC80</f>
        <v>-13.19170880102422</v>
      </c>
      <c r="M80" s="1">
        <f>'Touch 1 1'!M80-'Touch 1 1'!$AA80-('Touch 1 1'!M$2- 12.5)*'Touch 1 1'!$AC80</f>
        <v>-34.119458489217365</v>
      </c>
      <c r="N80" s="1">
        <f>'Touch 1 1'!N80-'Touch 1 1'!$AA80-('Touch 1 1'!N$2- 12.5)*'Touch 1 1'!$AC80</f>
        <v>44.952791822589504</v>
      </c>
      <c r="O80" s="1">
        <f>'Touch 1 1'!O80-'Touch 1 1'!$AA80-('Touch 1 1'!O$2- 12.5)*'Touch 1 1'!$AC80</f>
        <v>-95.974957865603642</v>
      </c>
      <c r="P80" s="1">
        <f>'Touch 1 1'!P80-'Touch 1 1'!$AA80-('Touch 1 1'!P$2- 12.5)*'Touch 1 1'!$AC80</f>
        <v>-16.902707553796745</v>
      </c>
      <c r="Q80" s="1">
        <f>'Touch 1 1'!Q80-'Touch 1 1'!$AA80-('Touch 1 1'!Q$2- 12.5)*'Touch 1 1'!$AC80</f>
        <v>-7.8304572419898477</v>
      </c>
      <c r="R80" s="1">
        <f>'Touch 1 1'!R80-'Touch 1 1'!$AA80-('Touch 1 1'!R$2- 12.5)*'Touch 1 1'!$AC80</f>
        <v>31.241793069816936</v>
      </c>
      <c r="S80" s="1">
        <f>'Touch 1 1'!S80-'Touch 1 1'!$AA80-('Touch 1 1'!S$2- 12.5)*'Touch 1 1'!$AC80</f>
        <v>-19.685956618376167</v>
      </c>
      <c r="T80" s="1">
        <f>'Touch 1 1'!T80-'Touch 1 1'!$AA80-('Touch 1 1'!T$2- 12.5)*'Touch 1 1'!$AC80</f>
        <v>-40.613706306569384</v>
      </c>
      <c r="U80" s="1">
        <f>'Touch 1 1'!U80-'Touch 1 1'!$AA80-('Touch 1 1'!U$2- 12.5)*'Touch 1 1'!$AC80</f>
        <v>8.4585440052376271</v>
      </c>
      <c r="V80" s="1">
        <f>'Touch 1 1'!V80-'Touch 1 1'!$AA80-('Touch 1 1'!V$2- 12.5)*'Touch 1 1'!$AC80</f>
        <v>-132.46920568295559</v>
      </c>
      <c r="W80" s="1">
        <f>'Touch 1 1'!W80-'Touch 1 1'!$AA80-('Touch 1 1'!W$2- 12.5)*'Touch 1 1'!$AC80</f>
        <v>-3.3969553711485787</v>
      </c>
      <c r="X80" s="1">
        <f>'Touch 1 1'!X80-'Touch 1 1'!$AA80-('Touch 1 1'!X$2- 12.5)*'Touch 1 1'!$AC80</f>
        <v>35.675294940658205</v>
      </c>
      <c r="Y80" s="1">
        <f>'Touch 1 1'!Y80-'Touch 1 1'!$AA80-('Touch 1 1'!Y$2- 12.5)*'Touch 1 1'!$AC80</f>
        <v>34.747545252464988</v>
      </c>
      <c r="AB80" s="1">
        <f>STDEV(B80:Y80)</f>
        <v>67.971409207630813</v>
      </c>
      <c r="AD80" s="11">
        <v>9</v>
      </c>
      <c r="AE80" s="11" t="s">
        <v>46</v>
      </c>
      <c r="AF80" s="11">
        <v>5</v>
      </c>
      <c r="AG80" s="11" t="s">
        <v>45</v>
      </c>
      <c r="AH80" s="11">
        <v>7</v>
      </c>
      <c r="AI80" s="11">
        <v>1</v>
      </c>
      <c r="AJ80" s="11">
        <v>3</v>
      </c>
      <c r="AK80" s="11" t="s">
        <v>44</v>
      </c>
      <c r="AL80" s="11">
        <v>2</v>
      </c>
      <c r="AM80" s="11">
        <v>8</v>
      </c>
      <c r="AN80" s="11">
        <v>4</v>
      </c>
      <c r="AO80" s="11">
        <v>6</v>
      </c>
      <c r="AP80" s="11" t="s">
        <v>46</v>
      </c>
      <c r="AQ80" s="11">
        <v>5</v>
      </c>
      <c r="AR80" s="11">
        <v>9</v>
      </c>
      <c r="AS80" s="11" t="s">
        <v>45</v>
      </c>
      <c r="AT80" s="11">
        <v>1</v>
      </c>
      <c r="AU80" s="11">
        <v>7</v>
      </c>
      <c r="AV80" s="11">
        <v>3</v>
      </c>
      <c r="AW80" s="11">
        <v>2</v>
      </c>
      <c r="AX80" s="11" t="s">
        <v>44</v>
      </c>
      <c r="AY80" s="11">
        <v>4</v>
      </c>
      <c r="AZ80" s="11">
        <v>8</v>
      </c>
      <c r="BA80" s="11">
        <v>6</v>
      </c>
      <c r="BB80" s="5"/>
      <c r="BC80" s="1">
        <f ca="1">OFFSET(A80,0, 6) -0</f>
        <v>-8.5529603600584778</v>
      </c>
      <c r="BD80" s="1">
        <f ca="1">OFFSET(A80,0, 9) -0</f>
        <v>8.6637905753619862</v>
      </c>
      <c r="BE80" s="1">
        <f ca="1">OFFSET(A80,0, 7) -0</f>
        <v>0.51928995174830561</v>
      </c>
      <c r="BF80" s="1">
        <f ca="1">OFFSET(A80,0, 11) -0</f>
        <v>-13.19170880102422</v>
      </c>
      <c r="BG80" s="1">
        <f ca="1">OFFSET(A80,0, 3) -0</f>
        <v>-75.769711295479283</v>
      </c>
      <c r="BH80" s="1">
        <f ca="1">OFFSET(A80,0, 12) -0</f>
        <v>-34.119458489217365</v>
      </c>
      <c r="BI80" s="1">
        <f ca="1">OFFSET(A80,0, 5) -0</f>
        <v>-27.625210671865489</v>
      </c>
      <c r="BJ80" s="1">
        <f ca="1">OFFSET(A80,0, 10) -0</f>
        <v>17.736040887168883</v>
      </c>
      <c r="BK80" s="1">
        <f ca="1">OFFSET(A80,0, 1) -0</f>
        <v>226.08578808090715</v>
      </c>
      <c r="BL80" s="1">
        <f ca="1">OFFSET(A80,0, 8) -0</f>
        <v>-60.408459736444797</v>
      </c>
      <c r="BM80" s="1">
        <f ca="1">OFFSET(A80,0, 4) -0</f>
        <v>53.302539016327728</v>
      </c>
      <c r="BN80" s="1">
        <f ca="1">OFFSET(A80,0, 2) -0</f>
        <v>75.158038392713934</v>
      </c>
      <c r="BO80" s="1">
        <f ca="1">OFFSET(A80,0, 17) -0</f>
        <v>31.241793069816936</v>
      </c>
      <c r="BP80" s="1">
        <f ca="1">OFFSET(A80,0, 20) -0</f>
        <v>8.4585440052376271</v>
      </c>
      <c r="BQ80" s="1">
        <f ca="1">OFFSET(A80,0, 19) -0</f>
        <v>-40.613706306569384</v>
      </c>
      <c r="BR80" s="1">
        <f ca="1">OFFSET(A80,0, 22) -0</f>
        <v>-3.3969553711485787</v>
      </c>
      <c r="BS80" s="1">
        <f ca="1">OFFSET(A80,0, 14) -0</f>
        <v>-95.974957865603642</v>
      </c>
      <c r="BT80" s="1">
        <f ca="1">OFFSET(A80,0, 24) -0</f>
        <v>34.747545252464988</v>
      </c>
      <c r="BU80" s="1">
        <f ca="1">OFFSET(A80,0, 18) -0</f>
        <v>-19.685956618376167</v>
      </c>
      <c r="BV80" s="1">
        <f ca="1">OFFSET(A80,0, 23) -0</f>
        <v>35.675294940658205</v>
      </c>
      <c r="BW80" s="1">
        <f ca="1">OFFSET(A80,0, 15) -0</f>
        <v>-16.902707553796745</v>
      </c>
      <c r="BX80" s="1">
        <f ca="1">OFFSET(A80,0, 21) -0</f>
        <v>-132.46920568295559</v>
      </c>
      <c r="BY80" s="1">
        <f ca="1">OFFSET(A80,0, 16) -0</f>
        <v>-7.8304572419898477</v>
      </c>
      <c r="BZ80" s="1">
        <f ca="1">OFFSET(A80,0, 13) -0</f>
        <v>44.952791822589504</v>
      </c>
      <c r="CB80" s="1">
        <f>COUNTIF(B80,"&lt;-75")</f>
        <v>0</v>
      </c>
      <c r="CC80" s="1">
        <f ca="1">COUNTIF(BC80:BN80,"&lt;-53")</f>
        <v>2</v>
      </c>
      <c r="CD80" s="1">
        <f ca="1">COUNTIF(BC80:BN80,"&gt;+53")</f>
        <v>3</v>
      </c>
      <c r="CE80" s="1">
        <f ca="1">COUNTIF(BO80:BZ80,"&lt;-53")</f>
        <v>2</v>
      </c>
      <c r="CF80" s="1">
        <f ca="1">COUNTIF(BO80:BZ80,"&gt;+53")</f>
        <v>0</v>
      </c>
    </row>
    <row r="81" spans="1:84">
      <c r="A81" s="1">
        <v>78</v>
      </c>
      <c r="B81" s="1">
        <f>'Touch 1 1'!B81-'Touch 1 1'!$AA81-('Touch 1 1'!B$2- 12.5)*'Touch 1 1'!$AC81</f>
        <v>-116.70074205882338</v>
      </c>
      <c r="C81" s="1">
        <f>'Touch 1 1'!C81-'Touch 1 1'!$AA81-('Touch 1 1'!C$2- 12.5)*'Touch 1 1'!$AC81</f>
        <v>-106.00937318414299</v>
      </c>
      <c r="D81" s="1">
        <f>'Touch 1 1'!D81-'Touch 1 1'!$AA81-('Touch 1 1'!D$2- 12.5)*'Touch 1 1'!$AC81</f>
        <v>24.681995690537406</v>
      </c>
      <c r="E81" s="1">
        <f>'Touch 1 1'!E81-'Touch 1 1'!$AA81-('Touch 1 1'!E$2- 12.5)*'Touch 1 1'!$AC81</f>
        <v>-24.626635434782429</v>
      </c>
      <c r="F81" s="1">
        <f>'Touch 1 1'!F81-'Touch 1 1'!$AA81-('Touch 1 1'!F$2- 12.5)*'Touch 1 1'!$AC81</f>
        <v>56.064733439897964</v>
      </c>
      <c r="G81" s="1">
        <f>'Touch 1 1'!G81-'Touch 1 1'!$AA81-('Touch 1 1'!G$2- 12.5)*'Touch 1 1'!$AC81</f>
        <v>66.756102314578129</v>
      </c>
      <c r="H81" s="1">
        <f>'Touch 1 1'!H81-'Touch 1 1'!$AA81-('Touch 1 1'!H$2- 12.5)*'Touch 1 1'!$AC81</f>
        <v>77.447471189258522</v>
      </c>
      <c r="I81" s="1">
        <f>'Touch 1 1'!I81-'Touch 1 1'!$AA81-('Touch 1 1'!I$2- 12.5)*'Touch 1 1'!$AC81</f>
        <v>68.138840063938687</v>
      </c>
      <c r="J81" s="1">
        <f>'Touch 1 1'!J81-'Touch 1 1'!$AA81-('Touch 1 1'!J$2- 12.5)*'Touch 1 1'!$AC81</f>
        <v>-1.1697910613809199</v>
      </c>
      <c r="K81" s="1">
        <f>'Touch 1 1'!K81-'Touch 1 1'!$AA81-('Touch 1 1'!K$2- 12.5)*'Touch 1 1'!$AC81</f>
        <v>-60.478422186700755</v>
      </c>
      <c r="L81" s="1">
        <f>'Touch 1 1'!L81-'Touch 1 1'!$AA81-('Touch 1 1'!L$2- 12.5)*'Touch 1 1'!$AC81</f>
        <v>-49.787053312020419</v>
      </c>
      <c r="M81" s="1">
        <f>'Touch 1 1'!M81-'Touch 1 1'!$AA81-('Touch 1 1'!M$2- 12.5)*'Touch 1 1'!$AC81</f>
        <v>0.90431556265986046</v>
      </c>
      <c r="N81" s="1">
        <f>'Touch 1 1'!N81-'Touch 1 1'!$AA81-('Touch 1 1'!N$2- 12.5)*'Touch 1 1'!$AC81</f>
        <v>-68.40431556265986</v>
      </c>
      <c r="O81" s="1">
        <f>'Touch 1 1'!O81-'Touch 1 1'!$AA81-('Touch 1 1'!O$2- 12.5)*'Touch 1 1'!$AC81</f>
        <v>-137.71294668797958</v>
      </c>
      <c r="P81" s="1">
        <f>'Touch 1 1'!P81-'Touch 1 1'!$AA81-('Touch 1 1'!P$2- 12.5)*'Touch 1 1'!$AC81</f>
        <v>12.978422186700755</v>
      </c>
      <c r="Q81" s="1">
        <f>'Touch 1 1'!Q81-'Touch 1 1'!$AA81-('Touch 1 1'!Q$2- 12.5)*'Touch 1 1'!$AC81</f>
        <v>53.66979106138092</v>
      </c>
      <c r="R81" s="1">
        <f>'Touch 1 1'!R81-'Touch 1 1'!$AA81-('Touch 1 1'!R$2- 12.5)*'Touch 1 1'!$AC81</f>
        <v>4.3611599360613127</v>
      </c>
      <c r="S81" s="1">
        <f>'Touch 1 1'!S81-'Touch 1 1'!$AA81-('Touch 1 1'!S$2- 12.5)*'Touch 1 1'!$AC81</f>
        <v>35.052528810741478</v>
      </c>
      <c r="T81" s="1">
        <f>'Touch 1 1'!T81-'Touch 1 1'!$AA81-('Touch 1 1'!T$2- 12.5)*'Touch 1 1'!$AC81</f>
        <v>65.743897685421871</v>
      </c>
      <c r="U81" s="1">
        <f>'Touch 1 1'!U81-'Touch 1 1'!$AA81-('Touch 1 1'!U$2- 12.5)*'Touch 1 1'!$AC81</f>
        <v>66.435266560102036</v>
      </c>
      <c r="V81" s="1">
        <f>'Touch 1 1'!V81-'Touch 1 1'!$AA81-('Touch 1 1'!V$2- 12.5)*'Touch 1 1'!$AC81</f>
        <v>-12.873364565217571</v>
      </c>
      <c r="W81" s="1">
        <f>'Touch 1 1'!W81-'Touch 1 1'!$AA81-('Touch 1 1'!W$2- 12.5)*'Touch 1 1'!$AC81</f>
        <v>-2.1819956905374056</v>
      </c>
      <c r="X81" s="1">
        <f>'Touch 1 1'!X81-'Touch 1 1'!$AA81-('Touch 1 1'!X$2- 12.5)*'Touch 1 1'!$AC81</f>
        <v>8.5093731841429872</v>
      </c>
      <c r="Y81" s="1">
        <f>'Touch 1 1'!Y81-'Touch 1 1'!$AA81-('Touch 1 1'!Y$2- 12.5)*'Touch 1 1'!$AC81</f>
        <v>39.20074205882338</v>
      </c>
      <c r="AB81" s="1">
        <f>STDEV(B81:Y81)</f>
        <v>62.173680715921847</v>
      </c>
      <c r="AD81" s="11">
        <v>5</v>
      </c>
      <c r="AE81" s="11" t="s">
        <v>46</v>
      </c>
      <c r="AF81" s="11" t="s">
        <v>45</v>
      </c>
      <c r="AG81" s="11">
        <v>9</v>
      </c>
      <c r="AH81" s="11">
        <v>7</v>
      </c>
      <c r="AI81" s="11">
        <v>1</v>
      </c>
      <c r="AJ81" s="11">
        <v>2</v>
      </c>
      <c r="AK81" s="11">
        <v>3</v>
      </c>
      <c r="AL81" s="11">
        <v>4</v>
      </c>
      <c r="AM81" s="11" t="s">
        <v>44</v>
      </c>
      <c r="AN81" s="11">
        <v>6</v>
      </c>
      <c r="AO81" s="11">
        <v>8</v>
      </c>
      <c r="AP81" s="11" t="s">
        <v>46</v>
      </c>
      <c r="AQ81" s="11">
        <v>5</v>
      </c>
      <c r="AR81" s="11">
        <v>9</v>
      </c>
      <c r="AS81" s="11" t="s">
        <v>45</v>
      </c>
      <c r="AT81" s="11">
        <v>7</v>
      </c>
      <c r="AU81" s="11">
        <v>2</v>
      </c>
      <c r="AV81" s="11">
        <v>1</v>
      </c>
      <c r="AW81" s="11">
        <v>3</v>
      </c>
      <c r="AX81" s="11" t="s">
        <v>44</v>
      </c>
      <c r="AY81" s="11">
        <v>4</v>
      </c>
      <c r="AZ81" s="11">
        <v>8</v>
      </c>
      <c r="BA81" s="11">
        <v>6</v>
      </c>
      <c r="BB81" s="5"/>
      <c r="BC81" s="1">
        <f ca="1">OFFSET(A81,0, 6) -0</f>
        <v>66.756102314578129</v>
      </c>
      <c r="BD81" s="1">
        <f ca="1">OFFSET(A81,0, 7) -0</f>
        <v>77.447471189258522</v>
      </c>
      <c r="BE81" s="1">
        <f ca="1">OFFSET(A81,0, 8) -0</f>
        <v>68.138840063938687</v>
      </c>
      <c r="BF81" s="1">
        <f ca="1">OFFSET(A81,0, 9) -0</f>
        <v>-1.1697910613809199</v>
      </c>
      <c r="BG81" s="1">
        <f ca="1">OFFSET(A81,0, 1) -0</f>
        <v>-116.70074205882338</v>
      </c>
      <c r="BH81" s="1">
        <f ca="1">OFFSET(A81,0, 11) -0</f>
        <v>-49.787053312020419</v>
      </c>
      <c r="BI81" s="1">
        <f ca="1">OFFSET(A81,0, 5) -0</f>
        <v>56.064733439897964</v>
      </c>
      <c r="BJ81" s="1">
        <f ca="1">OFFSET(A81,0, 12) -0</f>
        <v>0.90431556265986046</v>
      </c>
      <c r="BK81" s="1">
        <f ca="1">OFFSET(A81,0, 4) -0</f>
        <v>-24.626635434782429</v>
      </c>
      <c r="BL81" s="1">
        <f ca="1">OFFSET(A81,0, 10) -0</f>
        <v>-60.478422186700755</v>
      </c>
      <c r="BM81" s="1">
        <f ca="1">OFFSET(A81,0, 3) -0</f>
        <v>24.681995690537406</v>
      </c>
      <c r="BN81" s="1">
        <f ca="1">OFFSET(A81,0, 2) -0</f>
        <v>-106.00937318414299</v>
      </c>
      <c r="BO81" s="1">
        <f ca="1">OFFSET(A81,0, 19) -0</f>
        <v>65.743897685421871</v>
      </c>
      <c r="BP81" s="1">
        <f ca="1">OFFSET(A81,0, 18) -0</f>
        <v>35.052528810741478</v>
      </c>
      <c r="BQ81" s="1">
        <f ca="1">OFFSET(A81,0, 20) -0</f>
        <v>66.435266560102036</v>
      </c>
      <c r="BR81" s="1">
        <f ca="1">OFFSET(A81,0, 22) -0</f>
        <v>-2.1819956905374056</v>
      </c>
      <c r="BS81" s="1">
        <f ca="1">OFFSET(A81,0, 14) -0</f>
        <v>-137.71294668797958</v>
      </c>
      <c r="BT81" s="1">
        <f ca="1">OFFSET(A81,0, 24) -0</f>
        <v>39.20074205882338</v>
      </c>
      <c r="BU81" s="1">
        <f ca="1">OFFSET(A81,0, 17) -0</f>
        <v>4.3611599360613127</v>
      </c>
      <c r="BV81" s="1">
        <f ca="1">OFFSET(A81,0, 23) -0</f>
        <v>8.5093731841429872</v>
      </c>
      <c r="BW81" s="1">
        <f ca="1">OFFSET(A81,0, 15) -0</f>
        <v>12.978422186700755</v>
      </c>
      <c r="BX81" s="1">
        <f ca="1">OFFSET(A81,0, 21) -0</f>
        <v>-12.873364565217571</v>
      </c>
      <c r="BY81" s="1">
        <f ca="1">OFFSET(A81,0, 16) -0</f>
        <v>53.66979106138092</v>
      </c>
      <c r="BZ81" s="1">
        <f ca="1">OFFSET(A81,0, 13) -0</f>
        <v>-68.40431556265986</v>
      </c>
      <c r="CB81" s="1">
        <f>COUNTIF(B81,"&lt;-74")</f>
        <v>1</v>
      </c>
      <c r="CC81" s="1">
        <f ca="1">COUNTIF(BC81:BN81,"&lt;-52")</f>
        <v>3</v>
      </c>
      <c r="CD81" s="1">
        <f ca="1">COUNTIF(BC81:BN81,"&gt;+52")</f>
        <v>4</v>
      </c>
      <c r="CE81" s="1">
        <f ca="1">COUNTIF(BO81:BZ81,"&lt;-52")</f>
        <v>2</v>
      </c>
      <c r="CF81" s="1">
        <f ca="1">COUNTIF(BO81:BZ81,"&gt;+52")</f>
        <v>3</v>
      </c>
    </row>
    <row r="82" spans="1:84">
      <c r="A82" s="1">
        <v>79</v>
      </c>
      <c r="B82" s="1">
        <f>'Touch 1 1'!B82-'Touch 1 1'!$AA82-('Touch 1 1'!B$2- 12.5)*'Touch 1 1'!$AC82</f>
        <v>-76.358688063754926</v>
      </c>
      <c r="C82" s="1">
        <f>'Touch 1 1'!C82-'Touch 1 1'!$AA82-('Touch 1 1'!C$2- 12.5)*'Touch 1 1'!$AC82</f>
        <v>-56.168077507488306</v>
      </c>
      <c r="D82" s="1">
        <f>'Touch 1 1'!D82-'Touch 1 1'!$AA82-('Touch 1 1'!D$2- 12.5)*'Touch 1 1'!$AC82</f>
        <v>74.022533048778541</v>
      </c>
      <c r="E82" s="1">
        <f>'Touch 1 1'!E82-'Touch 1 1'!$AA82-('Touch 1 1'!E$2- 12.5)*'Touch 1 1'!$AC82</f>
        <v>-15.786856394954611</v>
      </c>
      <c r="F82" s="1">
        <f>'Touch 1 1'!F82-'Touch 1 1'!$AA82-('Touch 1 1'!F$2- 12.5)*'Touch 1 1'!$AC82</f>
        <v>-5.5962458386875369</v>
      </c>
      <c r="G82" s="1">
        <f>'Touch 1 1'!G82-'Touch 1 1'!$AA82-('Touch 1 1'!G$2- 12.5)*'Touch 1 1'!$AC82</f>
        <v>64.59436471757931</v>
      </c>
      <c r="H82" s="1">
        <f>'Touch 1 1'!H82-'Touch 1 1'!$AA82-('Touch 1 1'!H$2- 12.5)*'Touch 1 1'!$AC82</f>
        <v>84.784975273846158</v>
      </c>
      <c r="I82" s="1">
        <f>'Touch 1 1'!I82-'Touch 1 1'!$AA82-('Touch 1 1'!I$2- 12.5)*'Touch 1 1'!$AC82</f>
        <v>34.975585830113005</v>
      </c>
      <c r="J82" s="1">
        <f>'Touch 1 1'!J82-'Touch 1 1'!$AA82-('Touch 1 1'!J$2- 12.5)*'Touch 1 1'!$AC82</f>
        <v>5.1661963863798519</v>
      </c>
      <c r="K82" s="1">
        <f>'Touch 1 1'!K82-'Touch 1 1'!$AA82-('Touch 1 1'!K$2- 12.5)*'Touch 1 1'!$AC82</f>
        <v>-24.643193057353301</v>
      </c>
      <c r="L82" s="1">
        <f>'Touch 1 1'!L82-'Touch 1 1'!$AA82-('Touch 1 1'!L$2- 12.5)*'Touch 1 1'!$AC82</f>
        <v>-4.4525825010863969</v>
      </c>
      <c r="M82" s="1">
        <f>'Touch 1 1'!M82-'Touch 1 1'!$AA82-('Touch 1 1'!M$2- 12.5)*'Touch 1 1'!$AC82</f>
        <v>45.738028055180493</v>
      </c>
      <c r="N82" s="1">
        <f>'Touch 1 1'!N82-'Touch 1 1'!$AA82-('Touch 1 1'!N$2- 12.5)*'Touch 1 1'!$AC82</f>
        <v>-44.071361388552631</v>
      </c>
      <c r="O82" s="1">
        <f>'Touch 1 1'!O82-'Touch 1 1'!$AA82-('Touch 1 1'!O$2- 12.5)*'Touch 1 1'!$AC82</f>
        <v>-3.8807508322857416</v>
      </c>
      <c r="P82" s="1">
        <f>'Touch 1 1'!P82-'Touch 1 1'!$AA82-('Touch 1 1'!P$2- 12.5)*'Touch 1 1'!$AC82</f>
        <v>6.3098597239811625</v>
      </c>
      <c r="Q82" s="1">
        <f>'Touch 1 1'!Q82-'Touch 1 1'!$AA82-('Touch 1 1'!Q$2- 12.5)*'Touch 1 1'!$AC82</f>
        <v>26.50047028024801</v>
      </c>
      <c r="R82" s="1">
        <f>'Touch 1 1'!R82-'Touch 1 1'!$AA82-('Touch 1 1'!R$2- 12.5)*'Touch 1 1'!$AC82</f>
        <v>-63.308919163485143</v>
      </c>
      <c r="S82" s="1">
        <f>'Touch 1 1'!S82-'Touch 1 1'!$AA82-('Touch 1 1'!S$2- 12.5)*'Touch 1 1'!$AC82</f>
        <v>-33.118308607218296</v>
      </c>
      <c r="T82" s="1">
        <f>'Touch 1 1'!T82-'Touch 1 1'!$AA82-('Touch 1 1'!T$2- 12.5)*'Touch 1 1'!$AC82</f>
        <v>-2.9276980509514487</v>
      </c>
      <c r="U82" s="1">
        <f>'Touch 1 1'!U82-'Touch 1 1'!$AA82-('Touch 1 1'!U$2- 12.5)*'Touch 1 1'!$AC82</f>
        <v>17.262912505315398</v>
      </c>
      <c r="V82" s="1">
        <f>'Touch 1 1'!V82-'Touch 1 1'!$AA82-('Touch 1 1'!V$2- 12.5)*'Touch 1 1'!$AC82</f>
        <v>17.453523061582473</v>
      </c>
      <c r="W82" s="1">
        <f>'Touch 1 1'!W82-'Touch 1 1'!$AA82-('Touch 1 1'!W$2- 12.5)*'Touch 1 1'!$AC82</f>
        <v>7.6441336178493202</v>
      </c>
      <c r="X82" s="1">
        <f>'Touch 1 1'!X82-'Touch 1 1'!$AA82-('Touch 1 1'!X$2- 12.5)*'Touch 1 1'!$AC82</f>
        <v>-62.165255825883833</v>
      </c>
      <c r="Y82" s="1">
        <f>'Touch 1 1'!Y82-'Touch 1 1'!$AA82-('Touch 1 1'!Y$2- 12.5)*'Touch 1 1'!$AC82</f>
        <v>8.0253547303827872</v>
      </c>
      <c r="AB82" s="1">
        <f>STDEV(B82:Y82)</f>
        <v>42.975323739940535</v>
      </c>
      <c r="AD82" s="11">
        <v>5</v>
      </c>
      <c r="AE82" s="11" t="s">
        <v>46</v>
      </c>
      <c r="AF82" s="11" t="s">
        <v>45</v>
      </c>
      <c r="AG82" s="11">
        <v>9</v>
      </c>
      <c r="AH82" s="11">
        <v>2</v>
      </c>
      <c r="AI82" s="11">
        <v>7</v>
      </c>
      <c r="AJ82" s="11">
        <v>3</v>
      </c>
      <c r="AK82" s="11">
        <v>1</v>
      </c>
      <c r="AL82" s="11">
        <v>4</v>
      </c>
      <c r="AM82" s="11" t="s">
        <v>44</v>
      </c>
      <c r="AN82" s="11">
        <v>6</v>
      </c>
      <c r="AO82" s="11">
        <v>8</v>
      </c>
      <c r="AP82" s="11">
        <v>5</v>
      </c>
      <c r="AQ82" s="11" t="s">
        <v>45</v>
      </c>
      <c r="AR82" s="11" t="s">
        <v>46</v>
      </c>
      <c r="AS82" s="11">
        <v>2</v>
      </c>
      <c r="AT82" s="11">
        <v>9</v>
      </c>
      <c r="AU82" s="11">
        <v>7</v>
      </c>
      <c r="AV82" s="11">
        <v>1</v>
      </c>
      <c r="AW82" s="11">
        <v>3</v>
      </c>
      <c r="AX82" s="11">
        <v>4</v>
      </c>
      <c r="AY82" s="11">
        <v>6</v>
      </c>
      <c r="AZ82" s="11" t="s">
        <v>44</v>
      </c>
      <c r="BA82" s="11">
        <v>8</v>
      </c>
      <c r="BB82" s="5"/>
      <c r="BC82" s="1">
        <f ca="1">OFFSET(A82,0, 8) -0</f>
        <v>34.975585830113005</v>
      </c>
      <c r="BD82" s="1">
        <f ca="1">OFFSET(A82,0, 5) -0</f>
        <v>-5.5962458386875369</v>
      </c>
      <c r="BE82" s="1">
        <f ca="1">OFFSET(A82,0, 7) -0</f>
        <v>84.784975273846158</v>
      </c>
      <c r="BF82" s="1">
        <f ca="1">OFFSET(A82,0, 9) -0</f>
        <v>5.1661963863798519</v>
      </c>
      <c r="BG82" s="1">
        <f ca="1">OFFSET(A82,0, 1) -0</f>
        <v>-76.358688063754926</v>
      </c>
      <c r="BH82" s="1">
        <f ca="1">OFFSET(A82,0, 11) -0</f>
        <v>-4.4525825010863969</v>
      </c>
      <c r="BI82" s="1">
        <f ca="1">OFFSET(A82,0, 6) -0</f>
        <v>64.59436471757931</v>
      </c>
      <c r="BJ82" s="1">
        <f ca="1">OFFSET(A82,0, 12) -0</f>
        <v>45.738028055180493</v>
      </c>
      <c r="BK82" s="1">
        <f ca="1">OFFSET(A82,0, 4) -0</f>
        <v>-15.786856394954611</v>
      </c>
      <c r="BL82" s="1">
        <f ca="1">OFFSET(A82,0, 10) -0</f>
        <v>-24.643193057353301</v>
      </c>
      <c r="BM82" s="1">
        <f ca="1">OFFSET(A82,0, 3) -0</f>
        <v>74.022533048778541</v>
      </c>
      <c r="BN82" s="1">
        <f ca="1">OFFSET(A82,0, 2) -0</f>
        <v>-56.168077507488306</v>
      </c>
      <c r="BO82" s="1">
        <f ca="1">OFFSET(A82,0, 19) -0</f>
        <v>-2.9276980509514487</v>
      </c>
      <c r="BP82" s="1">
        <f ca="1">OFFSET(A82,0, 16) -0</f>
        <v>26.50047028024801</v>
      </c>
      <c r="BQ82" s="1">
        <f ca="1">OFFSET(A82,0, 20) -0</f>
        <v>17.262912505315398</v>
      </c>
      <c r="BR82" s="1">
        <f ca="1">OFFSET(A82,0, 21) -0</f>
        <v>17.453523061582473</v>
      </c>
      <c r="BS82" s="1">
        <f ca="1">OFFSET(A82,0, 13) -0</f>
        <v>-44.071361388552631</v>
      </c>
      <c r="BT82" s="1">
        <f ca="1">OFFSET(A82,0, 22) -0</f>
        <v>7.6441336178493202</v>
      </c>
      <c r="BU82" s="1">
        <f ca="1">OFFSET(A82,0, 18) -0</f>
        <v>-33.118308607218296</v>
      </c>
      <c r="BV82" s="1">
        <f ca="1">OFFSET(A82,0, 24) -0</f>
        <v>8.0253547303827872</v>
      </c>
      <c r="BW82" s="1">
        <f ca="1">OFFSET(A82,0, 17) -0</f>
        <v>-63.308919163485143</v>
      </c>
      <c r="BX82" s="1">
        <f ca="1">OFFSET(A82,0, 23) -0</f>
        <v>-62.165255825883833</v>
      </c>
      <c r="BY82" s="1">
        <f ca="1">OFFSET(A82,0, 14) -0</f>
        <v>-3.8807508322857416</v>
      </c>
      <c r="BZ82" s="1">
        <f ca="1">OFFSET(A82,0, 15) -0</f>
        <v>6.3098597239811625</v>
      </c>
      <c r="CB82" s="1">
        <f>COUNTIF(B82,"&lt;-74")</f>
        <v>1</v>
      </c>
      <c r="CC82" s="1">
        <f ca="1">COUNTIF(BC82:BN82,"&lt;-52")</f>
        <v>2</v>
      </c>
      <c r="CD82" s="1">
        <f ca="1">COUNTIF(BC82:BN82,"&gt;+52")</f>
        <v>3</v>
      </c>
      <c r="CE82" s="1">
        <f ca="1">COUNTIF(BO82:BZ82,"&lt;-52")</f>
        <v>2</v>
      </c>
      <c r="CF82" s="1">
        <f ca="1">COUNTIF(BO82:BZ82,"&gt;+52")</f>
        <v>0</v>
      </c>
    </row>
    <row r="83" spans="1:84">
      <c r="A83" s="1">
        <v>80</v>
      </c>
      <c r="B83" s="1">
        <f>'Touch 1 1'!B83-'Touch 1 1'!$AA83-('Touch 1 1'!B$2- 12.5)*'Touch 1 1'!$AC83</f>
        <v>96.471979981628465</v>
      </c>
      <c r="C83" s="1">
        <f>'Touch 1 1'!C83-'Touch 1 1'!$AA83-('Touch 1 1'!C$2- 12.5)*'Touch 1 1'!$AC83</f>
        <v>-4.3806559588015261</v>
      </c>
      <c r="D83" s="1">
        <f>'Touch 1 1'!D83-'Touch 1 1'!$AA83-('Touch 1 1'!D$2- 12.5)*'Touch 1 1'!$AC83</f>
        <v>34.766708100768938</v>
      </c>
      <c r="E83" s="1">
        <f>'Touch 1 1'!E83-'Touch 1 1'!$AA83-('Touch 1 1'!E$2- 12.5)*'Touch 1 1'!$AC83</f>
        <v>-26.085927839661053</v>
      </c>
      <c r="F83" s="1">
        <f>'Touch 1 1'!F83-'Touch 1 1'!$AA83-('Touch 1 1'!F$2- 12.5)*'Touch 1 1'!$AC83</f>
        <v>-26.93856378009059</v>
      </c>
      <c r="G83" s="1">
        <f>'Touch 1 1'!G83-'Touch 1 1'!$AA83-('Touch 1 1'!G$2- 12.5)*'Touch 1 1'!$AC83</f>
        <v>-17.791199720520581</v>
      </c>
      <c r="H83" s="1">
        <f>'Touch 1 1'!H83-'Touch 1 1'!$AA83-('Touch 1 1'!H$2- 12.5)*'Touch 1 1'!$AC83</f>
        <v>31.356164339049883</v>
      </c>
      <c r="I83" s="1">
        <f>'Touch 1 1'!I83-'Touch 1 1'!$AA83-('Touch 1 1'!I$2- 12.5)*'Touch 1 1'!$AC83</f>
        <v>60.503528398620006</v>
      </c>
      <c r="J83" s="1">
        <f>'Touch 1 1'!J83-'Touch 1 1'!$AA83-('Touch 1 1'!J$2- 12.5)*'Touch 1 1'!$AC83</f>
        <v>9.650892458190242</v>
      </c>
      <c r="K83" s="1">
        <f>'Touch 1 1'!K83-'Touch 1 1'!$AA83-('Touch 1 1'!K$2- 12.5)*'Touch 1 1'!$AC83</f>
        <v>18.798256517760478</v>
      </c>
      <c r="L83" s="1">
        <f>'Touch 1 1'!L83-'Touch 1 1'!$AA83-('Touch 1 1'!L$2- 12.5)*'Touch 1 1'!$AC83</f>
        <v>-22.054379422669285</v>
      </c>
      <c r="M83" s="1">
        <f>'Touch 1 1'!M83-'Touch 1 1'!$AA83-('Touch 1 1'!M$2- 12.5)*'Touch 1 1'!$AC83</f>
        <v>-102.90701536309905</v>
      </c>
      <c r="N83" s="1">
        <f>'Touch 1 1'!N83-'Touch 1 1'!$AA83-('Touch 1 1'!N$2- 12.5)*'Touch 1 1'!$AC83</f>
        <v>46.240348696471187</v>
      </c>
      <c r="O83" s="1">
        <f>'Touch 1 1'!O83-'Touch 1 1'!$AA83-('Touch 1 1'!O$2- 12.5)*'Touch 1 1'!$AC83</f>
        <v>35.387712756041424</v>
      </c>
      <c r="P83" s="1">
        <f>'Touch 1 1'!P83-'Touch 1 1'!$AA83-('Touch 1 1'!P$2- 12.5)*'Touch 1 1'!$AC83</f>
        <v>4.5350768156116601</v>
      </c>
      <c r="Q83" s="1">
        <f>'Touch 1 1'!Q83-'Touch 1 1'!$AA83-('Touch 1 1'!Q$2- 12.5)*'Touch 1 1'!$AC83</f>
        <v>-106.3175591248181</v>
      </c>
      <c r="R83" s="1">
        <f>'Touch 1 1'!R83-'Touch 1 1'!$AA83-('Touch 1 1'!R$2- 12.5)*'Touch 1 1'!$AC83</f>
        <v>12.829804934752133</v>
      </c>
      <c r="S83" s="1">
        <f>'Touch 1 1'!S83-'Touch 1 1'!$AA83-('Touch 1 1'!S$2- 12.5)*'Touch 1 1'!$AC83</f>
        <v>11.977168994322255</v>
      </c>
      <c r="T83" s="1">
        <f>'Touch 1 1'!T83-'Touch 1 1'!$AA83-('Touch 1 1'!T$2- 12.5)*'Touch 1 1'!$AC83</f>
        <v>11.124533053892719</v>
      </c>
      <c r="U83" s="1">
        <f>'Touch 1 1'!U83-'Touch 1 1'!$AA83-('Touch 1 1'!U$2- 12.5)*'Touch 1 1'!$AC83</f>
        <v>-9.7281028865372718</v>
      </c>
      <c r="V83" s="1">
        <f>'Touch 1 1'!V83-'Touch 1 1'!$AA83-('Touch 1 1'!V$2- 12.5)*'Touch 1 1'!$AC83</f>
        <v>19.419261173033192</v>
      </c>
      <c r="W83" s="1">
        <f>'Touch 1 1'!W83-'Touch 1 1'!$AA83-('Touch 1 1'!W$2- 12.5)*'Touch 1 1'!$AC83</f>
        <v>-11.433374767396799</v>
      </c>
      <c r="X83" s="1">
        <f>'Touch 1 1'!X83-'Touch 1 1'!$AA83-('Touch 1 1'!X$2- 12.5)*'Touch 1 1'!$AC83</f>
        <v>-42.286010707826335</v>
      </c>
      <c r="Y83" s="1">
        <f>'Touch 1 1'!Y83-'Touch 1 1'!$AA83-('Touch 1 1'!Y$2- 12.5)*'Touch 1 1'!$AC83</f>
        <v>-23.138646648256326</v>
      </c>
      <c r="AB83" s="1">
        <f>STDEV(B83:Y83)</f>
        <v>44.961977565907105</v>
      </c>
      <c r="AD83" s="11" t="s">
        <v>45</v>
      </c>
      <c r="AE83" s="11">
        <v>5</v>
      </c>
      <c r="AF83" s="11">
        <v>2</v>
      </c>
      <c r="AG83" s="11" t="s">
        <v>46</v>
      </c>
      <c r="AH83" s="11">
        <v>7</v>
      </c>
      <c r="AI83" s="11">
        <v>9</v>
      </c>
      <c r="AJ83" s="11">
        <v>3</v>
      </c>
      <c r="AK83" s="11">
        <v>1</v>
      </c>
      <c r="AL83" s="11">
        <v>6</v>
      </c>
      <c r="AM83" s="11">
        <v>4</v>
      </c>
      <c r="AN83" s="11">
        <v>8</v>
      </c>
      <c r="AO83" s="11" t="s">
        <v>44</v>
      </c>
      <c r="AP83" s="11">
        <v>5</v>
      </c>
      <c r="AQ83" s="11" t="s">
        <v>45</v>
      </c>
      <c r="AR83" s="11" t="s">
        <v>46</v>
      </c>
      <c r="AS83" s="11">
        <v>2</v>
      </c>
      <c r="AT83" s="11">
        <v>9</v>
      </c>
      <c r="AU83" s="11">
        <v>7</v>
      </c>
      <c r="AV83" s="11">
        <v>3</v>
      </c>
      <c r="AW83" s="11">
        <v>6</v>
      </c>
      <c r="AX83" s="11">
        <v>1</v>
      </c>
      <c r="AY83" s="11">
        <v>4</v>
      </c>
      <c r="AZ83" s="11" t="s">
        <v>44</v>
      </c>
      <c r="BA83" s="11">
        <v>8</v>
      </c>
      <c r="BB83" s="5"/>
      <c r="BC83" s="1">
        <f ca="1">OFFSET(A83,0, 8) -0</f>
        <v>60.503528398620006</v>
      </c>
      <c r="BD83" s="1">
        <f ca="1">OFFSET(A83,0, 3) -0</f>
        <v>34.766708100768938</v>
      </c>
      <c r="BE83" s="1">
        <f ca="1">OFFSET(A83,0, 7) -0</f>
        <v>31.356164339049883</v>
      </c>
      <c r="BF83" s="1">
        <f ca="1">OFFSET(A83,0, 10) -0</f>
        <v>18.798256517760478</v>
      </c>
      <c r="BG83" s="1">
        <f ca="1">OFFSET(A83,0, 2) -0</f>
        <v>-4.3806559588015261</v>
      </c>
      <c r="BH83" s="1">
        <f ca="1">OFFSET(A83,0, 9) -0</f>
        <v>9.650892458190242</v>
      </c>
      <c r="BI83" s="1">
        <f ca="1">OFFSET(A83,0, 5) -0</f>
        <v>-26.93856378009059</v>
      </c>
      <c r="BJ83" s="1">
        <f ca="1">OFFSET(A83,0, 11) -0</f>
        <v>-22.054379422669285</v>
      </c>
      <c r="BK83" s="1">
        <f ca="1">OFFSET(A83,0, 6) -0</f>
        <v>-17.791199720520581</v>
      </c>
      <c r="BL83" s="1">
        <f ca="1">OFFSET(A83,0, 12) -0</f>
        <v>-102.90701536309905</v>
      </c>
      <c r="BM83" s="1">
        <f ca="1">OFFSET(A83,0, 1) -0</f>
        <v>96.471979981628465</v>
      </c>
      <c r="BN83" s="1">
        <f ca="1">OFFSET(A83,0, 4) -0</f>
        <v>-26.085927839661053</v>
      </c>
      <c r="BO83" s="1">
        <f ca="1">OFFSET(A83,0, 21) -0</f>
        <v>19.419261173033192</v>
      </c>
      <c r="BP83" s="1">
        <f ca="1">OFFSET(A83,0, 16) -0</f>
        <v>-106.3175591248181</v>
      </c>
      <c r="BQ83" s="1">
        <f ca="1">OFFSET(A83,0, 19) -0</f>
        <v>11.124533053892719</v>
      </c>
      <c r="BR83" s="1">
        <f ca="1">OFFSET(A83,0, 22) -0</f>
        <v>-11.433374767396799</v>
      </c>
      <c r="BS83" s="1">
        <f ca="1">OFFSET(A83,0, 13) -0</f>
        <v>46.240348696471187</v>
      </c>
      <c r="BT83" s="1">
        <f ca="1">OFFSET(A83,0, 20) -0</f>
        <v>-9.7281028865372718</v>
      </c>
      <c r="BU83" s="1">
        <f ca="1">OFFSET(A83,0, 18) -0</f>
        <v>11.977168994322255</v>
      </c>
      <c r="BV83" s="1">
        <f ca="1">OFFSET(A83,0, 24) -0</f>
        <v>-23.138646648256326</v>
      </c>
      <c r="BW83" s="1">
        <f ca="1">OFFSET(A83,0, 17) -0</f>
        <v>12.829804934752133</v>
      </c>
      <c r="BX83" s="1">
        <f ca="1">OFFSET(A83,0, 23) -0</f>
        <v>-42.286010707826335</v>
      </c>
      <c r="BY83" s="1">
        <f ca="1">OFFSET(A83,0, 14) -0</f>
        <v>35.387712756041424</v>
      </c>
      <c r="BZ83" s="1">
        <f ca="1">OFFSET(A83,0, 15) -0</f>
        <v>4.5350768156116601</v>
      </c>
      <c r="CB83" s="1">
        <f>COUNTIF(B83,"&lt;-75")</f>
        <v>0</v>
      </c>
      <c r="CC83" s="1">
        <f ca="1">COUNTIF(BC83:BN83,"&lt;-53")</f>
        <v>1</v>
      </c>
      <c r="CD83" s="1">
        <f ca="1">COUNTIF(BC83:BN83,"&gt;+53")</f>
        <v>2</v>
      </c>
      <c r="CE83" s="1">
        <f ca="1">COUNTIF(BO83:BZ83,"&lt;-53")</f>
        <v>1</v>
      </c>
      <c r="CF83" s="1">
        <f ca="1">COUNTIF(BO83:BZ83,"&gt;+53")</f>
        <v>0</v>
      </c>
    </row>
    <row r="84" spans="1:84">
      <c r="A84" s="1">
        <v>81</v>
      </c>
      <c r="B84" s="1">
        <f>'Touch 1 1'!B84-'Touch 1 1'!$AA84-('Touch 1 1'!B$2- 12.5)*'Touch 1 1'!$AC84</f>
        <v>57.628278493900325</v>
      </c>
      <c r="C84" s="1">
        <f>'Touch 1 1'!C84-'Touch 1 1'!$AA84-('Touch 1 1'!C$2- 12.5)*'Touch 1 1'!$AC84</f>
        <v>-23.107513838900559</v>
      </c>
      <c r="D84" s="1">
        <f>'Touch 1 1'!D84-'Touch 1 1'!$AA84-('Touch 1 1'!D$2- 12.5)*'Touch 1 1'!$AC84</f>
        <v>-53.843306171702125</v>
      </c>
      <c r="E84" s="1">
        <f>'Touch 1 1'!E84-'Touch 1 1'!$AA84-('Touch 1 1'!E$2- 12.5)*'Touch 1 1'!$AC84</f>
        <v>-64.579098504503236</v>
      </c>
      <c r="F84" s="1">
        <f>'Touch 1 1'!F84-'Touch 1 1'!$AA84-('Touch 1 1'!F$2- 12.5)*'Touch 1 1'!$AC84</f>
        <v>34.685109162695426</v>
      </c>
      <c r="G84" s="1">
        <f>'Touch 1 1'!G84-'Touch 1 1'!$AA84-('Touch 1 1'!G$2- 12.5)*'Touch 1 1'!$AC84</f>
        <v>-16.050683170105685</v>
      </c>
      <c r="H84" s="1">
        <f>'Touch 1 1'!H84-'Touch 1 1'!$AA84-('Touch 1 1'!H$2- 12.5)*'Touch 1 1'!$AC84</f>
        <v>73.213524497092976</v>
      </c>
      <c r="I84" s="1">
        <f>'Touch 1 1'!I84-'Touch 1 1'!$AA84-('Touch 1 1'!I$2- 12.5)*'Touch 1 1'!$AC84</f>
        <v>12.477732164291751</v>
      </c>
      <c r="J84" s="1">
        <f>'Touch 1 1'!J84-'Touch 1 1'!$AA84-('Touch 1 1'!J$2- 12.5)*'Touch 1 1'!$AC84</f>
        <v>1.7419398314904129</v>
      </c>
      <c r="K84" s="1">
        <f>'Touch 1 1'!K84-'Touch 1 1'!$AA84-('Touch 1 1'!K$2- 12.5)*'Touch 1 1'!$AC84</f>
        <v>31.006147498689188</v>
      </c>
      <c r="L84" s="1">
        <f>'Touch 1 1'!L84-'Touch 1 1'!$AA84-('Touch 1 1'!L$2- 12.5)*'Touch 1 1'!$AC84</f>
        <v>-49.729644834112037</v>
      </c>
      <c r="M84" s="1">
        <f>'Touch 1 1'!M84-'Touch 1 1'!$AA84-('Touch 1 1'!M$2- 12.5)*'Touch 1 1'!$AC84</f>
        <v>-60.465437166913304</v>
      </c>
      <c r="N84" s="1">
        <f>'Touch 1 1'!N84-'Touch 1 1'!$AA84-('Touch 1 1'!N$2- 12.5)*'Touch 1 1'!$AC84</f>
        <v>68.798770500285443</v>
      </c>
      <c r="O84" s="1">
        <f>'Touch 1 1'!O84-'Touch 1 1'!$AA84-('Touch 1 1'!O$2- 12.5)*'Touch 1 1'!$AC84</f>
        <v>68.062978167484175</v>
      </c>
      <c r="P84" s="1">
        <f>'Touch 1 1'!P84-'Touch 1 1'!$AA84-('Touch 1 1'!P$2- 12.5)*'Touch 1 1'!$AC84</f>
        <v>-82.67281416531705</v>
      </c>
      <c r="Q84" s="1">
        <f>'Touch 1 1'!Q84-'Touch 1 1'!$AA84-('Touch 1 1'!Q$2- 12.5)*'Touch 1 1'!$AC84</f>
        <v>-63.408606498118274</v>
      </c>
      <c r="R84" s="1">
        <f>'Touch 1 1'!R84-'Touch 1 1'!$AA84-('Touch 1 1'!R$2- 12.5)*'Touch 1 1'!$AC84</f>
        <v>-34.144398830919613</v>
      </c>
      <c r="S84" s="1">
        <f>'Touch 1 1'!S84-'Touch 1 1'!$AA84-('Touch 1 1'!S$2- 12.5)*'Touch 1 1'!$AC84</f>
        <v>-14.880191163720838</v>
      </c>
      <c r="T84" s="1">
        <f>'Touch 1 1'!T84-'Touch 1 1'!$AA84-('Touch 1 1'!T$2- 12.5)*'Touch 1 1'!$AC84</f>
        <v>-5.6159834965221762</v>
      </c>
      <c r="U84" s="1">
        <f>'Touch 1 1'!U84-'Touch 1 1'!$AA84-('Touch 1 1'!U$2- 12.5)*'Touch 1 1'!$AC84</f>
        <v>23.648224170676713</v>
      </c>
      <c r="V84" s="1">
        <f>'Touch 1 1'!V84-'Touch 1 1'!$AA84-('Touch 1 1'!V$2- 12.5)*'Touch 1 1'!$AC84</f>
        <v>42.912431837875374</v>
      </c>
      <c r="W84" s="1">
        <f>'Touch 1 1'!W84-'Touch 1 1'!$AA84-('Touch 1 1'!W$2- 12.5)*'Touch 1 1'!$AC84</f>
        <v>22.176639505074263</v>
      </c>
      <c r="X84" s="1">
        <f>'Touch 1 1'!X84-'Touch 1 1'!$AA84-('Touch 1 1'!X$2- 12.5)*'Touch 1 1'!$AC84</f>
        <v>21.440847172272697</v>
      </c>
      <c r="Y84" s="1">
        <f>'Touch 1 1'!Y84-'Touch 1 1'!$AA84-('Touch 1 1'!Y$2- 12.5)*'Touch 1 1'!$AC84</f>
        <v>10.705054839471813</v>
      </c>
      <c r="AB84" s="1">
        <f>STDEV(B84:Y84)</f>
        <v>46.672571859750491</v>
      </c>
      <c r="AD84" s="11" t="s">
        <v>45</v>
      </c>
      <c r="AE84" s="11">
        <v>5</v>
      </c>
      <c r="AF84" s="11">
        <v>2</v>
      </c>
      <c r="AG84" s="11" t="s">
        <v>46</v>
      </c>
      <c r="AH84" s="11">
        <v>7</v>
      </c>
      <c r="AI84" s="11">
        <v>9</v>
      </c>
      <c r="AJ84" s="11">
        <v>6</v>
      </c>
      <c r="AK84" s="11">
        <v>3</v>
      </c>
      <c r="AL84" s="11">
        <v>4</v>
      </c>
      <c r="AM84" s="11">
        <v>1</v>
      </c>
      <c r="AN84" s="11">
        <v>8</v>
      </c>
      <c r="AO84" s="11" t="s">
        <v>44</v>
      </c>
      <c r="AP84" s="11" t="s">
        <v>45</v>
      </c>
      <c r="AQ84" s="11">
        <v>2</v>
      </c>
      <c r="AR84" s="11">
        <v>5</v>
      </c>
      <c r="AS84" s="11">
        <v>7</v>
      </c>
      <c r="AT84" s="11" t="s">
        <v>46</v>
      </c>
      <c r="AU84" s="11">
        <v>6</v>
      </c>
      <c r="AV84" s="11">
        <v>9</v>
      </c>
      <c r="AW84" s="11">
        <v>3</v>
      </c>
      <c r="AX84" s="11">
        <v>1</v>
      </c>
      <c r="AY84" s="11">
        <v>4</v>
      </c>
      <c r="AZ84" s="11" t="s">
        <v>44</v>
      </c>
      <c r="BA84" s="11">
        <v>8</v>
      </c>
      <c r="BB84" s="5"/>
      <c r="BC84" s="1">
        <f ca="1">OFFSET(A84,0, 10) -0</f>
        <v>31.006147498689188</v>
      </c>
      <c r="BD84" s="1">
        <f ca="1">OFFSET(A84,0, 3) -0</f>
        <v>-53.843306171702125</v>
      </c>
      <c r="BE84" s="1">
        <f ca="1">OFFSET(A84,0, 8) -0</f>
        <v>12.477732164291751</v>
      </c>
      <c r="BF84" s="1">
        <f ca="1">OFFSET(A84,0, 9) -0</f>
        <v>1.7419398314904129</v>
      </c>
      <c r="BG84" s="1">
        <f ca="1">OFFSET(A84,0, 2) -0</f>
        <v>-23.107513838900559</v>
      </c>
      <c r="BH84" s="1">
        <f ca="1">OFFSET(A84,0, 7) -0</f>
        <v>73.213524497092976</v>
      </c>
      <c r="BI84" s="1">
        <f ca="1">OFFSET(A84,0, 5) -0</f>
        <v>34.685109162695426</v>
      </c>
      <c r="BJ84" s="1">
        <f ca="1">OFFSET(A84,0, 11) -0</f>
        <v>-49.729644834112037</v>
      </c>
      <c r="BK84" s="1">
        <f ca="1">OFFSET(A84,0, 6) -0</f>
        <v>-16.050683170105685</v>
      </c>
      <c r="BL84" s="1">
        <f ca="1">OFFSET(A84,0, 12) -0</f>
        <v>-60.465437166913304</v>
      </c>
      <c r="BM84" s="1">
        <f ca="1">OFFSET(A84,0, 1) -0</f>
        <v>57.628278493900325</v>
      </c>
      <c r="BN84" s="1">
        <f ca="1">OFFSET(A84,0, 4) -0</f>
        <v>-64.579098504503236</v>
      </c>
      <c r="BO84" s="1">
        <f ca="1">OFFSET(A84,0, 21) -0</f>
        <v>42.912431837875374</v>
      </c>
      <c r="BP84" s="1">
        <f ca="1">OFFSET(A84,0, 14) -0</f>
        <v>68.062978167484175</v>
      </c>
      <c r="BQ84" s="1">
        <f ca="1">OFFSET(A84,0, 20) -0</f>
        <v>23.648224170676713</v>
      </c>
      <c r="BR84" s="1">
        <f ca="1">OFFSET(A84,0, 22) -0</f>
        <v>22.176639505074263</v>
      </c>
      <c r="BS84" s="1">
        <f ca="1">OFFSET(A84,0, 15) -0</f>
        <v>-82.67281416531705</v>
      </c>
      <c r="BT84" s="1">
        <f ca="1">OFFSET(A84,0, 18) -0</f>
        <v>-14.880191163720838</v>
      </c>
      <c r="BU84" s="1">
        <f ca="1">OFFSET(A84,0, 16) -0</f>
        <v>-63.408606498118274</v>
      </c>
      <c r="BV84" s="1">
        <f ca="1">OFFSET(A84,0, 24) -0</f>
        <v>10.705054839471813</v>
      </c>
      <c r="BW84" s="1">
        <f ca="1">OFFSET(A84,0, 19) -0</f>
        <v>-5.6159834965221762</v>
      </c>
      <c r="BX84" s="1">
        <f ca="1">OFFSET(A84,0, 23) -0</f>
        <v>21.440847172272697</v>
      </c>
      <c r="BY84" s="1">
        <f ca="1">OFFSET(A84,0, 13) -0</f>
        <v>68.798770500285443</v>
      </c>
      <c r="BZ84" s="1">
        <f ca="1">OFFSET(A84,0, 17) -0</f>
        <v>-34.144398830919613</v>
      </c>
      <c r="CB84" s="1">
        <f>COUNTIF(B84,"&lt;-75")</f>
        <v>0</v>
      </c>
      <c r="CC84" s="1">
        <f ca="1">COUNTIF(BC84:BN84,"&lt;-53")</f>
        <v>3</v>
      </c>
      <c r="CD84" s="1">
        <f ca="1">COUNTIF(BC84:BN84,"&gt;+53")</f>
        <v>2</v>
      </c>
      <c r="CE84" s="1">
        <f ca="1">COUNTIF(BO84:BZ84,"&lt;-53")</f>
        <v>2</v>
      </c>
      <c r="CF84" s="1">
        <f ca="1">COUNTIF(BO84:BZ84,"&gt;+53")</f>
        <v>2</v>
      </c>
    </row>
    <row r="85" spans="1:84">
      <c r="A85" s="1">
        <v>82</v>
      </c>
      <c r="B85" s="1">
        <f>'Touch 1 1'!B85-'Touch 1 1'!$AA85-('Touch 1 1'!B$2- 12.5)*'Touch 1 1'!$AC85</f>
        <v>28.518006979153597</v>
      </c>
      <c r="C85" s="1">
        <f>'Touch 1 1'!C85-'Touch 1 1'!$AA85-('Touch 1 1'!C$2- 12.5)*'Touch 1 1'!$AC85</f>
        <v>37.414991879515128</v>
      </c>
      <c r="D85" s="1">
        <f>'Touch 1 1'!D85-'Touch 1 1'!$AA85-('Touch 1 1'!D$2- 12.5)*'Touch 1 1'!$AC85</f>
        <v>-13.688023220123114</v>
      </c>
      <c r="E85" s="1">
        <f>'Touch 1 1'!E85-'Touch 1 1'!$AA85-('Touch 1 1'!E$2- 12.5)*'Touch 1 1'!$AC85</f>
        <v>-4.7910383197613555</v>
      </c>
      <c r="F85" s="1">
        <f>'Touch 1 1'!F85-'Touch 1 1'!$AA85-('Touch 1 1'!F$2- 12.5)*'Touch 1 1'!$AC85</f>
        <v>-45.89405341939937</v>
      </c>
      <c r="G85" s="1">
        <f>'Touch 1 1'!G85-'Touch 1 1'!$AA85-('Touch 1 1'!G$2- 12.5)*'Touch 1 1'!$AC85</f>
        <v>-86.997068519037612</v>
      </c>
      <c r="H85" s="1">
        <f>'Touch 1 1'!H85-'Touch 1 1'!$AA85-('Touch 1 1'!H$2- 12.5)*'Touch 1 1'!$AC85</f>
        <v>41.899916381324147</v>
      </c>
      <c r="I85" s="1">
        <f>'Touch 1 1'!I85-'Touch 1 1'!$AA85-('Touch 1 1'!I$2- 12.5)*'Touch 1 1'!$AC85</f>
        <v>-59.203098718314095</v>
      </c>
      <c r="J85" s="1">
        <f>'Touch 1 1'!J85-'Touch 1 1'!$AA85-('Touch 1 1'!J$2- 12.5)*'Touch 1 1'!$AC85</f>
        <v>9.6938861820476632</v>
      </c>
      <c r="K85" s="1">
        <f>'Touch 1 1'!K85-'Touch 1 1'!$AA85-('Touch 1 1'!K$2- 12.5)*'Touch 1 1'!$AC85</f>
        <v>-1.4091289175905786</v>
      </c>
      <c r="L85" s="1">
        <f>'Touch 1 1'!L85-'Touch 1 1'!$AA85-('Touch 1 1'!L$2- 12.5)*'Touch 1 1'!$AC85</f>
        <v>-12.512144017228763</v>
      </c>
      <c r="M85" s="1">
        <f>'Touch 1 1'!M85-'Touch 1 1'!$AA85-('Touch 1 1'!M$2- 12.5)*'Touch 1 1'!$AC85</f>
        <v>-73.615159116866963</v>
      </c>
      <c r="N85" s="1">
        <f>'Touch 1 1'!N85-'Touch 1 1'!$AA85-('Touch 1 1'!N$2- 12.5)*'Touch 1 1'!$AC85</f>
        <v>75.281825783494824</v>
      </c>
      <c r="O85" s="1">
        <f>'Touch 1 1'!O85-'Touch 1 1'!$AA85-('Touch 1 1'!O$2- 12.5)*'Touch 1 1'!$AC85</f>
        <v>54.178810683856625</v>
      </c>
      <c r="P85" s="1">
        <f>'Touch 1 1'!P85-'Touch 1 1'!$AA85-('Touch 1 1'!P$2- 12.5)*'Touch 1 1'!$AC85</f>
        <v>13.07579558421844</v>
      </c>
      <c r="Q85" s="1">
        <f>'Touch 1 1'!Q85-'Touch 1 1'!$AA85-('Touch 1 1'!Q$2- 12.5)*'Touch 1 1'!$AC85</f>
        <v>31.972780484580198</v>
      </c>
      <c r="R85" s="1">
        <f>'Touch 1 1'!R85-'Touch 1 1'!$AA85-('Touch 1 1'!R$2- 12.5)*'Touch 1 1'!$AC85</f>
        <v>-19.130234615058043</v>
      </c>
      <c r="S85" s="1">
        <f>'Touch 1 1'!S85-'Touch 1 1'!$AA85-('Touch 1 1'!S$2- 12.5)*'Touch 1 1'!$AC85</f>
        <v>-40.233249714696285</v>
      </c>
      <c r="T85" s="1">
        <f>'Touch 1 1'!T85-'Touch 1 1'!$AA85-('Touch 1 1'!T$2- 12.5)*'Touch 1 1'!$AC85</f>
        <v>8.6637351856654732</v>
      </c>
      <c r="U85" s="1">
        <f>'Touch 1 1'!U85-'Touch 1 1'!$AA85-('Touch 1 1'!U$2- 12.5)*'Touch 1 1'!$AC85</f>
        <v>7.5607200860272314</v>
      </c>
      <c r="V85" s="1">
        <f>'Touch 1 1'!V85-'Touch 1 1'!$AA85-('Touch 1 1'!V$2- 12.5)*'Touch 1 1'!$AC85</f>
        <v>-3.5422950136107829</v>
      </c>
      <c r="W85" s="1">
        <f>'Touch 1 1'!W85-'Touch 1 1'!$AA85-('Touch 1 1'!W$2- 12.5)*'Touch 1 1'!$AC85</f>
        <v>45.354689886750975</v>
      </c>
      <c r="X85" s="1">
        <f>'Touch 1 1'!X85-'Touch 1 1'!$AA85-('Touch 1 1'!X$2- 12.5)*'Touch 1 1'!$AC85</f>
        <v>14.251674787112734</v>
      </c>
      <c r="Y85" s="1">
        <f>'Touch 1 1'!Y85-'Touch 1 1'!$AA85-('Touch 1 1'!Y$2- 12.5)*'Touch 1 1'!$AC85</f>
        <v>-6.8513403125257355</v>
      </c>
      <c r="AB85" s="1">
        <f>STDEV(B85:Y85)</f>
        <v>40.250857212303863</v>
      </c>
      <c r="AD85" s="11">
        <v>2</v>
      </c>
      <c r="AE85" s="11" t="s">
        <v>45</v>
      </c>
      <c r="AF85" s="11">
        <v>7</v>
      </c>
      <c r="AG85" s="11">
        <v>5</v>
      </c>
      <c r="AH85" s="11">
        <v>6</v>
      </c>
      <c r="AI85" s="11" t="s">
        <v>46</v>
      </c>
      <c r="AJ85" s="11">
        <v>3</v>
      </c>
      <c r="AK85" s="11">
        <v>9</v>
      </c>
      <c r="AL85" s="11">
        <v>4</v>
      </c>
      <c r="AM85" s="11">
        <v>1</v>
      </c>
      <c r="AN85" s="11">
        <v>8</v>
      </c>
      <c r="AO85" s="11" t="s">
        <v>44</v>
      </c>
      <c r="AP85" s="11" t="s">
        <v>45</v>
      </c>
      <c r="AQ85" s="11">
        <v>2</v>
      </c>
      <c r="AR85" s="11">
        <v>5</v>
      </c>
      <c r="AS85" s="11">
        <v>7</v>
      </c>
      <c r="AT85" s="11" t="s">
        <v>46</v>
      </c>
      <c r="AU85" s="11">
        <v>6</v>
      </c>
      <c r="AV85" s="11">
        <v>9</v>
      </c>
      <c r="AW85" s="11">
        <v>3</v>
      </c>
      <c r="AX85" s="11">
        <v>4</v>
      </c>
      <c r="AY85" s="11">
        <v>8</v>
      </c>
      <c r="AZ85" s="11">
        <v>1</v>
      </c>
      <c r="BA85" s="11" t="s">
        <v>44</v>
      </c>
      <c r="BB85" s="5"/>
      <c r="BC85" s="1">
        <f ca="1">OFFSET(A85,0, 10) -0</f>
        <v>-1.4091289175905786</v>
      </c>
      <c r="BD85" s="1">
        <f ca="1">OFFSET(A85,0, 1) -0</f>
        <v>28.518006979153597</v>
      </c>
      <c r="BE85" s="1">
        <f ca="1">OFFSET(A85,0, 7) -0</f>
        <v>41.899916381324147</v>
      </c>
      <c r="BF85" s="1">
        <f ca="1">OFFSET(A85,0, 9) -0</f>
        <v>9.6938861820476632</v>
      </c>
      <c r="BG85" s="1">
        <f ca="1">OFFSET(A85,0, 4) -0</f>
        <v>-4.7910383197613555</v>
      </c>
      <c r="BH85" s="1">
        <f ca="1">OFFSET(A85,0, 5) -0</f>
        <v>-45.89405341939937</v>
      </c>
      <c r="BI85" s="1">
        <f ca="1">OFFSET(A85,0, 3) -0</f>
        <v>-13.688023220123114</v>
      </c>
      <c r="BJ85" s="1">
        <f ca="1">OFFSET(A85,0, 11) -0</f>
        <v>-12.512144017228763</v>
      </c>
      <c r="BK85" s="1">
        <f ca="1">OFFSET(A85,0, 8) -0</f>
        <v>-59.203098718314095</v>
      </c>
      <c r="BL85" s="1">
        <f ca="1">OFFSET(A85,0, 12) -0</f>
        <v>-73.615159116866963</v>
      </c>
      <c r="BM85" s="1">
        <f ca="1">OFFSET(A85,0, 2) -0</f>
        <v>37.414991879515128</v>
      </c>
      <c r="BN85" s="1">
        <f ca="1">OFFSET(A85,0, 6) -0</f>
        <v>-86.997068519037612</v>
      </c>
      <c r="BO85" s="1">
        <f ca="1">OFFSET(A85,0, 23) -0</f>
        <v>14.251674787112734</v>
      </c>
      <c r="BP85" s="1">
        <f ca="1">OFFSET(A85,0, 14) -0</f>
        <v>54.178810683856625</v>
      </c>
      <c r="BQ85" s="1">
        <f ca="1">OFFSET(A85,0, 20) -0</f>
        <v>7.5607200860272314</v>
      </c>
      <c r="BR85" s="1">
        <f ca="1">OFFSET(A85,0, 21) -0</f>
        <v>-3.5422950136107829</v>
      </c>
      <c r="BS85" s="1">
        <f ca="1">OFFSET(A85,0, 15) -0</f>
        <v>13.07579558421844</v>
      </c>
      <c r="BT85" s="1">
        <f ca="1">OFFSET(A85,0, 18) -0</f>
        <v>-40.233249714696285</v>
      </c>
      <c r="BU85" s="1">
        <f ca="1">OFFSET(A85,0, 16) -0</f>
        <v>31.972780484580198</v>
      </c>
      <c r="BV85" s="1">
        <f ca="1">OFFSET(A85,0, 22) -0</f>
        <v>45.354689886750975</v>
      </c>
      <c r="BW85" s="1">
        <f ca="1">OFFSET(A85,0, 19) -0</f>
        <v>8.6637351856654732</v>
      </c>
      <c r="BX85" s="1">
        <f ca="1">OFFSET(A85,0, 24) -0</f>
        <v>-6.8513403125257355</v>
      </c>
      <c r="BY85" s="1">
        <f ca="1">OFFSET(A85,0, 13) -0</f>
        <v>75.281825783494824</v>
      </c>
      <c r="BZ85" s="1">
        <f ca="1">OFFSET(A85,0, 17) -0</f>
        <v>-19.130234615058043</v>
      </c>
      <c r="CB85" s="1">
        <f>COUNTIF(B85,"&lt;-75")</f>
        <v>0</v>
      </c>
      <c r="CC85" s="1">
        <f ca="1">COUNTIF(BC85:BN85,"&lt;-53")</f>
        <v>3</v>
      </c>
      <c r="CD85" s="1">
        <f ca="1">COUNTIF(BC85:BN85,"&gt;+53")</f>
        <v>0</v>
      </c>
      <c r="CE85" s="1">
        <f ca="1">COUNTIF(BO85:BZ85,"&lt;-53")</f>
        <v>0</v>
      </c>
      <c r="CF85" s="1">
        <f ca="1">COUNTIF(BO85:BZ85,"&gt;+53")</f>
        <v>2</v>
      </c>
    </row>
    <row r="86" spans="1:84">
      <c r="A86" s="1">
        <v>83</v>
      </c>
      <c r="B86" s="1">
        <f>'Touch 1 1'!B86-'Touch 1 1'!$AA86-('Touch 1 1'!B$2- 12.5)*'Touch 1 1'!$AC86</f>
        <v>11.820865546560981</v>
      </c>
      <c r="C86" s="1">
        <f>'Touch 1 1'!C86-'Touch 1 1'!$AA86-('Touch 1 1'!C$2- 12.5)*'Touch 1 1'!$AC86</f>
        <v>100.79296419468619</v>
      </c>
      <c r="D86" s="1">
        <f>'Touch 1 1'!D86-'Touch 1 1'!$AA86-('Touch 1 1'!D$2- 12.5)*'Touch 1 1'!$AC86</f>
        <v>69.765062842811403</v>
      </c>
      <c r="E86" s="1">
        <f>'Touch 1 1'!E86-'Touch 1 1'!$AA86-('Touch 1 1'!E$2- 12.5)*'Touch 1 1'!$AC86</f>
        <v>68.737161490936387</v>
      </c>
      <c r="F86" s="1">
        <f>'Touch 1 1'!F86-'Touch 1 1'!$AA86-('Touch 1 1'!F$2- 12.5)*'Touch 1 1'!$AC86</f>
        <v>17.709260139061598</v>
      </c>
      <c r="G86" s="1">
        <f>'Touch 1 1'!G86-'Touch 1 1'!$AA86-('Touch 1 1'!G$2- 12.5)*'Touch 1 1'!$AC86</f>
        <v>-43.318641212813418</v>
      </c>
      <c r="H86" s="1">
        <f>'Touch 1 1'!H86-'Touch 1 1'!$AA86-('Touch 1 1'!H$2- 12.5)*'Touch 1 1'!$AC86</f>
        <v>-64.346542564688207</v>
      </c>
      <c r="I86" s="1">
        <f>'Touch 1 1'!I86-'Touch 1 1'!$AA86-('Touch 1 1'!I$2- 12.5)*'Touch 1 1'!$AC86</f>
        <v>-35.374443916563109</v>
      </c>
      <c r="J86" s="1">
        <f>'Touch 1 1'!J86-'Touch 1 1'!$AA86-('Touch 1 1'!J$2- 12.5)*'Touch 1 1'!$AC86</f>
        <v>33.597654731562102</v>
      </c>
      <c r="K86" s="1">
        <f>'Touch 1 1'!K86-'Touch 1 1'!$AA86-('Touch 1 1'!K$2- 12.5)*'Touch 1 1'!$AC86</f>
        <v>2.5697533796871994</v>
      </c>
      <c r="L86" s="1">
        <f>'Touch 1 1'!L86-'Touch 1 1'!$AA86-('Touch 1 1'!L$2- 12.5)*'Touch 1 1'!$AC86</f>
        <v>-38.458147972187703</v>
      </c>
      <c r="M86" s="1">
        <f>'Touch 1 1'!M86-'Touch 1 1'!$AA86-('Touch 1 1'!M$2- 12.5)*'Touch 1 1'!$AC86</f>
        <v>-49.486049324062563</v>
      </c>
      <c r="N86" s="1">
        <f>'Touch 1 1'!N86-'Touch 1 1'!$AA86-('Touch 1 1'!N$2- 12.5)*'Touch 1 1'!$AC86</f>
        <v>49.486049324062563</v>
      </c>
      <c r="O86" s="1">
        <f>'Touch 1 1'!O86-'Touch 1 1'!$AA86-('Touch 1 1'!O$2- 12.5)*'Touch 1 1'!$AC86</f>
        <v>8.4581479721877031</v>
      </c>
      <c r="P86" s="1">
        <f>'Touch 1 1'!P86-'Touch 1 1'!$AA86-('Touch 1 1'!P$2- 12.5)*'Touch 1 1'!$AC86</f>
        <v>17.430246620312801</v>
      </c>
      <c r="Q86" s="1">
        <f>'Touch 1 1'!Q86-'Touch 1 1'!$AA86-('Touch 1 1'!Q$2- 12.5)*'Touch 1 1'!$AC86</f>
        <v>6.4023452684378981</v>
      </c>
      <c r="R86" s="1">
        <f>'Touch 1 1'!R86-'Touch 1 1'!$AA86-('Touch 1 1'!R$2- 12.5)*'Touch 1 1'!$AC86</f>
        <v>5.3744439165631093</v>
      </c>
      <c r="S86" s="1">
        <f>'Touch 1 1'!S86-'Touch 1 1'!$AA86-('Touch 1 1'!S$2- 12.5)*'Touch 1 1'!$AC86</f>
        <v>-35.653457435311793</v>
      </c>
      <c r="T86" s="1">
        <f>'Touch 1 1'!T86-'Touch 1 1'!$AA86-('Touch 1 1'!T$2- 12.5)*'Touch 1 1'!$AC86</f>
        <v>-26.681358787186582</v>
      </c>
      <c r="U86" s="1">
        <f>'Touch 1 1'!U86-'Touch 1 1'!$AA86-('Touch 1 1'!U$2- 12.5)*'Touch 1 1'!$AC86</f>
        <v>-47.709260139061598</v>
      </c>
      <c r="V86" s="1">
        <f>'Touch 1 1'!V86-'Touch 1 1'!$AA86-('Touch 1 1'!V$2- 12.5)*'Touch 1 1'!$AC86</f>
        <v>1.2628385090636129</v>
      </c>
      <c r="W86" s="1">
        <f>'Touch 1 1'!W86-'Touch 1 1'!$AA86-('Touch 1 1'!W$2- 12.5)*'Touch 1 1'!$AC86</f>
        <v>0.23493715718859676</v>
      </c>
      <c r="X86" s="1">
        <f>'Touch 1 1'!X86-'Touch 1 1'!$AA86-('Touch 1 1'!X$2- 12.5)*'Touch 1 1'!$AC86</f>
        <v>-0.79296419468619206</v>
      </c>
      <c r="Y86" s="1">
        <f>'Touch 1 1'!Y86-'Touch 1 1'!$AA86-('Touch 1 1'!Y$2- 12.5)*'Touch 1 1'!$AC86</f>
        <v>-51.820865546560981</v>
      </c>
      <c r="AB86" s="1">
        <f>STDEV(B86:Y86)</f>
        <v>42.924193702602381</v>
      </c>
      <c r="AD86" s="11">
        <v>2</v>
      </c>
      <c r="AE86" s="11" t="s">
        <v>45</v>
      </c>
      <c r="AF86" s="11">
        <v>7</v>
      </c>
      <c r="AG86" s="11">
        <v>5</v>
      </c>
      <c r="AH86" s="11">
        <v>6</v>
      </c>
      <c r="AI86" s="11" t="s">
        <v>46</v>
      </c>
      <c r="AJ86" s="11">
        <v>3</v>
      </c>
      <c r="AK86" s="11">
        <v>9</v>
      </c>
      <c r="AL86" s="11">
        <v>8</v>
      </c>
      <c r="AM86" s="11">
        <v>4</v>
      </c>
      <c r="AN86" s="11" t="s">
        <v>44</v>
      </c>
      <c r="AO86" s="11">
        <v>1</v>
      </c>
      <c r="AP86" s="11">
        <v>2</v>
      </c>
      <c r="AQ86" s="11">
        <v>7</v>
      </c>
      <c r="AR86" s="11" t="s">
        <v>45</v>
      </c>
      <c r="AS86" s="11">
        <v>6</v>
      </c>
      <c r="AT86" s="11">
        <v>5</v>
      </c>
      <c r="AU86" s="11">
        <v>3</v>
      </c>
      <c r="AV86" s="11" t="s">
        <v>46</v>
      </c>
      <c r="AW86" s="11">
        <v>8</v>
      </c>
      <c r="AX86" s="11">
        <v>9</v>
      </c>
      <c r="AY86" s="11">
        <v>4</v>
      </c>
      <c r="AZ86" s="11">
        <v>1</v>
      </c>
      <c r="BA86" s="11" t="s">
        <v>44</v>
      </c>
      <c r="BB86" s="5"/>
      <c r="BC86" s="1">
        <f ca="1">OFFSET(A86,0, 12) -0</f>
        <v>-49.486049324062563</v>
      </c>
      <c r="BD86" s="1">
        <f ca="1">OFFSET(A86,0, 1) -0</f>
        <v>11.820865546560981</v>
      </c>
      <c r="BE86" s="1">
        <f ca="1">OFFSET(A86,0, 7) -0</f>
        <v>-64.346542564688207</v>
      </c>
      <c r="BF86" s="1">
        <f ca="1">OFFSET(A86,0, 10) -0</f>
        <v>2.5697533796871994</v>
      </c>
      <c r="BG86" s="1">
        <f ca="1">OFFSET(A86,0, 4) -0</f>
        <v>68.737161490936387</v>
      </c>
      <c r="BH86" s="1">
        <f ca="1">OFFSET(A86,0, 5) -0</f>
        <v>17.709260139061598</v>
      </c>
      <c r="BI86" s="1">
        <f ca="1">OFFSET(A86,0, 3) -0</f>
        <v>69.765062842811403</v>
      </c>
      <c r="BJ86" s="1">
        <f ca="1">OFFSET(A86,0, 9) -0</f>
        <v>33.597654731562102</v>
      </c>
      <c r="BK86" s="1">
        <f ca="1">OFFSET(A86,0, 8) -0</f>
        <v>-35.374443916563109</v>
      </c>
      <c r="BL86" s="1">
        <f ca="1">OFFSET(A86,0, 11) -0</f>
        <v>-38.458147972187703</v>
      </c>
      <c r="BM86" s="1">
        <f ca="1">OFFSET(A86,0, 2) -0</f>
        <v>100.79296419468619</v>
      </c>
      <c r="BN86" s="1">
        <f ca="1">OFFSET(A86,0, 6) -0</f>
        <v>-43.318641212813418</v>
      </c>
      <c r="BO86" s="1">
        <f ca="1">OFFSET(A86,0, 23) -0</f>
        <v>-0.79296419468619206</v>
      </c>
      <c r="BP86" s="1">
        <f ca="1">OFFSET(A86,0, 13) -0</f>
        <v>49.486049324062563</v>
      </c>
      <c r="BQ86" s="1">
        <f ca="1">OFFSET(A86,0, 18) -0</f>
        <v>-35.653457435311793</v>
      </c>
      <c r="BR86" s="1">
        <f ca="1">OFFSET(A86,0, 22) -0</f>
        <v>0.23493715718859676</v>
      </c>
      <c r="BS86" s="1">
        <f ca="1">OFFSET(A86,0, 17) -0</f>
        <v>5.3744439165631093</v>
      </c>
      <c r="BT86" s="1">
        <f ca="1">OFFSET(A86,0, 16) -0</f>
        <v>6.4023452684378981</v>
      </c>
      <c r="BU86" s="1">
        <f ca="1">OFFSET(A86,0, 14) -0</f>
        <v>8.4581479721877031</v>
      </c>
      <c r="BV86" s="1">
        <f ca="1">OFFSET(A86,0, 20) -0</f>
        <v>-47.709260139061598</v>
      </c>
      <c r="BW86" s="1">
        <f ca="1">OFFSET(A86,0, 21) -0</f>
        <v>1.2628385090636129</v>
      </c>
      <c r="BX86" s="1">
        <f ca="1">OFFSET(A86,0, 24) -0</f>
        <v>-51.820865546560981</v>
      </c>
      <c r="BY86" s="1">
        <f ca="1">OFFSET(A86,0, 15) -0</f>
        <v>17.430246620312801</v>
      </c>
      <c r="BZ86" s="1">
        <f ca="1">OFFSET(A86,0, 19) -0</f>
        <v>-26.681358787186582</v>
      </c>
      <c r="CB86" s="1">
        <f>COUNTIF(B86,"&lt;-75")</f>
        <v>0</v>
      </c>
      <c r="CC86" s="1">
        <f ca="1">COUNTIF(BC86:BN86,"&lt;-53")</f>
        <v>1</v>
      </c>
      <c r="CD86" s="1">
        <f ca="1">COUNTIF(BC86:BN86,"&gt;+53")</f>
        <v>3</v>
      </c>
      <c r="CE86" s="1">
        <f ca="1">COUNTIF(BO86:BZ86,"&lt;-53")</f>
        <v>0</v>
      </c>
      <c r="CF86" s="1">
        <f ca="1">COUNTIF(BO86:BZ86,"&gt;+53")</f>
        <v>0</v>
      </c>
    </row>
    <row r="87" spans="1:84">
      <c r="A87" s="1">
        <v>84</v>
      </c>
      <c r="B87" s="1">
        <f>'Touch 1 1'!B87-'Touch 1 1'!$AA87-('Touch 1 1'!B$2- 12.5)*'Touch 1 1'!$AC87</f>
        <v>-13.809124481595518</v>
      </c>
      <c r="C87" s="1">
        <f>'Touch 1 1'!C87-'Touch 1 1'!$AA87-('Touch 1 1'!C$2- 12.5)*'Touch 1 1'!$AC87</f>
        <v>-14.311229599136368</v>
      </c>
      <c r="D87" s="1">
        <f>'Touch 1 1'!D87-'Touch 1 1'!$AA87-('Touch 1 1'!D$2- 12.5)*'Touch 1 1'!$AC87</f>
        <v>15.186665283323009</v>
      </c>
      <c r="E87" s="1">
        <f>'Touch 1 1'!E87-'Touch 1 1'!$AA87-('Touch 1 1'!E$2- 12.5)*'Touch 1 1'!$AC87</f>
        <v>14.684560165782386</v>
      </c>
      <c r="F87" s="1">
        <f>'Touch 1 1'!F87-'Touch 1 1'!$AA87-('Touch 1 1'!F$2- 12.5)*'Touch 1 1'!$AC87</f>
        <v>34.182455048241536</v>
      </c>
      <c r="G87" s="1">
        <f>'Touch 1 1'!G87-'Touch 1 1'!$AA87-('Touch 1 1'!G$2- 12.5)*'Touch 1 1'!$AC87</f>
        <v>-6.3196500692990867</v>
      </c>
      <c r="H87" s="1">
        <f>'Touch 1 1'!H87-'Touch 1 1'!$AA87-('Touch 1 1'!H$2- 12.5)*'Touch 1 1'!$AC87</f>
        <v>13.178244813160063</v>
      </c>
      <c r="I87" s="1">
        <f>'Touch 1 1'!I87-'Touch 1 1'!$AA87-('Touch 1 1'!I$2- 12.5)*'Touch 1 1'!$AC87</f>
        <v>-47.32386030438056</v>
      </c>
      <c r="J87" s="1">
        <f>'Touch 1 1'!J87-'Touch 1 1'!$AA87-('Touch 1 1'!J$2- 12.5)*'Touch 1 1'!$AC87</f>
        <v>-7.8259654219214099</v>
      </c>
      <c r="K87" s="1">
        <f>'Touch 1 1'!K87-'Touch 1 1'!$AA87-('Touch 1 1'!K$2- 12.5)*'Touch 1 1'!$AC87</f>
        <v>-58.328070539462033</v>
      </c>
      <c r="L87" s="1">
        <f>'Touch 1 1'!L87-'Touch 1 1'!$AA87-('Touch 1 1'!L$2- 12.5)*'Touch 1 1'!$AC87</f>
        <v>-28.830175657002826</v>
      </c>
      <c r="M87" s="1">
        <f>'Touch 1 1'!M87-'Touch 1 1'!$AA87-('Touch 1 1'!M$2- 12.5)*'Touch 1 1'!$AC87</f>
        <v>10.667719225456437</v>
      </c>
      <c r="N87" s="1">
        <f>'Touch 1 1'!N87-'Touch 1 1'!$AA87-('Touch 1 1'!N$2- 12.5)*'Touch 1 1'!$AC87</f>
        <v>100.1656141079157</v>
      </c>
      <c r="O87" s="1">
        <f>'Touch 1 1'!O87-'Touch 1 1'!$AA87-('Touch 1 1'!O$2- 12.5)*'Touch 1 1'!$AC87</f>
        <v>39.663508990374964</v>
      </c>
      <c r="P87" s="1">
        <f>'Touch 1 1'!P87-'Touch 1 1'!$AA87-('Touch 1 1'!P$2- 12.5)*'Touch 1 1'!$AC87</f>
        <v>19.161403872834171</v>
      </c>
      <c r="Q87" s="1">
        <f>'Touch 1 1'!Q87-'Touch 1 1'!$AA87-('Touch 1 1'!Q$2- 12.5)*'Touch 1 1'!$AC87</f>
        <v>48.659298755293548</v>
      </c>
      <c r="R87" s="1">
        <f>'Touch 1 1'!R87-'Touch 1 1'!$AA87-('Touch 1 1'!R$2- 12.5)*'Touch 1 1'!$AC87</f>
        <v>-51.842806362247302</v>
      </c>
      <c r="S87" s="1">
        <f>'Touch 1 1'!S87-'Touch 1 1'!$AA87-('Touch 1 1'!S$2- 12.5)*'Touch 1 1'!$AC87</f>
        <v>7.6550885202120753</v>
      </c>
      <c r="T87" s="1">
        <f>'Touch 1 1'!T87-'Touch 1 1'!$AA87-('Touch 1 1'!T$2- 12.5)*'Touch 1 1'!$AC87</f>
        <v>17.152983402671225</v>
      </c>
      <c r="U87" s="1">
        <f>'Touch 1 1'!U87-'Touch 1 1'!$AA87-('Touch 1 1'!U$2- 12.5)*'Touch 1 1'!$AC87</f>
        <v>26.650878285130602</v>
      </c>
      <c r="V87" s="1">
        <f>'Touch 1 1'!V87-'Touch 1 1'!$AA87-('Touch 1 1'!V$2- 12.5)*'Touch 1 1'!$AC87</f>
        <v>-3.8512268324102479</v>
      </c>
      <c r="W87" s="1">
        <f>'Touch 1 1'!W87-'Touch 1 1'!$AA87-('Touch 1 1'!W$2- 12.5)*'Touch 1 1'!$AC87</f>
        <v>-34.353331949950871</v>
      </c>
      <c r="X87" s="1">
        <f>'Touch 1 1'!X87-'Touch 1 1'!$AA87-('Touch 1 1'!X$2- 12.5)*'Touch 1 1'!$AC87</f>
        <v>-64.855437067491494</v>
      </c>
      <c r="Y87" s="1">
        <f>'Touch 1 1'!Y87-'Touch 1 1'!$AA87-('Touch 1 1'!Y$2- 12.5)*'Touch 1 1'!$AC87</f>
        <v>-15.357542185032344</v>
      </c>
      <c r="AB87" s="1">
        <f>STDEV(B87:Y87)</f>
        <v>37.648732566159865</v>
      </c>
      <c r="AD87" s="11">
        <v>7</v>
      </c>
      <c r="AE87" s="11">
        <v>2</v>
      </c>
      <c r="AF87" s="11">
        <v>6</v>
      </c>
      <c r="AG87" s="11" t="s">
        <v>45</v>
      </c>
      <c r="AH87" s="11">
        <v>3</v>
      </c>
      <c r="AI87" s="11">
        <v>5</v>
      </c>
      <c r="AJ87" s="11">
        <v>8</v>
      </c>
      <c r="AK87" s="11" t="s">
        <v>46</v>
      </c>
      <c r="AL87" s="11">
        <v>4</v>
      </c>
      <c r="AM87" s="11">
        <v>9</v>
      </c>
      <c r="AN87" s="11" t="s">
        <v>44</v>
      </c>
      <c r="AO87" s="11">
        <v>1</v>
      </c>
      <c r="AP87" s="11">
        <v>2</v>
      </c>
      <c r="AQ87" s="11">
        <v>7</v>
      </c>
      <c r="AR87" s="11" t="s">
        <v>45</v>
      </c>
      <c r="AS87" s="11">
        <v>6</v>
      </c>
      <c r="AT87" s="11">
        <v>5</v>
      </c>
      <c r="AU87" s="11">
        <v>3</v>
      </c>
      <c r="AV87" s="11" t="s">
        <v>46</v>
      </c>
      <c r="AW87" s="11">
        <v>8</v>
      </c>
      <c r="AX87" s="11">
        <v>9</v>
      </c>
      <c r="AY87" s="11">
        <v>4</v>
      </c>
      <c r="AZ87" s="11" t="s">
        <v>44</v>
      </c>
      <c r="BA87" s="11">
        <v>1</v>
      </c>
      <c r="BB87" s="5"/>
      <c r="BC87" s="1">
        <f ca="1">OFFSET(A87,0, 12) -0</f>
        <v>10.667719225456437</v>
      </c>
      <c r="BD87" s="1">
        <f ca="1">OFFSET(A87,0, 2) -0</f>
        <v>-14.311229599136368</v>
      </c>
      <c r="BE87" s="1">
        <f ca="1">OFFSET(A87,0, 5) -0</f>
        <v>34.182455048241536</v>
      </c>
      <c r="BF87" s="1">
        <f ca="1">OFFSET(A87,0, 9) -0</f>
        <v>-7.8259654219214099</v>
      </c>
      <c r="BG87" s="1">
        <f ca="1">OFFSET(A87,0, 6) -0</f>
        <v>-6.3196500692990867</v>
      </c>
      <c r="BH87" s="1">
        <f ca="1">OFFSET(A87,0, 3) -0</f>
        <v>15.186665283323009</v>
      </c>
      <c r="BI87" s="1">
        <f ca="1">OFFSET(A87,0, 1) -0</f>
        <v>-13.809124481595518</v>
      </c>
      <c r="BJ87" s="1">
        <f ca="1">OFFSET(A87,0, 7) -0</f>
        <v>13.178244813160063</v>
      </c>
      <c r="BK87" s="1">
        <f ca="1">OFFSET(A87,0, 10) -0</f>
        <v>-58.328070539462033</v>
      </c>
      <c r="BL87" s="1">
        <f ca="1">OFFSET(A87,0, 11) -0</f>
        <v>-28.830175657002826</v>
      </c>
      <c r="BM87" s="1">
        <f ca="1">OFFSET(A87,0, 4) -0</f>
        <v>14.684560165782386</v>
      </c>
      <c r="BN87" s="1">
        <f ca="1">OFFSET(A87,0, 8) -0</f>
        <v>-47.32386030438056</v>
      </c>
      <c r="BO87" s="1">
        <f ca="1">OFFSET(A87,0, 24) -0</f>
        <v>-15.357542185032344</v>
      </c>
      <c r="BP87" s="1">
        <f ca="1">OFFSET(A87,0, 13) -0</f>
        <v>100.1656141079157</v>
      </c>
      <c r="BQ87" s="1">
        <f ca="1">OFFSET(A87,0, 18) -0</f>
        <v>7.6550885202120753</v>
      </c>
      <c r="BR87" s="1">
        <f ca="1">OFFSET(A87,0, 22) -0</f>
        <v>-34.353331949950871</v>
      </c>
      <c r="BS87" s="1">
        <f ca="1">OFFSET(A87,0, 17) -0</f>
        <v>-51.842806362247302</v>
      </c>
      <c r="BT87" s="1">
        <f ca="1">OFFSET(A87,0, 16) -0</f>
        <v>48.659298755293548</v>
      </c>
      <c r="BU87" s="1">
        <f ca="1">OFFSET(A87,0, 14) -0</f>
        <v>39.663508990374964</v>
      </c>
      <c r="BV87" s="1">
        <f ca="1">OFFSET(A87,0, 20) -0</f>
        <v>26.650878285130602</v>
      </c>
      <c r="BW87" s="1">
        <f ca="1">OFFSET(A87,0, 21) -0</f>
        <v>-3.8512268324102479</v>
      </c>
      <c r="BX87" s="1">
        <f ca="1">OFFSET(A87,0, 23) -0</f>
        <v>-64.855437067491494</v>
      </c>
      <c r="BY87" s="1">
        <f ca="1">OFFSET(A87,0, 15) -0</f>
        <v>19.161403872834171</v>
      </c>
      <c r="BZ87" s="1">
        <f ca="1">OFFSET(A87,0, 19) -0</f>
        <v>17.152983402671225</v>
      </c>
      <c r="CB87" s="1">
        <f>COUNTIF(B87,"&lt;-74")</f>
        <v>0</v>
      </c>
      <c r="CC87" s="1">
        <f ca="1">COUNTIF(BC87:BN87,"&lt;-53")</f>
        <v>1</v>
      </c>
      <c r="CD87" s="1">
        <f ca="1">COUNTIF(BC87:BN87,"&gt;+53")</f>
        <v>0</v>
      </c>
      <c r="CE87" s="1">
        <f ca="1">COUNTIF(BO87:BZ87,"&lt;-53")</f>
        <v>1</v>
      </c>
      <c r="CF87" s="1">
        <f ca="1">COUNTIF(BO87:BZ87,"&gt;+53")</f>
        <v>1</v>
      </c>
    </row>
    <row r="88" spans="1:84">
      <c r="A88" s="1">
        <v>85</v>
      </c>
      <c r="B88" s="1">
        <f>'Touch 1 1'!B88-'Touch 1 1'!$AA88-('Touch 1 1'!B$2- 12.5)*'Touch 1 1'!$AC88</f>
        <v>24.687968631114018</v>
      </c>
      <c r="C88" s="1">
        <f>'Touch 1 1'!C88-'Touch 1 1'!$AA88-('Touch 1 1'!C$2- 12.5)*'Touch 1 1'!$AC88</f>
        <v>4.3527829530448798</v>
      </c>
      <c r="D88" s="1">
        <f>'Touch 1 1'!D88-'Touch 1 1'!$AA88-('Touch 1 1'!D$2- 12.5)*'Touch 1 1'!$AC88</f>
        <v>54.01759727497506</v>
      </c>
      <c r="E88" s="1">
        <f>'Touch 1 1'!E88-'Touch 1 1'!$AA88-('Touch 1 1'!E$2- 12.5)*'Touch 1 1'!$AC88</f>
        <v>133.68241159690547</v>
      </c>
      <c r="F88" s="1">
        <f>'Touch 1 1'!F88-'Touch 1 1'!$AA88-('Touch 1 1'!F$2- 12.5)*'Touch 1 1'!$AC88</f>
        <v>73.347225918835875</v>
      </c>
      <c r="G88" s="1">
        <f>'Touch 1 1'!G88-'Touch 1 1'!$AA88-('Touch 1 1'!G$2- 12.5)*'Touch 1 1'!$AC88</f>
        <v>13.012040240766282</v>
      </c>
      <c r="H88" s="1">
        <f>'Touch 1 1'!H88-'Touch 1 1'!$AA88-('Touch 1 1'!H$2- 12.5)*'Touch 1 1'!$AC88</f>
        <v>42.67685456269669</v>
      </c>
      <c r="I88" s="1">
        <f>'Touch 1 1'!I88-'Touch 1 1'!$AA88-('Touch 1 1'!I$2- 12.5)*'Touch 1 1'!$AC88</f>
        <v>-37.658331115372903</v>
      </c>
      <c r="J88" s="1">
        <f>'Touch 1 1'!J88-'Touch 1 1'!$AA88-('Touch 1 1'!J$2- 12.5)*'Touch 1 1'!$AC88</f>
        <v>-47.993516793442495</v>
      </c>
      <c r="K88" s="1">
        <f>'Touch 1 1'!K88-'Touch 1 1'!$AA88-('Touch 1 1'!K$2- 12.5)*'Touch 1 1'!$AC88</f>
        <v>-38.328702471512088</v>
      </c>
      <c r="L88" s="1">
        <f>'Touch 1 1'!L88-'Touch 1 1'!$AA88-('Touch 1 1'!L$2- 12.5)*'Touch 1 1'!$AC88</f>
        <v>-78.66388814958168</v>
      </c>
      <c r="M88" s="1">
        <f>'Touch 1 1'!M88-'Touch 1 1'!$AA88-('Touch 1 1'!M$2- 12.5)*'Touch 1 1'!$AC88</f>
        <v>-128.99907382765127</v>
      </c>
      <c r="N88" s="1">
        <f>'Touch 1 1'!N88-'Touch 1 1'!$AA88-('Touch 1 1'!N$2- 12.5)*'Touch 1 1'!$AC88</f>
        <v>-9.3342595057208655</v>
      </c>
      <c r="O88" s="1">
        <f>'Touch 1 1'!O88-'Touch 1 1'!$AA88-('Touch 1 1'!O$2- 12.5)*'Touch 1 1'!$AC88</f>
        <v>30.330554816209542</v>
      </c>
      <c r="P88" s="1">
        <f>'Touch 1 1'!P88-'Touch 1 1'!$AA88-('Touch 1 1'!P$2- 12.5)*'Touch 1 1'!$AC88</f>
        <v>19.995369138139949</v>
      </c>
      <c r="Q88" s="1">
        <f>'Touch 1 1'!Q88-'Touch 1 1'!$AA88-('Touch 1 1'!Q$2- 12.5)*'Touch 1 1'!$AC88</f>
        <v>19.660183460070357</v>
      </c>
      <c r="R88" s="1">
        <f>'Touch 1 1'!R88-'Touch 1 1'!$AA88-('Touch 1 1'!R$2- 12.5)*'Touch 1 1'!$AC88</f>
        <v>39.324997782000764</v>
      </c>
      <c r="S88" s="1">
        <f>'Touch 1 1'!S88-'Touch 1 1'!$AA88-('Touch 1 1'!S$2- 12.5)*'Touch 1 1'!$AC88</f>
        <v>28.989812103931172</v>
      </c>
      <c r="T88" s="1">
        <f>'Touch 1 1'!T88-'Touch 1 1'!$AA88-('Touch 1 1'!T$2- 12.5)*'Touch 1 1'!$AC88</f>
        <v>-71.345373574138421</v>
      </c>
      <c r="U88" s="1">
        <f>'Touch 1 1'!U88-'Touch 1 1'!$AA88-('Touch 1 1'!U$2- 12.5)*'Touch 1 1'!$AC88</f>
        <v>-1.6805592522080133</v>
      </c>
      <c r="V88" s="1">
        <f>'Touch 1 1'!V88-'Touch 1 1'!$AA88-('Touch 1 1'!V$2- 12.5)*'Touch 1 1'!$AC88</f>
        <v>-32.015744930277606</v>
      </c>
      <c r="W88" s="1">
        <f>'Touch 1 1'!W88-'Touch 1 1'!$AA88-('Touch 1 1'!W$2- 12.5)*'Touch 1 1'!$AC88</f>
        <v>-32.350930608347198</v>
      </c>
      <c r="X88" s="1">
        <f>'Touch 1 1'!X88-'Touch 1 1'!$AA88-('Touch 1 1'!X$2- 12.5)*'Touch 1 1'!$AC88</f>
        <v>-32.686116286417018</v>
      </c>
      <c r="Y88" s="1">
        <f>'Touch 1 1'!Y88-'Touch 1 1'!$AA88-('Touch 1 1'!Y$2- 12.5)*'Touch 1 1'!$AC88</f>
        <v>26.978698035513844</v>
      </c>
      <c r="AB88" s="1">
        <f>STDEV(B88:Y88)</f>
        <v>55.14732887887223</v>
      </c>
      <c r="AD88" s="11">
        <v>7</v>
      </c>
      <c r="AE88" s="11">
        <v>2</v>
      </c>
      <c r="AF88" s="11">
        <v>6</v>
      </c>
      <c r="AG88" s="11" t="s">
        <v>45</v>
      </c>
      <c r="AH88" s="11">
        <v>3</v>
      </c>
      <c r="AI88" s="11">
        <v>5</v>
      </c>
      <c r="AJ88" s="11">
        <v>8</v>
      </c>
      <c r="AK88" s="11" t="s">
        <v>46</v>
      </c>
      <c r="AL88" s="11">
        <v>4</v>
      </c>
      <c r="AM88" s="11">
        <v>9</v>
      </c>
      <c r="AN88" s="11">
        <v>1</v>
      </c>
      <c r="AO88" s="11" t="s">
        <v>44</v>
      </c>
      <c r="AP88" s="11">
        <v>7</v>
      </c>
      <c r="AQ88" s="11">
        <v>6</v>
      </c>
      <c r="AR88" s="11">
        <v>2</v>
      </c>
      <c r="AS88" s="11">
        <v>3</v>
      </c>
      <c r="AT88" s="11" t="s">
        <v>45</v>
      </c>
      <c r="AU88" s="11">
        <v>8</v>
      </c>
      <c r="AV88" s="11">
        <v>5</v>
      </c>
      <c r="AW88" s="11">
        <v>4</v>
      </c>
      <c r="AX88" s="11" t="s">
        <v>46</v>
      </c>
      <c r="AY88" s="11">
        <v>9</v>
      </c>
      <c r="AZ88" s="11" t="s">
        <v>44</v>
      </c>
      <c r="BA88" s="11">
        <v>1</v>
      </c>
      <c r="BB88" s="5"/>
      <c r="BC88" s="1">
        <f ca="1">OFFSET(A88,0, 11) -0</f>
        <v>-78.66388814958168</v>
      </c>
      <c r="BD88" s="1">
        <f ca="1">OFFSET(A88,0, 2) -0</f>
        <v>4.3527829530448798</v>
      </c>
      <c r="BE88" s="1">
        <f ca="1">OFFSET(A88,0, 5) -0</f>
        <v>73.347225918835875</v>
      </c>
      <c r="BF88" s="1">
        <f ca="1">OFFSET(A88,0, 9) -0</f>
        <v>-47.993516793442495</v>
      </c>
      <c r="BG88" s="1">
        <f ca="1">OFFSET(A88,0, 6) -0</f>
        <v>13.012040240766282</v>
      </c>
      <c r="BH88" s="1">
        <f ca="1">OFFSET(A88,0, 3) -0</f>
        <v>54.01759727497506</v>
      </c>
      <c r="BI88" s="1">
        <f ca="1">OFFSET(A88,0, 1) -0</f>
        <v>24.687968631114018</v>
      </c>
      <c r="BJ88" s="1">
        <f ca="1">OFFSET(A88,0, 7) -0</f>
        <v>42.67685456269669</v>
      </c>
      <c r="BK88" s="1">
        <f ca="1">OFFSET(A88,0, 10) -0</f>
        <v>-38.328702471512088</v>
      </c>
      <c r="BL88" s="1">
        <f ca="1">OFFSET(A88,0, 12) -0</f>
        <v>-128.99907382765127</v>
      </c>
      <c r="BM88" s="1">
        <f ca="1">OFFSET(A88,0, 4) -0</f>
        <v>133.68241159690547</v>
      </c>
      <c r="BN88" s="1">
        <f ca="1">OFFSET(A88,0, 8) -0</f>
        <v>-37.658331115372903</v>
      </c>
      <c r="BO88" s="1">
        <f ca="1">OFFSET(A88,0, 24) -0</f>
        <v>26.978698035513844</v>
      </c>
      <c r="BP88" s="1">
        <f ca="1">OFFSET(A88,0, 15) -0</f>
        <v>19.995369138139949</v>
      </c>
      <c r="BQ88" s="1">
        <f ca="1">OFFSET(A88,0, 16) -0</f>
        <v>19.660183460070357</v>
      </c>
      <c r="BR88" s="1">
        <f ca="1">OFFSET(A88,0, 20) -0</f>
        <v>-1.6805592522080133</v>
      </c>
      <c r="BS88" s="1">
        <f ca="1">OFFSET(A88,0, 19) -0</f>
        <v>-71.345373574138421</v>
      </c>
      <c r="BT88" s="1">
        <f ca="1">OFFSET(A88,0, 14) -0</f>
        <v>30.330554816209542</v>
      </c>
      <c r="BU88" s="1">
        <f ca="1">OFFSET(A88,0, 13) -0</f>
        <v>-9.3342595057208655</v>
      </c>
      <c r="BV88" s="1">
        <f ca="1">OFFSET(A88,0, 18) -0</f>
        <v>28.989812103931172</v>
      </c>
      <c r="BW88" s="1">
        <f ca="1">OFFSET(A88,0, 22) -0</f>
        <v>-32.350930608347198</v>
      </c>
      <c r="BX88" s="1">
        <f ca="1">OFFSET(A88,0, 23) -0</f>
        <v>-32.686116286417018</v>
      </c>
      <c r="BY88" s="1">
        <f ca="1">OFFSET(A88,0, 17) -0</f>
        <v>39.324997782000764</v>
      </c>
      <c r="BZ88" s="1">
        <f ca="1">OFFSET(A88,0, 21) -0</f>
        <v>-32.015744930277606</v>
      </c>
      <c r="CB88" s="1">
        <f>COUNTIF(B88,"&lt;-74")</f>
        <v>0</v>
      </c>
      <c r="CC88" s="1">
        <f ca="1">COUNTIF(BC88:BN88,"&lt;-53")</f>
        <v>2</v>
      </c>
      <c r="CD88" s="1">
        <f ca="1">COUNTIF(BC88:BN88,"&gt;+53")</f>
        <v>3</v>
      </c>
      <c r="CE88" s="1">
        <f ca="1">COUNTIF(BO88:BZ88,"&lt;-53")</f>
        <v>1</v>
      </c>
      <c r="CF88" s="1">
        <f ca="1">COUNTIF(BO88:BZ88,"&gt;+53")</f>
        <v>0</v>
      </c>
    </row>
    <row r="89" spans="1:84">
      <c r="A89" s="1">
        <v>86</v>
      </c>
      <c r="B89" s="1">
        <f>'Touch 1 1'!B89-'Touch 1 1'!$AA89-('Touch 1 1'!B$2- 12.5)*'Touch 1 1'!$AC89</f>
        <v>29.502842845564373</v>
      </c>
      <c r="C89" s="1">
        <f>'Touch 1 1'!C89-'Touch 1 1'!$AA89-('Touch 1 1'!C$2- 12.5)*'Touch 1 1'!$AC89</f>
        <v>-0.49015798158779944</v>
      </c>
      <c r="D89" s="1">
        <f>'Touch 1 1'!D89-'Touch 1 1'!$AA89-('Touch 1 1'!D$2- 12.5)*'Touch 1 1'!$AC89</f>
        <v>39.5168411912598</v>
      </c>
      <c r="E89" s="1">
        <f>'Touch 1 1'!E89-'Touch 1 1'!$AA89-('Touch 1 1'!E$2- 12.5)*'Touch 1 1'!$AC89</f>
        <v>-0.47615963589237253</v>
      </c>
      <c r="F89" s="1">
        <f>'Touch 1 1'!F89-'Touch 1 1'!$AA89-('Touch 1 1'!F$2- 12.5)*'Touch 1 1'!$AC89</f>
        <v>59.530839536955455</v>
      </c>
      <c r="G89" s="1">
        <f>'Touch 1 1'!G89-'Touch 1 1'!$AA89-('Touch 1 1'!G$2- 12.5)*'Touch 1 1'!$AC89</f>
        <v>59.537838709803282</v>
      </c>
      <c r="H89" s="1">
        <f>'Touch 1 1'!H89-'Touch 1 1'!$AA89-('Touch 1 1'!H$2- 12.5)*'Touch 1 1'!$AC89</f>
        <v>-10.455162117348891</v>
      </c>
      <c r="I89" s="1">
        <f>'Touch 1 1'!I89-'Touch 1 1'!$AA89-('Touch 1 1'!I$2- 12.5)*'Touch 1 1'!$AC89</f>
        <v>-30.448162944501178</v>
      </c>
      <c r="J89" s="1">
        <f>'Touch 1 1'!J89-'Touch 1 1'!$AA89-('Touch 1 1'!J$2- 12.5)*'Touch 1 1'!$AC89</f>
        <v>-0.44116377165335052</v>
      </c>
      <c r="K89" s="1">
        <f>'Touch 1 1'!K89-'Touch 1 1'!$AA89-('Touch 1 1'!K$2- 12.5)*'Touch 1 1'!$AC89</f>
        <v>-70.434164598805523</v>
      </c>
      <c r="L89" s="1">
        <f>'Touch 1 1'!L89-'Touch 1 1'!$AA89-('Touch 1 1'!L$2- 12.5)*'Touch 1 1'!$AC89</f>
        <v>-60.427165425957753</v>
      </c>
      <c r="M89" s="1">
        <f>'Touch 1 1'!M89-'Touch 1 1'!$AA89-('Touch 1 1'!M$2- 12.5)*'Touch 1 1'!$AC89</f>
        <v>-60.420166253109969</v>
      </c>
      <c r="N89" s="1">
        <f>'Touch 1 1'!N89-'Touch 1 1'!$AA89-('Touch 1 1'!N$2- 12.5)*'Touch 1 1'!$AC89</f>
        <v>-0.41316708026216986</v>
      </c>
      <c r="O89" s="1">
        <f>'Touch 1 1'!O89-'Touch 1 1'!$AA89-('Touch 1 1'!O$2- 12.5)*'Touch 1 1'!$AC89</f>
        <v>59.593832092585615</v>
      </c>
      <c r="P89" s="1">
        <f>'Touch 1 1'!P89-'Touch 1 1'!$AA89-('Touch 1 1'!P$2- 12.5)*'Touch 1 1'!$AC89</f>
        <v>39.600831265433385</v>
      </c>
      <c r="Q89" s="1">
        <f>'Touch 1 1'!Q89-'Touch 1 1'!$AA89-('Touch 1 1'!Q$2- 12.5)*'Touch 1 1'!$AC89</f>
        <v>-10.392169561718788</v>
      </c>
      <c r="R89" s="1">
        <f>'Touch 1 1'!R89-'Touch 1 1'!$AA89-('Touch 1 1'!R$2- 12.5)*'Touch 1 1'!$AC89</f>
        <v>19.614829611129039</v>
      </c>
      <c r="S89" s="1">
        <f>'Touch 1 1'!S89-'Touch 1 1'!$AA89-('Touch 1 1'!S$2- 12.5)*'Touch 1 1'!$AC89</f>
        <v>99.621828783976753</v>
      </c>
      <c r="T89" s="1">
        <f>'Touch 1 1'!T89-'Touch 1 1'!$AA89-('Touch 1 1'!T$2- 12.5)*'Touch 1 1'!$AC89</f>
        <v>-0.37117204317542019</v>
      </c>
      <c r="U89" s="1">
        <f>'Touch 1 1'!U89-'Touch 1 1'!$AA89-('Touch 1 1'!U$2- 12.5)*'Touch 1 1'!$AC89</f>
        <v>-10.364172870327593</v>
      </c>
      <c r="V89" s="1">
        <f>'Touch 1 1'!V89-'Touch 1 1'!$AA89-('Touch 1 1'!V$2- 12.5)*'Touch 1 1'!$AC89</f>
        <v>9.6428263025202341</v>
      </c>
      <c r="W89" s="1">
        <f>'Touch 1 1'!W89-'Touch 1 1'!$AA89-('Touch 1 1'!W$2- 12.5)*'Touch 1 1'!$AC89</f>
        <v>-10.350174524631939</v>
      </c>
      <c r="X89" s="1">
        <f>'Touch 1 1'!X89-'Touch 1 1'!$AA89-('Touch 1 1'!X$2- 12.5)*'Touch 1 1'!$AC89</f>
        <v>-90.343175351784339</v>
      </c>
      <c r="Y89" s="1">
        <f>'Touch 1 1'!Y89-'Touch 1 1'!$AA89-('Touch 1 1'!Y$2- 12.5)*'Touch 1 1'!$AC89</f>
        <v>-60.336176178936512</v>
      </c>
      <c r="AB89" s="1">
        <f>STDEV(B89:Y89)</f>
        <v>46.842856161247916</v>
      </c>
      <c r="AD89" s="11">
        <v>6</v>
      </c>
      <c r="AE89" s="11">
        <v>7</v>
      </c>
      <c r="AF89" s="11">
        <v>3</v>
      </c>
      <c r="AG89" s="11">
        <v>2</v>
      </c>
      <c r="AH89" s="11">
        <v>8</v>
      </c>
      <c r="AI89" s="11" t="s">
        <v>45</v>
      </c>
      <c r="AJ89" s="11">
        <v>4</v>
      </c>
      <c r="AK89" s="11">
        <v>5</v>
      </c>
      <c r="AL89" s="11">
        <v>9</v>
      </c>
      <c r="AM89" s="11" t="s">
        <v>46</v>
      </c>
      <c r="AN89" s="11">
        <v>1</v>
      </c>
      <c r="AO89" s="11" t="s">
        <v>44</v>
      </c>
      <c r="AP89" s="11">
        <v>7</v>
      </c>
      <c r="AQ89" s="11">
        <v>6</v>
      </c>
      <c r="AR89" s="11">
        <v>2</v>
      </c>
      <c r="AS89" s="11">
        <v>3</v>
      </c>
      <c r="AT89" s="11" t="s">
        <v>45</v>
      </c>
      <c r="AU89" s="11">
        <v>8</v>
      </c>
      <c r="AV89" s="11">
        <v>5</v>
      </c>
      <c r="AW89" s="11">
        <v>4</v>
      </c>
      <c r="AX89" s="11">
        <v>9</v>
      </c>
      <c r="AY89" s="11">
        <v>1</v>
      </c>
      <c r="AZ89" s="11" t="s">
        <v>46</v>
      </c>
      <c r="BA89" s="11" t="s">
        <v>44</v>
      </c>
      <c r="BB89" s="5"/>
      <c r="BC89" s="1">
        <f ca="1">OFFSET(A89,0, 11) -0</f>
        <v>-60.427165425957753</v>
      </c>
      <c r="BD89" s="1">
        <f ca="1">OFFSET(A89,0, 4) -0</f>
        <v>-0.47615963589237253</v>
      </c>
      <c r="BE89" s="1">
        <f ca="1">OFFSET(A89,0, 3) -0</f>
        <v>39.5168411912598</v>
      </c>
      <c r="BF89" s="1">
        <f ca="1">OFFSET(A89,0, 7) -0</f>
        <v>-10.455162117348891</v>
      </c>
      <c r="BG89" s="1">
        <f ca="1">OFFSET(A89,0, 8) -0</f>
        <v>-30.448162944501178</v>
      </c>
      <c r="BH89" s="1">
        <f ca="1">OFFSET(A89,0, 1) -0</f>
        <v>29.502842845564373</v>
      </c>
      <c r="BI89" s="1">
        <f ca="1">OFFSET(A89,0, 2) -0</f>
        <v>-0.49015798158779944</v>
      </c>
      <c r="BJ89" s="1">
        <f ca="1">OFFSET(A89,0, 5) -0</f>
        <v>59.530839536955455</v>
      </c>
      <c r="BK89" s="1">
        <f ca="1">OFFSET(A89,0, 9) -0</f>
        <v>-0.44116377165335052</v>
      </c>
      <c r="BL89" s="1">
        <f ca="1">OFFSET(A89,0, 12) -0</f>
        <v>-60.420166253109969</v>
      </c>
      <c r="BM89" s="1">
        <f ca="1">OFFSET(A89,0, 6) -0</f>
        <v>59.537838709803282</v>
      </c>
      <c r="BN89" s="1">
        <f ca="1">OFFSET(A89,0, 10) -0</f>
        <v>-70.434164598805523</v>
      </c>
      <c r="BO89" s="1">
        <f ca="1">OFFSET(A89,0, 22) -0</f>
        <v>-10.350174524631939</v>
      </c>
      <c r="BP89" s="1">
        <f ca="1">OFFSET(A89,0, 15) -0</f>
        <v>39.600831265433385</v>
      </c>
      <c r="BQ89" s="1">
        <f ca="1">OFFSET(A89,0, 16) -0</f>
        <v>-10.392169561718788</v>
      </c>
      <c r="BR89" s="1">
        <f ca="1">OFFSET(A89,0, 20) -0</f>
        <v>-10.364172870327593</v>
      </c>
      <c r="BS89" s="1">
        <f ca="1">OFFSET(A89,0, 19) -0</f>
        <v>-0.37117204317542019</v>
      </c>
      <c r="BT89" s="1">
        <f ca="1">OFFSET(A89,0, 14) -0</f>
        <v>59.593832092585615</v>
      </c>
      <c r="BU89" s="1">
        <f ca="1">OFFSET(A89,0, 13) -0</f>
        <v>-0.41316708026216986</v>
      </c>
      <c r="BV89" s="1">
        <f ca="1">OFFSET(A89,0, 18) -0</f>
        <v>99.621828783976753</v>
      </c>
      <c r="BW89" s="1">
        <f ca="1">OFFSET(A89,0, 21) -0</f>
        <v>9.6428263025202341</v>
      </c>
      <c r="BX89" s="1">
        <f ca="1">OFFSET(A89,0, 24) -0</f>
        <v>-60.336176178936512</v>
      </c>
      <c r="BY89" s="1">
        <f ca="1">OFFSET(A89,0, 17) -0</f>
        <v>19.614829611129039</v>
      </c>
      <c r="BZ89" s="1">
        <f ca="1">OFFSET(A89,0, 23) -0</f>
        <v>-90.343175351784339</v>
      </c>
      <c r="CB89" s="1">
        <f>COUNTIF(B89,"&lt;-74")</f>
        <v>0</v>
      </c>
      <c r="CC89" s="1">
        <f ca="1">COUNTIF(BC89:BN89,"&lt;-52")</f>
        <v>3</v>
      </c>
      <c r="CD89" s="1">
        <f ca="1">COUNTIF(BC89:BN89,"&gt;+52")</f>
        <v>2</v>
      </c>
      <c r="CE89" s="1">
        <f ca="1">COUNTIF(BO89:BZ89,"&lt;-52")</f>
        <v>2</v>
      </c>
      <c r="CF89" s="1">
        <f ca="1">COUNTIF(BO89:BZ89,"&gt;+52")</f>
        <v>2</v>
      </c>
    </row>
    <row r="90" spans="1:84">
      <c r="A90" s="1">
        <v>87</v>
      </c>
      <c r="B90" s="1">
        <f>'Touch 1 1'!B90-'Touch 1 1'!$AA90-('Touch 1 1'!B$2- 12.5)*'Touch 1 1'!$AC90</f>
        <v>25.08326929163286</v>
      </c>
      <c r="C90" s="1">
        <f>'Touch 1 1'!C90-'Touch 1 1'!$AA90-('Touch 1 1'!C$2- 12.5)*'Touch 1 1'!$AC90</f>
        <v>15.257187903952854</v>
      </c>
      <c r="D90" s="1">
        <f>'Touch 1 1'!D90-'Touch 1 1'!$AA90-('Touch 1 1'!D$2- 12.5)*'Touch 1 1'!$AC90</f>
        <v>35.431106516272848</v>
      </c>
      <c r="E90" s="1">
        <f>'Touch 1 1'!E90-'Touch 1 1'!$AA90-('Touch 1 1'!E$2- 12.5)*'Touch 1 1'!$AC90</f>
        <v>25.60502512859307</v>
      </c>
      <c r="F90" s="1">
        <f>'Touch 1 1'!F90-'Touch 1 1'!$AA90-('Touch 1 1'!F$2- 12.5)*'Touch 1 1'!$AC90</f>
        <v>95.778943740913064</v>
      </c>
      <c r="G90" s="1">
        <f>'Touch 1 1'!G90-'Touch 1 1'!$AA90-('Touch 1 1'!G$2- 12.5)*'Touch 1 1'!$AC90</f>
        <v>125.95286235323329</v>
      </c>
      <c r="H90" s="1">
        <f>'Touch 1 1'!H90-'Touch 1 1'!$AA90-('Touch 1 1'!H$2- 12.5)*'Touch 1 1'!$AC90</f>
        <v>-13.87321903444672</v>
      </c>
      <c r="I90" s="1">
        <f>'Touch 1 1'!I90-'Touch 1 1'!$AA90-('Touch 1 1'!I$2- 12.5)*'Touch 1 1'!$AC90</f>
        <v>76.300699577873502</v>
      </c>
      <c r="J90" s="1">
        <f>'Touch 1 1'!J90-'Touch 1 1'!$AA90-('Touch 1 1'!J$2- 12.5)*'Touch 1 1'!$AC90</f>
        <v>-33.525381809806504</v>
      </c>
      <c r="K90" s="1">
        <f>'Touch 1 1'!K90-'Touch 1 1'!$AA90-('Touch 1 1'!K$2- 12.5)*'Touch 1 1'!$AC90</f>
        <v>-33.351463197486282</v>
      </c>
      <c r="L90" s="1">
        <f>'Touch 1 1'!L90-'Touch 1 1'!$AA90-('Touch 1 1'!L$2- 12.5)*'Touch 1 1'!$AC90</f>
        <v>-93.177544585166231</v>
      </c>
      <c r="M90" s="1">
        <f>'Touch 1 1'!M90-'Touch 1 1'!$AA90-('Touch 1 1'!M$2- 12.5)*'Touch 1 1'!$AC90</f>
        <v>-123.00362597284612</v>
      </c>
      <c r="N90" s="1">
        <f>'Touch 1 1'!N90-'Touch 1 1'!$AA90-('Touch 1 1'!N$2- 12.5)*'Touch 1 1'!$AC90</f>
        <v>27.170292639473985</v>
      </c>
      <c r="O90" s="1">
        <f>'Touch 1 1'!O90-'Touch 1 1'!$AA90-('Touch 1 1'!O$2- 12.5)*'Touch 1 1'!$AC90</f>
        <v>37.344211251794093</v>
      </c>
      <c r="P90" s="1">
        <f>'Touch 1 1'!P90-'Touch 1 1'!$AA90-('Touch 1 1'!P$2- 12.5)*'Touch 1 1'!$AC90</f>
        <v>-52.481870135885856</v>
      </c>
      <c r="Q90" s="1">
        <f>'Touch 1 1'!Q90-'Touch 1 1'!$AA90-('Touch 1 1'!Q$2- 12.5)*'Touch 1 1'!$AC90</f>
        <v>-2.3079515235656345</v>
      </c>
      <c r="R90" s="1">
        <f>'Touch 1 1'!R90-'Touch 1 1'!$AA90-('Touch 1 1'!R$2- 12.5)*'Touch 1 1'!$AC90</f>
        <v>17.86596708875436</v>
      </c>
      <c r="S90" s="1">
        <f>'Touch 1 1'!S90-'Touch 1 1'!$AA90-('Touch 1 1'!S$2- 12.5)*'Touch 1 1'!$AC90</f>
        <v>-31.960114298925419</v>
      </c>
      <c r="T90" s="1">
        <f>'Touch 1 1'!T90-'Touch 1 1'!$AA90-('Touch 1 1'!T$2- 12.5)*'Touch 1 1'!$AC90</f>
        <v>-1.7861956866054243</v>
      </c>
      <c r="U90" s="1">
        <f>'Touch 1 1'!U90-'Touch 1 1'!$AA90-('Touch 1 1'!U$2- 12.5)*'Touch 1 1'!$AC90</f>
        <v>-41.612277074285203</v>
      </c>
      <c r="V90" s="1">
        <f>'Touch 1 1'!V90-'Touch 1 1'!$AA90-('Touch 1 1'!V$2- 12.5)*'Touch 1 1'!$AC90</f>
        <v>8.5616415380347917</v>
      </c>
      <c r="W90" s="1">
        <f>'Touch 1 1'!W90-'Touch 1 1'!$AA90-('Touch 1 1'!W$2- 12.5)*'Touch 1 1'!$AC90</f>
        <v>108.73556015035501</v>
      </c>
      <c r="X90" s="1">
        <f>'Touch 1 1'!X90-'Touch 1 1'!$AA90-('Touch 1 1'!X$2- 12.5)*'Touch 1 1'!$AC90</f>
        <v>-61.090521237324992</v>
      </c>
      <c r="Y90" s="1">
        <f>'Touch 1 1'!Y90-'Touch 1 1'!$AA90-('Touch 1 1'!Y$2- 12.5)*'Touch 1 1'!$AC90</f>
        <v>-110.916602625005</v>
      </c>
      <c r="AB90" s="1">
        <f>STDEV(B90:Y90)</f>
        <v>64.529168937769469</v>
      </c>
      <c r="AD90" s="11">
        <v>6</v>
      </c>
      <c r="AE90" s="11">
        <v>7</v>
      </c>
      <c r="AF90" s="11">
        <v>3</v>
      </c>
      <c r="AG90" s="11">
        <v>2</v>
      </c>
      <c r="AH90" s="11">
        <v>8</v>
      </c>
      <c r="AI90" s="11" t="s">
        <v>45</v>
      </c>
      <c r="AJ90" s="11">
        <v>4</v>
      </c>
      <c r="AK90" s="11">
        <v>5</v>
      </c>
      <c r="AL90" s="11">
        <v>1</v>
      </c>
      <c r="AM90" s="11">
        <v>9</v>
      </c>
      <c r="AN90" s="11" t="s">
        <v>44</v>
      </c>
      <c r="AO90" s="11" t="s">
        <v>46</v>
      </c>
      <c r="AP90" s="11">
        <v>6</v>
      </c>
      <c r="AQ90" s="11">
        <v>3</v>
      </c>
      <c r="AR90" s="11">
        <v>7</v>
      </c>
      <c r="AS90" s="11">
        <v>8</v>
      </c>
      <c r="AT90" s="11">
        <v>2</v>
      </c>
      <c r="AU90" s="11">
        <v>4</v>
      </c>
      <c r="AV90" s="11" t="s">
        <v>45</v>
      </c>
      <c r="AW90" s="11">
        <v>5</v>
      </c>
      <c r="AX90" s="11">
        <v>9</v>
      </c>
      <c r="AY90" s="11">
        <v>1</v>
      </c>
      <c r="AZ90" s="11" t="s">
        <v>46</v>
      </c>
      <c r="BA90" s="11" t="s">
        <v>44</v>
      </c>
      <c r="BB90" s="5"/>
      <c r="BC90" s="1">
        <f ca="1">OFFSET(A90,0, 9) -0</f>
        <v>-33.525381809806504</v>
      </c>
      <c r="BD90" s="1">
        <f ca="1">OFFSET(A90,0, 4) -0</f>
        <v>25.60502512859307</v>
      </c>
      <c r="BE90" s="1">
        <f ca="1">OFFSET(A90,0, 3) -0</f>
        <v>35.431106516272848</v>
      </c>
      <c r="BF90" s="1">
        <f ca="1">OFFSET(A90,0, 7) -0</f>
        <v>-13.87321903444672</v>
      </c>
      <c r="BG90" s="1">
        <f ca="1">OFFSET(A90,0, 8) -0</f>
        <v>76.300699577873502</v>
      </c>
      <c r="BH90" s="1">
        <f ca="1">OFFSET(A90,0, 1) -0</f>
        <v>25.08326929163286</v>
      </c>
      <c r="BI90" s="1">
        <f ca="1">OFFSET(A90,0, 2) -0</f>
        <v>15.257187903952854</v>
      </c>
      <c r="BJ90" s="1">
        <f ca="1">OFFSET(A90,0, 5) -0</f>
        <v>95.778943740913064</v>
      </c>
      <c r="BK90" s="1">
        <f ca="1">OFFSET(A90,0, 10) -0</f>
        <v>-33.351463197486282</v>
      </c>
      <c r="BL90" s="1">
        <f ca="1">OFFSET(A90,0, 11) -0</f>
        <v>-93.177544585166231</v>
      </c>
      <c r="BM90" s="1">
        <f ca="1">OFFSET(A90,0, 6) -0</f>
        <v>125.95286235323329</v>
      </c>
      <c r="BN90" s="1">
        <f ca="1">OFFSET(A90,0, 12) -0</f>
        <v>-123.00362597284612</v>
      </c>
      <c r="BO90" s="1">
        <f ca="1">OFFSET(A90,0, 22) -0</f>
        <v>108.73556015035501</v>
      </c>
      <c r="BP90" s="1">
        <f ca="1">OFFSET(A90,0, 17) -0</f>
        <v>17.86596708875436</v>
      </c>
      <c r="BQ90" s="1">
        <f ca="1">OFFSET(A90,0, 14) -0</f>
        <v>37.344211251794093</v>
      </c>
      <c r="BR90" s="1">
        <f ca="1">OFFSET(A90,0, 18) -0</f>
        <v>-31.960114298925419</v>
      </c>
      <c r="BS90" s="1">
        <f ca="1">OFFSET(A90,0, 20) -0</f>
        <v>-41.612277074285203</v>
      </c>
      <c r="BT90" s="1">
        <f ca="1">OFFSET(A90,0, 13) -0</f>
        <v>27.170292639473985</v>
      </c>
      <c r="BU90" s="1">
        <f ca="1">OFFSET(A90,0, 15) -0</f>
        <v>-52.481870135885856</v>
      </c>
      <c r="BV90" s="1">
        <f ca="1">OFFSET(A90,0, 16) -0</f>
        <v>-2.3079515235656345</v>
      </c>
      <c r="BW90" s="1">
        <f ca="1">OFFSET(A90,0, 21) -0</f>
        <v>8.5616415380347917</v>
      </c>
      <c r="BX90" s="1">
        <f ca="1">OFFSET(A90,0, 24) -0</f>
        <v>-110.916602625005</v>
      </c>
      <c r="BY90" s="1">
        <f ca="1">OFFSET(A90,0, 19) -0</f>
        <v>-1.7861956866054243</v>
      </c>
      <c r="BZ90" s="1">
        <f ca="1">OFFSET(A90,0, 23) -0</f>
        <v>-61.090521237324992</v>
      </c>
      <c r="CB90" s="1">
        <f>COUNTIF(B90,"&lt;-74")</f>
        <v>0</v>
      </c>
      <c r="CC90" s="1">
        <f ca="1">COUNTIF(BC90:BN90,"&lt;-52")</f>
        <v>2</v>
      </c>
      <c r="CD90" s="1">
        <f ca="1">COUNTIF(BC90:BN90,"&gt;+52")</f>
        <v>3</v>
      </c>
      <c r="CE90" s="1">
        <f ca="1">COUNTIF(BO90:BZ90,"&lt;-52")</f>
        <v>3</v>
      </c>
      <c r="CF90" s="1">
        <f ca="1">COUNTIF(BO90:BZ90,"&gt;+52")</f>
        <v>1</v>
      </c>
    </row>
    <row r="91" spans="1:84">
      <c r="A91" s="1">
        <v>88</v>
      </c>
      <c r="B91" s="1">
        <f>'Touch 1 1'!B91-'Touch 1 1'!$AA91-('Touch 1 1'!B$2- 12.5)*'Touch 1 1'!$AC91</f>
        <v>1.2068158480392412</v>
      </c>
      <c r="C91" s="1">
        <f>'Touch 1 1'!C91-'Touch 1 1'!$AA91-('Touch 1 1'!C$2- 12.5)*'Touch 1 1'!$AC91</f>
        <v>21.464194180095546</v>
      </c>
      <c r="D91" s="1">
        <f>'Touch 1 1'!D91-'Touch 1 1'!$AA91-('Touch 1 1'!D$2- 12.5)*'Touch 1 1'!$AC91</f>
        <v>51.721572512151624</v>
      </c>
      <c r="E91" s="1">
        <f>'Touch 1 1'!E91-'Touch 1 1'!$AA91-('Touch 1 1'!E$2- 12.5)*'Touch 1 1'!$AC91</f>
        <v>31.97895084420793</v>
      </c>
      <c r="F91" s="1">
        <f>'Touch 1 1'!F91-'Touch 1 1'!$AA91-('Touch 1 1'!F$2- 12.5)*'Touch 1 1'!$AC91</f>
        <v>32.236329176264235</v>
      </c>
      <c r="G91" s="1">
        <f>'Touch 1 1'!G91-'Touch 1 1'!$AA91-('Touch 1 1'!G$2- 12.5)*'Touch 1 1'!$AC91</f>
        <v>-27.50629249167946</v>
      </c>
      <c r="H91" s="1">
        <f>'Touch 1 1'!H91-'Touch 1 1'!$AA91-('Touch 1 1'!H$2- 12.5)*'Touch 1 1'!$AC91</f>
        <v>12.751085840376618</v>
      </c>
      <c r="I91" s="1">
        <f>'Touch 1 1'!I91-'Touch 1 1'!$AA91-('Touch 1 1'!I$2- 12.5)*'Touch 1 1'!$AC91</f>
        <v>43.008464172432923</v>
      </c>
      <c r="J91" s="1">
        <f>'Touch 1 1'!J91-'Touch 1 1'!$AA91-('Touch 1 1'!J$2- 12.5)*'Touch 1 1'!$AC91</f>
        <v>-6.7341574955107717</v>
      </c>
      <c r="K91" s="1">
        <f>'Touch 1 1'!K91-'Touch 1 1'!$AA91-('Touch 1 1'!K$2- 12.5)*'Touch 1 1'!$AC91</f>
        <v>-86.47677916345458</v>
      </c>
      <c r="L91" s="1">
        <f>'Touch 1 1'!L91-'Touch 1 1'!$AA91-('Touch 1 1'!L$2- 12.5)*'Touch 1 1'!$AC91</f>
        <v>-116.21940083139827</v>
      </c>
      <c r="M91" s="1">
        <f>'Touch 1 1'!M91-'Touch 1 1'!$AA91-('Touch 1 1'!M$2- 12.5)*'Touch 1 1'!$AC91</f>
        <v>-65.962022499342055</v>
      </c>
      <c r="N91" s="1">
        <f>'Touch 1 1'!N91-'Touch 1 1'!$AA91-('Touch 1 1'!N$2- 12.5)*'Touch 1 1'!$AC91</f>
        <v>4.2953558327141934</v>
      </c>
      <c r="O91" s="1">
        <f>'Touch 1 1'!O91-'Touch 1 1'!$AA91-('Touch 1 1'!O$2- 12.5)*'Touch 1 1'!$AC91</f>
        <v>-15.447265835229587</v>
      </c>
      <c r="P91" s="1">
        <f>'Touch 1 1'!P91-'Touch 1 1'!$AA91-('Touch 1 1'!P$2- 12.5)*'Touch 1 1'!$AC91</f>
        <v>14.810112496826719</v>
      </c>
      <c r="Q91" s="1">
        <f>'Touch 1 1'!Q91-'Touch 1 1'!$AA91-('Touch 1 1'!Q$2- 12.5)*'Touch 1 1'!$AC91</f>
        <v>5.0674908288829101</v>
      </c>
      <c r="R91" s="1">
        <f>'Touch 1 1'!R91-'Touch 1 1'!$AA91-('Touch 1 1'!R$2- 12.5)*'Touch 1 1'!$AC91</f>
        <v>-4.6751308390607846</v>
      </c>
      <c r="S91" s="1">
        <f>'Touch 1 1'!S91-'Touch 1 1'!$AA91-('Touch 1 1'!S$2- 12.5)*'Touch 1 1'!$AC91</f>
        <v>5.5822474929955206</v>
      </c>
      <c r="T91" s="1">
        <f>'Touch 1 1'!T91-'Touch 1 1'!$AA91-('Touch 1 1'!T$2- 12.5)*'Touch 1 1'!$AC91</f>
        <v>-4.1603741749484016</v>
      </c>
      <c r="U91" s="1">
        <f>'Touch 1 1'!U91-'Touch 1 1'!$AA91-('Touch 1 1'!U$2- 12.5)*'Touch 1 1'!$AC91</f>
        <v>156.0970041571079</v>
      </c>
      <c r="V91" s="1">
        <f>'Touch 1 1'!V91-'Touch 1 1'!$AA91-('Touch 1 1'!V$2- 12.5)*'Touch 1 1'!$AC91</f>
        <v>-23.645617510835791</v>
      </c>
      <c r="W91" s="1">
        <f>'Touch 1 1'!W91-'Touch 1 1'!$AA91-('Touch 1 1'!W$2- 12.5)*'Touch 1 1'!$AC91</f>
        <v>-23.388239178779486</v>
      </c>
      <c r="X91" s="1">
        <f>'Touch 1 1'!X91-'Touch 1 1'!$AA91-('Touch 1 1'!X$2- 12.5)*'Touch 1 1'!$AC91</f>
        <v>-13.130860846723408</v>
      </c>
      <c r="Y91" s="1">
        <f>'Touch 1 1'!Y91-'Touch 1 1'!$AA91-('Touch 1 1'!Y$2- 12.5)*'Touch 1 1'!$AC91</f>
        <v>7.1265174853328972</v>
      </c>
      <c r="AB91" s="1">
        <f>STDEV(B91:Y91)</f>
        <v>50.912361977047638</v>
      </c>
      <c r="AD91" s="11">
        <v>3</v>
      </c>
      <c r="AE91" s="11">
        <v>6</v>
      </c>
      <c r="AF91" s="11">
        <v>8</v>
      </c>
      <c r="AG91" s="11">
        <v>7</v>
      </c>
      <c r="AH91" s="11">
        <v>4</v>
      </c>
      <c r="AI91" s="11">
        <v>2</v>
      </c>
      <c r="AJ91" s="11">
        <v>5</v>
      </c>
      <c r="AK91" s="11" t="s">
        <v>45</v>
      </c>
      <c r="AL91" s="11">
        <v>1</v>
      </c>
      <c r="AM91" s="11">
        <v>9</v>
      </c>
      <c r="AN91" s="11" t="s">
        <v>44</v>
      </c>
      <c r="AO91" s="11" t="s">
        <v>46</v>
      </c>
      <c r="AP91" s="11">
        <v>6</v>
      </c>
      <c r="AQ91" s="11">
        <v>3</v>
      </c>
      <c r="AR91" s="11">
        <v>7</v>
      </c>
      <c r="AS91" s="11">
        <v>8</v>
      </c>
      <c r="AT91" s="11">
        <v>2</v>
      </c>
      <c r="AU91" s="11">
        <v>4</v>
      </c>
      <c r="AV91" s="11">
        <v>5</v>
      </c>
      <c r="AW91" s="11">
        <v>1</v>
      </c>
      <c r="AX91" s="11" t="s">
        <v>45</v>
      </c>
      <c r="AY91" s="11">
        <v>9</v>
      </c>
      <c r="AZ91" s="11" t="s">
        <v>46</v>
      </c>
      <c r="BA91" s="11" t="s">
        <v>44</v>
      </c>
      <c r="BB91" s="5"/>
      <c r="BC91" s="1">
        <f ca="1">OFFSET(A91,0, 9) -0</f>
        <v>-6.7341574955107717</v>
      </c>
      <c r="BD91" s="1">
        <f ca="1">OFFSET(A91,0, 6) -0</f>
        <v>-27.50629249167946</v>
      </c>
      <c r="BE91" s="1">
        <f ca="1">OFFSET(A91,0, 1) -0</f>
        <v>1.2068158480392412</v>
      </c>
      <c r="BF91" s="1">
        <f ca="1">OFFSET(A91,0, 5) -0</f>
        <v>32.236329176264235</v>
      </c>
      <c r="BG91" s="1">
        <f ca="1">OFFSET(A91,0, 7) -0</f>
        <v>12.751085840376618</v>
      </c>
      <c r="BH91" s="1">
        <f ca="1">OFFSET(A91,0, 2) -0</f>
        <v>21.464194180095546</v>
      </c>
      <c r="BI91" s="1">
        <f ca="1">OFFSET(A91,0, 4) -0</f>
        <v>31.97895084420793</v>
      </c>
      <c r="BJ91" s="1">
        <f ca="1">OFFSET(A91,0, 3) -0</f>
        <v>51.721572512151624</v>
      </c>
      <c r="BK91" s="1">
        <f ca="1">OFFSET(A91,0, 10) -0</f>
        <v>-86.47677916345458</v>
      </c>
      <c r="BL91" s="1">
        <f ca="1">OFFSET(A91,0, 11) -0</f>
        <v>-116.21940083139827</v>
      </c>
      <c r="BM91" s="1">
        <f ca="1">OFFSET(A91,0, 8) -0</f>
        <v>43.008464172432923</v>
      </c>
      <c r="BN91" s="1">
        <f ca="1">OFFSET(A91,0, 12) -0</f>
        <v>-65.962022499342055</v>
      </c>
      <c r="BO91" s="1">
        <f ca="1">OFFSET(A91,0, 20) -0</f>
        <v>156.0970041571079</v>
      </c>
      <c r="BP91" s="1">
        <f ca="1">OFFSET(A91,0, 17) -0</f>
        <v>-4.6751308390607846</v>
      </c>
      <c r="BQ91" s="1">
        <f ca="1">OFFSET(A91,0, 14) -0</f>
        <v>-15.447265835229587</v>
      </c>
      <c r="BR91" s="1">
        <f ca="1">OFFSET(A91,0, 18) -0</f>
        <v>5.5822474929955206</v>
      </c>
      <c r="BS91" s="1">
        <f ca="1">OFFSET(A91,0, 19) -0</f>
        <v>-4.1603741749484016</v>
      </c>
      <c r="BT91" s="1">
        <f ca="1">OFFSET(A91,0, 13) -0</f>
        <v>4.2953558327141934</v>
      </c>
      <c r="BU91" s="1">
        <f ca="1">OFFSET(A91,0, 15) -0</f>
        <v>14.810112496826719</v>
      </c>
      <c r="BV91" s="1">
        <f ca="1">OFFSET(A91,0, 16) -0</f>
        <v>5.0674908288829101</v>
      </c>
      <c r="BW91" s="1">
        <f ca="1">OFFSET(A91,0, 22) -0</f>
        <v>-23.388239178779486</v>
      </c>
      <c r="BX91" s="1">
        <f ca="1">OFFSET(A91,0, 24) -0</f>
        <v>7.1265174853328972</v>
      </c>
      <c r="BY91" s="1">
        <f ca="1">OFFSET(A91,0, 21) -0</f>
        <v>-23.645617510835791</v>
      </c>
      <c r="BZ91" s="1">
        <f ca="1">OFFSET(A91,0, 23) -0</f>
        <v>-13.130860846723408</v>
      </c>
      <c r="CB91" s="1">
        <f>COUNTIF(B91,"&lt;-74")</f>
        <v>0</v>
      </c>
      <c r="CC91" s="1">
        <f ca="1">COUNTIF(BC91:BN91,"&lt;-52")</f>
        <v>3</v>
      </c>
      <c r="CD91" s="1">
        <f ca="1">COUNTIF(BC91:BN91,"&gt;+52")</f>
        <v>0</v>
      </c>
      <c r="CE91" s="1">
        <f ca="1">COUNTIF(BO91:BZ91,"&lt;-52")</f>
        <v>0</v>
      </c>
      <c r="CF91" s="1">
        <f ca="1">COUNTIF(BO91:BZ91,"&gt;+52")</f>
        <v>1</v>
      </c>
    </row>
    <row r="92" spans="1:84">
      <c r="A92" s="1">
        <v>89</v>
      </c>
      <c r="B92" s="1">
        <f>'Touch 1 1'!B92-'Touch 1 1'!$AA92-('Touch 1 1'!B$2- 12.5)*'Touch 1 1'!$AC92</f>
        <v>15.46490681254727</v>
      </c>
      <c r="C92" s="1">
        <f>'Touch 1 1'!C92-'Touch 1 1'!$AA92-('Touch 1 1'!C$2- 12.5)*'Touch 1 1'!$AC92</f>
        <v>15.496943901314808</v>
      </c>
      <c r="D92" s="1">
        <f>'Touch 1 1'!D92-'Touch 1 1'!$AA92-('Touch 1 1'!D$2- 12.5)*'Touch 1 1'!$AC92</f>
        <v>45.528980990082118</v>
      </c>
      <c r="E92" s="1">
        <f>'Touch 1 1'!E92-'Touch 1 1'!$AA92-('Touch 1 1'!E$2- 12.5)*'Touch 1 1'!$AC92</f>
        <v>55.561018078849429</v>
      </c>
      <c r="F92" s="1">
        <f>'Touch 1 1'!F92-'Touch 1 1'!$AA92-('Touch 1 1'!F$2- 12.5)*'Touch 1 1'!$AC92</f>
        <v>25.593055167616967</v>
      </c>
      <c r="G92" s="1">
        <f>'Touch 1 1'!G92-'Touch 1 1'!$AA92-('Touch 1 1'!G$2- 12.5)*'Touch 1 1'!$AC92</f>
        <v>-24.374907743615722</v>
      </c>
      <c r="H92" s="1">
        <f>'Touch 1 1'!H92-'Touch 1 1'!$AA92-('Touch 1 1'!H$2- 12.5)*'Touch 1 1'!$AC92</f>
        <v>-44.342870654848412</v>
      </c>
      <c r="I92" s="1">
        <f>'Touch 1 1'!I92-'Touch 1 1'!$AA92-('Touch 1 1'!I$2- 12.5)*'Touch 1 1'!$AC92</f>
        <v>45.689166433919013</v>
      </c>
      <c r="J92" s="1">
        <f>'Touch 1 1'!J92-'Touch 1 1'!$AA92-('Touch 1 1'!J$2- 12.5)*'Touch 1 1'!$AC92</f>
        <v>-74.278796477313676</v>
      </c>
      <c r="K92" s="1">
        <f>'Touch 1 1'!K92-'Touch 1 1'!$AA92-('Touch 1 1'!K$2- 12.5)*'Touch 1 1'!$AC92</f>
        <v>15.753240611453748</v>
      </c>
      <c r="L92" s="1">
        <f>'Touch 1 1'!L92-'Touch 1 1'!$AA92-('Touch 1 1'!L$2- 12.5)*'Touch 1 1'!$AC92</f>
        <v>-34.214722299778941</v>
      </c>
      <c r="M92" s="1">
        <f>'Touch 1 1'!M92-'Touch 1 1'!$AA92-('Touch 1 1'!M$2- 12.5)*'Touch 1 1'!$AC92</f>
        <v>-14.182685211011545</v>
      </c>
      <c r="N92" s="1">
        <f>'Touch 1 1'!N92-'Touch 1 1'!$AA92-('Touch 1 1'!N$2- 12.5)*'Touch 1 1'!$AC92</f>
        <v>-34.150648122244178</v>
      </c>
      <c r="O92" s="1">
        <f>'Touch 1 1'!O92-'Touch 1 1'!$AA92-('Touch 1 1'!O$2- 12.5)*'Touch 1 1'!$AC92</f>
        <v>-4.1186110334767818</v>
      </c>
      <c r="P92" s="1">
        <f>'Touch 1 1'!P92-'Touch 1 1'!$AA92-('Touch 1 1'!P$2- 12.5)*'Touch 1 1'!$AC92</f>
        <v>45.913426055290529</v>
      </c>
      <c r="Q92" s="1">
        <f>'Touch 1 1'!Q92-'Touch 1 1'!$AA92-('Touch 1 1'!Q$2- 12.5)*'Touch 1 1'!$AC92</f>
        <v>25.945463144057953</v>
      </c>
      <c r="R92" s="1">
        <f>'Touch 1 1'!R92-'Touch 1 1'!$AA92-('Touch 1 1'!R$2- 12.5)*'Touch 1 1'!$AC92</f>
        <v>15.977500232825264</v>
      </c>
      <c r="S92" s="1">
        <f>'Touch 1 1'!S92-'Touch 1 1'!$AA92-('Touch 1 1'!S$2- 12.5)*'Touch 1 1'!$AC92</f>
        <v>-13.990462678407312</v>
      </c>
      <c r="T92" s="1">
        <f>'Touch 1 1'!T92-'Touch 1 1'!$AA92-('Touch 1 1'!T$2- 12.5)*'Touch 1 1'!$AC92</f>
        <v>-13.958425589640001</v>
      </c>
      <c r="U92" s="1">
        <f>'Touch 1 1'!U92-'Touch 1 1'!$AA92-('Touch 1 1'!U$2- 12.5)*'Touch 1 1'!$AC92</f>
        <v>56.07361149912731</v>
      </c>
      <c r="V92" s="1">
        <f>'Touch 1 1'!V92-'Touch 1 1'!$AA92-('Touch 1 1'!V$2- 12.5)*'Touch 1 1'!$AC92</f>
        <v>-33.894351412105152</v>
      </c>
      <c r="W92" s="1">
        <f>'Touch 1 1'!W92-'Touch 1 1'!$AA92-('Touch 1 1'!W$2- 12.5)*'Touch 1 1'!$AC92</f>
        <v>-23.862314323337841</v>
      </c>
      <c r="X92" s="1">
        <f>'Touch 1 1'!X92-'Touch 1 1'!$AA92-('Touch 1 1'!X$2- 12.5)*'Touch 1 1'!$AC92</f>
        <v>-33.830277234570531</v>
      </c>
      <c r="Y92" s="1">
        <f>'Touch 1 1'!Y92-'Touch 1 1'!$AA92-('Touch 1 1'!Y$2- 12.5)*'Touch 1 1'!$AC92</f>
        <v>-13.798240145802993</v>
      </c>
      <c r="AB92" s="1">
        <f>STDEV(B92:Y92)</f>
        <v>35.439551053930707</v>
      </c>
      <c r="AD92" s="11">
        <v>3</v>
      </c>
      <c r="AE92" s="11">
        <v>6</v>
      </c>
      <c r="AF92" s="11">
        <v>8</v>
      </c>
      <c r="AG92" s="11">
        <v>7</v>
      </c>
      <c r="AH92" s="11">
        <v>4</v>
      </c>
      <c r="AI92" s="11">
        <v>2</v>
      </c>
      <c r="AJ92" s="11">
        <v>1</v>
      </c>
      <c r="AK92" s="11">
        <v>5</v>
      </c>
      <c r="AL92" s="11">
        <v>9</v>
      </c>
      <c r="AM92" s="11" t="s">
        <v>45</v>
      </c>
      <c r="AN92" s="11" t="s">
        <v>44</v>
      </c>
      <c r="AO92" s="11" t="s">
        <v>46</v>
      </c>
      <c r="AP92" s="11">
        <v>3</v>
      </c>
      <c r="AQ92" s="11">
        <v>8</v>
      </c>
      <c r="AR92" s="11">
        <v>6</v>
      </c>
      <c r="AS92" s="11">
        <v>4</v>
      </c>
      <c r="AT92" s="11">
        <v>7</v>
      </c>
      <c r="AU92" s="11">
        <v>2</v>
      </c>
      <c r="AV92" s="11">
        <v>5</v>
      </c>
      <c r="AW92" s="11">
        <v>1</v>
      </c>
      <c r="AX92" s="11">
        <v>9</v>
      </c>
      <c r="AY92" s="11" t="s">
        <v>44</v>
      </c>
      <c r="AZ92" s="11" t="s">
        <v>45</v>
      </c>
      <c r="BA92" s="11" t="s">
        <v>46</v>
      </c>
      <c r="BB92" s="5"/>
      <c r="BC92" s="1">
        <f ca="1">OFFSET(A92,0, 7) -0</f>
        <v>-44.342870654848412</v>
      </c>
      <c r="BD92" s="1">
        <f ca="1">OFFSET(A92,0, 6) -0</f>
        <v>-24.374907743615722</v>
      </c>
      <c r="BE92" s="1">
        <f ca="1">OFFSET(A92,0, 1) -0</f>
        <v>15.46490681254727</v>
      </c>
      <c r="BF92" s="1">
        <f ca="1">OFFSET(A92,0, 5) -0</f>
        <v>25.593055167616967</v>
      </c>
      <c r="BG92" s="1">
        <f ca="1">OFFSET(A92,0, 8) -0</f>
        <v>45.689166433919013</v>
      </c>
      <c r="BH92" s="1">
        <f ca="1">OFFSET(A92,0, 2) -0</f>
        <v>15.496943901314808</v>
      </c>
      <c r="BI92" s="1">
        <f ca="1">OFFSET(A92,0, 4) -0</f>
        <v>55.561018078849429</v>
      </c>
      <c r="BJ92" s="1">
        <f ca="1">OFFSET(A92,0, 3) -0</f>
        <v>45.528980990082118</v>
      </c>
      <c r="BK92" s="1">
        <f ca="1">OFFSET(A92,0, 9) -0</f>
        <v>-74.278796477313676</v>
      </c>
      <c r="BL92" s="1">
        <f ca="1">OFFSET(A92,0, 11) -0</f>
        <v>-34.214722299778941</v>
      </c>
      <c r="BM92" s="1">
        <f ca="1">OFFSET(A92,0, 10) -0</f>
        <v>15.753240611453748</v>
      </c>
      <c r="BN92" s="1">
        <f ca="1">OFFSET(A92,0, 12) -0</f>
        <v>-14.182685211011545</v>
      </c>
      <c r="BO92" s="1">
        <f ca="1">OFFSET(A92,0, 20) -0</f>
        <v>56.07361149912731</v>
      </c>
      <c r="BP92" s="1">
        <f ca="1">OFFSET(A92,0, 18) -0</f>
        <v>-13.990462678407312</v>
      </c>
      <c r="BQ92" s="1">
        <f ca="1">OFFSET(A92,0, 13) -0</f>
        <v>-34.150648122244178</v>
      </c>
      <c r="BR92" s="1">
        <f ca="1">OFFSET(A92,0, 16) -0</f>
        <v>25.945463144057953</v>
      </c>
      <c r="BS92" s="1">
        <f ca="1">OFFSET(A92,0, 19) -0</f>
        <v>-13.958425589640001</v>
      </c>
      <c r="BT92" s="1">
        <f ca="1">OFFSET(A92,0, 15) -0</f>
        <v>45.913426055290529</v>
      </c>
      <c r="BU92" s="1">
        <f ca="1">OFFSET(A92,0, 17) -0</f>
        <v>15.977500232825264</v>
      </c>
      <c r="BV92" s="1">
        <f ca="1">OFFSET(A92,0, 14) -0</f>
        <v>-4.1186110334767818</v>
      </c>
      <c r="BW92" s="1">
        <f ca="1">OFFSET(A92,0, 21) -0</f>
        <v>-33.894351412105152</v>
      </c>
      <c r="BX92" s="1">
        <f ca="1">OFFSET(A92,0, 22) -0</f>
        <v>-23.862314323337841</v>
      </c>
      <c r="BY92" s="1">
        <f ca="1">OFFSET(A92,0, 23) -0</f>
        <v>-33.830277234570531</v>
      </c>
      <c r="BZ92" s="1">
        <f ca="1">OFFSET(A92,0, 24) -0</f>
        <v>-13.798240145802993</v>
      </c>
      <c r="CB92" s="1">
        <f>COUNTIF(B92,"&lt;-74")</f>
        <v>0</v>
      </c>
      <c r="CC92" s="1">
        <f ca="1">COUNTIF(BC92:BN92,"&lt;-52")</f>
        <v>1</v>
      </c>
      <c r="CD92" s="1">
        <f ca="1">COUNTIF(BC92:BN92,"&gt;+52")</f>
        <v>1</v>
      </c>
      <c r="CE92" s="1">
        <f ca="1">COUNTIF(BO92:BZ92,"&lt;-52")</f>
        <v>0</v>
      </c>
      <c r="CF92" s="1">
        <f ca="1">COUNTIF(BO92:BZ92,"&gt;+52")</f>
        <v>1</v>
      </c>
    </row>
    <row r="93" spans="1:84">
      <c r="A93" s="1">
        <v>90</v>
      </c>
      <c r="B93" s="1">
        <f>'Touch 1 1'!B93-'Touch 1 1'!$AA93-('Touch 1 1'!B$2- 12.5)*'Touch 1 1'!$AC93</f>
        <v>9.1867092364836935</v>
      </c>
      <c r="C93" s="1">
        <f>'Touch 1 1'!C93-'Touch 1 1'!$AA93-('Touch 1 1'!C$2- 12.5)*'Touch 1 1'!$AC93</f>
        <v>-20.597642291329976</v>
      </c>
      <c r="D93" s="1">
        <f>'Touch 1 1'!D93-'Touch 1 1'!$AA93-('Touch 1 1'!D$2- 12.5)*'Touch 1 1'!$AC93</f>
        <v>29.618006180856582</v>
      </c>
      <c r="E93" s="1">
        <f>'Touch 1 1'!E93-'Touch 1 1'!$AA93-('Touch 1 1'!E$2- 12.5)*'Touch 1 1'!$AC93</f>
        <v>29.833654653043141</v>
      </c>
      <c r="F93" s="1">
        <f>'Touch 1 1'!F93-'Touch 1 1'!$AA93-('Touch 1 1'!F$2- 12.5)*'Touch 1 1'!$AC93</f>
        <v>30.049303125229471</v>
      </c>
      <c r="G93" s="1">
        <f>'Touch 1 1'!G93-'Touch 1 1'!$AA93-('Touch 1 1'!G$2- 12.5)*'Touch 1 1'!$AC93</f>
        <v>20.264951597416029</v>
      </c>
      <c r="H93" s="1">
        <f>'Touch 1 1'!H93-'Touch 1 1'!$AA93-('Touch 1 1'!H$2- 12.5)*'Touch 1 1'!$AC93</f>
        <v>30.48060006960236</v>
      </c>
      <c r="I93" s="1">
        <f>'Touch 1 1'!I93-'Touch 1 1'!$AA93-('Touch 1 1'!I$2- 12.5)*'Touch 1 1'!$AC93</f>
        <v>0.69624854178891837</v>
      </c>
      <c r="J93" s="1">
        <f>'Touch 1 1'!J93-'Touch 1 1'!$AA93-('Touch 1 1'!J$2- 12.5)*'Touch 1 1'!$AC93</f>
        <v>-19.088102986024751</v>
      </c>
      <c r="K93" s="1">
        <f>'Touch 1 1'!K93-'Touch 1 1'!$AA93-('Touch 1 1'!K$2- 12.5)*'Touch 1 1'!$AC93</f>
        <v>-28.872454513838193</v>
      </c>
      <c r="L93" s="1">
        <f>'Touch 1 1'!L93-'Touch 1 1'!$AA93-('Touch 1 1'!L$2- 12.5)*'Touch 1 1'!$AC93</f>
        <v>-38.656806041651805</v>
      </c>
      <c r="M93" s="1">
        <f>'Touch 1 1'!M93-'Touch 1 1'!$AA93-('Touch 1 1'!M$2- 12.5)*'Touch 1 1'!$AC93</f>
        <v>11.558842430534639</v>
      </c>
      <c r="N93" s="1">
        <f>'Touch 1 1'!N93-'Touch 1 1'!$AA93-('Touch 1 1'!N$2- 12.5)*'Touch 1 1'!$AC93</f>
        <v>1.7744909027210838</v>
      </c>
      <c r="O93" s="1">
        <f>'Touch 1 1'!O93-'Touch 1 1'!$AA93-('Touch 1 1'!O$2- 12.5)*'Touch 1 1'!$AC93</f>
        <v>-18.009860625092472</v>
      </c>
      <c r="P93" s="1">
        <f>'Touch 1 1'!P93-'Touch 1 1'!$AA93-('Touch 1 1'!P$2- 12.5)*'Touch 1 1'!$AC93</f>
        <v>12.205787847093916</v>
      </c>
      <c r="Q93" s="1">
        <f>'Touch 1 1'!Q93-'Touch 1 1'!$AA93-('Touch 1 1'!Q$2- 12.5)*'Touch 1 1'!$AC93</f>
        <v>12.421436319280474</v>
      </c>
      <c r="R93" s="1">
        <f>'Touch 1 1'!R93-'Touch 1 1'!$AA93-('Touch 1 1'!R$2- 12.5)*'Touch 1 1'!$AC93</f>
        <v>42.637084791466805</v>
      </c>
      <c r="S93" s="1">
        <f>'Touch 1 1'!S93-'Touch 1 1'!$AA93-('Touch 1 1'!S$2- 12.5)*'Touch 1 1'!$AC93</f>
        <v>52.852733263653363</v>
      </c>
      <c r="T93" s="1">
        <f>'Touch 1 1'!T93-'Touch 1 1'!$AA93-('Touch 1 1'!T$2- 12.5)*'Touch 1 1'!$AC93</f>
        <v>13.068381735839694</v>
      </c>
      <c r="U93" s="1">
        <f>'Touch 1 1'!U93-'Touch 1 1'!$AA93-('Touch 1 1'!U$2- 12.5)*'Touch 1 1'!$AC93</f>
        <v>-56.715969791973748</v>
      </c>
      <c r="V93" s="1">
        <f>'Touch 1 1'!V93-'Touch 1 1'!$AA93-('Touch 1 1'!V$2- 12.5)*'Touch 1 1'!$AC93</f>
        <v>13.499678680212583</v>
      </c>
      <c r="W93" s="1">
        <f>'Touch 1 1'!W93-'Touch 1 1'!$AA93-('Touch 1 1'!W$2- 12.5)*'Touch 1 1'!$AC93</f>
        <v>-16.284672847600859</v>
      </c>
      <c r="X93" s="1">
        <f>'Touch 1 1'!X93-'Touch 1 1'!$AA93-('Touch 1 1'!X$2- 12.5)*'Touch 1 1'!$AC93</f>
        <v>-26.069024375414301</v>
      </c>
      <c r="Y93" s="1">
        <f>'Touch 1 1'!Y93-'Touch 1 1'!$AA93-('Touch 1 1'!Y$2- 12.5)*'Touch 1 1'!$AC93</f>
        <v>-85.85337590322797</v>
      </c>
      <c r="AB93" s="1">
        <f>STDEV(B93:Y93)</f>
        <v>32.619321904257767</v>
      </c>
      <c r="AD93" s="11">
        <v>8</v>
      </c>
      <c r="AE93" s="11">
        <v>3</v>
      </c>
      <c r="AF93" s="11">
        <v>4</v>
      </c>
      <c r="AG93" s="11">
        <v>6</v>
      </c>
      <c r="AH93" s="11">
        <v>2</v>
      </c>
      <c r="AI93" s="11">
        <v>7</v>
      </c>
      <c r="AJ93" s="11">
        <v>1</v>
      </c>
      <c r="AK93" s="11">
        <v>5</v>
      </c>
      <c r="AL93" s="11" t="s">
        <v>44</v>
      </c>
      <c r="AM93" s="11">
        <v>9</v>
      </c>
      <c r="AN93" s="11" t="s">
        <v>46</v>
      </c>
      <c r="AO93" s="11" t="s">
        <v>45</v>
      </c>
      <c r="AP93" s="11">
        <v>3</v>
      </c>
      <c r="AQ93" s="11">
        <v>8</v>
      </c>
      <c r="AR93" s="11">
        <v>6</v>
      </c>
      <c r="AS93" s="11">
        <v>4</v>
      </c>
      <c r="AT93" s="11">
        <v>2</v>
      </c>
      <c r="AU93" s="11">
        <v>1</v>
      </c>
      <c r="AV93" s="11">
        <v>7</v>
      </c>
      <c r="AW93" s="11">
        <v>5</v>
      </c>
      <c r="AX93" s="11">
        <v>9</v>
      </c>
      <c r="AY93" s="11" t="s">
        <v>44</v>
      </c>
      <c r="AZ93" s="11" t="s">
        <v>45</v>
      </c>
      <c r="BA93" s="11" t="s">
        <v>46</v>
      </c>
      <c r="BB93" s="5"/>
      <c r="BC93" s="1">
        <f ca="1">OFFSET(A93,0, 7) -0</f>
        <v>30.48060006960236</v>
      </c>
      <c r="BD93" s="1">
        <f ca="1">OFFSET(A93,0, 5) -0</f>
        <v>30.049303125229471</v>
      </c>
      <c r="BE93" s="1">
        <f ca="1">OFFSET(A93,0, 2) -0</f>
        <v>-20.597642291329976</v>
      </c>
      <c r="BF93" s="1">
        <f ca="1">OFFSET(A93,0, 3) -0</f>
        <v>29.618006180856582</v>
      </c>
      <c r="BG93" s="1">
        <f ca="1">OFFSET(A93,0, 8) -0</f>
        <v>0.69624854178891837</v>
      </c>
      <c r="BH93" s="1">
        <f ca="1">OFFSET(A93,0, 4) -0</f>
        <v>29.833654653043141</v>
      </c>
      <c r="BI93" s="1">
        <f ca="1">OFFSET(A93,0, 6) -0</f>
        <v>20.264951597416029</v>
      </c>
      <c r="BJ93" s="1">
        <f ca="1">OFFSET(A93,0, 1) -0</f>
        <v>9.1867092364836935</v>
      </c>
      <c r="BK93" s="1">
        <f ca="1">OFFSET(A93,0, 10) -0</f>
        <v>-28.872454513838193</v>
      </c>
      <c r="BL93" s="1">
        <f ca="1">OFFSET(A93,0, 9) -0</f>
        <v>-19.088102986024751</v>
      </c>
      <c r="BM93" s="1">
        <f ca="1">OFFSET(A93,0, 12) -0</f>
        <v>11.558842430534639</v>
      </c>
      <c r="BN93" s="1">
        <f ca="1">OFFSET(A93,0, 11) -0</f>
        <v>-38.656806041651805</v>
      </c>
      <c r="BO93" s="1">
        <f ca="1">OFFSET(A93,0, 18) -0</f>
        <v>52.852733263653363</v>
      </c>
      <c r="BP93" s="1">
        <f ca="1">OFFSET(A93,0, 17) -0</f>
        <v>42.637084791466805</v>
      </c>
      <c r="BQ93" s="1">
        <f ca="1">OFFSET(A93,0, 13) -0</f>
        <v>1.7744909027210838</v>
      </c>
      <c r="BR93" s="1">
        <f ca="1">OFFSET(A93,0, 16) -0</f>
        <v>12.421436319280474</v>
      </c>
      <c r="BS93" s="1">
        <f ca="1">OFFSET(A93,0, 20) -0</f>
        <v>-56.715969791973748</v>
      </c>
      <c r="BT93" s="1">
        <f ca="1">OFFSET(A93,0, 15) -0</f>
        <v>12.205787847093916</v>
      </c>
      <c r="BU93" s="1">
        <f ca="1">OFFSET(A93,0, 19) -0</f>
        <v>13.068381735839694</v>
      </c>
      <c r="BV93" s="1">
        <f ca="1">OFFSET(A93,0, 14) -0</f>
        <v>-18.009860625092472</v>
      </c>
      <c r="BW93" s="1">
        <f ca="1">OFFSET(A93,0, 21) -0</f>
        <v>13.499678680212583</v>
      </c>
      <c r="BX93" s="1">
        <f ca="1">OFFSET(A93,0, 22) -0</f>
        <v>-16.284672847600859</v>
      </c>
      <c r="BY93" s="1">
        <f ca="1">OFFSET(A93,0, 23) -0</f>
        <v>-26.069024375414301</v>
      </c>
      <c r="BZ93" s="1">
        <f ca="1">OFFSET(A93,0, 24) -0</f>
        <v>-85.85337590322797</v>
      </c>
      <c r="CB93" s="1">
        <f>COUNTIF(B93,"&lt;-74")</f>
        <v>0</v>
      </c>
      <c r="CC93" s="1">
        <f ca="1">COUNTIF(BC93:BN93,"&lt;-52")</f>
        <v>0</v>
      </c>
      <c r="CD93" s="1">
        <f ca="1">COUNTIF(BC93:BN93,"&gt;+52")</f>
        <v>0</v>
      </c>
      <c r="CE93" s="1">
        <f ca="1">COUNTIF(BO93:BZ93,"&lt;-52")</f>
        <v>2</v>
      </c>
      <c r="CF93" s="1">
        <f ca="1">COUNTIF(BO93:BZ93,"&gt;+52")</f>
        <v>1</v>
      </c>
    </row>
    <row r="94" spans="1:84">
      <c r="A94" s="1">
        <v>91</v>
      </c>
      <c r="B94" s="1">
        <f>'Touch 1 1'!B94-'Touch 1 1'!$AA94-('Touch 1 1'!B$2- 12.5)*'Touch 1 1'!$AC94</f>
        <v>10.595914636006</v>
      </c>
      <c r="C94" s="1">
        <f>'Touch 1 1'!C94-'Touch 1 1'!$AA94-('Touch 1 1'!C$2- 12.5)*'Touch 1 1'!$AC94</f>
        <v>10.761487276353364</v>
      </c>
      <c r="D94" s="1">
        <f>'Touch 1 1'!D94-'Touch 1 1'!$AA94-('Touch 1 1'!D$2- 12.5)*'Touch 1 1'!$AC94</f>
        <v>40.9270599167005</v>
      </c>
      <c r="E94" s="1">
        <f>'Touch 1 1'!E94-'Touch 1 1'!$AA94-('Touch 1 1'!E$2- 12.5)*'Touch 1 1'!$AC94</f>
        <v>21.092632557047864</v>
      </c>
      <c r="F94" s="1">
        <f>'Touch 1 1'!F94-'Touch 1 1'!$AA94-('Touch 1 1'!F$2- 12.5)*'Touch 1 1'!$AC94</f>
        <v>21.258205197395228</v>
      </c>
      <c r="G94" s="1">
        <f>'Touch 1 1'!G94-'Touch 1 1'!$AA94-('Touch 1 1'!G$2- 12.5)*'Touch 1 1'!$AC94</f>
        <v>-18.576222162257409</v>
      </c>
      <c r="H94" s="1">
        <f>'Touch 1 1'!H94-'Touch 1 1'!$AA94-('Touch 1 1'!H$2- 12.5)*'Touch 1 1'!$AC94</f>
        <v>-18.410649521910273</v>
      </c>
      <c r="I94" s="1">
        <f>'Touch 1 1'!I94-'Touch 1 1'!$AA94-('Touch 1 1'!I$2- 12.5)*'Touch 1 1'!$AC94</f>
        <v>11.754923118437091</v>
      </c>
      <c r="J94" s="1">
        <f>'Touch 1 1'!J94-'Touch 1 1'!$AA94-('Touch 1 1'!J$2- 12.5)*'Touch 1 1'!$AC94</f>
        <v>-18.079504241215545</v>
      </c>
      <c r="K94" s="1">
        <f>'Touch 1 1'!K94-'Touch 1 1'!$AA94-('Touch 1 1'!K$2- 12.5)*'Touch 1 1'!$AC94</f>
        <v>-27.913931600868295</v>
      </c>
      <c r="L94" s="1">
        <f>'Touch 1 1'!L94-'Touch 1 1'!$AA94-('Touch 1 1'!L$2- 12.5)*'Touch 1 1'!$AC94</f>
        <v>-57.748358960520932</v>
      </c>
      <c r="M94" s="1">
        <f>'Touch 1 1'!M94-'Touch 1 1'!$AA94-('Touch 1 1'!M$2- 12.5)*'Touch 1 1'!$AC94</f>
        <v>2.4172136798263466</v>
      </c>
      <c r="N94" s="1">
        <f>'Touch 1 1'!N94-'Touch 1 1'!$AA94-('Touch 1 1'!N$2- 12.5)*'Touch 1 1'!$AC94</f>
        <v>2.5827863201736534</v>
      </c>
      <c r="O94" s="1">
        <f>'Touch 1 1'!O94-'Touch 1 1'!$AA94-('Touch 1 1'!O$2- 12.5)*'Touch 1 1'!$AC94</f>
        <v>52.748358960520932</v>
      </c>
      <c r="P94" s="1">
        <f>'Touch 1 1'!P94-'Touch 1 1'!$AA94-('Touch 1 1'!P$2- 12.5)*'Touch 1 1'!$AC94</f>
        <v>12.913931600868295</v>
      </c>
      <c r="Q94" s="1">
        <f>'Touch 1 1'!Q94-'Touch 1 1'!$AA94-('Touch 1 1'!Q$2- 12.5)*'Touch 1 1'!$AC94</f>
        <v>43.079504241215545</v>
      </c>
      <c r="R94" s="1">
        <f>'Touch 1 1'!R94-'Touch 1 1'!$AA94-('Touch 1 1'!R$2- 12.5)*'Touch 1 1'!$AC94</f>
        <v>43.245076881562909</v>
      </c>
      <c r="S94" s="1">
        <f>'Touch 1 1'!S94-'Touch 1 1'!$AA94-('Touch 1 1'!S$2- 12.5)*'Touch 1 1'!$AC94</f>
        <v>53.410649521910273</v>
      </c>
      <c r="T94" s="1">
        <f>'Touch 1 1'!T94-'Touch 1 1'!$AA94-('Touch 1 1'!T$2- 12.5)*'Touch 1 1'!$AC94</f>
        <v>-86.423777837742591</v>
      </c>
      <c r="U94" s="1">
        <f>'Touch 1 1'!U94-'Touch 1 1'!$AA94-('Touch 1 1'!U$2- 12.5)*'Touch 1 1'!$AC94</f>
        <v>-16.258205197395228</v>
      </c>
      <c r="V94" s="1">
        <f>'Touch 1 1'!V94-'Touch 1 1'!$AA94-('Touch 1 1'!V$2- 12.5)*'Touch 1 1'!$AC94</f>
        <v>-56.092632557047864</v>
      </c>
      <c r="W94" s="1">
        <f>'Touch 1 1'!W94-'Touch 1 1'!$AA94-('Touch 1 1'!W$2- 12.5)*'Touch 1 1'!$AC94</f>
        <v>-45.9270599167005</v>
      </c>
      <c r="X94" s="1">
        <f>'Touch 1 1'!X94-'Touch 1 1'!$AA94-('Touch 1 1'!X$2- 12.5)*'Touch 1 1'!$AC94</f>
        <v>-5.761487276353364</v>
      </c>
      <c r="Y94" s="1">
        <f>'Touch 1 1'!Y94-'Touch 1 1'!$AA94-('Touch 1 1'!Y$2- 12.5)*'Touch 1 1'!$AC94</f>
        <v>24.404085363994</v>
      </c>
      <c r="AB94" s="1">
        <f>STDEV(B94:Y94)</f>
        <v>36.843520168852542</v>
      </c>
      <c r="AD94" s="11">
        <v>8</v>
      </c>
      <c r="AE94" s="11">
        <v>3</v>
      </c>
      <c r="AF94" s="11">
        <v>4</v>
      </c>
      <c r="AG94" s="11">
        <v>6</v>
      </c>
      <c r="AH94" s="11">
        <v>1</v>
      </c>
      <c r="AI94" s="11">
        <v>2</v>
      </c>
      <c r="AJ94" s="11">
        <v>5</v>
      </c>
      <c r="AK94" s="11">
        <v>7</v>
      </c>
      <c r="AL94" s="11" t="s">
        <v>44</v>
      </c>
      <c r="AM94" s="11">
        <v>9</v>
      </c>
      <c r="AN94" s="11" t="s">
        <v>46</v>
      </c>
      <c r="AO94" s="11" t="s">
        <v>45</v>
      </c>
      <c r="AP94" s="11">
        <v>8</v>
      </c>
      <c r="AQ94" s="11">
        <v>4</v>
      </c>
      <c r="AR94" s="11">
        <v>3</v>
      </c>
      <c r="AS94" s="11">
        <v>6</v>
      </c>
      <c r="AT94" s="11">
        <v>2</v>
      </c>
      <c r="AU94" s="11">
        <v>1</v>
      </c>
      <c r="AV94" s="11">
        <v>5</v>
      </c>
      <c r="AW94" s="11" t="s">
        <v>44</v>
      </c>
      <c r="AX94" s="11">
        <v>7</v>
      </c>
      <c r="AY94" s="11" t="s">
        <v>46</v>
      </c>
      <c r="AZ94" s="11">
        <v>9</v>
      </c>
      <c r="BA94" s="11" t="s">
        <v>45</v>
      </c>
      <c r="BB94" s="5"/>
      <c r="BC94" s="1">
        <f ca="1">OFFSET(A94,0, 5) -0</f>
        <v>21.258205197395228</v>
      </c>
      <c r="BD94" s="1">
        <f ca="1">OFFSET(A94,0, 6) -0</f>
        <v>-18.576222162257409</v>
      </c>
      <c r="BE94" s="1">
        <f ca="1">OFFSET(A94,0, 2) -0</f>
        <v>10.761487276353364</v>
      </c>
      <c r="BF94" s="1">
        <f ca="1">OFFSET(A94,0, 3) -0</f>
        <v>40.9270599167005</v>
      </c>
      <c r="BG94" s="1">
        <f ca="1">OFFSET(A94,0, 7) -0</f>
        <v>-18.410649521910273</v>
      </c>
      <c r="BH94" s="1">
        <f ca="1">OFFSET(A94,0, 4) -0</f>
        <v>21.092632557047864</v>
      </c>
      <c r="BI94" s="1">
        <f ca="1">OFFSET(A94,0, 8) -0</f>
        <v>11.754923118437091</v>
      </c>
      <c r="BJ94" s="1">
        <f ca="1">OFFSET(A94,0, 1) -0</f>
        <v>10.595914636006</v>
      </c>
      <c r="BK94" s="1">
        <f ca="1">OFFSET(A94,0, 10) -0</f>
        <v>-27.913931600868295</v>
      </c>
      <c r="BL94" s="1">
        <f ca="1">OFFSET(A94,0, 9) -0</f>
        <v>-18.079504241215545</v>
      </c>
      <c r="BM94" s="1">
        <f ca="1">OFFSET(A94,0, 12) -0</f>
        <v>2.4172136798263466</v>
      </c>
      <c r="BN94" s="1">
        <f ca="1">OFFSET(A94,0, 11) -0</f>
        <v>-57.748358960520932</v>
      </c>
      <c r="BO94" s="1">
        <f ca="1">OFFSET(A94,0, 18) -0</f>
        <v>53.410649521910273</v>
      </c>
      <c r="BP94" s="1">
        <f ca="1">OFFSET(A94,0, 17) -0</f>
        <v>43.245076881562909</v>
      </c>
      <c r="BQ94" s="1">
        <f ca="1">OFFSET(A94,0, 15) -0</f>
        <v>12.913931600868295</v>
      </c>
      <c r="BR94" s="1">
        <f ca="1">OFFSET(A94,0, 14) -0</f>
        <v>52.748358960520932</v>
      </c>
      <c r="BS94" s="1">
        <f ca="1">OFFSET(A94,0, 19) -0</f>
        <v>-86.423777837742591</v>
      </c>
      <c r="BT94" s="1">
        <f ca="1">OFFSET(A94,0, 16) -0</f>
        <v>43.079504241215545</v>
      </c>
      <c r="BU94" s="1">
        <f ca="1">OFFSET(A94,0, 21) -0</f>
        <v>-56.092632557047864</v>
      </c>
      <c r="BV94" s="1">
        <f ca="1">OFFSET(A94,0, 13) -0</f>
        <v>2.5827863201736534</v>
      </c>
      <c r="BW94" s="1">
        <f ca="1">OFFSET(A94,0, 23) -0</f>
        <v>-5.761487276353364</v>
      </c>
      <c r="BX94" s="1">
        <f ca="1">OFFSET(A94,0, 20) -0</f>
        <v>-16.258205197395228</v>
      </c>
      <c r="BY94" s="1">
        <f ca="1">OFFSET(A94,0, 24) -0</f>
        <v>24.404085363994</v>
      </c>
      <c r="BZ94" s="1">
        <f ca="1">OFFSET(A94,0, 22) -0</f>
        <v>-45.9270599167005</v>
      </c>
      <c r="CB94" s="1">
        <f>COUNTIF(B94,"&lt;-74")</f>
        <v>0</v>
      </c>
      <c r="CC94" s="1">
        <f ca="1">COUNTIF(BC94:BN94,"&lt;-52")</f>
        <v>1</v>
      </c>
      <c r="CD94" s="1">
        <f ca="1">COUNTIF(BC94:BN94,"&gt;+52")</f>
        <v>0</v>
      </c>
      <c r="CE94" s="1">
        <f ca="1">COUNTIF(BO94:BZ94,"&lt;-52")</f>
        <v>2</v>
      </c>
      <c r="CF94" s="1">
        <f ca="1">COUNTIF(BO94:BZ94,"&gt;+52")</f>
        <v>2</v>
      </c>
    </row>
    <row r="95" spans="1:84">
      <c r="A95" s="1">
        <v>92</v>
      </c>
      <c r="B95" s="1">
        <f>'Touch 1 1'!B95-'Touch 1 1'!$AA95-('Touch 1 1'!B$2- 12.5)*'Touch 1 1'!$AC95</f>
        <v>40.35981937503675</v>
      </c>
      <c r="C95" s="1">
        <f>'Touch 1 1'!C95-'Touch 1 1'!$AA95-('Touch 1 1'!C$2- 12.5)*'Touch 1 1'!$AC95</f>
        <v>19.966211893152831</v>
      </c>
      <c r="D95" s="1">
        <f>'Touch 1 1'!D95-'Touch 1 1'!$AA95-('Touch 1 1'!D$2- 12.5)*'Touch 1 1'!$AC95</f>
        <v>59.572604411268912</v>
      </c>
      <c r="E95" s="1">
        <f>'Touch 1 1'!E95-'Touch 1 1'!$AA95-('Touch 1 1'!E$2- 12.5)*'Touch 1 1'!$AC95</f>
        <v>-0.82100307061500644</v>
      </c>
      <c r="F95" s="1">
        <f>'Touch 1 1'!F95-'Touch 1 1'!$AA95-('Touch 1 1'!F$2- 12.5)*'Touch 1 1'!$AC95</f>
        <v>48.785389447501075</v>
      </c>
      <c r="G95" s="1">
        <f>'Touch 1 1'!G95-'Touch 1 1'!$AA95-('Touch 1 1'!G$2- 12.5)*'Touch 1 1'!$AC95</f>
        <v>18.391781965617156</v>
      </c>
      <c r="H95" s="1">
        <f>'Touch 1 1'!H95-'Touch 1 1'!$AA95-('Touch 1 1'!H$2- 12.5)*'Touch 1 1'!$AC95</f>
        <v>-12.001825516266535</v>
      </c>
      <c r="I95" s="1">
        <f>'Touch 1 1'!I95-'Touch 1 1'!$AA95-('Touch 1 1'!I$2- 12.5)*'Touch 1 1'!$AC95</f>
        <v>-2.3954329981504543</v>
      </c>
      <c r="J95" s="1">
        <f>'Touch 1 1'!J95-'Touch 1 1'!$AA95-('Touch 1 1'!J$2- 12.5)*'Touch 1 1'!$AC95</f>
        <v>-32.789040480034373</v>
      </c>
      <c r="K95" s="1">
        <f>'Touch 1 1'!K95-'Touch 1 1'!$AA95-('Touch 1 1'!K$2- 12.5)*'Touch 1 1'!$AC95</f>
        <v>-63.182647961918178</v>
      </c>
      <c r="L95" s="1">
        <f>'Touch 1 1'!L95-'Touch 1 1'!$AA95-('Touch 1 1'!L$2- 12.5)*'Touch 1 1'!$AC95</f>
        <v>-13.576255443802097</v>
      </c>
      <c r="M95" s="1">
        <f>'Touch 1 1'!M95-'Touch 1 1'!$AA95-('Touch 1 1'!M$2- 12.5)*'Touch 1 1'!$AC95</f>
        <v>-33.969862925685931</v>
      </c>
      <c r="N95" s="1">
        <f>'Touch 1 1'!N95-'Touch 1 1'!$AA95-('Touch 1 1'!N$2- 12.5)*'Touch 1 1'!$AC95</f>
        <v>25.636529592430207</v>
      </c>
      <c r="O95" s="1">
        <f>'Touch 1 1'!O95-'Touch 1 1'!$AA95-('Touch 1 1'!O$2- 12.5)*'Touch 1 1'!$AC95</f>
        <v>45.242922110546374</v>
      </c>
      <c r="P95" s="1">
        <f>'Touch 1 1'!P95-'Touch 1 1'!$AA95-('Touch 1 1'!P$2- 12.5)*'Touch 1 1'!$AC95</f>
        <v>54.849314628662455</v>
      </c>
      <c r="Q95" s="1">
        <f>'Touch 1 1'!Q95-'Touch 1 1'!$AA95-('Touch 1 1'!Q$2- 12.5)*'Touch 1 1'!$AC95</f>
        <v>84.45570714677865</v>
      </c>
      <c r="R95" s="1">
        <f>'Touch 1 1'!R95-'Touch 1 1'!$AA95-('Touch 1 1'!R$2- 12.5)*'Touch 1 1'!$AC95</f>
        <v>24.062099664894731</v>
      </c>
      <c r="S95" s="1">
        <f>'Touch 1 1'!S95-'Touch 1 1'!$AA95-('Touch 1 1'!S$2- 12.5)*'Touch 1 1'!$AC95</f>
        <v>23.668492183010812</v>
      </c>
      <c r="T95" s="1">
        <f>'Touch 1 1'!T95-'Touch 1 1'!$AA95-('Touch 1 1'!T$2- 12.5)*'Touch 1 1'!$AC95</f>
        <v>13.274884701127121</v>
      </c>
      <c r="U95" s="1">
        <f>'Touch 1 1'!U95-'Touch 1 1'!$AA95-('Touch 1 1'!U$2- 12.5)*'Touch 1 1'!$AC95</f>
        <v>-47.118722780756798</v>
      </c>
      <c r="V95" s="1">
        <f>'Touch 1 1'!V95-'Touch 1 1'!$AA95-('Touch 1 1'!V$2- 12.5)*'Touch 1 1'!$AC95</f>
        <v>-117.51233026264072</v>
      </c>
      <c r="W95" s="1">
        <f>'Touch 1 1'!W95-'Touch 1 1'!$AA95-('Touch 1 1'!W$2- 12.5)*'Touch 1 1'!$AC95</f>
        <v>-87.905937744524635</v>
      </c>
      <c r="X95" s="1">
        <f>'Touch 1 1'!X95-'Touch 1 1'!$AA95-('Touch 1 1'!X$2- 12.5)*'Touch 1 1'!$AC95</f>
        <v>-38.299545226408554</v>
      </c>
      <c r="Y95" s="1">
        <f>'Touch 1 1'!Y95-'Touch 1 1'!$AA95-('Touch 1 1'!Y$2- 12.5)*'Touch 1 1'!$AC95</f>
        <v>-8.6931527082924731</v>
      </c>
      <c r="AB95" s="1">
        <f>STDEV(B95:Y95)</f>
        <v>48.59352079805965</v>
      </c>
      <c r="AD95" s="11">
        <v>4</v>
      </c>
      <c r="AE95" s="11">
        <v>8</v>
      </c>
      <c r="AF95" s="11">
        <v>6</v>
      </c>
      <c r="AG95" s="11">
        <v>3</v>
      </c>
      <c r="AH95" s="11">
        <v>1</v>
      </c>
      <c r="AI95" s="11">
        <v>2</v>
      </c>
      <c r="AJ95" s="11" t="s">
        <v>44</v>
      </c>
      <c r="AK95" s="11">
        <v>5</v>
      </c>
      <c r="AL95" s="11" t="s">
        <v>46</v>
      </c>
      <c r="AM95" s="11">
        <v>7</v>
      </c>
      <c r="AN95" s="11" t="s">
        <v>45</v>
      </c>
      <c r="AO95" s="11">
        <v>9</v>
      </c>
      <c r="AP95" s="11">
        <v>8</v>
      </c>
      <c r="AQ95" s="11">
        <v>4</v>
      </c>
      <c r="AR95" s="11">
        <v>6</v>
      </c>
      <c r="AS95" s="11">
        <v>1</v>
      </c>
      <c r="AT95" s="11">
        <v>3</v>
      </c>
      <c r="AU95" s="11">
        <v>2</v>
      </c>
      <c r="AV95" s="11">
        <v>5</v>
      </c>
      <c r="AW95" s="11" t="s">
        <v>44</v>
      </c>
      <c r="AX95" s="11">
        <v>7</v>
      </c>
      <c r="AY95" s="11" t="s">
        <v>46</v>
      </c>
      <c r="AZ95" s="11">
        <v>9</v>
      </c>
      <c r="BA95" s="11" t="s">
        <v>45</v>
      </c>
      <c r="BB95" s="5"/>
      <c r="BC95" s="1">
        <f ca="1">OFFSET(A95,0, 5) -0</f>
        <v>48.785389447501075</v>
      </c>
      <c r="BD95" s="1">
        <f ca="1">OFFSET(A95,0, 6) -0</f>
        <v>18.391781965617156</v>
      </c>
      <c r="BE95" s="1">
        <f ca="1">OFFSET(A95,0, 4) -0</f>
        <v>-0.82100307061500644</v>
      </c>
      <c r="BF95" s="1">
        <f ca="1">OFFSET(A95,0, 1) -0</f>
        <v>40.35981937503675</v>
      </c>
      <c r="BG95" s="1">
        <f ca="1">OFFSET(A95,0, 8) -0</f>
        <v>-2.3954329981504543</v>
      </c>
      <c r="BH95" s="1">
        <f ca="1">OFFSET(A95,0, 3) -0</f>
        <v>59.572604411268912</v>
      </c>
      <c r="BI95" s="1">
        <f ca="1">OFFSET(A95,0, 10) -0</f>
        <v>-63.182647961918178</v>
      </c>
      <c r="BJ95" s="1">
        <f ca="1">OFFSET(A95,0, 2) -0</f>
        <v>19.966211893152831</v>
      </c>
      <c r="BK95" s="1">
        <f ca="1">OFFSET(A95,0, 12) -0</f>
        <v>-33.969862925685931</v>
      </c>
      <c r="BL95" s="1">
        <f ca="1">OFFSET(A95,0, 7) -0</f>
        <v>-12.001825516266535</v>
      </c>
      <c r="BM95" s="1">
        <f ca="1">OFFSET(A95,0, 11) -0</f>
        <v>-13.576255443802097</v>
      </c>
      <c r="BN95" s="1">
        <f ca="1">OFFSET(A95,0, 9) -0</f>
        <v>-32.789040480034373</v>
      </c>
      <c r="BO95" s="1">
        <f ca="1">OFFSET(A95,0, 16) -0</f>
        <v>84.45570714677865</v>
      </c>
      <c r="BP95" s="1">
        <f ca="1">OFFSET(A95,0, 18) -0</f>
        <v>23.668492183010812</v>
      </c>
      <c r="BQ95" s="1">
        <f ca="1">OFFSET(A95,0, 17) -0</f>
        <v>24.062099664894731</v>
      </c>
      <c r="BR95" s="1">
        <f ca="1">OFFSET(A95,0, 14) -0</f>
        <v>45.242922110546374</v>
      </c>
      <c r="BS95" s="1">
        <f ca="1">OFFSET(A95,0, 19) -0</f>
        <v>13.274884701127121</v>
      </c>
      <c r="BT95" s="1">
        <f ca="1">OFFSET(A95,0, 15) -0</f>
        <v>54.849314628662455</v>
      </c>
      <c r="BU95" s="1">
        <f ca="1">OFFSET(A95,0, 21) -0</f>
        <v>-117.51233026264072</v>
      </c>
      <c r="BV95" s="1">
        <f ca="1">OFFSET(A95,0, 13) -0</f>
        <v>25.636529592430207</v>
      </c>
      <c r="BW95" s="1">
        <f ca="1">OFFSET(A95,0, 23) -0</f>
        <v>-38.299545226408554</v>
      </c>
      <c r="BX95" s="1">
        <f ca="1">OFFSET(A95,0, 20) -0</f>
        <v>-47.118722780756798</v>
      </c>
      <c r="BY95" s="1">
        <f ca="1">OFFSET(A95,0, 24) -0</f>
        <v>-8.6931527082924731</v>
      </c>
      <c r="BZ95" s="1">
        <f ca="1">OFFSET(A95,0, 22) -0</f>
        <v>-87.905937744524635</v>
      </c>
      <c r="CB95" s="1">
        <f>COUNTIF(B95,"&lt;-74")</f>
        <v>0</v>
      </c>
      <c r="CC95" s="1">
        <f ca="1">COUNTIF(BC95:BN95,"&lt;-53")</f>
        <v>1</v>
      </c>
      <c r="CD95" s="1">
        <f ca="1">COUNTIF(BC95:BN95,"&gt;+53")</f>
        <v>1</v>
      </c>
      <c r="CE95" s="1">
        <f ca="1">COUNTIF(BO95:BZ95,"&lt;-53")</f>
        <v>2</v>
      </c>
      <c r="CF95" s="1">
        <f ca="1">COUNTIF(BO95:BZ95,"&gt;+53")</f>
        <v>2</v>
      </c>
    </row>
    <row r="96" spans="1:84">
      <c r="A96" s="1">
        <v>93</v>
      </c>
      <c r="B96" s="1">
        <f>'Touch 1 1'!B96-'Touch 1 1'!$AA96-('Touch 1 1'!B$2- 12.5)*'Touch 1 1'!$AC96</f>
        <v>39.707057447322768</v>
      </c>
      <c r="C96" s="1">
        <f>'Touch 1 1'!C96-'Touch 1 1'!$AA96-('Touch 1 1'!C$2- 12.5)*'Touch 1 1'!$AC96</f>
        <v>48.754269843208021</v>
      </c>
      <c r="D96" s="1">
        <f>'Touch 1 1'!D96-'Touch 1 1'!$AA96-('Touch 1 1'!D$2- 12.5)*'Touch 1 1'!$AC96</f>
        <v>17.80148223909282</v>
      </c>
      <c r="E96" s="1">
        <f>'Touch 1 1'!E96-'Touch 1 1'!$AA96-('Touch 1 1'!E$2- 12.5)*'Touch 1 1'!$AC96</f>
        <v>56.848694634977846</v>
      </c>
      <c r="F96" s="1">
        <f>'Touch 1 1'!F96-'Touch 1 1'!$AA96-('Touch 1 1'!F$2- 12.5)*'Touch 1 1'!$AC96</f>
        <v>35.895907030862645</v>
      </c>
      <c r="G96" s="1">
        <f>'Touch 1 1'!G96-'Touch 1 1'!$AA96-('Touch 1 1'!G$2- 12.5)*'Touch 1 1'!$AC96</f>
        <v>54.943119426747671</v>
      </c>
      <c r="H96" s="1">
        <f>'Touch 1 1'!H96-'Touch 1 1'!$AA96-('Touch 1 1'!H$2- 12.5)*'Touch 1 1'!$AC96</f>
        <v>-16.009668177367303</v>
      </c>
      <c r="I96" s="1">
        <f>'Touch 1 1'!I96-'Touch 1 1'!$AA96-('Touch 1 1'!I$2- 12.5)*'Touch 1 1'!$AC96</f>
        <v>-46.96245578148239</v>
      </c>
      <c r="J96" s="1">
        <f>'Touch 1 1'!J96-'Touch 1 1'!$AA96-('Touch 1 1'!J$2- 12.5)*'Touch 1 1'!$AC96</f>
        <v>-47.915243385597364</v>
      </c>
      <c r="K96" s="1">
        <f>'Touch 1 1'!K96-'Touch 1 1'!$AA96-('Touch 1 1'!K$2- 12.5)*'Touch 1 1'!$AC96</f>
        <v>-78.868030989712452</v>
      </c>
      <c r="L96" s="1">
        <f>'Touch 1 1'!L96-'Touch 1 1'!$AA96-('Touch 1 1'!L$2- 12.5)*'Touch 1 1'!$AC96</f>
        <v>-9.8208185938274255</v>
      </c>
      <c r="M96" s="1">
        <f>'Touch 1 1'!M96-'Touch 1 1'!$AA96-('Touch 1 1'!M$2- 12.5)*'Touch 1 1'!$AC96</f>
        <v>-70.773606197942485</v>
      </c>
      <c r="N96" s="1">
        <f>'Touch 1 1'!N96-'Touch 1 1'!$AA96-('Touch 1 1'!N$2- 12.5)*'Touch 1 1'!$AC96</f>
        <v>-11.726393802057515</v>
      </c>
      <c r="O96" s="1">
        <f>'Touch 1 1'!O96-'Touch 1 1'!$AA96-('Touch 1 1'!O$2- 12.5)*'Touch 1 1'!$AC96</f>
        <v>7.3208185938274255</v>
      </c>
      <c r="P96" s="1">
        <f>'Touch 1 1'!P96-'Touch 1 1'!$AA96-('Touch 1 1'!P$2- 12.5)*'Touch 1 1'!$AC96</f>
        <v>36.368030989712452</v>
      </c>
      <c r="Q96" s="1">
        <f>'Touch 1 1'!Q96-'Touch 1 1'!$AA96-('Touch 1 1'!Q$2- 12.5)*'Touch 1 1'!$AC96</f>
        <v>25.415243385597364</v>
      </c>
      <c r="R96" s="1">
        <f>'Touch 1 1'!R96-'Touch 1 1'!$AA96-('Touch 1 1'!R$2- 12.5)*'Touch 1 1'!$AC96</f>
        <v>14.46245578148239</v>
      </c>
      <c r="S96" s="1">
        <f>'Touch 1 1'!S96-'Touch 1 1'!$AA96-('Touch 1 1'!S$2- 12.5)*'Touch 1 1'!$AC96</f>
        <v>3.5096681773673026</v>
      </c>
      <c r="T96" s="1">
        <f>'Touch 1 1'!T96-'Touch 1 1'!$AA96-('Touch 1 1'!T$2- 12.5)*'Touch 1 1'!$AC96</f>
        <v>-17.443119426747671</v>
      </c>
      <c r="U96" s="1">
        <f>'Touch 1 1'!U96-'Touch 1 1'!$AA96-('Touch 1 1'!U$2- 12.5)*'Touch 1 1'!$AC96</f>
        <v>41.604092969137355</v>
      </c>
      <c r="V96" s="1">
        <f>'Touch 1 1'!V96-'Touch 1 1'!$AA96-('Touch 1 1'!V$2- 12.5)*'Touch 1 1'!$AC96</f>
        <v>-89.348694634977846</v>
      </c>
      <c r="W96" s="1">
        <f>'Touch 1 1'!W96-'Touch 1 1'!$AA96-('Touch 1 1'!W$2- 12.5)*'Touch 1 1'!$AC96</f>
        <v>19.69851776090718</v>
      </c>
      <c r="X96" s="1">
        <f>'Touch 1 1'!X96-'Touch 1 1'!$AA96-('Touch 1 1'!X$2- 12.5)*'Touch 1 1'!$AC96</f>
        <v>-11.254269843208021</v>
      </c>
      <c r="Y96" s="1">
        <f>'Touch 1 1'!Y96-'Touch 1 1'!$AA96-('Touch 1 1'!Y$2- 12.5)*'Touch 1 1'!$AC96</f>
        <v>-2.207057447322768</v>
      </c>
      <c r="AB96" s="1">
        <f>STDEV(B96:Y96)</f>
        <v>42.123934056427693</v>
      </c>
      <c r="AD96" s="11">
        <v>4</v>
      </c>
      <c r="AE96" s="11">
        <v>8</v>
      </c>
      <c r="AF96" s="11">
        <v>1</v>
      </c>
      <c r="AG96" s="11">
        <v>6</v>
      </c>
      <c r="AH96" s="11">
        <v>2</v>
      </c>
      <c r="AI96" s="11">
        <v>3</v>
      </c>
      <c r="AJ96" s="11" t="s">
        <v>44</v>
      </c>
      <c r="AK96" s="11">
        <v>5</v>
      </c>
      <c r="AL96" s="11" t="s">
        <v>46</v>
      </c>
      <c r="AM96" s="11">
        <v>7</v>
      </c>
      <c r="AN96" s="11" t="s">
        <v>45</v>
      </c>
      <c r="AO96" s="11">
        <v>9</v>
      </c>
      <c r="AP96" s="11">
        <v>4</v>
      </c>
      <c r="AQ96" s="11">
        <v>8</v>
      </c>
      <c r="AR96" s="11">
        <v>6</v>
      </c>
      <c r="AS96" s="11">
        <v>1</v>
      </c>
      <c r="AT96" s="11">
        <v>2</v>
      </c>
      <c r="AU96" s="11" t="s">
        <v>44</v>
      </c>
      <c r="AV96" s="11">
        <v>3</v>
      </c>
      <c r="AW96" s="11" t="s">
        <v>46</v>
      </c>
      <c r="AX96" s="11">
        <v>5</v>
      </c>
      <c r="AY96" s="11" t="s">
        <v>45</v>
      </c>
      <c r="AZ96" s="11">
        <v>7</v>
      </c>
      <c r="BA96" s="11">
        <v>9</v>
      </c>
      <c r="BB96" s="5"/>
      <c r="BC96" s="1">
        <f ca="1">OFFSET(A96,0, 3) -0</f>
        <v>17.80148223909282</v>
      </c>
      <c r="BD96" s="1">
        <f ca="1">OFFSET(A96,0, 5) -0</f>
        <v>35.895907030862645</v>
      </c>
      <c r="BE96" s="1">
        <f ca="1">OFFSET(A96,0, 6) -0</f>
        <v>54.943119426747671</v>
      </c>
      <c r="BF96" s="1">
        <f ca="1">OFFSET(A96,0, 1) -0</f>
        <v>39.707057447322768</v>
      </c>
      <c r="BG96" s="1">
        <f ca="1">OFFSET(A96,0, 8) -0</f>
        <v>-46.96245578148239</v>
      </c>
      <c r="BH96" s="1">
        <f ca="1">OFFSET(A96,0, 4) -0</f>
        <v>56.848694634977846</v>
      </c>
      <c r="BI96" s="1">
        <f ca="1">OFFSET(A96,0, 10) -0</f>
        <v>-78.868030989712452</v>
      </c>
      <c r="BJ96" s="1">
        <f ca="1">OFFSET(A96,0, 2) -0</f>
        <v>48.754269843208021</v>
      </c>
      <c r="BK96" s="1">
        <f ca="1">OFFSET(A96,0, 12) -0</f>
        <v>-70.773606197942485</v>
      </c>
      <c r="BL96" s="1">
        <f ca="1">OFFSET(A96,0, 7) -0</f>
        <v>-16.009668177367303</v>
      </c>
      <c r="BM96" s="1">
        <f ca="1">OFFSET(A96,0, 11) -0</f>
        <v>-9.8208185938274255</v>
      </c>
      <c r="BN96" s="1">
        <f ca="1">OFFSET(A96,0, 9) -0</f>
        <v>-47.915243385597364</v>
      </c>
      <c r="BO96" s="1">
        <f ca="1">OFFSET(A96,0, 16) -0</f>
        <v>25.415243385597364</v>
      </c>
      <c r="BP96" s="1">
        <f ca="1">OFFSET(A96,0, 17) -0</f>
        <v>14.46245578148239</v>
      </c>
      <c r="BQ96" s="1">
        <f ca="1">OFFSET(A96,0, 19) -0</f>
        <v>-17.443119426747671</v>
      </c>
      <c r="BR96" s="1">
        <f ca="1">OFFSET(A96,0, 13) -0</f>
        <v>-11.726393802057515</v>
      </c>
      <c r="BS96" s="1">
        <f ca="1">OFFSET(A96,0, 21) -0</f>
        <v>-89.348694634977846</v>
      </c>
      <c r="BT96" s="1">
        <f ca="1">OFFSET(A96,0, 15) -0</f>
        <v>36.368030989712452</v>
      </c>
      <c r="BU96" s="1">
        <f ca="1">OFFSET(A96,0, 23) -0</f>
        <v>-11.254269843208021</v>
      </c>
      <c r="BV96" s="1">
        <f ca="1">OFFSET(A96,0, 14) -0</f>
        <v>7.3208185938274255</v>
      </c>
      <c r="BW96" s="1">
        <f ca="1">OFFSET(A96,0, 24) -0</f>
        <v>-2.207057447322768</v>
      </c>
      <c r="BX96" s="1">
        <f ca="1">OFFSET(A96,0, 18) -0</f>
        <v>3.5096681773673026</v>
      </c>
      <c r="BY96" s="1">
        <f ca="1">OFFSET(A96,0, 22) -0</f>
        <v>19.69851776090718</v>
      </c>
      <c r="BZ96" s="1">
        <f ca="1">OFFSET(A96,0, 20) -0</f>
        <v>41.604092969137355</v>
      </c>
      <c r="CB96" s="1">
        <f>COUNTIF(B96,"&lt;-75")</f>
        <v>0</v>
      </c>
      <c r="CC96" s="1">
        <f ca="1">COUNTIF(BC96:BN96,"&lt;-53")</f>
        <v>2</v>
      </c>
      <c r="CD96" s="1">
        <f ca="1">COUNTIF(BC96:BN96,"&gt;+53")</f>
        <v>2</v>
      </c>
      <c r="CE96" s="1">
        <f ca="1">COUNTIF(BO96:BZ96,"&lt;-53")</f>
        <v>1</v>
      </c>
      <c r="CF96" s="1">
        <f ca="1">COUNTIF(BO96:BZ96,"&gt;+53")</f>
        <v>0</v>
      </c>
    </row>
    <row r="97" spans="1:84">
      <c r="A97" s="1">
        <v>94</v>
      </c>
      <c r="B97" s="1">
        <f>'Touch 1 1'!B97-'Touch 1 1'!$AA97-('Touch 1 1'!B$2- 12.5)*'Touch 1 1'!$AC97</f>
        <v>3.5880652707946865</v>
      </c>
      <c r="C97" s="1">
        <f>'Touch 1 1'!C97-'Touch 1 1'!$AA97-('Touch 1 1'!C$2- 12.5)*'Touch 1 1'!$AC97</f>
        <v>22.768813218258401</v>
      </c>
      <c r="D97" s="1">
        <f>'Touch 1 1'!D97-'Touch 1 1'!$AA97-('Touch 1 1'!D$2- 12.5)*'Touch 1 1'!$AC97</f>
        <v>1.9495611657221161</v>
      </c>
      <c r="E97" s="1">
        <f>'Touch 1 1'!E97-'Touch 1 1'!$AA97-('Touch 1 1'!E$2- 12.5)*'Touch 1 1'!$AC97</f>
        <v>31.130309113185831</v>
      </c>
      <c r="F97" s="1">
        <f>'Touch 1 1'!F97-'Touch 1 1'!$AA97-('Touch 1 1'!F$2- 12.5)*'Touch 1 1'!$AC97</f>
        <v>-59.688942939350454</v>
      </c>
      <c r="G97" s="1">
        <f>'Touch 1 1'!G97-'Touch 1 1'!$AA97-('Touch 1 1'!G$2- 12.5)*'Touch 1 1'!$AC97</f>
        <v>-10.508194991886739</v>
      </c>
      <c r="H97" s="1">
        <f>'Touch 1 1'!H97-'Touch 1 1'!$AA97-('Touch 1 1'!H$2- 12.5)*'Touch 1 1'!$AC97</f>
        <v>58.672552955577203</v>
      </c>
      <c r="I97" s="1">
        <f>'Touch 1 1'!I97-'Touch 1 1'!$AA97-('Touch 1 1'!I$2- 12.5)*'Touch 1 1'!$AC97</f>
        <v>47.853300903040918</v>
      </c>
      <c r="J97" s="1">
        <f>'Touch 1 1'!J97-'Touch 1 1'!$AA97-('Touch 1 1'!J$2- 12.5)*'Touch 1 1'!$AC97</f>
        <v>67.034048850504632</v>
      </c>
      <c r="K97" s="1">
        <f>'Touch 1 1'!K97-'Touch 1 1'!$AA97-('Touch 1 1'!K$2- 12.5)*'Touch 1 1'!$AC97</f>
        <v>-43.785203202031539</v>
      </c>
      <c r="L97" s="1">
        <f>'Touch 1 1'!L97-'Touch 1 1'!$AA97-('Touch 1 1'!L$2- 12.5)*'Touch 1 1'!$AC97</f>
        <v>-14.604455254567824</v>
      </c>
      <c r="M97" s="1">
        <f>'Touch 1 1'!M97-'Touch 1 1'!$AA97-('Touch 1 1'!M$2- 12.5)*'Touch 1 1'!$AC97</f>
        <v>34.576292692895976</v>
      </c>
      <c r="N97" s="1">
        <f>'Touch 1 1'!N97-'Touch 1 1'!$AA97-('Touch 1 1'!N$2- 12.5)*'Touch 1 1'!$AC97</f>
        <v>-16.242959359640253</v>
      </c>
      <c r="O97" s="1">
        <f>'Touch 1 1'!O97-'Touch 1 1'!$AA97-('Touch 1 1'!O$2- 12.5)*'Touch 1 1'!$AC97</f>
        <v>42.937788587823547</v>
      </c>
      <c r="P97" s="1">
        <f>'Touch 1 1'!P97-'Touch 1 1'!$AA97-('Touch 1 1'!P$2- 12.5)*'Touch 1 1'!$AC97</f>
        <v>12.118536535287262</v>
      </c>
      <c r="Q97" s="1">
        <f>'Touch 1 1'!Q97-'Touch 1 1'!$AA97-('Touch 1 1'!Q$2- 12.5)*'Touch 1 1'!$AC97</f>
        <v>1.2992844827510908</v>
      </c>
      <c r="R97" s="1">
        <f>'Touch 1 1'!R97-'Touch 1 1'!$AA97-('Touch 1 1'!R$2- 12.5)*'Touch 1 1'!$AC97</f>
        <v>30.480032430214806</v>
      </c>
      <c r="S97" s="1">
        <f>'Touch 1 1'!S97-'Touch 1 1'!$AA97-('Touch 1 1'!S$2- 12.5)*'Touch 1 1'!$AC97</f>
        <v>-60.33921962232148</v>
      </c>
      <c r="T97" s="1">
        <f>'Touch 1 1'!T97-'Touch 1 1'!$AA97-('Touch 1 1'!T$2- 12.5)*'Touch 1 1'!$AC97</f>
        <v>-11.158471674857537</v>
      </c>
      <c r="U97" s="1">
        <f>'Touch 1 1'!U97-'Touch 1 1'!$AA97-('Touch 1 1'!U$2- 12.5)*'Touch 1 1'!$AC97</f>
        <v>-31.977723727393823</v>
      </c>
      <c r="V97" s="1">
        <f>'Touch 1 1'!V97-'Touch 1 1'!$AA97-('Touch 1 1'!V$2- 12.5)*'Touch 1 1'!$AC97</f>
        <v>-82.796975779930108</v>
      </c>
      <c r="W97" s="1">
        <f>'Touch 1 1'!W97-'Touch 1 1'!$AA97-('Touch 1 1'!W$2- 12.5)*'Touch 1 1'!$AC97</f>
        <v>16.383772167533607</v>
      </c>
      <c r="X97" s="1">
        <f>'Touch 1 1'!X97-'Touch 1 1'!$AA97-('Touch 1 1'!X$2- 12.5)*'Touch 1 1'!$AC97</f>
        <v>-24.435479885002678</v>
      </c>
      <c r="Y97" s="1">
        <f>'Touch 1 1'!Y97-'Touch 1 1'!$AA97-('Touch 1 1'!Y$2- 12.5)*'Touch 1 1'!$AC97</f>
        <v>-15.254731937538963</v>
      </c>
      <c r="AB97" s="1">
        <f>STDEV(B97:Y97)</f>
        <v>38.817212738255122</v>
      </c>
      <c r="AD97" s="11">
        <v>8</v>
      </c>
      <c r="AE97" s="11">
        <v>4</v>
      </c>
      <c r="AF97" s="11">
        <v>1</v>
      </c>
      <c r="AG97" s="11">
        <v>6</v>
      </c>
      <c r="AH97" s="11" t="s">
        <v>44</v>
      </c>
      <c r="AI97" s="11">
        <v>2</v>
      </c>
      <c r="AJ97" s="11" t="s">
        <v>46</v>
      </c>
      <c r="AK97" s="11">
        <v>3</v>
      </c>
      <c r="AL97" s="11" t="s">
        <v>45</v>
      </c>
      <c r="AM97" s="11">
        <v>5</v>
      </c>
      <c r="AN97" s="11">
        <v>9</v>
      </c>
      <c r="AO97" s="11">
        <v>7</v>
      </c>
      <c r="AP97" s="11">
        <v>8</v>
      </c>
      <c r="AQ97" s="11">
        <v>1</v>
      </c>
      <c r="AR97" s="11">
        <v>4</v>
      </c>
      <c r="AS97" s="11">
        <v>6</v>
      </c>
      <c r="AT97" s="11">
        <v>2</v>
      </c>
      <c r="AU97" s="11" t="s">
        <v>44</v>
      </c>
      <c r="AV97" s="11">
        <v>3</v>
      </c>
      <c r="AW97" s="11" t="s">
        <v>46</v>
      </c>
      <c r="AX97" s="11">
        <v>5</v>
      </c>
      <c r="AY97" s="11" t="s">
        <v>45</v>
      </c>
      <c r="AZ97" s="11">
        <v>7</v>
      </c>
      <c r="BA97" s="11">
        <v>9</v>
      </c>
      <c r="BB97" s="5"/>
      <c r="BC97" s="1">
        <f ca="1">OFFSET(A97,0, 3) -0</f>
        <v>1.9495611657221161</v>
      </c>
      <c r="BD97" s="1">
        <f ca="1">OFFSET(A97,0, 6) -0</f>
        <v>-10.508194991886739</v>
      </c>
      <c r="BE97" s="1">
        <f ca="1">OFFSET(A97,0, 8) -0</f>
        <v>47.853300903040918</v>
      </c>
      <c r="BF97" s="1">
        <f ca="1">OFFSET(A97,0, 2) -0</f>
        <v>22.768813218258401</v>
      </c>
      <c r="BG97" s="1">
        <f ca="1">OFFSET(A97,0, 10) -0</f>
        <v>-43.785203202031539</v>
      </c>
      <c r="BH97" s="1">
        <f ca="1">OFFSET(A97,0, 4) -0</f>
        <v>31.130309113185831</v>
      </c>
      <c r="BI97" s="1">
        <f ca="1">OFFSET(A97,0, 12) -0</f>
        <v>34.576292692895976</v>
      </c>
      <c r="BJ97" s="1">
        <f ca="1">OFFSET(A97,0, 1) -0</f>
        <v>3.5880652707946865</v>
      </c>
      <c r="BK97" s="1">
        <f ca="1">OFFSET(A97,0, 11) -0</f>
        <v>-14.604455254567824</v>
      </c>
      <c r="BL97" s="1">
        <f ca="1">OFFSET(A97,0, 5) -0</f>
        <v>-59.688942939350454</v>
      </c>
      <c r="BM97" s="1">
        <f ca="1">OFFSET(A97,0, 9) -0</f>
        <v>67.034048850504632</v>
      </c>
      <c r="BN97" s="1">
        <f ca="1">OFFSET(A97,0, 7) -0</f>
        <v>58.672552955577203</v>
      </c>
      <c r="BO97" s="1">
        <f ca="1">OFFSET(A97,0, 14) -0</f>
        <v>42.937788587823547</v>
      </c>
      <c r="BP97" s="1">
        <f ca="1">OFFSET(A97,0, 17) -0</f>
        <v>30.480032430214806</v>
      </c>
      <c r="BQ97" s="1">
        <f ca="1">OFFSET(A97,0, 19) -0</f>
        <v>-11.158471674857537</v>
      </c>
      <c r="BR97" s="1">
        <f ca="1">OFFSET(A97,0, 15) -0</f>
        <v>12.118536535287262</v>
      </c>
      <c r="BS97" s="1">
        <f ca="1">OFFSET(A97,0, 21) -0</f>
        <v>-82.796975779930108</v>
      </c>
      <c r="BT97" s="1">
        <f ca="1">OFFSET(A97,0, 16) -0</f>
        <v>1.2992844827510908</v>
      </c>
      <c r="BU97" s="1">
        <f ca="1">OFFSET(A97,0, 23) -0</f>
        <v>-24.435479885002678</v>
      </c>
      <c r="BV97" s="1">
        <f ca="1">OFFSET(A97,0, 13) -0</f>
        <v>-16.242959359640253</v>
      </c>
      <c r="BW97" s="1">
        <f ca="1">OFFSET(A97,0, 24) -0</f>
        <v>-15.254731937538963</v>
      </c>
      <c r="BX97" s="1">
        <f ca="1">OFFSET(A97,0, 18) -0</f>
        <v>-60.33921962232148</v>
      </c>
      <c r="BY97" s="1">
        <f ca="1">OFFSET(A97,0, 22) -0</f>
        <v>16.383772167533607</v>
      </c>
      <c r="BZ97" s="1">
        <f ca="1">OFFSET(A97,0, 20) -0</f>
        <v>-31.977723727393823</v>
      </c>
      <c r="CB97" s="1">
        <f>COUNTIF(B97,"&lt;-75")</f>
        <v>0</v>
      </c>
      <c r="CC97" s="1">
        <f ca="1">COUNTIF(BC97:BN97,"&lt;-53")</f>
        <v>1</v>
      </c>
      <c r="CD97" s="1">
        <f ca="1">COUNTIF(BC97:BN97,"&gt;+53")</f>
        <v>2</v>
      </c>
      <c r="CE97" s="1">
        <f ca="1">COUNTIF(BO97:BZ97,"&lt;-53")</f>
        <v>2</v>
      </c>
      <c r="CF97" s="1">
        <f ca="1">COUNTIF(BO97:BZ97,"&gt;+53")</f>
        <v>0</v>
      </c>
    </row>
    <row r="98" spans="1:84">
      <c r="A98" s="1">
        <v>95</v>
      </c>
      <c r="B98" s="1">
        <f>'Touch 1 1'!B98-'Touch 1 1'!$AA98-('Touch 1 1'!B$2- 12.5)*'Touch 1 1'!$AC98</f>
        <v>16.83680587622257</v>
      </c>
      <c r="C98" s="1">
        <f>'Touch 1 1'!C98-'Touch 1 1'!$AA98-('Touch 1 1'!C$2- 12.5)*'Touch 1 1'!$AC98</f>
        <v>6.5683879739422082</v>
      </c>
      <c r="D98" s="1">
        <f>'Touch 1 1'!D98-'Touch 1 1'!$AA98-('Touch 1 1'!D$2- 12.5)*'Touch 1 1'!$AC98</f>
        <v>-3.7000299283379263</v>
      </c>
      <c r="E98" s="1">
        <f>'Touch 1 1'!E98-'Touch 1 1'!$AA98-('Touch 1 1'!E$2- 12.5)*'Touch 1 1'!$AC98</f>
        <v>56.031552169381939</v>
      </c>
      <c r="F98" s="1">
        <f>'Touch 1 1'!F98-'Touch 1 1'!$AA98-('Touch 1 1'!F$2- 12.5)*'Touch 1 1'!$AC98</f>
        <v>-54.236865732898423</v>
      </c>
      <c r="G98" s="1">
        <f>'Touch 1 1'!G98-'Touch 1 1'!$AA98-('Touch 1 1'!G$2- 12.5)*'Touch 1 1'!$AC98</f>
        <v>-54.505283635178557</v>
      </c>
      <c r="H98" s="1">
        <f>'Touch 1 1'!H98-'Touch 1 1'!$AA98-('Touch 1 1'!H$2- 12.5)*'Touch 1 1'!$AC98</f>
        <v>-74.773701537458692</v>
      </c>
      <c r="I98" s="1">
        <f>'Touch 1 1'!I98-'Touch 1 1'!$AA98-('Touch 1 1'!I$2- 12.5)*'Touch 1 1'!$AC98</f>
        <v>-25.042119439739054</v>
      </c>
      <c r="J98" s="1">
        <f>'Touch 1 1'!J98-'Touch 1 1'!$AA98-('Touch 1 1'!J$2- 12.5)*'Touch 1 1'!$AC98</f>
        <v>44.689462657980812</v>
      </c>
      <c r="K98" s="1">
        <f>'Touch 1 1'!K98-'Touch 1 1'!$AA98-('Touch 1 1'!K$2- 12.5)*'Touch 1 1'!$AC98</f>
        <v>-45.578955244299436</v>
      </c>
      <c r="L98" s="1">
        <f>'Touch 1 1'!L98-'Touch 1 1'!$AA98-('Touch 1 1'!L$2- 12.5)*'Touch 1 1'!$AC98</f>
        <v>-65.847373146579685</v>
      </c>
      <c r="M98" s="1">
        <f>'Touch 1 1'!M98-'Touch 1 1'!$AA98-('Touch 1 1'!M$2- 12.5)*'Touch 1 1'!$AC98</f>
        <v>-6.1157910488598901</v>
      </c>
      <c r="N98" s="1">
        <f>'Touch 1 1'!N98-'Touch 1 1'!$AA98-('Touch 1 1'!N$2- 12.5)*'Touch 1 1'!$AC98</f>
        <v>53.61579104885989</v>
      </c>
      <c r="O98" s="1">
        <f>'Touch 1 1'!O98-'Touch 1 1'!$AA98-('Touch 1 1'!O$2- 12.5)*'Touch 1 1'!$AC98</f>
        <v>63.347373146579685</v>
      </c>
      <c r="P98" s="1">
        <f>'Touch 1 1'!P98-'Touch 1 1'!$AA98-('Touch 1 1'!P$2- 12.5)*'Touch 1 1'!$AC98</f>
        <v>53.078955244299436</v>
      </c>
      <c r="Q98" s="1">
        <f>'Touch 1 1'!Q98-'Touch 1 1'!$AA98-('Touch 1 1'!Q$2- 12.5)*'Touch 1 1'!$AC98</f>
        <v>-7.1894626579808119</v>
      </c>
      <c r="R98" s="1">
        <f>'Touch 1 1'!R98-'Touch 1 1'!$AA98-('Touch 1 1'!R$2- 12.5)*'Touch 1 1'!$AC98</f>
        <v>2.5421194397390536</v>
      </c>
      <c r="S98" s="1">
        <f>'Touch 1 1'!S98-'Touch 1 1'!$AA98-('Touch 1 1'!S$2- 12.5)*'Touch 1 1'!$AC98</f>
        <v>-7.7262984625413083</v>
      </c>
      <c r="T98" s="1">
        <f>'Touch 1 1'!T98-'Touch 1 1'!$AA98-('Touch 1 1'!T$2- 12.5)*'Touch 1 1'!$AC98</f>
        <v>22.005283635178557</v>
      </c>
      <c r="U98" s="1">
        <f>'Touch 1 1'!U98-'Touch 1 1'!$AA98-('Touch 1 1'!U$2- 12.5)*'Touch 1 1'!$AC98</f>
        <v>1.7368657328984227</v>
      </c>
      <c r="V98" s="1">
        <f>'Touch 1 1'!V98-'Touch 1 1'!$AA98-('Touch 1 1'!V$2- 12.5)*'Touch 1 1'!$AC98</f>
        <v>1.4684478306180608</v>
      </c>
      <c r="W98" s="1">
        <f>'Touch 1 1'!W98-'Touch 1 1'!$AA98-('Touch 1 1'!W$2- 12.5)*'Touch 1 1'!$AC98</f>
        <v>31.200029928337926</v>
      </c>
      <c r="X98" s="1">
        <f>'Touch 1 1'!X98-'Touch 1 1'!$AA98-('Touch 1 1'!X$2- 12.5)*'Touch 1 1'!$AC98</f>
        <v>-29.068387973942208</v>
      </c>
      <c r="Y98" s="1">
        <f>'Touch 1 1'!Y98-'Touch 1 1'!$AA98-('Touch 1 1'!Y$2- 12.5)*'Touch 1 1'!$AC98</f>
        <v>20.66319412377743</v>
      </c>
      <c r="AB98" s="1">
        <f>STDEV(B98:Y98)</f>
        <v>39.899844217718289</v>
      </c>
      <c r="AD98" s="11">
        <v>1</v>
      </c>
      <c r="AE98" s="11">
        <v>8</v>
      </c>
      <c r="AF98" s="11">
        <v>6</v>
      </c>
      <c r="AG98" s="11">
        <v>4</v>
      </c>
      <c r="AH98" s="11" t="s">
        <v>44</v>
      </c>
      <c r="AI98" s="11">
        <v>2</v>
      </c>
      <c r="AJ98" s="11" t="s">
        <v>46</v>
      </c>
      <c r="AK98" s="11">
        <v>3</v>
      </c>
      <c r="AL98" s="11" t="s">
        <v>45</v>
      </c>
      <c r="AM98" s="11">
        <v>5</v>
      </c>
      <c r="AN98" s="11">
        <v>9</v>
      </c>
      <c r="AO98" s="11">
        <v>7</v>
      </c>
      <c r="AP98" s="11">
        <v>8</v>
      </c>
      <c r="AQ98" s="11">
        <v>1</v>
      </c>
      <c r="AR98" s="11">
        <v>6</v>
      </c>
      <c r="AS98" s="11" t="s">
        <v>44</v>
      </c>
      <c r="AT98" s="11">
        <v>4</v>
      </c>
      <c r="AU98" s="11" t="s">
        <v>46</v>
      </c>
      <c r="AV98" s="11">
        <v>2</v>
      </c>
      <c r="AW98" s="11" t="s">
        <v>45</v>
      </c>
      <c r="AX98" s="11">
        <v>3</v>
      </c>
      <c r="AY98" s="11">
        <v>9</v>
      </c>
      <c r="AZ98" s="11">
        <v>5</v>
      </c>
      <c r="BA98" s="11">
        <v>7</v>
      </c>
      <c r="BB98" s="5"/>
      <c r="BC98" s="1">
        <f ca="1">OFFSET(A98,0, 1) -0</f>
        <v>16.83680587622257</v>
      </c>
      <c r="BD98" s="1">
        <f ca="1">OFFSET(A98,0, 6) -0</f>
        <v>-54.505283635178557</v>
      </c>
      <c r="BE98" s="1">
        <f ca="1">OFFSET(A98,0, 8) -0</f>
        <v>-25.042119439739054</v>
      </c>
      <c r="BF98" s="1">
        <f ca="1">OFFSET(A98,0, 4) -0</f>
        <v>56.031552169381939</v>
      </c>
      <c r="BG98" s="1">
        <f ca="1">OFFSET(A98,0, 10) -0</f>
        <v>-45.578955244299436</v>
      </c>
      <c r="BH98" s="1">
        <f ca="1">OFFSET(A98,0, 3) -0</f>
        <v>-3.7000299283379263</v>
      </c>
      <c r="BI98" s="1">
        <f ca="1">OFFSET(A98,0, 12) -0</f>
        <v>-6.1157910488598901</v>
      </c>
      <c r="BJ98" s="1">
        <f ca="1">OFFSET(A98,0, 2) -0</f>
        <v>6.5683879739422082</v>
      </c>
      <c r="BK98" s="1">
        <f ca="1">OFFSET(A98,0, 11) -0</f>
        <v>-65.847373146579685</v>
      </c>
      <c r="BL98" s="1">
        <f ca="1">OFFSET(A98,0, 5) -0</f>
        <v>-54.236865732898423</v>
      </c>
      <c r="BM98" s="1">
        <f ca="1">OFFSET(A98,0, 9) -0</f>
        <v>44.689462657980812</v>
      </c>
      <c r="BN98" s="1">
        <f ca="1">OFFSET(A98,0, 7) -0</f>
        <v>-74.773701537458692</v>
      </c>
      <c r="BO98" s="1">
        <f ca="1">OFFSET(A98,0, 14) -0</f>
        <v>63.347373146579685</v>
      </c>
      <c r="BP98" s="1">
        <f ca="1">OFFSET(A98,0, 19) -0</f>
        <v>22.005283635178557</v>
      </c>
      <c r="BQ98" s="1">
        <f ca="1">OFFSET(A98,0, 21) -0</f>
        <v>1.4684478306180608</v>
      </c>
      <c r="BR98" s="1">
        <f ca="1">OFFSET(A98,0, 17) -0</f>
        <v>2.5421194397390536</v>
      </c>
      <c r="BS98" s="1">
        <f ca="1">OFFSET(A98,0, 23) -0</f>
        <v>-29.068387973942208</v>
      </c>
      <c r="BT98" s="1">
        <f ca="1">OFFSET(A98,0, 15) -0</f>
        <v>53.078955244299436</v>
      </c>
      <c r="BU98" s="1">
        <f ca="1">OFFSET(A98,0, 24) -0</f>
        <v>20.66319412377743</v>
      </c>
      <c r="BV98" s="1">
        <f ca="1">OFFSET(A98,0, 13) -0</f>
        <v>53.61579104885989</v>
      </c>
      <c r="BW98" s="1">
        <f ca="1">OFFSET(A98,0, 22) -0</f>
        <v>31.200029928337926</v>
      </c>
      <c r="BX98" s="1">
        <f ca="1">OFFSET(A98,0, 16) -0</f>
        <v>-7.1894626579808119</v>
      </c>
      <c r="BY98" s="1">
        <f ca="1">OFFSET(A98,0, 20) -0</f>
        <v>1.7368657328984227</v>
      </c>
      <c r="BZ98" s="1">
        <f ca="1">OFFSET(A98,0, 18) -0</f>
        <v>-7.7262984625413083</v>
      </c>
      <c r="CB98" s="1">
        <f>COUNTIF(B98,"&lt;-74")</f>
        <v>0</v>
      </c>
      <c r="CC98" s="1">
        <f ca="1">COUNTIF(BC98:BN98,"&lt;-53")</f>
        <v>4</v>
      </c>
      <c r="CD98" s="1">
        <f ca="1">COUNTIF(BC98:BN98,"&gt;+53")</f>
        <v>1</v>
      </c>
      <c r="CE98" s="1">
        <f ca="1">COUNTIF(BO98:BZ98,"&lt;-53")</f>
        <v>0</v>
      </c>
      <c r="CF98" s="1">
        <f ca="1">COUNTIF(BO98:BZ98,"&gt;+53")</f>
        <v>3</v>
      </c>
    </row>
    <row r="99" spans="1:84">
      <c r="A99" s="1">
        <v>96</v>
      </c>
      <c r="B99" s="1">
        <f>'Touch 1 1'!B99-'Touch 1 1'!$AA99-('Touch 1 1'!B$2- 12.5)*'Touch 1 1'!$AC99</f>
        <v>45.032299816128216</v>
      </c>
      <c r="C99" s="1">
        <f>'Touch 1 1'!C99-'Touch 1 1'!$AA99-('Touch 1 1'!C$2- 12.5)*'Touch 1 1'!$AC99</f>
        <v>44.304853455302236</v>
      </c>
      <c r="D99" s="1">
        <f>'Touch 1 1'!D99-'Touch 1 1'!$AA99-('Touch 1 1'!D$2- 12.5)*'Touch 1 1'!$AC99</f>
        <v>-46.42259290552397</v>
      </c>
      <c r="E99" s="1">
        <f>'Touch 1 1'!E99-'Touch 1 1'!$AA99-('Touch 1 1'!E$2- 12.5)*'Touch 1 1'!$AC99</f>
        <v>42.849960733649823</v>
      </c>
      <c r="F99" s="1">
        <f>'Touch 1 1'!F99-'Touch 1 1'!$AA99-('Touch 1 1'!F$2- 12.5)*'Touch 1 1'!$AC99</f>
        <v>-7.8774856271761564</v>
      </c>
      <c r="G99" s="1">
        <f>'Touch 1 1'!G99-'Touch 1 1'!$AA99-('Touch 1 1'!G$2- 12.5)*'Touch 1 1'!$AC99</f>
        <v>61.395068011997637</v>
      </c>
      <c r="H99" s="1">
        <f>'Touch 1 1'!H99-'Touch 1 1'!$AA99-('Touch 1 1'!H$2- 12.5)*'Touch 1 1'!$AC99</f>
        <v>90.66762165117143</v>
      </c>
      <c r="I99" s="1">
        <f>'Touch 1 1'!I99-'Touch 1 1'!$AA99-('Touch 1 1'!I$2- 12.5)*'Touch 1 1'!$AC99</f>
        <v>19.940175290345451</v>
      </c>
      <c r="J99" s="1">
        <f>'Touch 1 1'!J99-'Touch 1 1'!$AA99-('Touch 1 1'!J$2- 12.5)*'Touch 1 1'!$AC99</f>
        <v>-0.78727107048075595</v>
      </c>
      <c r="K99" s="1">
        <f>'Touch 1 1'!K99-'Touch 1 1'!$AA99-('Touch 1 1'!K$2- 12.5)*'Touch 1 1'!$AC99</f>
        <v>-1.514717431306849</v>
      </c>
      <c r="L99" s="1">
        <f>'Touch 1 1'!L99-'Touch 1 1'!$AA99-('Touch 1 1'!L$2- 12.5)*'Touch 1 1'!$AC99</f>
        <v>27.757836207867058</v>
      </c>
      <c r="M99" s="1">
        <f>'Touch 1 1'!M99-'Touch 1 1'!$AA99-('Touch 1 1'!M$2- 12.5)*'Touch 1 1'!$AC99</f>
        <v>-82.969610152959078</v>
      </c>
      <c r="N99" s="1">
        <f>'Touch 1 1'!N99-'Touch 1 1'!$AA99-('Touch 1 1'!N$2- 12.5)*'Touch 1 1'!$AC99</f>
        <v>86.302943486214801</v>
      </c>
      <c r="O99" s="1">
        <f>'Touch 1 1'!O99-'Touch 1 1'!$AA99-('Touch 1 1'!O$2- 12.5)*'Touch 1 1'!$AC99</f>
        <v>-4.4245028746113348</v>
      </c>
      <c r="P99" s="1">
        <f>'Touch 1 1'!P99-'Touch 1 1'!$AA99-('Touch 1 1'!P$2- 12.5)*'Touch 1 1'!$AC99</f>
        <v>24.848050764562572</v>
      </c>
      <c r="Q99" s="1">
        <f>'Touch 1 1'!Q99-'Touch 1 1'!$AA99-('Touch 1 1'!Q$2- 12.5)*'Touch 1 1'!$AC99</f>
        <v>-55.879395596263521</v>
      </c>
      <c r="R99" s="1">
        <f>'Touch 1 1'!R99-'Touch 1 1'!$AA99-('Touch 1 1'!R$2- 12.5)*'Touch 1 1'!$AC99</f>
        <v>23.393158042910272</v>
      </c>
      <c r="S99" s="1">
        <f>'Touch 1 1'!S99-'Touch 1 1'!$AA99-('Touch 1 1'!S$2- 12.5)*'Touch 1 1'!$AC99</f>
        <v>-57.334288317915707</v>
      </c>
      <c r="T99" s="1">
        <f>'Touch 1 1'!T99-'Touch 1 1'!$AA99-('Touch 1 1'!T$2- 12.5)*'Touch 1 1'!$AC99</f>
        <v>-258.06173467874191</v>
      </c>
      <c r="U99" s="1">
        <f>'Touch 1 1'!U99-'Touch 1 1'!$AA99-('Touch 1 1'!U$2- 12.5)*'Touch 1 1'!$AC99</f>
        <v>31.21081896043188</v>
      </c>
      <c r="V99" s="1">
        <f>'Touch 1 1'!V99-'Touch 1 1'!$AA99-('Touch 1 1'!V$2- 12.5)*'Touch 1 1'!$AC99</f>
        <v>30.4833725996059</v>
      </c>
      <c r="W99" s="1">
        <f>'Touch 1 1'!W99-'Touch 1 1'!$AA99-('Touch 1 1'!W$2- 12.5)*'Touch 1 1'!$AC99</f>
        <v>-10.244073761220307</v>
      </c>
      <c r="X99" s="1">
        <f>'Touch 1 1'!X99-'Touch 1 1'!$AA99-('Touch 1 1'!X$2- 12.5)*'Touch 1 1'!$AC99</f>
        <v>-0.97152012204651328</v>
      </c>
      <c r="Y99" s="1">
        <f>'Touch 1 1'!Y99-'Touch 1 1'!$AA99-('Touch 1 1'!Y$2- 12.5)*'Touch 1 1'!$AC99</f>
        <v>-1.6989664828724926</v>
      </c>
      <c r="AB99" s="1">
        <f>STDEV(B99:Y99)</f>
        <v>69.700963213326602</v>
      </c>
      <c r="AD99" s="11">
        <v>1</v>
      </c>
      <c r="AE99" s="11">
        <v>8</v>
      </c>
      <c r="AF99" s="11" t="s">
        <v>44</v>
      </c>
      <c r="AG99" s="11">
        <v>6</v>
      </c>
      <c r="AH99" s="11" t="s">
        <v>46</v>
      </c>
      <c r="AI99" s="11">
        <v>4</v>
      </c>
      <c r="AJ99" s="11" t="s">
        <v>45</v>
      </c>
      <c r="AK99" s="11">
        <v>2</v>
      </c>
      <c r="AL99" s="11">
        <v>9</v>
      </c>
      <c r="AM99" s="11">
        <v>3</v>
      </c>
      <c r="AN99" s="11">
        <v>7</v>
      </c>
      <c r="AO99" s="11">
        <v>5</v>
      </c>
      <c r="AP99" s="11">
        <v>1</v>
      </c>
      <c r="AQ99" s="11">
        <v>8</v>
      </c>
      <c r="AR99" s="11">
        <v>6</v>
      </c>
      <c r="AS99" s="11" t="s">
        <v>44</v>
      </c>
      <c r="AT99" s="11">
        <v>4</v>
      </c>
      <c r="AU99" s="11" t="s">
        <v>46</v>
      </c>
      <c r="AV99" s="11">
        <v>2</v>
      </c>
      <c r="AW99" s="11" t="s">
        <v>45</v>
      </c>
      <c r="AX99" s="11">
        <v>3</v>
      </c>
      <c r="AY99" s="11">
        <v>9</v>
      </c>
      <c r="AZ99" s="11">
        <v>5</v>
      </c>
      <c r="BA99" s="11">
        <v>7</v>
      </c>
      <c r="BB99" s="5"/>
      <c r="BC99" s="1">
        <f ca="1">OFFSET(A99,0, 1) -0</f>
        <v>45.032299816128216</v>
      </c>
      <c r="BD99" s="1">
        <f ca="1">OFFSET(A99,0, 8) -0</f>
        <v>19.940175290345451</v>
      </c>
      <c r="BE99" s="1">
        <f ca="1">OFFSET(A99,0, 10) -0</f>
        <v>-1.514717431306849</v>
      </c>
      <c r="BF99" s="1">
        <f ca="1">OFFSET(A99,0, 6) -0</f>
        <v>61.395068011997637</v>
      </c>
      <c r="BG99" s="1">
        <f ca="1">OFFSET(A99,0, 12) -0</f>
        <v>-82.969610152959078</v>
      </c>
      <c r="BH99" s="1">
        <f ca="1">OFFSET(A99,0, 4) -0</f>
        <v>42.849960733649823</v>
      </c>
      <c r="BI99" s="1">
        <f ca="1">OFFSET(A99,0, 11) -0</f>
        <v>27.757836207867058</v>
      </c>
      <c r="BJ99" s="1">
        <f ca="1">OFFSET(A99,0, 2) -0</f>
        <v>44.304853455302236</v>
      </c>
      <c r="BK99" s="1">
        <f ca="1">OFFSET(A99,0, 9) -0</f>
        <v>-0.78727107048075595</v>
      </c>
      <c r="BL99" s="1">
        <f ca="1">OFFSET(A99,0, 3) -0</f>
        <v>-46.42259290552397</v>
      </c>
      <c r="BM99" s="1">
        <f ca="1">OFFSET(A99,0, 7) -0</f>
        <v>90.66762165117143</v>
      </c>
      <c r="BN99" s="1">
        <f ca="1">OFFSET(A99,0, 5) -0</f>
        <v>-7.8774856271761564</v>
      </c>
      <c r="BO99" s="1">
        <f ca="1">OFFSET(A99,0, 13) -0</f>
        <v>86.302943486214801</v>
      </c>
      <c r="BP99" s="1">
        <f ca="1">OFFSET(A99,0, 19) -0</f>
        <v>-258.06173467874191</v>
      </c>
      <c r="BQ99" s="1">
        <f ca="1">OFFSET(A99,0, 21) -0</f>
        <v>30.4833725996059</v>
      </c>
      <c r="BR99" s="1">
        <f ca="1">OFFSET(A99,0, 17) -0</f>
        <v>23.393158042910272</v>
      </c>
      <c r="BS99" s="1">
        <f ca="1">OFFSET(A99,0, 23) -0</f>
        <v>-0.97152012204651328</v>
      </c>
      <c r="BT99" s="1">
        <f ca="1">OFFSET(A99,0, 15) -0</f>
        <v>24.848050764562572</v>
      </c>
      <c r="BU99" s="1">
        <f ca="1">OFFSET(A99,0, 24) -0</f>
        <v>-1.6989664828724926</v>
      </c>
      <c r="BV99" s="1">
        <f ca="1">OFFSET(A99,0, 14) -0</f>
        <v>-4.4245028746113348</v>
      </c>
      <c r="BW99" s="1">
        <f ca="1">OFFSET(A99,0, 22) -0</f>
        <v>-10.244073761220307</v>
      </c>
      <c r="BX99" s="1">
        <f ca="1">OFFSET(A99,0, 16) -0</f>
        <v>-55.879395596263521</v>
      </c>
      <c r="BY99" s="1">
        <f ca="1">OFFSET(A99,0, 20) -0</f>
        <v>31.21081896043188</v>
      </c>
      <c r="BZ99" s="1">
        <f ca="1">OFFSET(A99,0, 18) -0</f>
        <v>-57.334288317915707</v>
      </c>
      <c r="CB99" s="1">
        <f>COUNTIF(B99,"&lt;-75")</f>
        <v>0</v>
      </c>
      <c r="CC99" s="1">
        <f ca="1">COUNTIF(BC99:BN99,"&lt;-53")</f>
        <v>1</v>
      </c>
      <c r="CD99" s="1">
        <f ca="1">COUNTIF(BC99:BN99,"&gt;+53")</f>
        <v>2</v>
      </c>
      <c r="CE99" s="1">
        <f ca="1">COUNTIF(BO99:BZ99,"&lt;-53")</f>
        <v>3</v>
      </c>
      <c r="CF99" s="1">
        <f ca="1">COUNTIF(BO99:BZ99,"&gt;+53")</f>
        <v>1</v>
      </c>
    </row>
    <row r="100" spans="1:84">
      <c r="A100" s="1">
        <v>97</v>
      </c>
      <c r="B100" s="1">
        <f>'Touch 1 1'!B100-'Touch 1 1'!$AA100-('Touch 1 1'!B$2- 12.5)*'Touch 1 1'!$AC100</f>
        <v>4.0984334252671033</v>
      </c>
      <c r="C100" s="1">
        <f>'Touch 1 1'!C100-'Touch 1 1'!$AA100-('Touch 1 1'!C$2- 12.5)*'Touch 1 1'!$AC100</f>
        <v>33.162337765102166</v>
      </c>
      <c r="D100" s="1">
        <f>'Touch 1 1'!D100-'Touch 1 1'!$AA100-('Touch 1 1'!D$2- 12.5)*'Touch 1 1'!$AC100</f>
        <v>2.2262421049374552</v>
      </c>
      <c r="E100" s="1">
        <f>'Touch 1 1'!E100-'Touch 1 1'!$AA100-('Touch 1 1'!E$2- 12.5)*'Touch 1 1'!$AC100</f>
        <v>31.290146444772745</v>
      </c>
      <c r="F100" s="1">
        <f>'Touch 1 1'!F100-'Touch 1 1'!$AA100-('Touch 1 1'!F$2- 12.5)*'Touch 1 1'!$AC100</f>
        <v>-69.645949215392193</v>
      </c>
      <c r="G100" s="1">
        <f>'Touch 1 1'!G100-'Touch 1 1'!$AA100-('Touch 1 1'!G$2- 12.5)*'Touch 1 1'!$AC100</f>
        <v>39.417955124443097</v>
      </c>
      <c r="H100" s="1">
        <f>'Touch 1 1'!H100-'Touch 1 1'!$AA100-('Touch 1 1'!H$2- 12.5)*'Touch 1 1'!$AC100</f>
        <v>38.481859464278386</v>
      </c>
      <c r="I100" s="1">
        <f>'Touch 1 1'!I100-'Touch 1 1'!$AA100-('Touch 1 1'!I$2- 12.5)*'Touch 1 1'!$AC100</f>
        <v>7.5457638041135624</v>
      </c>
      <c r="J100" s="1">
        <f>'Touch 1 1'!J100-'Touch 1 1'!$AA100-('Touch 1 1'!J$2- 12.5)*'Touch 1 1'!$AC100</f>
        <v>-23.390331856051148</v>
      </c>
      <c r="K100" s="1">
        <f>'Touch 1 1'!K100-'Touch 1 1'!$AA100-('Touch 1 1'!K$2- 12.5)*'Touch 1 1'!$AC100</f>
        <v>25.673572483784028</v>
      </c>
      <c r="L100" s="1">
        <f>'Touch 1 1'!L100-'Touch 1 1'!$AA100-('Touch 1 1'!L$2- 12.5)*'Touch 1 1'!$AC100</f>
        <v>-55.262523176380682</v>
      </c>
      <c r="M100" s="1">
        <f>'Touch 1 1'!M100-'Touch 1 1'!$AA100-('Touch 1 1'!M$2- 12.5)*'Touch 1 1'!$AC100</f>
        <v>-16.198618836545478</v>
      </c>
      <c r="N100" s="1">
        <f>'Touch 1 1'!N100-'Touch 1 1'!$AA100-('Touch 1 1'!N$2- 12.5)*'Touch 1 1'!$AC100</f>
        <v>12.865285503289755</v>
      </c>
      <c r="O100" s="1">
        <f>'Touch 1 1'!O100-'Touch 1 1'!$AA100-('Touch 1 1'!O$2- 12.5)*'Touch 1 1'!$AC100</f>
        <v>-28.070810156875041</v>
      </c>
      <c r="P100" s="1">
        <f>'Touch 1 1'!P100-'Touch 1 1'!$AA100-('Touch 1 1'!P$2- 12.5)*'Touch 1 1'!$AC100</f>
        <v>-29.006905817039751</v>
      </c>
      <c r="Q100" s="1">
        <f>'Touch 1 1'!Q100-'Touch 1 1'!$AA100-('Touch 1 1'!Q$2- 12.5)*'Touch 1 1'!$AC100</f>
        <v>-9.9430014772045752</v>
      </c>
      <c r="R100" s="1">
        <f>'Touch 1 1'!R100-'Touch 1 1'!$AA100-('Touch 1 1'!R$2- 12.5)*'Touch 1 1'!$AC100</f>
        <v>-0.87909713736928552</v>
      </c>
      <c r="S100" s="1">
        <f>'Touch 1 1'!S100-'Touch 1 1'!$AA100-('Touch 1 1'!S$2- 12.5)*'Touch 1 1'!$AC100</f>
        <v>-11.81519279753411</v>
      </c>
      <c r="T100" s="1">
        <f>'Touch 1 1'!T100-'Touch 1 1'!$AA100-('Touch 1 1'!T$2- 12.5)*'Touch 1 1'!$AC100</f>
        <v>37.24871154230118</v>
      </c>
      <c r="U100" s="1">
        <f>'Touch 1 1'!U100-'Touch 1 1'!$AA100-('Touch 1 1'!U$2- 12.5)*'Touch 1 1'!$AC100</f>
        <v>36.31261588213647</v>
      </c>
      <c r="V100" s="1">
        <f>'Touch 1 1'!V100-'Touch 1 1'!$AA100-('Touch 1 1'!V$2- 12.5)*'Touch 1 1'!$AC100</f>
        <v>-4.623479778028468</v>
      </c>
      <c r="W100" s="1">
        <f>'Touch 1 1'!W100-'Touch 1 1'!$AA100-('Touch 1 1'!W$2- 12.5)*'Touch 1 1'!$AC100</f>
        <v>-15.559575438193178</v>
      </c>
      <c r="X100" s="1">
        <f>'Touch 1 1'!X100-'Touch 1 1'!$AA100-('Touch 1 1'!X$2- 12.5)*'Touch 1 1'!$AC100</f>
        <v>-26.495671098357889</v>
      </c>
      <c r="Y100" s="1">
        <f>'Touch 1 1'!Y100-'Touch 1 1'!$AA100-('Touch 1 1'!Y$2- 12.5)*'Touch 1 1'!$AC100</f>
        <v>22.568233241477174</v>
      </c>
      <c r="AB100" s="1">
        <f>STDEV(B100:Y100)</f>
        <v>30.058125619521309</v>
      </c>
      <c r="AD100" s="11">
        <v>8</v>
      </c>
      <c r="AE100" s="11">
        <v>1</v>
      </c>
      <c r="AF100" s="11" t="s">
        <v>44</v>
      </c>
      <c r="AG100" s="11">
        <v>6</v>
      </c>
      <c r="AH100" s="11" t="s">
        <v>46</v>
      </c>
      <c r="AI100" s="11">
        <v>4</v>
      </c>
      <c r="AJ100" s="11" t="s">
        <v>45</v>
      </c>
      <c r="AK100" s="11">
        <v>2</v>
      </c>
      <c r="AL100" s="11">
        <v>9</v>
      </c>
      <c r="AM100" s="11">
        <v>3</v>
      </c>
      <c r="AN100" s="11">
        <v>7</v>
      </c>
      <c r="AO100" s="11">
        <v>5</v>
      </c>
      <c r="AP100" s="11">
        <v>1</v>
      </c>
      <c r="AQ100" s="11">
        <v>8</v>
      </c>
      <c r="AR100" s="11" t="s">
        <v>44</v>
      </c>
      <c r="AS100" s="11" t="s">
        <v>46</v>
      </c>
      <c r="AT100" s="11">
        <v>6</v>
      </c>
      <c r="AU100" s="11" t="s">
        <v>45</v>
      </c>
      <c r="AV100" s="11">
        <v>4</v>
      </c>
      <c r="AW100" s="11">
        <v>9</v>
      </c>
      <c r="AX100" s="11">
        <v>2</v>
      </c>
      <c r="AY100" s="11">
        <v>7</v>
      </c>
      <c r="AZ100" s="11">
        <v>3</v>
      </c>
      <c r="BA100" s="11">
        <v>5</v>
      </c>
      <c r="BB100" s="5"/>
      <c r="BC100" s="1">
        <f ca="1">OFFSET(A100,0, 2) -0</f>
        <v>33.162337765102166</v>
      </c>
      <c r="BD100" s="1">
        <f ca="1">OFFSET(A100,0, 8) -0</f>
        <v>7.5457638041135624</v>
      </c>
      <c r="BE100" s="1">
        <f ca="1">OFFSET(A100,0, 10) -0</f>
        <v>25.673572483784028</v>
      </c>
      <c r="BF100" s="1">
        <f ca="1">OFFSET(A100,0, 6) -0</f>
        <v>39.417955124443097</v>
      </c>
      <c r="BG100" s="1">
        <f ca="1">OFFSET(A100,0, 12) -0</f>
        <v>-16.198618836545478</v>
      </c>
      <c r="BH100" s="1">
        <f ca="1">OFFSET(A100,0, 4) -0</f>
        <v>31.290146444772745</v>
      </c>
      <c r="BI100" s="1">
        <f ca="1">OFFSET(A100,0, 11) -0</f>
        <v>-55.262523176380682</v>
      </c>
      <c r="BJ100" s="1">
        <f ca="1">OFFSET(A100,0, 1) -0</f>
        <v>4.0984334252671033</v>
      </c>
      <c r="BK100" s="1">
        <f ca="1">OFFSET(A100,0, 9) -0</f>
        <v>-23.390331856051148</v>
      </c>
      <c r="BL100" s="1">
        <f ca="1">OFFSET(A100,0, 3) -0</f>
        <v>2.2262421049374552</v>
      </c>
      <c r="BM100" s="1">
        <f ca="1">OFFSET(A100,0, 7) -0</f>
        <v>38.481859464278386</v>
      </c>
      <c r="BN100" s="1">
        <f ca="1">OFFSET(A100,0, 5) -0</f>
        <v>-69.645949215392193</v>
      </c>
      <c r="BO100" s="1">
        <f ca="1">OFFSET(A100,0, 13) -0</f>
        <v>12.865285503289755</v>
      </c>
      <c r="BP100" s="1">
        <f ca="1">OFFSET(A100,0, 21) -0</f>
        <v>-4.623479778028468</v>
      </c>
      <c r="BQ100" s="1">
        <f ca="1">OFFSET(A100,0, 23) -0</f>
        <v>-26.495671098357889</v>
      </c>
      <c r="BR100" s="1">
        <f ca="1">OFFSET(A100,0, 19) -0</f>
        <v>37.24871154230118</v>
      </c>
      <c r="BS100" s="1">
        <f ca="1">OFFSET(A100,0, 24) -0</f>
        <v>22.568233241477174</v>
      </c>
      <c r="BT100" s="1">
        <f ca="1">OFFSET(A100,0, 17) -0</f>
        <v>-0.87909713736928552</v>
      </c>
      <c r="BU100" s="1">
        <f ca="1">OFFSET(A100,0, 22) -0</f>
        <v>-15.559575438193178</v>
      </c>
      <c r="BV100" s="1">
        <f ca="1">OFFSET(A100,0, 14) -0</f>
        <v>-28.070810156875041</v>
      </c>
      <c r="BW100" s="1">
        <f ca="1">OFFSET(A100,0, 20) -0</f>
        <v>36.31261588213647</v>
      </c>
      <c r="BX100" s="1">
        <f ca="1">OFFSET(A100,0, 15) -0</f>
        <v>-29.006905817039751</v>
      </c>
      <c r="BY100" s="1">
        <f ca="1">OFFSET(A100,0, 18) -0</f>
        <v>-11.81519279753411</v>
      </c>
      <c r="BZ100" s="1">
        <f ca="1">OFFSET(A100,0, 16) -0</f>
        <v>-9.9430014772045752</v>
      </c>
      <c r="CB100" s="1">
        <f>COUNTIF(B100,"&lt;-75")</f>
        <v>0</v>
      </c>
      <c r="CC100" s="1">
        <f ca="1">COUNTIF(BC100:BN100,"&lt;-53")</f>
        <v>2</v>
      </c>
      <c r="CD100" s="1">
        <f ca="1">COUNTIF(BC100:BN100,"&gt;+53")</f>
        <v>0</v>
      </c>
      <c r="CE100" s="1">
        <f ca="1">COUNTIF(BO100:BZ100,"&lt;-53")</f>
        <v>0</v>
      </c>
      <c r="CF100" s="1">
        <f ca="1">COUNTIF(BO100:BZ100,"&gt;+53")</f>
        <v>0</v>
      </c>
    </row>
    <row r="101" spans="1:84">
      <c r="A101" s="1">
        <v>98</v>
      </c>
      <c r="B101" s="1">
        <f>'Touch 1 1'!B101-'Touch 1 1'!$AA101-('Touch 1 1'!B$2- 12.5)*'Touch 1 1'!$AC101</f>
        <v>-32.711498311221476</v>
      </c>
      <c r="C101" s="1">
        <f>'Touch 1 1'!C101-'Touch 1 1'!$AA101-('Touch 1 1'!C$2- 12.5)*'Touch 1 1'!$AC101</f>
        <v>17.161965310047435</v>
      </c>
      <c r="D101" s="1">
        <f>'Touch 1 1'!D101-'Touch 1 1'!$AA101-('Touch 1 1'!D$2- 12.5)*'Touch 1 1'!$AC101</f>
        <v>-22.964571068683654</v>
      </c>
      <c r="E101" s="1">
        <f>'Touch 1 1'!E101-'Touch 1 1'!$AA101-('Touch 1 1'!E$2- 12.5)*'Touch 1 1'!$AC101</f>
        <v>-33.091107447414515</v>
      </c>
      <c r="F101" s="1">
        <f>'Touch 1 1'!F101-'Touch 1 1'!$AA101-('Touch 1 1'!F$2- 12.5)*'Touch 1 1'!$AC101</f>
        <v>46.782356173854396</v>
      </c>
      <c r="G101" s="1">
        <f>'Touch 1 1'!G101-'Touch 1 1'!$AA101-('Touch 1 1'!G$2- 12.5)*'Touch 1 1'!$AC101</f>
        <v>26.655819795123534</v>
      </c>
      <c r="H101" s="1">
        <f>'Touch 1 1'!H101-'Touch 1 1'!$AA101-('Touch 1 1'!H$2- 12.5)*'Touch 1 1'!$AC101</f>
        <v>16.529283416392445</v>
      </c>
      <c r="I101" s="1">
        <f>'Touch 1 1'!I101-'Touch 1 1'!$AA101-('Touch 1 1'!I$2- 12.5)*'Touch 1 1'!$AC101</f>
        <v>36.402747037661584</v>
      </c>
      <c r="J101" s="1">
        <f>'Touch 1 1'!J101-'Touch 1 1'!$AA101-('Touch 1 1'!J$2- 12.5)*'Touch 1 1'!$AC101</f>
        <v>26.276210658930495</v>
      </c>
      <c r="K101" s="1">
        <f>'Touch 1 1'!K101-'Touch 1 1'!$AA101-('Touch 1 1'!K$2- 12.5)*'Touch 1 1'!$AC101</f>
        <v>-33.850325719800367</v>
      </c>
      <c r="L101" s="1">
        <f>'Touch 1 1'!L101-'Touch 1 1'!$AA101-('Touch 1 1'!L$2- 12.5)*'Touch 1 1'!$AC101</f>
        <v>-53.976862098531399</v>
      </c>
      <c r="M101" s="1">
        <f>'Touch 1 1'!M101-'Touch 1 1'!$AA101-('Touch 1 1'!M$2- 12.5)*'Touch 1 1'!$AC101</f>
        <v>-4.1033984772623739</v>
      </c>
      <c r="N101" s="1">
        <f>'Touch 1 1'!N101-'Touch 1 1'!$AA101-('Touch 1 1'!N$2- 12.5)*'Touch 1 1'!$AC101</f>
        <v>-64.229934855993349</v>
      </c>
      <c r="O101" s="1">
        <f>'Touch 1 1'!O101-'Touch 1 1'!$AA101-('Touch 1 1'!O$2- 12.5)*'Touch 1 1'!$AC101</f>
        <v>25.643528765275676</v>
      </c>
      <c r="P101" s="1">
        <f>'Touch 1 1'!P101-'Touch 1 1'!$AA101-('Touch 1 1'!P$2- 12.5)*'Touch 1 1'!$AC101</f>
        <v>-4.4830076134553565</v>
      </c>
      <c r="Q101" s="1">
        <f>'Touch 1 1'!Q101-'Touch 1 1'!$AA101-('Touch 1 1'!Q$2- 12.5)*'Touch 1 1'!$AC101</f>
        <v>-14.609543992186218</v>
      </c>
      <c r="R101" s="1">
        <f>'Touch 1 1'!R101-'Touch 1 1'!$AA101-('Touch 1 1'!R$2- 12.5)*'Touch 1 1'!$AC101</f>
        <v>5.2639196290826931</v>
      </c>
      <c r="S101" s="1">
        <f>'Touch 1 1'!S101-'Touch 1 1'!$AA101-('Touch 1 1'!S$2- 12.5)*'Touch 1 1'!$AC101</f>
        <v>25.137383250351832</v>
      </c>
      <c r="T101" s="1">
        <f>'Touch 1 1'!T101-'Touch 1 1'!$AA101-('Touch 1 1'!T$2- 12.5)*'Touch 1 1'!$AC101</f>
        <v>5.0108468716207426</v>
      </c>
      <c r="U101" s="1">
        <f>'Touch 1 1'!U101-'Touch 1 1'!$AA101-('Touch 1 1'!U$2- 12.5)*'Touch 1 1'!$AC101</f>
        <v>24.884310492889881</v>
      </c>
      <c r="V101" s="1">
        <f>'Touch 1 1'!V101-'Touch 1 1'!$AA101-('Touch 1 1'!V$2- 12.5)*'Touch 1 1'!$AC101</f>
        <v>-5.2422258858412079</v>
      </c>
      <c r="W101" s="1">
        <f>'Touch 1 1'!W101-'Touch 1 1'!$AA101-('Touch 1 1'!W$2- 12.5)*'Touch 1 1'!$AC101</f>
        <v>44.631237735427931</v>
      </c>
      <c r="X101" s="1">
        <f>'Touch 1 1'!X101-'Touch 1 1'!$AA101-('Touch 1 1'!X$2- 12.5)*'Touch 1 1'!$AC101</f>
        <v>4.5047013566968417</v>
      </c>
      <c r="Y101" s="1">
        <f>'Touch 1 1'!Y101-'Touch 1 1'!$AA101-('Touch 1 1'!Y$2- 12.5)*'Touch 1 1'!$AC101</f>
        <v>-35.621835022034247</v>
      </c>
      <c r="AB101" s="1">
        <f>STDEV(B101:Y101)</f>
        <v>30.843413491210669</v>
      </c>
      <c r="AD101" s="11">
        <v>8</v>
      </c>
      <c r="AE101" s="11">
        <v>1</v>
      </c>
      <c r="AF101" s="11" t="s">
        <v>46</v>
      </c>
      <c r="AG101" s="11" t="s">
        <v>44</v>
      </c>
      <c r="AH101" s="11" t="s">
        <v>45</v>
      </c>
      <c r="AI101" s="11">
        <v>6</v>
      </c>
      <c r="AJ101" s="11">
        <v>9</v>
      </c>
      <c r="AK101" s="11">
        <v>4</v>
      </c>
      <c r="AL101" s="11">
        <v>7</v>
      </c>
      <c r="AM101" s="11">
        <v>2</v>
      </c>
      <c r="AN101" s="11">
        <v>5</v>
      </c>
      <c r="AO101" s="11">
        <v>3</v>
      </c>
      <c r="AP101" s="11">
        <v>8</v>
      </c>
      <c r="AQ101" s="11" t="s">
        <v>46</v>
      </c>
      <c r="AR101" s="11">
        <v>1</v>
      </c>
      <c r="AS101" s="11" t="s">
        <v>44</v>
      </c>
      <c r="AT101" s="11">
        <v>6</v>
      </c>
      <c r="AU101" s="11" t="s">
        <v>45</v>
      </c>
      <c r="AV101" s="11">
        <v>4</v>
      </c>
      <c r="AW101" s="11">
        <v>9</v>
      </c>
      <c r="AX101" s="11">
        <v>2</v>
      </c>
      <c r="AY101" s="11">
        <v>7</v>
      </c>
      <c r="AZ101" s="11">
        <v>3</v>
      </c>
      <c r="BA101" s="11">
        <v>5</v>
      </c>
      <c r="BB101" s="5"/>
      <c r="BC101" s="1">
        <f ca="1">OFFSET(A101,0, 2) -0</f>
        <v>17.161965310047435</v>
      </c>
      <c r="BD101" s="1">
        <f ca="1">OFFSET(A101,0, 10) -0</f>
        <v>-33.850325719800367</v>
      </c>
      <c r="BE101" s="1">
        <f ca="1">OFFSET(A101,0, 12) -0</f>
        <v>-4.1033984772623739</v>
      </c>
      <c r="BF101" s="1">
        <f ca="1">OFFSET(A101,0, 8) -0</f>
        <v>36.402747037661584</v>
      </c>
      <c r="BG101" s="1">
        <f ca="1">OFFSET(A101,0, 11) -0</f>
        <v>-53.976862098531399</v>
      </c>
      <c r="BH101" s="1">
        <f ca="1">OFFSET(A101,0, 6) -0</f>
        <v>26.655819795123534</v>
      </c>
      <c r="BI101" s="1">
        <f ca="1">OFFSET(A101,0, 9) -0</f>
        <v>26.276210658930495</v>
      </c>
      <c r="BJ101" s="1">
        <f ca="1">OFFSET(A101,0, 1) -0</f>
        <v>-32.711498311221476</v>
      </c>
      <c r="BK101" s="1">
        <f ca="1">OFFSET(A101,0, 7) -0</f>
        <v>16.529283416392445</v>
      </c>
      <c r="BL101" s="1">
        <f ca="1">OFFSET(A101,0, 4) -0</f>
        <v>-33.091107447414515</v>
      </c>
      <c r="BM101" s="1">
        <f ca="1">OFFSET(A101,0, 5) -0</f>
        <v>46.782356173854396</v>
      </c>
      <c r="BN101" s="1">
        <f ca="1">OFFSET(A101,0, 3) -0</f>
        <v>-22.964571068683654</v>
      </c>
      <c r="BO101" s="1">
        <f ca="1">OFFSET(A101,0, 15) -0</f>
        <v>-4.4830076134553565</v>
      </c>
      <c r="BP101" s="1">
        <f ca="1">OFFSET(A101,0, 21) -0</f>
        <v>-5.2422258858412079</v>
      </c>
      <c r="BQ101" s="1">
        <f ca="1">OFFSET(A101,0, 23) -0</f>
        <v>4.5047013566968417</v>
      </c>
      <c r="BR101" s="1">
        <f ca="1">OFFSET(A101,0, 19) -0</f>
        <v>5.0108468716207426</v>
      </c>
      <c r="BS101" s="1">
        <f ca="1">OFFSET(A101,0, 24) -0</f>
        <v>-35.621835022034247</v>
      </c>
      <c r="BT101" s="1">
        <f ca="1">OFFSET(A101,0, 17) -0</f>
        <v>5.2639196290826931</v>
      </c>
      <c r="BU101" s="1">
        <f ca="1">OFFSET(A101,0, 22) -0</f>
        <v>44.631237735427931</v>
      </c>
      <c r="BV101" s="1">
        <f ca="1">OFFSET(A101,0, 13) -0</f>
        <v>-64.229934855993349</v>
      </c>
      <c r="BW101" s="1">
        <f ca="1">OFFSET(A101,0, 20) -0</f>
        <v>24.884310492889881</v>
      </c>
      <c r="BX101" s="1">
        <f ca="1">OFFSET(A101,0, 16) -0</f>
        <v>-14.609543992186218</v>
      </c>
      <c r="BY101" s="1">
        <f ca="1">OFFSET(A101,0, 18) -0</f>
        <v>25.137383250351832</v>
      </c>
      <c r="BZ101" s="1">
        <f ca="1">OFFSET(A101,0, 14) -0</f>
        <v>25.643528765275676</v>
      </c>
      <c r="CB101" s="1">
        <f>COUNTIF(B101,"&lt;-74")</f>
        <v>0</v>
      </c>
      <c r="CC101" s="1">
        <f ca="1">COUNTIF(BC101:BN101,"&lt;-53")</f>
        <v>1</v>
      </c>
      <c r="CD101" s="1">
        <f ca="1">COUNTIF(BC101:BN101,"&gt;+53")</f>
        <v>0</v>
      </c>
      <c r="CE101" s="1">
        <f ca="1">COUNTIF(BO101:BZ101,"&lt;-53")</f>
        <v>1</v>
      </c>
      <c r="CF101" s="1">
        <f ca="1">COUNTIF(BO101:BZ101,"&gt;+53")</f>
        <v>0</v>
      </c>
    </row>
    <row r="102" spans="1:84">
      <c r="A102" s="1">
        <v>99</v>
      </c>
      <c r="B102" s="1">
        <f>'Touch 1 1'!B102-'Touch 1 1'!$AA102-('Touch 1 1'!B$2- 12.5)*'Touch 1 1'!$AC102</f>
        <v>8.2291996494641353</v>
      </c>
      <c r="C102" s="1">
        <f>'Touch 1 1'!C102-'Touch 1 1'!$AA102-('Touch 1 1'!C$2- 12.5)*'Touch 1 1'!$AC102</f>
        <v>-1.3631945229562916</v>
      </c>
      <c r="D102" s="1">
        <f>'Touch 1 1'!D102-'Touch 1 1'!$AA102-('Touch 1 1'!D$2- 12.5)*'Touch 1 1'!$AC102</f>
        <v>-60.955588695376946</v>
      </c>
      <c r="E102" s="1">
        <f>'Touch 1 1'!E102-'Touch 1 1'!$AA102-('Touch 1 1'!E$2- 12.5)*'Touch 1 1'!$AC102</f>
        <v>-10.5479828677976</v>
      </c>
      <c r="F102" s="1">
        <f>'Touch 1 1'!F102-'Touch 1 1'!$AA102-('Touch 1 1'!F$2- 12.5)*'Touch 1 1'!$AC102</f>
        <v>-20.140377040218027</v>
      </c>
      <c r="G102" s="1">
        <f>'Touch 1 1'!G102-'Touch 1 1'!$AA102-('Touch 1 1'!G$2- 12.5)*'Touch 1 1'!$AC102</f>
        <v>30.267228787361319</v>
      </c>
      <c r="H102" s="1">
        <f>'Touch 1 1'!H102-'Touch 1 1'!$AA102-('Touch 1 1'!H$2- 12.5)*'Touch 1 1'!$AC102</f>
        <v>-9.3251653850591083</v>
      </c>
      <c r="I102" s="1">
        <f>'Touch 1 1'!I102-'Touch 1 1'!$AA102-('Touch 1 1'!I$2- 12.5)*'Touch 1 1'!$AC102</f>
        <v>21.082440442520237</v>
      </c>
      <c r="J102" s="1">
        <f>'Touch 1 1'!J102-'Touch 1 1'!$AA102-('Touch 1 1'!J$2- 12.5)*'Touch 1 1'!$AC102</f>
        <v>31.49004627009981</v>
      </c>
      <c r="K102" s="1">
        <f>'Touch 1 1'!K102-'Touch 1 1'!$AA102-('Touch 1 1'!K$2- 12.5)*'Touch 1 1'!$AC102</f>
        <v>41.897652097679156</v>
      </c>
      <c r="L102" s="1">
        <f>'Touch 1 1'!L102-'Touch 1 1'!$AA102-('Touch 1 1'!L$2- 12.5)*'Touch 1 1'!$AC102</f>
        <v>-47.694742074741328</v>
      </c>
      <c r="M102" s="1">
        <f>'Touch 1 1'!M102-'Touch 1 1'!$AA102-('Touch 1 1'!M$2- 12.5)*'Touch 1 1'!$AC102</f>
        <v>-17.287136247161868</v>
      </c>
      <c r="N102" s="1">
        <f>'Touch 1 1'!N102-'Touch 1 1'!$AA102-('Touch 1 1'!N$2- 12.5)*'Touch 1 1'!$AC102</f>
        <v>33.120469580417591</v>
      </c>
      <c r="O102" s="1">
        <f>'Touch 1 1'!O102-'Touch 1 1'!$AA102-('Touch 1 1'!O$2- 12.5)*'Touch 1 1'!$AC102</f>
        <v>-26.471924592002949</v>
      </c>
      <c r="P102" s="1">
        <f>'Touch 1 1'!P102-'Touch 1 1'!$AA102-('Touch 1 1'!P$2- 12.5)*'Touch 1 1'!$AC102</f>
        <v>-16.064318764423433</v>
      </c>
      <c r="Q102" s="1">
        <f>'Touch 1 1'!Q102-'Touch 1 1'!$AA102-('Touch 1 1'!Q$2- 12.5)*'Touch 1 1'!$AC102</f>
        <v>-25.656712936844087</v>
      </c>
      <c r="R102" s="1">
        <f>'Touch 1 1'!R102-'Touch 1 1'!$AA102-('Touch 1 1'!R$2- 12.5)*'Touch 1 1'!$AC102</f>
        <v>-45.249107109264514</v>
      </c>
      <c r="S102" s="1">
        <f>'Touch 1 1'!S102-'Touch 1 1'!$AA102-('Touch 1 1'!S$2- 12.5)*'Touch 1 1'!$AC102</f>
        <v>25.158498718314831</v>
      </c>
      <c r="T102" s="1">
        <f>'Touch 1 1'!T102-'Touch 1 1'!$AA102-('Touch 1 1'!T$2- 12.5)*'Touch 1 1'!$AC102</f>
        <v>5.5661045458944045</v>
      </c>
      <c r="U102" s="1">
        <f>'Touch 1 1'!U102-'Touch 1 1'!$AA102-('Touch 1 1'!U$2- 12.5)*'Touch 1 1'!$AC102</f>
        <v>15.97371037347375</v>
      </c>
      <c r="V102" s="1">
        <f>'Touch 1 1'!V102-'Touch 1 1'!$AA102-('Touch 1 1'!V$2- 12.5)*'Touch 1 1'!$AC102</f>
        <v>-33.618683798946677</v>
      </c>
      <c r="W102" s="1">
        <f>'Touch 1 1'!W102-'Touch 1 1'!$AA102-('Touch 1 1'!W$2- 12.5)*'Touch 1 1'!$AC102</f>
        <v>6.788922028632669</v>
      </c>
      <c r="X102" s="1">
        <f>'Touch 1 1'!X102-'Touch 1 1'!$AA102-('Touch 1 1'!X$2- 12.5)*'Touch 1 1'!$AC102</f>
        <v>47.196527856212015</v>
      </c>
      <c r="Y102" s="1">
        <f>'Touch 1 1'!Y102-'Touch 1 1'!$AA102-('Touch 1 1'!Y$2- 12.5)*'Touch 1 1'!$AC102</f>
        <v>47.604133683791588</v>
      </c>
      <c r="AB102" s="1">
        <f>STDEV(B102:Y102)</f>
        <v>31.222108147315033</v>
      </c>
      <c r="AD102" s="11" t="s">
        <v>46</v>
      </c>
      <c r="AE102" s="11">
        <v>8</v>
      </c>
      <c r="AF102" s="11" t="s">
        <v>44</v>
      </c>
      <c r="AG102" s="11">
        <v>1</v>
      </c>
      <c r="AH102" s="11" t="s">
        <v>45</v>
      </c>
      <c r="AI102" s="11">
        <v>6</v>
      </c>
      <c r="AJ102" s="11">
        <v>9</v>
      </c>
      <c r="AK102" s="11">
        <v>4</v>
      </c>
      <c r="AL102" s="11">
        <v>7</v>
      </c>
      <c r="AM102" s="11">
        <v>2</v>
      </c>
      <c r="AN102" s="11">
        <v>5</v>
      </c>
      <c r="AO102" s="11">
        <v>3</v>
      </c>
      <c r="AP102" s="11" t="s">
        <v>46</v>
      </c>
      <c r="AQ102" s="11">
        <v>8</v>
      </c>
      <c r="AR102" s="11">
        <v>1</v>
      </c>
      <c r="AS102" s="11" t="s">
        <v>44</v>
      </c>
      <c r="AT102" s="11" t="s">
        <v>45</v>
      </c>
      <c r="AU102" s="11">
        <v>9</v>
      </c>
      <c r="AV102" s="11">
        <v>6</v>
      </c>
      <c r="AW102" s="11">
        <v>7</v>
      </c>
      <c r="AX102" s="11">
        <v>4</v>
      </c>
      <c r="AY102" s="11">
        <v>5</v>
      </c>
      <c r="AZ102" s="11">
        <v>2</v>
      </c>
      <c r="BA102" s="11">
        <v>3</v>
      </c>
      <c r="BB102" s="5"/>
      <c r="BC102" s="1">
        <f ca="1">OFFSET(A102,0, 4) -0</f>
        <v>-10.5479828677976</v>
      </c>
      <c r="BD102" s="1">
        <f ca="1">OFFSET(A102,0, 10) -0</f>
        <v>41.897652097679156</v>
      </c>
      <c r="BE102" s="1">
        <f ca="1">OFFSET(A102,0, 12) -0</f>
        <v>-17.287136247161868</v>
      </c>
      <c r="BF102" s="1">
        <f ca="1">OFFSET(A102,0, 8) -0</f>
        <v>21.082440442520237</v>
      </c>
      <c r="BG102" s="1">
        <f ca="1">OFFSET(A102,0, 11) -0</f>
        <v>-47.694742074741328</v>
      </c>
      <c r="BH102" s="1">
        <f ca="1">OFFSET(A102,0, 6) -0</f>
        <v>30.267228787361319</v>
      </c>
      <c r="BI102" s="1">
        <f ca="1">OFFSET(A102,0, 9) -0</f>
        <v>31.49004627009981</v>
      </c>
      <c r="BJ102" s="1">
        <f ca="1">OFFSET(A102,0, 2) -0</f>
        <v>-1.3631945229562916</v>
      </c>
      <c r="BK102" s="1">
        <f ca="1">OFFSET(A102,0, 7) -0</f>
        <v>-9.3251653850591083</v>
      </c>
      <c r="BL102" s="1">
        <f ca="1">OFFSET(A102,0, 3) -0</f>
        <v>-60.955588695376946</v>
      </c>
      <c r="BM102" s="1">
        <f ca="1">OFFSET(A102,0, 5) -0</f>
        <v>-20.140377040218027</v>
      </c>
      <c r="BN102" s="1">
        <f ca="1">OFFSET(A102,0, 1) -0</f>
        <v>8.2291996494641353</v>
      </c>
      <c r="BO102" s="1">
        <f ca="1">OFFSET(A102,0, 15) -0</f>
        <v>-16.064318764423433</v>
      </c>
      <c r="BP102" s="1">
        <f ca="1">OFFSET(A102,0, 23) -0</f>
        <v>47.196527856212015</v>
      </c>
      <c r="BQ102" s="1">
        <f ca="1">OFFSET(A102,0, 24) -0</f>
        <v>47.604133683791588</v>
      </c>
      <c r="BR102" s="1">
        <f ca="1">OFFSET(A102,0, 21) -0</f>
        <v>-33.618683798946677</v>
      </c>
      <c r="BS102" s="1">
        <f ca="1">OFFSET(A102,0, 22) -0</f>
        <v>6.788922028632669</v>
      </c>
      <c r="BT102" s="1">
        <f ca="1">OFFSET(A102,0, 19) -0</f>
        <v>5.5661045458944045</v>
      </c>
      <c r="BU102" s="1">
        <f ca="1">OFFSET(A102,0, 20) -0</f>
        <v>15.97371037347375</v>
      </c>
      <c r="BV102" s="1">
        <f ca="1">OFFSET(A102,0, 14) -0</f>
        <v>-26.471924592002949</v>
      </c>
      <c r="BW102" s="1">
        <f ca="1">OFFSET(A102,0, 18) -0</f>
        <v>25.158498718314831</v>
      </c>
      <c r="BX102" s="1">
        <f ca="1">OFFSET(A102,0, 16) -0</f>
        <v>-25.656712936844087</v>
      </c>
      <c r="BY102" s="1">
        <f ca="1">OFFSET(A102,0, 17) -0</f>
        <v>-45.249107109264514</v>
      </c>
      <c r="BZ102" s="1">
        <f ca="1">OFFSET(A102,0, 13) -0</f>
        <v>33.120469580417591</v>
      </c>
      <c r="CB102" s="1">
        <f>COUNTIF(B102,"&lt;-74")</f>
        <v>0</v>
      </c>
      <c r="CC102" s="1">
        <f ca="1">COUNTIF(BC102:BN102,"&lt;-52")</f>
        <v>1</v>
      </c>
      <c r="CD102" s="1">
        <f ca="1">COUNTIF(BC102:BN102,"&gt;+52")</f>
        <v>0</v>
      </c>
      <c r="CE102" s="1">
        <f ca="1">COUNTIF(BO102:BZ102,"&lt;-52")</f>
        <v>0</v>
      </c>
      <c r="CF102" s="1">
        <f ca="1">COUNTIF(BO102:BZ102,"&gt;+52")</f>
        <v>0</v>
      </c>
    </row>
    <row r="103" spans="1:84">
      <c r="A103" s="1">
        <v>100</v>
      </c>
      <c r="B103" s="1">
        <f>'Touch 1 1'!B103-'Touch 1 1'!$AA103-('Touch 1 1'!B$2- 12.5)*'Touch 1 1'!$AC103</f>
        <v>-12.508155006104516</v>
      </c>
      <c r="C103" s="1">
        <f>'Touch 1 1'!C103-'Touch 1 1'!$AA103-('Touch 1 1'!C$2- 12.5)*'Touch 1 1'!$AC103</f>
        <v>-42.108895150497574</v>
      </c>
      <c r="D103" s="1">
        <f>'Touch 1 1'!D103-'Touch 1 1'!$AA103-('Touch 1 1'!D$2- 12.5)*'Touch 1 1'!$AC103</f>
        <v>-51.709635294891086</v>
      </c>
      <c r="E103" s="1">
        <f>'Touch 1 1'!E103-'Touch 1 1'!$AA103-('Touch 1 1'!E$2- 12.5)*'Touch 1 1'!$AC103</f>
        <v>-1.3103754392843712</v>
      </c>
      <c r="F103" s="1">
        <f>'Touch 1 1'!F103-'Touch 1 1'!$AA103-('Touch 1 1'!F$2- 12.5)*'Touch 1 1'!$AC103</f>
        <v>-10.911115583677883</v>
      </c>
      <c r="G103" s="1">
        <f>'Touch 1 1'!G103-'Touch 1 1'!$AA103-('Touch 1 1'!G$2- 12.5)*'Touch 1 1'!$AC103</f>
        <v>49.488144271928832</v>
      </c>
      <c r="H103" s="1">
        <f>'Touch 1 1'!H103-'Touch 1 1'!$AA103-('Touch 1 1'!H$2- 12.5)*'Touch 1 1'!$AC103</f>
        <v>-30.112595872464453</v>
      </c>
      <c r="I103" s="1">
        <f>'Touch 1 1'!I103-'Touch 1 1'!$AA103-('Touch 1 1'!I$2- 12.5)*'Touch 1 1'!$AC103</f>
        <v>-9.713336016857852</v>
      </c>
      <c r="J103" s="1">
        <f>'Touch 1 1'!J103-'Touch 1 1'!$AA103-('Touch 1 1'!J$2- 12.5)*'Touch 1 1'!$AC103</f>
        <v>-29.314076161251137</v>
      </c>
      <c r="K103" s="1">
        <f>'Touch 1 1'!K103-'Touch 1 1'!$AA103-('Touch 1 1'!K$2- 12.5)*'Touch 1 1'!$AC103</f>
        <v>-8.9148163056445355</v>
      </c>
      <c r="L103" s="1">
        <f>'Touch 1 1'!L103-'Touch 1 1'!$AA103-('Touch 1 1'!L$2- 12.5)*'Touch 1 1'!$AC103</f>
        <v>21.48444354996218</v>
      </c>
      <c r="M103" s="1">
        <f>'Touch 1 1'!M103-'Touch 1 1'!$AA103-('Touch 1 1'!M$2- 12.5)*'Touch 1 1'!$AC103</f>
        <v>-18.116296594431191</v>
      </c>
      <c r="N103" s="1">
        <f>'Touch 1 1'!N103-'Touch 1 1'!$AA103-('Touch 1 1'!N$2- 12.5)*'Touch 1 1'!$AC103</f>
        <v>-17.717036738824532</v>
      </c>
      <c r="O103" s="1">
        <f>'Touch 1 1'!O103-'Touch 1 1'!$AA103-('Touch 1 1'!O$2- 12.5)*'Touch 1 1'!$AC103</f>
        <v>12.682223116782097</v>
      </c>
      <c r="P103" s="1">
        <f>'Touch 1 1'!P103-'Touch 1 1'!$AA103-('Touch 1 1'!P$2- 12.5)*'Touch 1 1'!$AC103</f>
        <v>-26.918517027611188</v>
      </c>
      <c r="Q103" s="1">
        <f>'Touch 1 1'!Q103-'Touch 1 1'!$AA103-('Touch 1 1'!Q$2- 12.5)*'Touch 1 1'!$AC103</f>
        <v>43.480742827995414</v>
      </c>
      <c r="R103" s="1">
        <f>'Touch 1 1'!R103-'Touch 1 1'!$AA103-('Touch 1 1'!R$2- 12.5)*'Touch 1 1'!$AC103</f>
        <v>23.880002683602129</v>
      </c>
      <c r="S103" s="1">
        <f>'Touch 1 1'!S103-'Touch 1 1'!$AA103-('Touch 1 1'!S$2- 12.5)*'Touch 1 1'!$AC103</f>
        <v>24.27926253920873</v>
      </c>
      <c r="T103" s="1">
        <f>'Touch 1 1'!T103-'Touch 1 1'!$AA103-('Touch 1 1'!T$2- 12.5)*'Touch 1 1'!$AC103</f>
        <v>-15.321477605184555</v>
      </c>
      <c r="U103" s="1">
        <f>'Touch 1 1'!U103-'Touch 1 1'!$AA103-('Touch 1 1'!U$2- 12.5)*'Touch 1 1'!$AC103</f>
        <v>5.0777822504221604</v>
      </c>
      <c r="V103" s="1">
        <f>'Touch 1 1'!V103-'Touch 1 1'!$AA103-('Touch 1 1'!V$2- 12.5)*'Touch 1 1'!$AC103</f>
        <v>15.477042106028648</v>
      </c>
      <c r="W103" s="1">
        <f>'Touch 1 1'!W103-'Touch 1 1'!$AA103-('Touch 1 1'!W$2- 12.5)*'Touch 1 1'!$AC103</f>
        <v>45.876301961635363</v>
      </c>
      <c r="X103" s="1">
        <f>'Touch 1 1'!X103-'Touch 1 1'!$AA103-('Touch 1 1'!X$2- 12.5)*'Touch 1 1'!$AC103</f>
        <v>16.275561817241851</v>
      </c>
      <c r="Y103" s="1">
        <f>'Touch 1 1'!Y103-'Touch 1 1'!$AA103-('Touch 1 1'!Y$2- 12.5)*'Touch 1 1'!$AC103</f>
        <v>16.674821672848793</v>
      </c>
      <c r="AB103" s="1">
        <f>STDEV(B103:Y103)</f>
        <v>27.426053212180008</v>
      </c>
      <c r="AD103" s="11">
        <v>8</v>
      </c>
      <c r="AE103" s="11" t="s">
        <v>46</v>
      </c>
      <c r="AF103" s="11" t="s">
        <v>44</v>
      </c>
      <c r="AG103" s="11">
        <v>1</v>
      </c>
      <c r="AH103" s="11">
        <v>9</v>
      </c>
      <c r="AI103" s="11" t="s">
        <v>45</v>
      </c>
      <c r="AJ103" s="11">
        <v>7</v>
      </c>
      <c r="AK103" s="11">
        <v>6</v>
      </c>
      <c r="AL103" s="11">
        <v>5</v>
      </c>
      <c r="AM103" s="11">
        <v>4</v>
      </c>
      <c r="AN103" s="11">
        <v>3</v>
      </c>
      <c r="AO103" s="11">
        <v>2</v>
      </c>
      <c r="AP103" s="11" t="s">
        <v>46</v>
      </c>
      <c r="AQ103" s="11">
        <v>8</v>
      </c>
      <c r="AR103" s="11" t="s">
        <v>44</v>
      </c>
      <c r="AS103" s="11">
        <v>9</v>
      </c>
      <c r="AT103" s="11">
        <v>1</v>
      </c>
      <c r="AU103" s="11" t="s">
        <v>45</v>
      </c>
      <c r="AV103" s="11">
        <v>6</v>
      </c>
      <c r="AW103" s="11">
        <v>7</v>
      </c>
      <c r="AX103" s="11">
        <v>4</v>
      </c>
      <c r="AY103" s="11">
        <v>5</v>
      </c>
      <c r="AZ103" s="11">
        <v>2</v>
      </c>
      <c r="BA103" s="11">
        <v>3</v>
      </c>
      <c r="BB103" s="5"/>
      <c r="BC103" s="1">
        <f ca="1">OFFSET(A103,0, 4) -0</f>
        <v>-1.3103754392843712</v>
      </c>
      <c r="BD103" s="1">
        <f ca="1">OFFSET(A103,0, 12) -0</f>
        <v>-18.116296594431191</v>
      </c>
      <c r="BE103" s="1">
        <f ca="1">OFFSET(A103,0, 11) -0</f>
        <v>21.48444354996218</v>
      </c>
      <c r="BF103" s="1">
        <f ca="1">OFFSET(A103,0, 10) -0</f>
        <v>-8.9148163056445355</v>
      </c>
      <c r="BG103" s="1">
        <f ca="1">OFFSET(A103,0, 9) -0</f>
        <v>-29.314076161251137</v>
      </c>
      <c r="BH103" s="1">
        <f ca="1">OFFSET(A103,0, 8) -0</f>
        <v>-9.713336016857852</v>
      </c>
      <c r="BI103" s="1">
        <f ca="1">OFFSET(A103,0, 7) -0</f>
        <v>-30.112595872464453</v>
      </c>
      <c r="BJ103" s="1">
        <f ca="1">OFFSET(A103,0, 1) -0</f>
        <v>-12.508155006104516</v>
      </c>
      <c r="BK103" s="1">
        <f ca="1">OFFSET(A103,0, 5) -0</f>
        <v>-10.911115583677883</v>
      </c>
      <c r="BL103" s="1">
        <f ca="1">OFFSET(A103,0, 3) -0</f>
        <v>-51.709635294891086</v>
      </c>
      <c r="BM103" s="1">
        <f ca="1">OFFSET(A103,0, 6) -0</f>
        <v>49.488144271928832</v>
      </c>
      <c r="BN103" s="1">
        <f ca="1">OFFSET(A103,0, 2) -0</f>
        <v>-42.108895150497574</v>
      </c>
      <c r="BO103" s="1">
        <f ca="1">OFFSET(A103,0, 17) -0</f>
        <v>23.880002683602129</v>
      </c>
      <c r="BP103" s="1">
        <f ca="1">OFFSET(A103,0, 23) -0</f>
        <v>16.275561817241851</v>
      </c>
      <c r="BQ103" s="1">
        <f ca="1">OFFSET(A103,0, 24) -0</f>
        <v>16.674821672848793</v>
      </c>
      <c r="BR103" s="1">
        <f ca="1">OFFSET(A103,0, 21) -0</f>
        <v>15.477042106028648</v>
      </c>
      <c r="BS103" s="1">
        <f ca="1">OFFSET(A103,0, 22) -0</f>
        <v>45.876301961635363</v>
      </c>
      <c r="BT103" s="1">
        <f ca="1">OFFSET(A103,0, 19) -0</f>
        <v>-15.321477605184555</v>
      </c>
      <c r="BU103" s="1">
        <f ca="1">OFFSET(A103,0, 20) -0</f>
        <v>5.0777822504221604</v>
      </c>
      <c r="BV103" s="1">
        <f ca="1">OFFSET(A103,0, 14) -0</f>
        <v>12.682223116782097</v>
      </c>
      <c r="BW103" s="1">
        <f ca="1">OFFSET(A103,0, 16) -0</f>
        <v>43.480742827995414</v>
      </c>
      <c r="BX103" s="1">
        <f ca="1">OFFSET(A103,0, 15) -0</f>
        <v>-26.918517027611188</v>
      </c>
      <c r="BY103" s="1">
        <f ca="1">OFFSET(A103,0, 18) -0</f>
        <v>24.27926253920873</v>
      </c>
      <c r="BZ103" s="1">
        <f ca="1">OFFSET(A103,0, 13) -0</f>
        <v>-17.717036738824532</v>
      </c>
      <c r="CB103" s="1">
        <f>COUNTIF(B103,"&lt;-74")</f>
        <v>0</v>
      </c>
      <c r="CC103" s="1">
        <f ca="1">COUNTIF(BC103:BN103,"&lt;-52")</f>
        <v>0</v>
      </c>
      <c r="CD103" s="1">
        <f ca="1">COUNTIF(BC103:BN103,"&gt;+52")</f>
        <v>0</v>
      </c>
      <c r="CE103" s="1">
        <f ca="1">COUNTIF(BO103:BZ103,"&lt;-52")</f>
        <v>0</v>
      </c>
      <c r="CF103" s="1">
        <f ca="1">COUNTIF(BO103:BZ103,"&gt;+52")</f>
        <v>0</v>
      </c>
    </row>
    <row r="104" spans="1:84">
      <c r="A104" s="1">
        <v>101</v>
      </c>
      <c r="B104" s="1">
        <f>'Touch 1 1'!B104-'Touch 1 1'!$AA104-('Touch 1 1'!B$2- 12.5)*'Touch 1 1'!$AC104</f>
        <v>-3.1540853639671695</v>
      </c>
      <c r="C104" s="1">
        <f>'Touch 1 1'!C104-'Touch 1 1'!$AA104-('Touch 1 1'!C$2- 12.5)*'Touch 1 1'!$AC104</f>
        <v>-82.98851272362208</v>
      </c>
      <c r="D104" s="1">
        <f>'Touch 1 1'!D104-'Touch 1 1'!$AA104-('Touch 1 1'!D$2- 12.5)*'Touch 1 1'!$AC104</f>
        <v>-22.822940083277217</v>
      </c>
      <c r="E104" s="1">
        <f>'Touch 1 1'!E104-'Touch 1 1'!$AA104-('Touch 1 1'!E$2- 12.5)*'Touch 1 1'!$AC104</f>
        <v>-22.657367442932355</v>
      </c>
      <c r="F104" s="1">
        <f>'Touch 1 1'!F104-'Touch 1 1'!$AA104-('Touch 1 1'!F$2- 12.5)*'Touch 1 1'!$AC104</f>
        <v>27.508205197412735</v>
      </c>
      <c r="G104" s="1">
        <f>'Touch 1 1'!G104-'Touch 1 1'!$AA104-('Touch 1 1'!G$2- 12.5)*'Touch 1 1'!$AC104</f>
        <v>87.673777837757598</v>
      </c>
      <c r="H104" s="1">
        <f>'Touch 1 1'!H104-'Touch 1 1'!$AA104-('Touch 1 1'!H$2- 12.5)*'Touch 1 1'!$AC104</f>
        <v>-2.1606495218973123</v>
      </c>
      <c r="I104" s="1">
        <f>'Touch 1 1'!I104-'Touch 1 1'!$AA104-('Touch 1 1'!I$2- 12.5)*'Touch 1 1'!$AC104</f>
        <v>-11.99507688155245</v>
      </c>
      <c r="J104" s="1">
        <f>'Touch 1 1'!J104-'Touch 1 1'!$AA104-('Touch 1 1'!J$2- 12.5)*'Touch 1 1'!$AC104</f>
        <v>-1.8295042412073599</v>
      </c>
      <c r="K104" s="1">
        <f>'Touch 1 1'!K104-'Touch 1 1'!$AA104-('Touch 1 1'!K$2- 12.5)*'Touch 1 1'!$AC104</f>
        <v>38.336068399137503</v>
      </c>
      <c r="L104" s="1">
        <f>'Touch 1 1'!L104-'Touch 1 1'!$AA104-('Touch 1 1'!L$2- 12.5)*'Touch 1 1'!$AC104</f>
        <v>58.501641039482536</v>
      </c>
      <c r="M104" s="1">
        <f>'Touch 1 1'!M104-'Touch 1 1'!$AA104-('Touch 1 1'!M$2- 12.5)*'Touch 1 1'!$AC104</f>
        <v>-1.3327863201724881</v>
      </c>
      <c r="N104" s="1">
        <f>'Touch 1 1'!N104-'Touch 1 1'!$AA104-('Touch 1 1'!N$2- 12.5)*'Touch 1 1'!$AC104</f>
        <v>-51.167213679827512</v>
      </c>
      <c r="O104" s="1">
        <f>'Touch 1 1'!O104-'Touch 1 1'!$AA104-('Touch 1 1'!O$2- 12.5)*'Touch 1 1'!$AC104</f>
        <v>-1.0016410394825357</v>
      </c>
      <c r="P104" s="1">
        <f>'Touch 1 1'!P104-'Touch 1 1'!$AA104-('Touch 1 1'!P$2- 12.5)*'Touch 1 1'!$AC104</f>
        <v>-100.8360683991375</v>
      </c>
      <c r="Q104" s="1">
        <f>'Touch 1 1'!Q104-'Touch 1 1'!$AA104-('Touch 1 1'!Q$2- 12.5)*'Touch 1 1'!$AC104</f>
        <v>-50.67049575879264</v>
      </c>
      <c r="R104" s="1">
        <f>'Touch 1 1'!R104-'Touch 1 1'!$AA104-('Touch 1 1'!R$2- 12.5)*'Touch 1 1'!$AC104</f>
        <v>-50.50492311844755</v>
      </c>
      <c r="S104" s="1">
        <f>'Touch 1 1'!S104-'Touch 1 1'!$AA104-('Touch 1 1'!S$2- 12.5)*'Touch 1 1'!$AC104</f>
        <v>19.660649521897312</v>
      </c>
      <c r="T104" s="1">
        <f>'Touch 1 1'!T104-'Touch 1 1'!$AA104-('Touch 1 1'!T$2- 12.5)*'Touch 1 1'!$AC104</f>
        <v>-20.173777837757598</v>
      </c>
      <c r="U104" s="1">
        <f>'Touch 1 1'!U104-'Touch 1 1'!$AA104-('Touch 1 1'!U$2- 12.5)*'Touch 1 1'!$AC104</f>
        <v>-8.2051974127352878E-3</v>
      </c>
      <c r="V104" s="1">
        <f>'Touch 1 1'!V104-'Touch 1 1'!$AA104-('Touch 1 1'!V$2- 12.5)*'Touch 1 1'!$AC104</f>
        <v>70.157367442932355</v>
      </c>
      <c r="W104" s="1">
        <f>'Touch 1 1'!W104-'Touch 1 1'!$AA104-('Touch 1 1'!W$2- 12.5)*'Touch 1 1'!$AC104</f>
        <v>90.322940083277217</v>
      </c>
      <c r="X104" s="1">
        <f>'Touch 1 1'!X104-'Touch 1 1'!$AA104-('Touch 1 1'!X$2- 12.5)*'Touch 1 1'!$AC104</f>
        <v>10.48851272362208</v>
      </c>
      <c r="Y104" s="1">
        <f>'Touch 1 1'!Y104-'Touch 1 1'!$AA104-('Touch 1 1'!Y$2- 12.5)*'Touch 1 1'!$AC104</f>
        <v>20.65408536396717</v>
      </c>
      <c r="AB104" s="1">
        <f>STDEV(B104:Y104)</f>
        <v>48.335829448015808</v>
      </c>
      <c r="AD104" s="11">
        <v>8</v>
      </c>
      <c r="AE104" s="11" t="s">
        <v>46</v>
      </c>
      <c r="AF104" s="11">
        <v>9</v>
      </c>
      <c r="AG104" s="11" t="s">
        <v>44</v>
      </c>
      <c r="AH104" s="11" t="s">
        <v>45</v>
      </c>
      <c r="AI104" s="11">
        <v>1</v>
      </c>
      <c r="AJ104" s="11">
        <v>7</v>
      </c>
      <c r="AK104" s="11">
        <v>6</v>
      </c>
      <c r="AL104" s="11">
        <v>5</v>
      </c>
      <c r="AM104" s="11">
        <v>4</v>
      </c>
      <c r="AN104" s="11">
        <v>3</v>
      </c>
      <c r="AO104" s="11">
        <v>2</v>
      </c>
      <c r="AP104" s="11">
        <v>8</v>
      </c>
      <c r="AQ104" s="11">
        <v>9</v>
      </c>
      <c r="AR104" s="11" t="s">
        <v>46</v>
      </c>
      <c r="AS104" s="11" t="s">
        <v>44</v>
      </c>
      <c r="AT104" s="11">
        <v>1</v>
      </c>
      <c r="AU104" s="11" t="s">
        <v>45</v>
      </c>
      <c r="AV104" s="11">
        <v>7</v>
      </c>
      <c r="AW104" s="11">
        <v>5</v>
      </c>
      <c r="AX104" s="11">
        <v>6</v>
      </c>
      <c r="AY104" s="11">
        <v>3</v>
      </c>
      <c r="AZ104" s="11">
        <v>4</v>
      </c>
      <c r="BA104" s="11">
        <v>2</v>
      </c>
      <c r="BB104" s="5"/>
      <c r="BC104" s="1">
        <f ca="1">OFFSET(A104,0, 6) -0</f>
        <v>87.673777837757598</v>
      </c>
      <c r="BD104" s="1">
        <f ca="1">OFFSET(A104,0, 12) -0</f>
        <v>-1.3327863201724881</v>
      </c>
      <c r="BE104" s="1">
        <f ca="1">OFFSET(A104,0, 11) -0</f>
        <v>58.501641039482536</v>
      </c>
      <c r="BF104" s="1">
        <f ca="1">OFFSET(A104,0, 10) -0</f>
        <v>38.336068399137503</v>
      </c>
      <c r="BG104" s="1">
        <f ca="1">OFFSET(A104,0, 9) -0</f>
        <v>-1.8295042412073599</v>
      </c>
      <c r="BH104" s="1">
        <f ca="1">OFFSET(A104,0, 8) -0</f>
        <v>-11.99507688155245</v>
      </c>
      <c r="BI104" s="1">
        <f ca="1">OFFSET(A104,0, 7) -0</f>
        <v>-2.1606495218973123</v>
      </c>
      <c r="BJ104" s="1">
        <f ca="1">OFFSET(A104,0, 1) -0</f>
        <v>-3.1540853639671695</v>
      </c>
      <c r="BK104" s="1">
        <f ca="1">OFFSET(A104,0, 3) -0</f>
        <v>-22.822940083277217</v>
      </c>
      <c r="BL104" s="1">
        <f ca="1">OFFSET(A104,0, 4) -0</f>
        <v>-22.657367442932355</v>
      </c>
      <c r="BM104" s="1">
        <f ca="1">OFFSET(A104,0, 5) -0</f>
        <v>27.508205197412735</v>
      </c>
      <c r="BN104" s="1">
        <f ca="1">OFFSET(A104,0, 2) -0</f>
        <v>-82.98851272362208</v>
      </c>
      <c r="BO104" s="1">
        <f ca="1">OFFSET(A104,0, 17) -0</f>
        <v>-50.50492311844755</v>
      </c>
      <c r="BP104" s="1">
        <f ca="1">OFFSET(A104,0, 24) -0</f>
        <v>20.65408536396717</v>
      </c>
      <c r="BQ104" s="1">
        <f ca="1">OFFSET(A104,0, 22) -0</f>
        <v>90.322940083277217</v>
      </c>
      <c r="BR104" s="1">
        <f ca="1">OFFSET(A104,0, 23) -0</f>
        <v>10.48851272362208</v>
      </c>
      <c r="BS104" s="1">
        <f ca="1">OFFSET(A104,0, 20) -0</f>
        <v>-8.2051974127352878E-3</v>
      </c>
      <c r="BT104" s="1">
        <f ca="1">OFFSET(A104,0, 21) -0</f>
        <v>70.157367442932355</v>
      </c>
      <c r="BU104" s="1">
        <f ca="1">OFFSET(A104,0, 19) -0</f>
        <v>-20.173777837757598</v>
      </c>
      <c r="BV104" s="1">
        <f ca="1">OFFSET(A104,0, 13) -0</f>
        <v>-51.167213679827512</v>
      </c>
      <c r="BW104" s="1">
        <f ca="1">OFFSET(A104,0, 14) -0</f>
        <v>-1.0016410394825357</v>
      </c>
      <c r="BX104" s="1">
        <f ca="1">OFFSET(A104,0, 16) -0</f>
        <v>-50.67049575879264</v>
      </c>
      <c r="BY104" s="1">
        <f ca="1">OFFSET(A104,0, 18) -0</f>
        <v>19.660649521897312</v>
      </c>
      <c r="BZ104" s="1">
        <f ca="1">OFFSET(A104,0, 15) -0</f>
        <v>-100.8360683991375</v>
      </c>
      <c r="CB104" s="1">
        <f>COUNTIF(B104,"&lt;-74")</f>
        <v>0</v>
      </c>
      <c r="CC104" s="1">
        <f ca="1">COUNTIF(BC104:BN104,"&lt;-52")</f>
        <v>1</v>
      </c>
      <c r="CD104" s="1">
        <f ca="1">COUNTIF(BC104:BN104,"&gt;+52")</f>
        <v>2</v>
      </c>
      <c r="CE104" s="1">
        <f ca="1">COUNTIF(BO104:BZ104,"&lt;-52")</f>
        <v>1</v>
      </c>
      <c r="CF104" s="1">
        <f ca="1">COUNTIF(BO104:BZ104,"&gt;+52")</f>
        <v>2</v>
      </c>
    </row>
    <row r="105" spans="1:84">
      <c r="A105" s="1">
        <v>102</v>
      </c>
      <c r="B105" s="1">
        <f>'Touch 1 1'!B105-'Touch 1 1'!$AA105-('Touch 1 1'!B$2- 12.5)*'Touch 1 1'!$AC105</f>
        <v>4.135739761037712</v>
      </c>
      <c r="C105" s="1">
        <f>'Touch 1 1'!C105-'Touch 1 1'!$AA105-('Touch 1 1'!C$2- 12.5)*'Touch 1 1'!$AC105</f>
        <v>23.450023260078069</v>
      </c>
      <c r="D105" s="1">
        <f>'Touch 1 1'!D105-'Touch 1 1'!$AA105-('Touch 1 1'!D$2- 12.5)*'Touch 1 1'!$AC105</f>
        <v>2.7643067591181989</v>
      </c>
      <c r="E105" s="1">
        <f>'Touch 1 1'!E105-'Touch 1 1'!$AA105-('Touch 1 1'!E$2- 12.5)*'Touch 1 1'!$AC105</f>
        <v>-97.921409741841671</v>
      </c>
      <c r="F105" s="1">
        <f>'Touch 1 1'!F105-'Touch 1 1'!$AA105-('Touch 1 1'!F$2- 12.5)*'Touch 1 1'!$AC105</f>
        <v>-8.6071262428013142</v>
      </c>
      <c r="G105" s="1">
        <f>'Touch 1 1'!G105-'Touch 1 1'!$AA105-('Touch 1 1'!G$2- 12.5)*'Touch 1 1'!$AC105</f>
        <v>-39.292842743761184</v>
      </c>
      <c r="H105" s="1">
        <f>'Touch 1 1'!H105-'Touch 1 1'!$AA105-('Touch 1 1'!H$2- 12.5)*'Touch 1 1'!$AC105</f>
        <v>-29.978559244721055</v>
      </c>
      <c r="I105" s="1">
        <f>'Touch 1 1'!I105-'Touch 1 1'!$AA105-('Touch 1 1'!I$2- 12.5)*'Touch 1 1'!$AC105</f>
        <v>19.335724254319189</v>
      </c>
      <c r="J105" s="1">
        <f>'Touch 1 1'!J105-'Touch 1 1'!$AA105-('Touch 1 1'!J$2- 12.5)*'Touch 1 1'!$AC105</f>
        <v>38.650007753359318</v>
      </c>
      <c r="K105" s="1">
        <f>'Touch 1 1'!K105-'Touch 1 1'!$AA105-('Touch 1 1'!K$2- 12.5)*'Touch 1 1'!$AC105</f>
        <v>-2.0357087476004381</v>
      </c>
      <c r="L105" s="1">
        <f>'Touch 1 1'!L105-'Touch 1 1'!$AA105-('Touch 1 1'!L$2- 12.5)*'Touch 1 1'!$AC105</f>
        <v>-2.7214252485603083</v>
      </c>
      <c r="M105" s="1">
        <f>'Touch 1 1'!M105-'Touch 1 1'!$AA105-('Touch 1 1'!M$2- 12.5)*'Touch 1 1'!$AC105</f>
        <v>6.5928582504799067</v>
      </c>
      <c r="N105" s="1">
        <f>'Touch 1 1'!N105-'Touch 1 1'!$AA105-('Touch 1 1'!N$2- 12.5)*'Touch 1 1'!$AC105</f>
        <v>-24.092858250479907</v>
      </c>
      <c r="O105" s="1">
        <f>'Touch 1 1'!O105-'Touch 1 1'!$AA105-('Touch 1 1'!O$2- 12.5)*'Touch 1 1'!$AC105</f>
        <v>-24.778574751439692</v>
      </c>
      <c r="P105" s="1">
        <f>'Touch 1 1'!P105-'Touch 1 1'!$AA105-('Touch 1 1'!P$2- 12.5)*'Touch 1 1'!$AC105</f>
        <v>4.5357087476004381</v>
      </c>
      <c r="Q105" s="1">
        <f>'Touch 1 1'!Q105-'Touch 1 1'!$AA105-('Touch 1 1'!Q$2- 12.5)*'Touch 1 1'!$AC105</f>
        <v>33.849992246640682</v>
      </c>
      <c r="R105" s="1">
        <f>'Touch 1 1'!R105-'Touch 1 1'!$AA105-('Touch 1 1'!R$2- 12.5)*'Touch 1 1'!$AC105</f>
        <v>-36.835724254319189</v>
      </c>
      <c r="S105" s="1">
        <f>'Touch 1 1'!S105-'Touch 1 1'!$AA105-('Touch 1 1'!S$2- 12.5)*'Touch 1 1'!$AC105</f>
        <v>-87.521440755278945</v>
      </c>
      <c r="T105" s="1">
        <f>'Touch 1 1'!T105-'Touch 1 1'!$AA105-('Touch 1 1'!T$2- 12.5)*'Touch 1 1'!$AC105</f>
        <v>-8.2071572562388155</v>
      </c>
      <c r="U105" s="1">
        <f>'Touch 1 1'!U105-'Touch 1 1'!$AA105-('Touch 1 1'!U$2- 12.5)*'Touch 1 1'!$AC105</f>
        <v>11.107126242801314</v>
      </c>
      <c r="V105" s="1">
        <f>'Touch 1 1'!V105-'Touch 1 1'!$AA105-('Touch 1 1'!V$2- 12.5)*'Touch 1 1'!$AC105</f>
        <v>60.421409741841671</v>
      </c>
      <c r="W105" s="1">
        <f>'Touch 1 1'!W105-'Touch 1 1'!$AA105-('Touch 1 1'!W$2- 12.5)*'Touch 1 1'!$AC105</f>
        <v>39.735693240881801</v>
      </c>
      <c r="X105" s="1">
        <f>'Touch 1 1'!X105-'Touch 1 1'!$AA105-('Touch 1 1'!X$2- 12.5)*'Touch 1 1'!$AC105</f>
        <v>69.049976739921931</v>
      </c>
      <c r="Y105" s="1">
        <f>'Touch 1 1'!Y105-'Touch 1 1'!$AA105-('Touch 1 1'!Y$2- 12.5)*'Touch 1 1'!$AC105</f>
        <v>48.364260238962288</v>
      </c>
      <c r="AB105" s="1">
        <f>STDEV(B105:Y105)</f>
        <v>40.917624254469821</v>
      </c>
      <c r="AD105" s="11">
        <v>9</v>
      </c>
      <c r="AE105" s="11">
        <v>8</v>
      </c>
      <c r="AF105" s="11" t="s">
        <v>44</v>
      </c>
      <c r="AG105" s="11" t="s">
        <v>46</v>
      </c>
      <c r="AH105" s="11" t="s">
        <v>45</v>
      </c>
      <c r="AI105" s="11">
        <v>1</v>
      </c>
      <c r="AJ105" s="11">
        <v>5</v>
      </c>
      <c r="AK105" s="11">
        <v>7</v>
      </c>
      <c r="AL105" s="11">
        <v>3</v>
      </c>
      <c r="AM105" s="11">
        <v>6</v>
      </c>
      <c r="AN105" s="11">
        <v>2</v>
      </c>
      <c r="AO105" s="11">
        <v>4</v>
      </c>
      <c r="AP105" s="11">
        <v>8</v>
      </c>
      <c r="AQ105" s="11">
        <v>9</v>
      </c>
      <c r="AR105" s="11" t="s">
        <v>46</v>
      </c>
      <c r="AS105" s="11" t="s">
        <v>44</v>
      </c>
      <c r="AT105" s="11" t="s">
        <v>45</v>
      </c>
      <c r="AU105" s="11">
        <v>5</v>
      </c>
      <c r="AV105" s="11">
        <v>1</v>
      </c>
      <c r="AW105" s="11">
        <v>7</v>
      </c>
      <c r="AX105" s="11">
        <v>6</v>
      </c>
      <c r="AY105" s="11">
        <v>3</v>
      </c>
      <c r="AZ105" s="11">
        <v>4</v>
      </c>
      <c r="BA105" s="11">
        <v>2</v>
      </c>
      <c r="BB105" s="5"/>
      <c r="BC105" s="1">
        <f ca="1">OFFSET(A105,0, 6) -0</f>
        <v>-39.292842743761184</v>
      </c>
      <c r="BD105" s="1">
        <f ca="1">OFFSET(A105,0, 11) -0</f>
        <v>-2.7214252485603083</v>
      </c>
      <c r="BE105" s="1">
        <f ca="1">OFFSET(A105,0, 9) -0</f>
        <v>38.650007753359318</v>
      </c>
      <c r="BF105" s="1">
        <f ca="1">OFFSET(A105,0, 12) -0</f>
        <v>6.5928582504799067</v>
      </c>
      <c r="BG105" s="1">
        <f ca="1">OFFSET(A105,0, 7) -0</f>
        <v>-29.978559244721055</v>
      </c>
      <c r="BH105" s="1">
        <f ca="1">OFFSET(A105,0, 10) -0</f>
        <v>-2.0357087476004381</v>
      </c>
      <c r="BI105" s="1">
        <f ca="1">OFFSET(A105,0, 8) -0</f>
        <v>19.335724254319189</v>
      </c>
      <c r="BJ105" s="1">
        <f ca="1">OFFSET(A105,0, 2) -0</f>
        <v>23.450023260078069</v>
      </c>
      <c r="BK105" s="1">
        <f ca="1">OFFSET(A105,0, 1) -0</f>
        <v>4.135739761037712</v>
      </c>
      <c r="BL105" s="1">
        <f ca="1">OFFSET(A105,0, 3) -0</f>
        <v>2.7643067591181989</v>
      </c>
      <c r="BM105" s="1">
        <f ca="1">OFFSET(A105,0, 5) -0</f>
        <v>-8.6071262428013142</v>
      </c>
      <c r="BN105" s="1">
        <f ca="1">OFFSET(A105,0, 4) -0</f>
        <v>-97.921409741841671</v>
      </c>
      <c r="BO105" s="1">
        <f ca="1">OFFSET(A105,0, 19) -0</f>
        <v>-8.2071572562388155</v>
      </c>
      <c r="BP105" s="1">
        <f ca="1">OFFSET(A105,0, 24) -0</f>
        <v>48.364260238962288</v>
      </c>
      <c r="BQ105" s="1">
        <f ca="1">OFFSET(A105,0, 22) -0</f>
        <v>39.735693240881801</v>
      </c>
      <c r="BR105" s="1">
        <f ca="1">OFFSET(A105,0, 23) -0</f>
        <v>69.049976739921931</v>
      </c>
      <c r="BS105" s="1">
        <f ca="1">OFFSET(A105,0, 18) -0</f>
        <v>-87.521440755278945</v>
      </c>
      <c r="BT105" s="1">
        <f ca="1">OFFSET(A105,0, 21) -0</f>
        <v>60.421409741841671</v>
      </c>
      <c r="BU105" s="1">
        <f ca="1">OFFSET(A105,0, 20) -0</f>
        <v>11.107126242801314</v>
      </c>
      <c r="BV105" s="1">
        <f ca="1">OFFSET(A105,0, 13) -0</f>
        <v>-24.092858250479907</v>
      </c>
      <c r="BW105" s="1">
        <f ca="1">OFFSET(A105,0, 14) -0</f>
        <v>-24.778574751439692</v>
      </c>
      <c r="BX105" s="1">
        <f ca="1">OFFSET(A105,0, 16) -0</f>
        <v>33.849992246640682</v>
      </c>
      <c r="BY105" s="1">
        <f ca="1">OFFSET(A105,0, 17) -0</f>
        <v>-36.835724254319189</v>
      </c>
      <c r="BZ105" s="1">
        <f ca="1">OFFSET(A105,0, 15) -0</f>
        <v>4.5357087476004381</v>
      </c>
      <c r="CB105" s="1">
        <f>COUNTIF(B105,"&lt;-74")</f>
        <v>0</v>
      </c>
      <c r="CC105" s="1">
        <f ca="1">COUNTIF(BC105:BN105,"&lt;-53")</f>
        <v>1</v>
      </c>
      <c r="CD105" s="1">
        <f ca="1">COUNTIF(BC105:BN105,"&gt;+53")</f>
        <v>0</v>
      </c>
      <c r="CE105" s="1">
        <f ca="1">COUNTIF(BO105:BZ105,"&lt;-53")</f>
        <v>1</v>
      </c>
      <c r="CF105" s="1">
        <f ca="1">COUNTIF(BO105:BZ105,"&gt;+53")</f>
        <v>2</v>
      </c>
    </row>
    <row r="106" spans="1:84">
      <c r="A106" s="1">
        <v>103</v>
      </c>
      <c r="B106" s="1">
        <f>'Touch 1 1'!B106-'Touch 1 1'!$AA106-('Touch 1 1'!B$2- 12.5)*'Touch 1 1'!$AC106</f>
        <v>-56.130830265968143</v>
      </c>
      <c r="C106" s="1">
        <f>'Touch 1 1'!C106-'Touch 1 1'!$AA106-('Touch 1 1'!C$2- 12.5)*'Touch 1 1'!$AC106</f>
        <v>2.6993868586055214</v>
      </c>
      <c r="D106" s="1">
        <f>'Touch 1 1'!D106-'Touch 1 1'!$AA106-('Touch 1 1'!D$2- 12.5)*'Touch 1 1'!$AC106</f>
        <v>1.5296039831791859</v>
      </c>
      <c r="E106" s="1">
        <f>'Touch 1 1'!E106-'Touch 1 1'!$AA106-('Touch 1 1'!E$2- 12.5)*'Touch 1 1'!$AC106</f>
        <v>-9.640178892247377</v>
      </c>
      <c r="F106" s="1">
        <f>'Touch 1 1'!F106-'Touch 1 1'!$AA106-('Touch 1 1'!F$2- 12.5)*'Touch 1 1'!$AC106</f>
        <v>-80.809961767673713</v>
      </c>
      <c r="G106" s="1">
        <f>'Touch 1 1'!G106-'Touch 1 1'!$AA106-('Touch 1 1'!G$2- 12.5)*'Touch 1 1'!$AC106</f>
        <v>8.0202553568997246</v>
      </c>
      <c r="H106" s="1">
        <f>'Touch 1 1'!H106-'Touch 1 1'!$AA106-('Touch 1 1'!H$2- 12.5)*'Touch 1 1'!$AC106</f>
        <v>36.850472481473389</v>
      </c>
      <c r="I106" s="1">
        <f>'Touch 1 1'!I106-'Touch 1 1'!$AA106-('Touch 1 1'!I$2- 12.5)*'Touch 1 1'!$AC106</f>
        <v>15.680689606046826</v>
      </c>
      <c r="J106" s="1">
        <f>'Touch 1 1'!J106-'Touch 1 1'!$AA106-('Touch 1 1'!J$2- 12.5)*'Touch 1 1'!$AC106</f>
        <v>34.510906730620491</v>
      </c>
      <c r="K106" s="1">
        <f>'Touch 1 1'!K106-'Touch 1 1'!$AA106-('Touch 1 1'!K$2- 12.5)*'Touch 1 1'!$AC106</f>
        <v>3.3411238551939277</v>
      </c>
      <c r="L106" s="1">
        <f>'Touch 1 1'!L106-'Touch 1 1'!$AA106-('Touch 1 1'!L$2- 12.5)*'Touch 1 1'!$AC106</f>
        <v>2.1713409797675354</v>
      </c>
      <c r="M106" s="1">
        <f>'Touch 1 1'!M106-'Touch 1 1'!$AA106-('Touch 1 1'!M$2- 12.5)*'Touch 1 1'!$AC106</f>
        <v>11.001558104341086</v>
      </c>
      <c r="N106" s="1">
        <f>'Touch 1 1'!N106-'Touch 1 1'!$AA106-('Touch 1 1'!N$2- 12.5)*'Touch 1 1'!$AC106</f>
        <v>29.831775228914637</v>
      </c>
      <c r="O106" s="1">
        <f>'Touch 1 1'!O106-'Touch 1 1'!$AA106-('Touch 1 1'!O$2- 12.5)*'Touch 1 1'!$AC106</f>
        <v>8.6619923534881877</v>
      </c>
      <c r="P106" s="1">
        <f>'Touch 1 1'!P106-'Touch 1 1'!$AA106-('Touch 1 1'!P$2- 12.5)*'Touch 1 1'!$AC106</f>
        <v>-32.507790521938205</v>
      </c>
      <c r="Q106" s="1">
        <f>'Touch 1 1'!Q106-'Touch 1 1'!$AA106-('Touch 1 1'!Q$2- 12.5)*'Touch 1 1'!$AC106</f>
        <v>-53.677573397364768</v>
      </c>
      <c r="R106" s="1">
        <f>'Touch 1 1'!R106-'Touch 1 1'!$AA106-('Touch 1 1'!R$2- 12.5)*'Touch 1 1'!$AC106</f>
        <v>-14.847356272791103</v>
      </c>
      <c r="S106" s="1">
        <f>'Touch 1 1'!S106-'Touch 1 1'!$AA106-('Touch 1 1'!S$2- 12.5)*'Touch 1 1'!$AC106</f>
        <v>3.9828608517823341</v>
      </c>
      <c r="T106" s="1">
        <f>'Touch 1 1'!T106-'Touch 1 1'!$AA106-('Touch 1 1'!T$2- 12.5)*'Touch 1 1'!$AC106</f>
        <v>2.8130779763559985</v>
      </c>
      <c r="U106" s="1">
        <f>'Touch 1 1'!U106-'Touch 1 1'!$AA106-('Touch 1 1'!U$2- 12.5)*'Touch 1 1'!$AC106</f>
        <v>41.643295100929436</v>
      </c>
      <c r="V106" s="1">
        <f>'Touch 1 1'!V106-'Touch 1 1'!$AA106-('Touch 1 1'!V$2- 12.5)*'Touch 1 1'!$AC106</f>
        <v>10.4735122255031</v>
      </c>
      <c r="W106" s="1">
        <f>'Touch 1 1'!W106-'Touch 1 1'!$AA106-('Touch 1 1'!W$2- 12.5)*'Touch 1 1'!$AC106</f>
        <v>9.3037293500765372</v>
      </c>
      <c r="X106" s="1">
        <f>'Touch 1 1'!X106-'Touch 1 1'!$AA106-('Touch 1 1'!X$2- 12.5)*'Touch 1 1'!$AC106</f>
        <v>-11.866053525349798</v>
      </c>
      <c r="Y106" s="1">
        <f>'Touch 1 1'!Y106-'Touch 1 1'!$AA106-('Touch 1 1'!Y$2- 12.5)*'Touch 1 1'!$AC106</f>
        <v>36.964163599223866</v>
      </c>
      <c r="AB106" s="1">
        <f>STDEV(B106:Y106)</f>
        <v>30.477614312926047</v>
      </c>
      <c r="AD106" s="11">
        <v>9</v>
      </c>
      <c r="AE106" s="11">
        <v>8</v>
      </c>
      <c r="AF106" s="11" t="s">
        <v>44</v>
      </c>
      <c r="AG106" s="11" t="s">
        <v>46</v>
      </c>
      <c r="AH106" s="11">
        <v>5</v>
      </c>
      <c r="AI106" s="11" t="s">
        <v>45</v>
      </c>
      <c r="AJ106" s="11">
        <v>7</v>
      </c>
      <c r="AK106" s="11">
        <v>1</v>
      </c>
      <c r="AL106" s="11">
        <v>3</v>
      </c>
      <c r="AM106" s="11">
        <v>6</v>
      </c>
      <c r="AN106" s="11">
        <v>2</v>
      </c>
      <c r="AO106" s="11">
        <v>4</v>
      </c>
      <c r="AP106" s="11">
        <v>9</v>
      </c>
      <c r="AQ106" s="11" t="s">
        <v>44</v>
      </c>
      <c r="AR106" s="11">
        <v>8</v>
      </c>
      <c r="AS106" s="11">
        <v>5</v>
      </c>
      <c r="AT106" s="11" t="s">
        <v>46</v>
      </c>
      <c r="AU106" s="11" t="s">
        <v>45</v>
      </c>
      <c r="AV106" s="11">
        <v>1</v>
      </c>
      <c r="AW106" s="11">
        <v>7</v>
      </c>
      <c r="AX106" s="11">
        <v>3</v>
      </c>
      <c r="AY106" s="11">
        <v>2</v>
      </c>
      <c r="AZ106" s="11">
        <v>6</v>
      </c>
      <c r="BA106" s="11">
        <v>4</v>
      </c>
      <c r="BB106" s="5"/>
      <c r="BC106" s="1">
        <f ca="1">OFFSET(A106,0, 8) -0</f>
        <v>15.680689606046826</v>
      </c>
      <c r="BD106" s="1">
        <f ca="1">OFFSET(A106,0, 11) -0</f>
        <v>2.1713409797675354</v>
      </c>
      <c r="BE106" s="1">
        <f ca="1">OFFSET(A106,0, 9) -0</f>
        <v>34.510906730620491</v>
      </c>
      <c r="BF106" s="1">
        <f ca="1">OFFSET(A106,0, 12) -0</f>
        <v>11.001558104341086</v>
      </c>
      <c r="BG106" s="1">
        <f ca="1">OFFSET(A106,0, 5) -0</f>
        <v>-80.809961767673713</v>
      </c>
      <c r="BH106" s="1">
        <f ca="1">OFFSET(A106,0, 10) -0</f>
        <v>3.3411238551939277</v>
      </c>
      <c r="BI106" s="1">
        <f ca="1">OFFSET(A106,0, 7) -0</f>
        <v>36.850472481473389</v>
      </c>
      <c r="BJ106" s="1">
        <f ca="1">OFFSET(A106,0, 2) -0</f>
        <v>2.6993868586055214</v>
      </c>
      <c r="BK106" s="1">
        <f ca="1">OFFSET(A106,0, 1) -0</f>
        <v>-56.130830265968143</v>
      </c>
      <c r="BL106" s="1">
        <f ca="1">OFFSET(A106,0, 3) -0</f>
        <v>1.5296039831791859</v>
      </c>
      <c r="BM106" s="1">
        <f ca="1">OFFSET(A106,0, 6) -0</f>
        <v>8.0202553568997246</v>
      </c>
      <c r="BN106" s="1">
        <f ca="1">OFFSET(A106,0, 4) -0</f>
        <v>-9.640178892247377</v>
      </c>
      <c r="BO106" s="1">
        <f ca="1">OFFSET(A106,0, 19) -0</f>
        <v>2.8130779763559985</v>
      </c>
      <c r="BP106" s="1">
        <f ca="1">OFFSET(A106,0, 22) -0</f>
        <v>9.3037293500765372</v>
      </c>
      <c r="BQ106" s="1">
        <f ca="1">OFFSET(A106,0, 21) -0</f>
        <v>10.4735122255031</v>
      </c>
      <c r="BR106" s="1">
        <f ca="1">OFFSET(A106,0, 24) -0</f>
        <v>36.964163599223866</v>
      </c>
      <c r="BS106" s="1">
        <f ca="1">OFFSET(A106,0, 16) -0</f>
        <v>-53.677573397364768</v>
      </c>
      <c r="BT106" s="1">
        <f ca="1">OFFSET(A106,0, 23) -0</f>
        <v>-11.866053525349798</v>
      </c>
      <c r="BU106" s="1">
        <f ca="1">OFFSET(A106,0, 20) -0</f>
        <v>41.643295100929436</v>
      </c>
      <c r="BV106" s="1">
        <f ca="1">OFFSET(A106,0, 15) -0</f>
        <v>-32.507790521938205</v>
      </c>
      <c r="BW106" s="1">
        <f ca="1">OFFSET(A106,0, 13) -0</f>
        <v>29.831775228914637</v>
      </c>
      <c r="BX106" s="1">
        <f ca="1">OFFSET(A106,0, 14) -0</f>
        <v>8.6619923534881877</v>
      </c>
      <c r="BY106" s="1">
        <f ca="1">OFFSET(A106,0, 18) -0</f>
        <v>3.9828608517823341</v>
      </c>
      <c r="BZ106" s="1">
        <f ca="1">OFFSET(A106,0, 17) -0</f>
        <v>-14.847356272791103</v>
      </c>
      <c r="CB106" s="1">
        <f>COUNTIF(B106,"&lt;-75")</f>
        <v>0</v>
      </c>
      <c r="CC106" s="1">
        <f ca="1">COUNTIF(BC106:BN106,"&lt;-53")</f>
        <v>2</v>
      </c>
      <c r="CD106" s="1">
        <f ca="1">COUNTIF(BC106:BN106,"&gt;+53")</f>
        <v>0</v>
      </c>
      <c r="CE106" s="1">
        <f ca="1">COUNTIF(BO106:BZ106,"&lt;-53")</f>
        <v>1</v>
      </c>
      <c r="CF106" s="1">
        <f ca="1">COUNTIF(BO106:BZ106,"&gt;+53")</f>
        <v>0</v>
      </c>
    </row>
    <row r="107" spans="1:84">
      <c r="A107" s="1">
        <v>104</v>
      </c>
      <c r="B107" s="1">
        <f>'Touch 1 1'!B107-'Touch 1 1'!$AA107-('Touch 1 1'!B$2- 12.5)*'Touch 1 1'!$AC107</f>
        <v>-53.181411643398405</v>
      </c>
      <c r="C107" s="1">
        <f>'Touch 1 1'!C107-'Touch 1 1'!$AA107-('Touch 1 1'!C$2- 12.5)*'Touch 1 1'!$AC107</f>
        <v>-54.317810630928761</v>
      </c>
      <c r="D107" s="1">
        <f>'Touch 1 1'!D107-'Touch 1 1'!$AA107-('Touch 1 1'!D$2- 12.5)*'Touch 1 1'!$AC107</f>
        <v>-75.454209618459572</v>
      </c>
      <c r="E107" s="1">
        <f>'Touch 1 1'!E107-'Touch 1 1'!$AA107-('Touch 1 1'!E$2- 12.5)*'Touch 1 1'!$AC107</f>
        <v>-6.590608605989928</v>
      </c>
      <c r="F107" s="1">
        <f>'Touch 1 1'!F107-'Touch 1 1'!$AA107-('Touch 1 1'!F$2- 12.5)*'Touch 1 1'!$AC107</f>
        <v>22.272992406479261</v>
      </c>
      <c r="G107" s="1">
        <f>'Touch 1 1'!G107-'Touch 1 1'!$AA107-('Touch 1 1'!G$2- 12.5)*'Touch 1 1'!$AC107</f>
        <v>-28.863406581051095</v>
      </c>
      <c r="H107" s="1">
        <f>'Touch 1 1'!H107-'Touch 1 1'!$AA107-('Touch 1 1'!H$2- 12.5)*'Touch 1 1'!$AC107</f>
        <v>-9.9998055685819054</v>
      </c>
      <c r="I107" s="1">
        <f>'Touch 1 1'!I107-'Touch 1 1'!$AA107-('Touch 1 1'!I$2- 12.5)*'Touch 1 1'!$AC107</f>
        <v>38.863795443887625</v>
      </c>
      <c r="J107" s="1">
        <f>'Touch 1 1'!J107-'Touch 1 1'!$AA107-('Touch 1 1'!J$2- 12.5)*'Touch 1 1'!$AC107</f>
        <v>37.727396456357042</v>
      </c>
      <c r="K107" s="1">
        <f>'Touch 1 1'!K107-'Touch 1 1'!$AA107-('Touch 1 1'!K$2- 12.5)*'Touch 1 1'!$AC107</f>
        <v>26.590997468826458</v>
      </c>
      <c r="L107" s="1">
        <f>'Touch 1 1'!L107-'Touch 1 1'!$AA107-('Touch 1 1'!L$2- 12.5)*'Touch 1 1'!$AC107</f>
        <v>-34.545401518704125</v>
      </c>
      <c r="M107" s="1">
        <f>'Touch 1 1'!M107-'Touch 1 1'!$AA107-('Touch 1 1'!M$2- 12.5)*'Touch 1 1'!$AC107</f>
        <v>-5.6818005062347083</v>
      </c>
      <c r="N107" s="1">
        <f>'Touch 1 1'!N107-'Touch 1 1'!$AA107-('Touch 1 1'!N$2- 12.5)*'Touch 1 1'!$AC107</f>
        <v>13.181800506234708</v>
      </c>
      <c r="O107" s="1">
        <f>'Touch 1 1'!O107-'Touch 1 1'!$AA107-('Touch 1 1'!O$2- 12.5)*'Touch 1 1'!$AC107</f>
        <v>-47.954598481295875</v>
      </c>
      <c r="P107" s="1">
        <f>'Touch 1 1'!P107-'Touch 1 1'!$AA107-('Touch 1 1'!P$2- 12.5)*'Touch 1 1'!$AC107</f>
        <v>-49.090997468826458</v>
      </c>
      <c r="Q107" s="1">
        <f>'Touch 1 1'!Q107-'Touch 1 1'!$AA107-('Touch 1 1'!Q$2- 12.5)*'Touch 1 1'!$AC107</f>
        <v>-20.227396456357042</v>
      </c>
      <c r="R107" s="1">
        <f>'Touch 1 1'!R107-'Touch 1 1'!$AA107-('Touch 1 1'!R$2- 12.5)*'Touch 1 1'!$AC107</f>
        <v>-11.363795443887625</v>
      </c>
      <c r="S107" s="1">
        <f>'Touch 1 1'!S107-'Touch 1 1'!$AA107-('Touch 1 1'!S$2- 12.5)*'Touch 1 1'!$AC107</f>
        <v>77.499805568581905</v>
      </c>
      <c r="T107" s="1">
        <f>'Touch 1 1'!T107-'Touch 1 1'!$AA107-('Touch 1 1'!T$2- 12.5)*'Touch 1 1'!$AC107</f>
        <v>-13.636593418948905</v>
      </c>
      <c r="U107" s="1">
        <f>'Touch 1 1'!U107-'Touch 1 1'!$AA107-('Touch 1 1'!U$2- 12.5)*'Touch 1 1'!$AC107</f>
        <v>45.227007593520739</v>
      </c>
      <c r="V107" s="1">
        <f>'Touch 1 1'!V107-'Touch 1 1'!$AA107-('Touch 1 1'!V$2- 12.5)*'Touch 1 1'!$AC107</f>
        <v>24.090608605989928</v>
      </c>
      <c r="W107" s="1">
        <f>'Touch 1 1'!W107-'Touch 1 1'!$AA107-('Touch 1 1'!W$2- 12.5)*'Touch 1 1'!$AC107</f>
        <v>42.954209618459572</v>
      </c>
      <c r="X107" s="1">
        <f>'Touch 1 1'!X107-'Touch 1 1'!$AA107-('Touch 1 1'!X$2- 12.5)*'Touch 1 1'!$AC107</f>
        <v>31.817810630928761</v>
      </c>
      <c r="Y107" s="1">
        <f>'Touch 1 1'!Y107-'Touch 1 1'!$AA107-('Touch 1 1'!Y$2- 12.5)*'Touch 1 1'!$AC107</f>
        <v>50.681411643398405</v>
      </c>
      <c r="AB107" s="1">
        <f>STDEV(B107:Y107)</f>
        <v>40.366156191339961</v>
      </c>
      <c r="AD107" s="11" t="s">
        <v>44</v>
      </c>
      <c r="AE107" s="11">
        <v>9</v>
      </c>
      <c r="AF107" s="11">
        <v>5</v>
      </c>
      <c r="AG107" s="11">
        <v>8</v>
      </c>
      <c r="AH107" s="11" t="s">
        <v>45</v>
      </c>
      <c r="AI107" s="11" t="s">
        <v>46</v>
      </c>
      <c r="AJ107" s="11">
        <v>7</v>
      </c>
      <c r="AK107" s="11">
        <v>1</v>
      </c>
      <c r="AL107" s="11">
        <v>2</v>
      </c>
      <c r="AM107" s="11">
        <v>3</v>
      </c>
      <c r="AN107" s="11">
        <v>4</v>
      </c>
      <c r="AO107" s="11">
        <v>6</v>
      </c>
      <c r="AP107" s="11">
        <v>9</v>
      </c>
      <c r="AQ107" s="11" t="s">
        <v>44</v>
      </c>
      <c r="AR107" s="11">
        <v>8</v>
      </c>
      <c r="AS107" s="11">
        <v>5</v>
      </c>
      <c r="AT107" s="11" t="s">
        <v>46</v>
      </c>
      <c r="AU107" s="11" t="s">
        <v>45</v>
      </c>
      <c r="AV107" s="11">
        <v>7</v>
      </c>
      <c r="AW107" s="11">
        <v>2</v>
      </c>
      <c r="AX107" s="11">
        <v>1</v>
      </c>
      <c r="AY107" s="11">
        <v>3</v>
      </c>
      <c r="AZ107" s="11">
        <v>6</v>
      </c>
      <c r="BA107" s="11">
        <v>4</v>
      </c>
      <c r="BB107" s="5"/>
      <c r="BC107" s="1">
        <f ca="1">OFFSET(A107,0, 8) -0</f>
        <v>38.863795443887625</v>
      </c>
      <c r="BD107" s="1">
        <f ca="1">OFFSET(A107,0, 9) -0</f>
        <v>37.727396456357042</v>
      </c>
      <c r="BE107" s="1">
        <f ca="1">OFFSET(A107,0, 10) -0</f>
        <v>26.590997468826458</v>
      </c>
      <c r="BF107" s="1">
        <f ca="1">OFFSET(A107,0, 11) -0</f>
        <v>-34.545401518704125</v>
      </c>
      <c r="BG107" s="1">
        <f ca="1">OFFSET(A107,0, 3) -0</f>
        <v>-75.454209618459572</v>
      </c>
      <c r="BH107" s="1">
        <f ca="1">OFFSET(A107,0, 12) -0</f>
        <v>-5.6818005062347083</v>
      </c>
      <c r="BI107" s="1">
        <f ca="1">OFFSET(A107,0, 7) -0</f>
        <v>-9.9998055685819054</v>
      </c>
      <c r="BJ107" s="1">
        <f ca="1">OFFSET(A107,0, 4) -0</f>
        <v>-6.590608605989928</v>
      </c>
      <c r="BK107" s="1">
        <f ca="1">OFFSET(A107,0, 2) -0</f>
        <v>-54.317810630928761</v>
      </c>
      <c r="BL107" s="1">
        <f ca="1">OFFSET(A107,0, 1) -0</f>
        <v>-53.181411643398405</v>
      </c>
      <c r="BM107" s="1">
        <f ca="1">OFFSET(A107,0, 5) -0</f>
        <v>22.272992406479261</v>
      </c>
      <c r="BN107" s="1">
        <f ca="1">OFFSET(A107,0, 6) -0</f>
        <v>-28.863406581051095</v>
      </c>
      <c r="BO107" s="1">
        <f ca="1">OFFSET(A107,0, 21) -0</f>
        <v>24.090608605989928</v>
      </c>
      <c r="BP107" s="1">
        <f ca="1">OFFSET(A107,0, 20) -0</f>
        <v>45.227007593520739</v>
      </c>
      <c r="BQ107" s="1">
        <f ca="1">OFFSET(A107,0, 22) -0</f>
        <v>42.954209618459572</v>
      </c>
      <c r="BR107" s="1">
        <f ca="1">OFFSET(A107,0, 24) -0</f>
        <v>50.681411643398405</v>
      </c>
      <c r="BS107" s="1">
        <f ca="1">OFFSET(A107,0, 16) -0</f>
        <v>-20.227396456357042</v>
      </c>
      <c r="BT107" s="1">
        <f ca="1">OFFSET(A107,0, 23) -0</f>
        <v>31.817810630928761</v>
      </c>
      <c r="BU107" s="1">
        <f ca="1">OFFSET(A107,0, 19) -0</f>
        <v>-13.636593418948905</v>
      </c>
      <c r="BV107" s="1">
        <f ca="1">OFFSET(A107,0, 15) -0</f>
        <v>-49.090997468826458</v>
      </c>
      <c r="BW107" s="1">
        <f ca="1">OFFSET(A107,0, 13) -0</f>
        <v>13.181800506234708</v>
      </c>
      <c r="BX107" s="1">
        <f ca="1">OFFSET(A107,0, 14) -0</f>
        <v>-47.954598481295875</v>
      </c>
      <c r="BY107" s="1">
        <f ca="1">OFFSET(A107,0, 18) -0</f>
        <v>77.499805568581905</v>
      </c>
      <c r="BZ107" s="1">
        <f ca="1">OFFSET(A107,0, 17) -0</f>
        <v>-11.363795443887625</v>
      </c>
      <c r="CB107" s="1">
        <f>COUNTIF(B107,"&lt;-75")</f>
        <v>0</v>
      </c>
      <c r="CC107" s="1">
        <f ca="1">COUNTIF(BC107:BN107,"&lt;-53")</f>
        <v>3</v>
      </c>
      <c r="CD107" s="1">
        <f ca="1">COUNTIF(BC107:BN107,"&gt;+53")</f>
        <v>0</v>
      </c>
      <c r="CE107" s="1">
        <f ca="1">COUNTIF(BO107:BZ107,"&lt;-53")</f>
        <v>0</v>
      </c>
      <c r="CF107" s="1">
        <f ca="1">COUNTIF(BO107:BZ107,"&gt;+53")</f>
        <v>1</v>
      </c>
    </row>
    <row r="108" spans="1:84">
      <c r="A108" s="1">
        <v>105</v>
      </c>
      <c r="B108" s="1">
        <f>'Touch 1 1'!B108-'Touch 1 1'!$AA108-('Touch 1 1'!B$2- 12.5)*'Touch 1 1'!$AC108</f>
        <v>-48.403843764665453</v>
      </c>
      <c r="C108" s="1">
        <f>'Touch 1 1'!C108-'Touch 1 1'!$AA108-('Touch 1 1'!C$2- 12.5)*'Touch 1 1'!$AC108</f>
        <v>-59.448437060488232</v>
      </c>
      <c r="D108" s="1">
        <f>'Touch 1 1'!D108-'Touch 1 1'!$AA108-('Touch 1 1'!D$2- 12.5)*'Touch 1 1'!$AC108</f>
        <v>-30.493030356311237</v>
      </c>
      <c r="E108" s="1">
        <f>'Touch 1 1'!E108-'Touch 1 1'!$AA108-('Touch 1 1'!E$2- 12.5)*'Touch 1 1'!$AC108</f>
        <v>48.462376347865984</v>
      </c>
      <c r="F108" s="1">
        <f>'Touch 1 1'!F108-'Touch 1 1'!$AA108-('Touch 1 1'!F$2- 12.5)*'Touch 1 1'!$AC108</f>
        <v>-12.582216947956795</v>
      </c>
      <c r="G108" s="1">
        <f>'Touch 1 1'!G108-'Touch 1 1'!$AA108-('Touch 1 1'!G$2- 12.5)*'Touch 1 1'!$AC108</f>
        <v>16.373189756220427</v>
      </c>
      <c r="H108" s="1">
        <f>'Touch 1 1'!H108-'Touch 1 1'!$AA108-('Touch 1 1'!H$2- 12.5)*'Touch 1 1'!$AC108</f>
        <v>75.328596460397648</v>
      </c>
      <c r="I108" s="1">
        <f>'Touch 1 1'!I108-'Touch 1 1'!$AA108-('Touch 1 1'!I$2- 12.5)*'Touch 1 1'!$AC108</f>
        <v>74.284003164574756</v>
      </c>
      <c r="J108" s="1">
        <f>'Touch 1 1'!J108-'Touch 1 1'!$AA108-('Touch 1 1'!J$2- 12.5)*'Touch 1 1'!$AC108</f>
        <v>53.239409868751977</v>
      </c>
      <c r="K108" s="1">
        <f>'Touch 1 1'!K108-'Touch 1 1'!$AA108-('Touch 1 1'!K$2- 12.5)*'Touch 1 1'!$AC108</f>
        <v>-7.8051834270708014</v>
      </c>
      <c r="L108" s="1">
        <f>'Touch 1 1'!L108-'Touch 1 1'!$AA108-('Touch 1 1'!L$2- 12.5)*'Touch 1 1'!$AC108</f>
        <v>-48.849776722893637</v>
      </c>
      <c r="M108" s="1">
        <f>'Touch 1 1'!M108-'Touch 1 1'!$AA108-('Touch 1 1'!M$2- 12.5)*'Touch 1 1'!$AC108</f>
        <v>-9.894370018716458</v>
      </c>
      <c r="N108" s="1">
        <f>'Touch 1 1'!N108-'Touch 1 1'!$AA108-('Touch 1 1'!N$2- 12.5)*'Touch 1 1'!$AC108</f>
        <v>-60.938963314539265</v>
      </c>
      <c r="O108" s="1">
        <f>'Touch 1 1'!O108-'Touch 1 1'!$AA108-('Touch 1 1'!O$2- 12.5)*'Touch 1 1'!$AC108</f>
        <v>-1.9835566103620863</v>
      </c>
      <c r="P108" s="1">
        <f>'Touch 1 1'!P108-'Touch 1 1'!$AA108-('Touch 1 1'!P$2- 12.5)*'Touch 1 1'!$AC108</f>
        <v>36.971850093815078</v>
      </c>
      <c r="Q108" s="1">
        <f>'Touch 1 1'!Q108-'Touch 1 1'!$AA108-('Touch 1 1'!Q$2- 12.5)*'Touch 1 1'!$AC108</f>
        <v>-34.0727432020077</v>
      </c>
      <c r="R108" s="1">
        <f>'Touch 1 1'!R108-'Touch 1 1'!$AA108-('Touch 1 1'!R$2- 12.5)*'Touch 1 1'!$AC108</f>
        <v>4.8826635021695211</v>
      </c>
      <c r="S108" s="1">
        <f>'Touch 1 1'!S108-'Touch 1 1'!$AA108-('Touch 1 1'!S$2- 12.5)*'Touch 1 1'!$AC108</f>
        <v>23.838070206346629</v>
      </c>
      <c r="T108" s="1">
        <f>'Touch 1 1'!T108-'Touch 1 1'!$AA108-('Touch 1 1'!T$2- 12.5)*'Touch 1 1'!$AC108</f>
        <v>-47.20652308947615</v>
      </c>
      <c r="U108" s="1">
        <f>'Touch 1 1'!U108-'Touch 1 1'!$AA108-('Touch 1 1'!U$2- 12.5)*'Touch 1 1'!$AC108</f>
        <v>-18.251116385298928</v>
      </c>
      <c r="V108" s="1">
        <f>'Touch 1 1'!V108-'Touch 1 1'!$AA108-('Touch 1 1'!V$2- 12.5)*'Touch 1 1'!$AC108</f>
        <v>10.704290318878293</v>
      </c>
      <c r="W108" s="1">
        <f>'Touch 1 1'!W108-'Touch 1 1'!$AA108-('Touch 1 1'!W$2- 12.5)*'Touch 1 1'!$AC108</f>
        <v>9.6596970230555144</v>
      </c>
      <c r="X108" s="1">
        <f>'Touch 1 1'!X108-'Touch 1 1'!$AA108-('Touch 1 1'!X$2- 12.5)*'Touch 1 1'!$AC108</f>
        <v>8.6151037272325084</v>
      </c>
      <c r="Y108" s="1">
        <f>'Touch 1 1'!Y108-'Touch 1 1'!$AA108-('Touch 1 1'!Y$2- 12.5)*'Touch 1 1'!$AC108</f>
        <v>17.57051043140973</v>
      </c>
      <c r="AB108" s="1">
        <f>STDEV(B108:Y108)</f>
        <v>39.641756279857304</v>
      </c>
      <c r="AD108" s="11" t="s">
        <v>44</v>
      </c>
      <c r="AE108" s="11">
        <v>9</v>
      </c>
      <c r="AF108" s="11">
        <v>5</v>
      </c>
      <c r="AG108" s="11">
        <v>8</v>
      </c>
      <c r="AH108" s="11" t="s">
        <v>45</v>
      </c>
      <c r="AI108" s="11" t="s">
        <v>46</v>
      </c>
      <c r="AJ108" s="11">
        <v>2</v>
      </c>
      <c r="AK108" s="11">
        <v>7</v>
      </c>
      <c r="AL108" s="11">
        <v>3</v>
      </c>
      <c r="AM108" s="11">
        <v>1</v>
      </c>
      <c r="AN108" s="11">
        <v>4</v>
      </c>
      <c r="AO108" s="11">
        <v>6</v>
      </c>
      <c r="AP108" s="11" t="s">
        <v>44</v>
      </c>
      <c r="AQ108" s="11">
        <v>5</v>
      </c>
      <c r="AR108" s="11">
        <v>9</v>
      </c>
      <c r="AS108" s="11" t="s">
        <v>45</v>
      </c>
      <c r="AT108" s="11">
        <v>8</v>
      </c>
      <c r="AU108" s="11">
        <v>2</v>
      </c>
      <c r="AV108" s="11" t="s">
        <v>46</v>
      </c>
      <c r="AW108" s="11">
        <v>7</v>
      </c>
      <c r="AX108" s="11">
        <v>1</v>
      </c>
      <c r="AY108" s="11">
        <v>3</v>
      </c>
      <c r="AZ108" s="11">
        <v>6</v>
      </c>
      <c r="BA108" s="11">
        <v>4</v>
      </c>
      <c r="BB108" s="5"/>
      <c r="BC108" s="1">
        <f ca="1">OFFSET(A108,0, 10) -0</f>
        <v>-7.8051834270708014</v>
      </c>
      <c r="BD108" s="1">
        <f ca="1">OFFSET(A108,0, 7) -0</f>
        <v>75.328596460397648</v>
      </c>
      <c r="BE108" s="1">
        <f ca="1">OFFSET(A108,0, 9) -0</f>
        <v>53.239409868751977</v>
      </c>
      <c r="BF108" s="1">
        <f ca="1">OFFSET(A108,0, 11) -0</f>
        <v>-48.849776722893637</v>
      </c>
      <c r="BG108" s="1">
        <f ca="1">OFFSET(A108,0, 3) -0</f>
        <v>-30.493030356311237</v>
      </c>
      <c r="BH108" s="1">
        <f ca="1">OFFSET(A108,0, 12) -0</f>
        <v>-9.894370018716458</v>
      </c>
      <c r="BI108" s="1">
        <f ca="1">OFFSET(A108,0, 8) -0</f>
        <v>74.284003164574756</v>
      </c>
      <c r="BJ108" s="1">
        <f ca="1">OFFSET(A108,0, 4) -0</f>
        <v>48.462376347865984</v>
      </c>
      <c r="BK108" s="1">
        <f ca="1">OFFSET(A108,0, 2) -0</f>
        <v>-59.448437060488232</v>
      </c>
      <c r="BL108" s="1">
        <f ca="1">OFFSET(A108,0, 1) -0</f>
        <v>-48.403843764665453</v>
      </c>
      <c r="BM108" s="1">
        <f ca="1">OFFSET(A108,0, 5) -0</f>
        <v>-12.582216947956795</v>
      </c>
      <c r="BN108" s="1">
        <f ca="1">OFFSET(A108,0, 6) -0</f>
        <v>16.373189756220427</v>
      </c>
      <c r="BO108" s="1">
        <f ca="1">OFFSET(A108,0, 21) -0</f>
        <v>10.704290318878293</v>
      </c>
      <c r="BP108" s="1">
        <f ca="1">OFFSET(A108,0, 18) -0</f>
        <v>23.838070206346629</v>
      </c>
      <c r="BQ108" s="1">
        <f ca="1">OFFSET(A108,0, 22) -0</f>
        <v>9.6596970230555144</v>
      </c>
      <c r="BR108" s="1">
        <f ca="1">OFFSET(A108,0, 24) -0</f>
        <v>17.57051043140973</v>
      </c>
      <c r="BS108" s="1">
        <f ca="1">OFFSET(A108,0, 14) -0</f>
        <v>-1.9835566103620863</v>
      </c>
      <c r="BT108" s="1">
        <f ca="1">OFFSET(A108,0, 23) -0</f>
        <v>8.6151037272325084</v>
      </c>
      <c r="BU108" s="1">
        <f ca="1">OFFSET(A108,0, 20) -0</f>
        <v>-18.251116385298928</v>
      </c>
      <c r="BV108" s="1">
        <f ca="1">OFFSET(A108,0, 17) -0</f>
        <v>4.8826635021695211</v>
      </c>
      <c r="BW108" s="1">
        <f ca="1">OFFSET(A108,0, 15) -0</f>
        <v>36.971850093815078</v>
      </c>
      <c r="BX108" s="1">
        <f ca="1">OFFSET(A108,0, 13) -0</f>
        <v>-60.938963314539265</v>
      </c>
      <c r="BY108" s="1">
        <f ca="1">OFFSET(A108,0, 16) -0</f>
        <v>-34.0727432020077</v>
      </c>
      <c r="BZ108" s="1">
        <f ca="1">OFFSET(A108,0, 19) -0</f>
        <v>-47.20652308947615</v>
      </c>
      <c r="CB108" s="1">
        <f>COUNTIF(B108,"&lt;-75")</f>
        <v>0</v>
      </c>
      <c r="CC108" s="1">
        <f ca="1">COUNTIF(BC108:BN108,"&lt;-53")</f>
        <v>1</v>
      </c>
      <c r="CD108" s="1">
        <f ca="1">COUNTIF(BC108:BN108,"&gt;+53")</f>
        <v>3</v>
      </c>
      <c r="CE108" s="1">
        <f ca="1">COUNTIF(BO108:BZ108,"&lt;-53")</f>
        <v>1</v>
      </c>
      <c r="CF108" s="1">
        <f ca="1">COUNTIF(BO108:BZ108,"&gt;+53")</f>
        <v>0</v>
      </c>
    </row>
    <row r="109" spans="1:84">
      <c r="A109" s="1">
        <v>106</v>
      </c>
      <c r="B109" s="1">
        <f>'Touch 1 1'!B109-'Touch 1 1'!$AA109-('Touch 1 1'!B$2- 12.5)*'Touch 1 1'!$AC109</f>
        <v>-38.183688833330962</v>
      </c>
      <c r="C109" s="1">
        <f>'Touch 1 1'!C109-'Touch 1 1'!$AA109-('Touch 1 1'!C$2- 12.5)*'Touch 1 1'!$AC109</f>
        <v>-39.428585456519613</v>
      </c>
      <c r="D109" s="1">
        <f>'Touch 1 1'!D109-'Touch 1 1'!$AA109-('Touch 1 1'!D$2- 12.5)*'Touch 1 1'!$AC109</f>
        <v>29.326517920291963</v>
      </c>
      <c r="E109" s="1">
        <f>'Touch 1 1'!E109-'Touch 1 1'!$AA109-('Touch 1 1'!E$2- 12.5)*'Touch 1 1'!$AC109</f>
        <v>-61.918378702896689</v>
      </c>
      <c r="F109" s="1">
        <f>'Touch 1 1'!F109-'Touch 1 1'!$AA109-('Touch 1 1'!F$2- 12.5)*'Touch 1 1'!$AC109</f>
        <v>66.836724673914659</v>
      </c>
      <c r="G109" s="1">
        <f>'Touch 1 1'!G109-'Touch 1 1'!$AA109-('Touch 1 1'!G$2- 12.5)*'Touch 1 1'!$AC109</f>
        <v>35.591828050726008</v>
      </c>
      <c r="H109" s="1">
        <f>'Touch 1 1'!H109-'Touch 1 1'!$AA109-('Touch 1 1'!H$2- 12.5)*'Touch 1 1'!$AC109</f>
        <v>44.346931427537356</v>
      </c>
      <c r="I109" s="1">
        <f>'Touch 1 1'!I109-'Touch 1 1'!$AA109-('Touch 1 1'!I$2- 12.5)*'Touch 1 1'!$AC109</f>
        <v>-46.897965195651182</v>
      </c>
      <c r="J109" s="1">
        <f>'Touch 1 1'!J109-'Touch 1 1'!$AA109-('Touch 1 1'!J$2- 12.5)*'Touch 1 1'!$AC109</f>
        <v>21.857138181160167</v>
      </c>
      <c r="K109" s="1">
        <f>'Touch 1 1'!K109-'Touch 1 1'!$AA109-('Touch 1 1'!K$2- 12.5)*'Touch 1 1'!$AC109</f>
        <v>-9.3877584420284848</v>
      </c>
      <c r="L109" s="1">
        <f>'Touch 1 1'!L109-'Touch 1 1'!$AA109-('Touch 1 1'!L$2- 12.5)*'Touch 1 1'!$AC109</f>
        <v>-10.632655065217079</v>
      </c>
      <c r="M109" s="1">
        <f>'Touch 1 1'!M109-'Touch 1 1'!$AA109-('Touch 1 1'!M$2- 12.5)*'Touch 1 1'!$AC109</f>
        <v>-21.877551688405688</v>
      </c>
      <c r="N109" s="1">
        <f>'Touch 1 1'!N109-'Touch 1 1'!$AA109-('Touch 1 1'!N$2- 12.5)*'Touch 1 1'!$AC109</f>
        <v>16.877551688405688</v>
      </c>
      <c r="O109" s="1">
        <f>'Touch 1 1'!O109-'Touch 1 1'!$AA109-('Touch 1 1'!O$2- 12.5)*'Touch 1 1'!$AC109</f>
        <v>15.632655065217079</v>
      </c>
      <c r="P109" s="1">
        <f>'Touch 1 1'!P109-'Touch 1 1'!$AA109-('Touch 1 1'!P$2- 12.5)*'Touch 1 1'!$AC109</f>
        <v>-5.6122415579715152</v>
      </c>
      <c r="Q109" s="1">
        <f>'Touch 1 1'!Q109-'Touch 1 1'!$AA109-('Touch 1 1'!Q$2- 12.5)*'Touch 1 1'!$AC109</f>
        <v>13.142861818839833</v>
      </c>
      <c r="R109" s="1">
        <f>'Touch 1 1'!R109-'Touch 1 1'!$AA109-('Touch 1 1'!R$2- 12.5)*'Touch 1 1'!$AC109</f>
        <v>51.897965195651182</v>
      </c>
      <c r="S109" s="1">
        <f>'Touch 1 1'!S109-'Touch 1 1'!$AA109-('Touch 1 1'!S$2- 12.5)*'Touch 1 1'!$AC109</f>
        <v>20.653068572462644</v>
      </c>
      <c r="T109" s="1">
        <f>'Touch 1 1'!T109-'Touch 1 1'!$AA109-('Touch 1 1'!T$2- 12.5)*'Touch 1 1'!$AC109</f>
        <v>-10.591828050726008</v>
      </c>
      <c r="U109" s="1">
        <f>'Touch 1 1'!U109-'Touch 1 1'!$AA109-('Touch 1 1'!U$2- 12.5)*'Touch 1 1'!$AC109</f>
        <v>-31.836724673914659</v>
      </c>
      <c r="V109" s="1">
        <f>'Touch 1 1'!V109-'Touch 1 1'!$AA109-('Touch 1 1'!V$2- 12.5)*'Touch 1 1'!$AC109</f>
        <v>-33.081621297103311</v>
      </c>
      <c r="W109" s="1">
        <f>'Touch 1 1'!W109-'Touch 1 1'!$AA109-('Touch 1 1'!W$2- 12.5)*'Touch 1 1'!$AC109</f>
        <v>-4.3265179202919626</v>
      </c>
      <c r="X109" s="1">
        <f>'Touch 1 1'!X109-'Touch 1 1'!$AA109-('Touch 1 1'!X$2- 12.5)*'Touch 1 1'!$AC109</f>
        <v>-5.5714145434803868</v>
      </c>
      <c r="Y109" s="1">
        <f>'Touch 1 1'!Y109-'Touch 1 1'!$AA109-('Touch 1 1'!Y$2- 12.5)*'Touch 1 1'!$AC109</f>
        <v>3.1836888333309616</v>
      </c>
      <c r="AB109" s="1">
        <f>STDEV(B109:Y109)</f>
        <v>32.901396080610944</v>
      </c>
      <c r="AD109" s="11">
        <v>5</v>
      </c>
      <c r="AE109" s="11" t="s">
        <v>44</v>
      </c>
      <c r="AF109" s="11" t="s">
        <v>45</v>
      </c>
      <c r="AG109" s="11">
        <v>9</v>
      </c>
      <c r="AH109" s="11">
        <v>2</v>
      </c>
      <c r="AI109" s="11">
        <v>8</v>
      </c>
      <c r="AJ109" s="11">
        <v>7</v>
      </c>
      <c r="AK109" s="11" t="s">
        <v>46</v>
      </c>
      <c r="AL109" s="11">
        <v>3</v>
      </c>
      <c r="AM109" s="11">
        <v>1</v>
      </c>
      <c r="AN109" s="11">
        <v>4</v>
      </c>
      <c r="AO109" s="11">
        <v>6</v>
      </c>
      <c r="AP109" s="11" t="s">
        <v>44</v>
      </c>
      <c r="AQ109" s="11">
        <v>5</v>
      </c>
      <c r="AR109" s="11">
        <v>9</v>
      </c>
      <c r="AS109" s="11" t="s">
        <v>45</v>
      </c>
      <c r="AT109" s="11">
        <v>8</v>
      </c>
      <c r="AU109" s="11">
        <v>2</v>
      </c>
      <c r="AV109" s="11" t="s">
        <v>46</v>
      </c>
      <c r="AW109" s="11">
        <v>7</v>
      </c>
      <c r="AX109" s="11">
        <v>3</v>
      </c>
      <c r="AY109" s="11">
        <v>4</v>
      </c>
      <c r="AZ109" s="11">
        <v>1</v>
      </c>
      <c r="BA109" s="11">
        <v>6</v>
      </c>
      <c r="BB109" s="5"/>
      <c r="BC109" s="1">
        <f ca="1">OFFSET(A109,0, 10) -0</f>
        <v>-9.3877584420284848</v>
      </c>
      <c r="BD109" s="1">
        <f ca="1">OFFSET(A109,0, 5) -0</f>
        <v>66.836724673914659</v>
      </c>
      <c r="BE109" s="1">
        <f ca="1">OFFSET(A109,0, 9) -0</f>
        <v>21.857138181160167</v>
      </c>
      <c r="BF109" s="1">
        <f ca="1">OFFSET(A109,0, 11) -0</f>
        <v>-10.632655065217079</v>
      </c>
      <c r="BG109" s="1">
        <f ca="1">OFFSET(A109,0, 1) -0</f>
        <v>-38.183688833330962</v>
      </c>
      <c r="BH109" s="1">
        <f ca="1">OFFSET(A109,0, 12) -0</f>
        <v>-21.877551688405688</v>
      </c>
      <c r="BI109" s="1">
        <f ca="1">OFFSET(A109,0, 7) -0</f>
        <v>44.346931427537356</v>
      </c>
      <c r="BJ109" s="1">
        <f ca="1">OFFSET(A109,0, 6) -0</f>
        <v>35.591828050726008</v>
      </c>
      <c r="BK109" s="1">
        <f ca="1">OFFSET(A109,0, 4) -0</f>
        <v>-61.918378702896689</v>
      </c>
      <c r="BL109" s="1">
        <f ca="1">OFFSET(A109,0, 2) -0</f>
        <v>-39.428585456519613</v>
      </c>
      <c r="BM109" s="1">
        <f ca="1">OFFSET(A109,0, 3) -0</f>
        <v>29.326517920291963</v>
      </c>
      <c r="BN109" s="1">
        <f ca="1">OFFSET(A109,0, 8) -0</f>
        <v>-46.897965195651182</v>
      </c>
      <c r="BO109" s="1">
        <f ca="1">OFFSET(A109,0, 23) -0</f>
        <v>-5.5714145434803868</v>
      </c>
      <c r="BP109" s="1">
        <f ca="1">OFFSET(A109,0, 18) -0</f>
        <v>20.653068572462644</v>
      </c>
      <c r="BQ109" s="1">
        <f ca="1">OFFSET(A109,0, 21) -0</f>
        <v>-33.081621297103311</v>
      </c>
      <c r="BR109" s="1">
        <f ca="1">OFFSET(A109,0, 22) -0</f>
        <v>-4.3265179202919626</v>
      </c>
      <c r="BS109" s="1">
        <f ca="1">OFFSET(A109,0, 14) -0</f>
        <v>15.632655065217079</v>
      </c>
      <c r="BT109" s="1">
        <f ca="1">OFFSET(A109,0, 24) -0</f>
        <v>3.1836888333309616</v>
      </c>
      <c r="BU109" s="1">
        <f ca="1">OFFSET(A109,0, 20) -0</f>
        <v>-31.836724673914659</v>
      </c>
      <c r="BV109" s="1">
        <f ca="1">OFFSET(A109,0, 17) -0</f>
        <v>51.897965195651182</v>
      </c>
      <c r="BW109" s="1">
        <f ca="1">OFFSET(A109,0, 15) -0</f>
        <v>-5.6122415579715152</v>
      </c>
      <c r="BX109" s="1">
        <f ca="1">OFFSET(A109,0, 13) -0</f>
        <v>16.877551688405688</v>
      </c>
      <c r="BY109" s="1">
        <f ca="1">OFFSET(A109,0, 16) -0</f>
        <v>13.142861818839833</v>
      </c>
      <c r="BZ109" s="1">
        <f ca="1">OFFSET(A109,0, 19) -0</f>
        <v>-10.591828050726008</v>
      </c>
      <c r="CB109" s="1">
        <f>COUNTIF(B109,"&lt;-75")</f>
        <v>0</v>
      </c>
      <c r="CC109" s="1">
        <f ca="1">COUNTIF(BC109:BN109,"&lt;-53")</f>
        <v>1</v>
      </c>
      <c r="CD109" s="1">
        <f ca="1">COUNTIF(BC109:BN109,"&gt;+53")</f>
        <v>1</v>
      </c>
      <c r="CE109" s="1">
        <f ca="1">COUNTIF(BO109:BZ109,"&lt;-53")</f>
        <v>0</v>
      </c>
      <c r="CF109" s="1">
        <f ca="1">COUNTIF(BO109:BZ109,"&gt;+53")</f>
        <v>0</v>
      </c>
    </row>
    <row r="110" spans="1:84">
      <c r="A110" s="1">
        <v>107</v>
      </c>
      <c r="B110" s="1">
        <f>'Touch 1 1'!B110-'Touch 1 1'!$AA110-('Touch 1 1'!B$2- 12.5)*'Touch 1 1'!$AC110</f>
        <v>-39.854909879850311</v>
      </c>
      <c r="C110" s="1">
        <f>'Touch 1 1'!C110-'Touch 1 1'!$AA110-('Touch 1 1'!C$2- 12.5)*'Touch 1 1'!$AC110</f>
        <v>-11.316801774352825</v>
      </c>
      <c r="D110" s="1">
        <f>'Touch 1 1'!D110-'Touch 1 1'!$AA110-('Touch 1 1'!D$2- 12.5)*'Touch 1 1'!$AC110</f>
        <v>-12.778693668855112</v>
      </c>
      <c r="E110" s="1">
        <f>'Touch 1 1'!E110-'Touch 1 1'!$AA110-('Touch 1 1'!E$2- 12.5)*'Touch 1 1'!$AC110</f>
        <v>-24.240585563357399</v>
      </c>
      <c r="F110" s="1">
        <f>'Touch 1 1'!F110-'Touch 1 1'!$AA110-('Touch 1 1'!F$2- 12.5)*'Touch 1 1'!$AC110</f>
        <v>44.297522542140086</v>
      </c>
      <c r="G110" s="1">
        <f>'Touch 1 1'!G110-'Touch 1 1'!$AA110-('Touch 1 1'!G$2- 12.5)*'Touch 1 1'!$AC110</f>
        <v>62.835630647637799</v>
      </c>
      <c r="H110" s="1">
        <f>'Touch 1 1'!H110-'Touch 1 1'!$AA110-('Touch 1 1'!H$2- 12.5)*'Touch 1 1'!$AC110</f>
        <v>41.373738753135285</v>
      </c>
      <c r="I110" s="1">
        <f>'Touch 1 1'!I110-'Touch 1 1'!$AA110-('Touch 1 1'!I$2- 12.5)*'Touch 1 1'!$AC110</f>
        <v>-20.088153141367002</v>
      </c>
      <c r="J110" s="1">
        <f>'Touch 1 1'!J110-'Touch 1 1'!$AA110-('Touch 1 1'!J$2- 12.5)*'Touch 1 1'!$AC110</f>
        <v>-1.5500450358695161</v>
      </c>
      <c r="K110" s="1">
        <f>'Touch 1 1'!K110-'Touch 1 1'!$AA110-('Touch 1 1'!K$2- 12.5)*'Touch 1 1'!$AC110</f>
        <v>-3.0119369303718031</v>
      </c>
      <c r="L110" s="1">
        <f>'Touch 1 1'!L110-'Touch 1 1'!$AA110-('Touch 1 1'!L$2- 12.5)*'Touch 1 1'!$AC110</f>
        <v>5.5261711751257394</v>
      </c>
      <c r="M110" s="1">
        <f>'Touch 1 1'!M110-'Touch 1 1'!$AA110-('Touch 1 1'!M$2- 12.5)*'Touch 1 1'!$AC110</f>
        <v>14.064279280623339</v>
      </c>
      <c r="N110" s="1">
        <f>'Touch 1 1'!N110-'Touch 1 1'!$AA110-('Touch 1 1'!N$2- 12.5)*'Touch 1 1'!$AC110</f>
        <v>-17.397612613879062</v>
      </c>
      <c r="O110" s="1">
        <f>'Touch 1 1'!O110-'Touch 1 1'!$AA110-('Touch 1 1'!O$2- 12.5)*'Touch 1 1'!$AC110</f>
        <v>-48.859504508381463</v>
      </c>
      <c r="P110" s="1">
        <f>'Touch 1 1'!P110-'Touch 1 1'!$AA110-('Touch 1 1'!P$2- 12.5)*'Touch 1 1'!$AC110</f>
        <v>9.67860359711608</v>
      </c>
      <c r="Q110" s="1">
        <f>'Touch 1 1'!Q110-'Touch 1 1'!$AA110-('Touch 1 1'!Q$2- 12.5)*'Touch 1 1'!$AC110</f>
        <v>-1.783288297386207</v>
      </c>
      <c r="R110" s="1">
        <f>'Touch 1 1'!R110-'Touch 1 1'!$AA110-('Touch 1 1'!R$2- 12.5)*'Touch 1 1'!$AC110</f>
        <v>26.754819808111279</v>
      </c>
      <c r="S110" s="1">
        <f>'Touch 1 1'!S110-'Touch 1 1'!$AA110-('Touch 1 1'!S$2- 12.5)*'Touch 1 1'!$AC110</f>
        <v>-14.707072086391008</v>
      </c>
      <c r="T110" s="1">
        <f>'Touch 1 1'!T110-'Touch 1 1'!$AA110-('Touch 1 1'!T$2- 12.5)*'Touch 1 1'!$AC110</f>
        <v>3.8310360191064774</v>
      </c>
      <c r="U110" s="1">
        <f>'Touch 1 1'!U110-'Touch 1 1'!$AA110-('Touch 1 1'!U$2- 12.5)*'Touch 1 1'!$AC110</f>
        <v>32.36914412460419</v>
      </c>
      <c r="V110" s="1">
        <f>'Touch 1 1'!V110-'Touch 1 1'!$AA110-('Touch 1 1'!V$2- 12.5)*'Touch 1 1'!$AC110</f>
        <v>-69.092747769898324</v>
      </c>
      <c r="W110" s="1">
        <f>'Touch 1 1'!W110-'Touch 1 1'!$AA110-('Touch 1 1'!W$2- 12.5)*'Touch 1 1'!$AC110</f>
        <v>-40.554639664400611</v>
      </c>
      <c r="X110" s="1">
        <f>'Touch 1 1'!X110-'Touch 1 1'!$AA110-('Touch 1 1'!X$2- 12.5)*'Touch 1 1'!$AC110</f>
        <v>37.983468441097102</v>
      </c>
      <c r="Y110" s="1">
        <f>'Touch 1 1'!Y110-'Touch 1 1'!$AA110-('Touch 1 1'!Y$2- 12.5)*'Touch 1 1'!$AC110</f>
        <v>26.521576546594588</v>
      </c>
      <c r="AB110" s="1">
        <f>STDEV(B110:Y110)</f>
        <v>32.356085151555867</v>
      </c>
      <c r="AD110" s="11">
        <v>5</v>
      </c>
      <c r="AE110" s="11" t="s">
        <v>44</v>
      </c>
      <c r="AF110" s="11" t="s">
        <v>45</v>
      </c>
      <c r="AG110" s="11">
        <v>9</v>
      </c>
      <c r="AH110" s="11">
        <v>2</v>
      </c>
      <c r="AI110" s="11">
        <v>8</v>
      </c>
      <c r="AJ110" s="11">
        <v>7</v>
      </c>
      <c r="AK110" s="11" t="s">
        <v>46</v>
      </c>
      <c r="AL110" s="11">
        <v>4</v>
      </c>
      <c r="AM110" s="11">
        <v>3</v>
      </c>
      <c r="AN110" s="11">
        <v>6</v>
      </c>
      <c r="AO110" s="11">
        <v>1</v>
      </c>
      <c r="AP110" s="11">
        <v>5</v>
      </c>
      <c r="AQ110" s="11" t="s">
        <v>45</v>
      </c>
      <c r="AR110" s="11" t="s">
        <v>44</v>
      </c>
      <c r="AS110" s="11">
        <v>2</v>
      </c>
      <c r="AT110" s="11">
        <v>9</v>
      </c>
      <c r="AU110" s="11">
        <v>7</v>
      </c>
      <c r="AV110" s="11">
        <v>8</v>
      </c>
      <c r="AW110" s="11">
        <v>4</v>
      </c>
      <c r="AX110" s="11" t="s">
        <v>46</v>
      </c>
      <c r="AY110" s="11">
        <v>3</v>
      </c>
      <c r="AZ110" s="11">
        <v>1</v>
      </c>
      <c r="BA110" s="11">
        <v>6</v>
      </c>
      <c r="BB110" s="5"/>
      <c r="BC110" s="1">
        <f ca="1">OFFSET(A110,0, 12) -0</f>
        <v>14.064279280623339</v>
      </c>
      <c r="BD110" s="1">
        <f ca="1">OFFSET(A110,0, 5) -0</f>
        <v>44.297522542140086</v>
      </c>
      <c r="BE110" s="1">
        <f ca="1">OFFSET(A110,0, 10) -0</f>
        <v>-3.0119369303718031</v>
      </c>
      <c r="BF110" s="1">
        <f ca="1">OFFSET(A110,0, 9) -0</f>
        <v>-1.5500450358695161</v>
      </c>
      <c r="BG110" s="1">
        <f ca="1">OFFSET(A110,0, 1) -0</f>
        <v>-39.854909879850311</v>
      </c>
      <c r="BH110" s="1">
        <f ca="1">OFFSET(A110,0, 11) -0</f>
        <v>5.5261711751257394</v>
      </c>
      <c r="BI110" s="1">
        <f ca="1">OFFSET(A110,0, 7) -0</f>
        <v>41.373738753135285</v>
      </c>
      <c r="BJ110" s="1">
        <f ca="1">OFFSET(A110,0, 6) -0</f>
        <v>62.835630647637799</v>
      </c>
      <c r="BK110" s="1">
        <f ca="1">OFFSET(A110,0, 4) -0</f>
        <v>-24.240585563357399</v>
      </c>
      <c r="BL110" s="1">
        <f ca="1">OFFSET(A110,0, 2) -0</f>
        <v>-11.316801774352825</v>
      </c>
      <c r="BM110" s="1">
        <f ca="1">OFFSET(A110,0, 3) -0</f>
        <v>-12.778693668855112</v>
      </c>
      <c r="BN110" s="1">
        <f ca="1">OFFSET(A110,0, 8) -0</f>
        <v>-20.088153141367002</v>
      </c>
      <c r="BO110" s="1">
        <f ca="1">OFFSET(A110,0, 23) -0</f>
        <v>37.983468441097102</v>
      </c>
      <c r="BP110" s="1">
        <f ca="1">OFFSET(A110,0, 16) -0</f>
        <v>-1.783288297386207</v>
      </c>
      <c r="BQ110" s="1">
        <f ca="1">OFFSET(A110,0, 22) -0</f>
        <v>-40.554639664400611</v>
      </c>
      <c r="BR110" s="1">
        <f ca="1">OFFSET(A110,0, 20) -0</f>
        <v>32.36914412460419</v>
      </c>
      <c r="BS110" s="1">
        <f ca="1">OFFSET(A110,0, 13) -0</f>
        <v>-17.397612613879062</v>
      </c>
      <c r="BT110" s="1">
        <f ca="1">OFFSET(A110,0, 24) -0</f>
        <v>26.521576546594588</v>
      </c>
      <c r="BU110" s="1">
        <f ca="1">OFFSET(A110,0, 18) -0</f>
        <v>-14.707072086391008</v>
      </c>
      <c r="BV110" s="1">
        <f ca="1">OFFSET(A110,0, 19) -0</f>
        <v>3.8310360191064774</v>
      </c>
      <c r="BW110" s="1">
        <f ca="1">OFFSET(A110,0, 17) -0</f>
        <v>26.754819808111279</v>
      </c>
      <c r="BX110" s="1">
        <f ca="1">OFFSET(A110,0, 15) -0</f>
        <v>9.67860359711608</v>
      </c>
      <c r="BY110" s="1">
        <f ca="1">OFFSET(A110,0, 14) -0</f>
        <v>-48.859504508381463</v>
      </c>
      <c r="BZ110" s="1">
        <f ca="1">OFFSET(A110,0, 21) -0</f>
        <v>-69.092747769898324</v>
      </c>
      <c r="CB110" s="1">
        <f>COUNTIF(B110,"&lt;-75")</f>
        <v>0</v>
      </c>
      <c r="CC110" s="1">
        <f ca="1">COUNTIF(BC110:BN110,"&lt;-53")</f>
        <v>0</v>
      </c>
      <c r="CD110" s="1">
        <f ca="1">COUNTIF(BC110:BN110,"&gt;+53")</f>
        <v>1</v>
      </c>
      <c r="CE110" s="1">
        <f ca="1">COUNTIF(BO110:BZ110,"&lt;-53")</f>
        <v>1</v>
      </c>
      <c r="CF110" s="1">
        <f ca="1">COUNTIF(BO110:BZ110,"&gt;+53")</f>
        <v>0</v>
      </c>
    </row>
    <row r="111" spans="1:84">
      <c r="A111" s="1">
        <v>108</v>
      </c>
      <c r="B111" s="1">
        <f>'Touch 1 1'!B111-'Touch 1 1'!$AA111-('Touch 1 1'!B$2- 12.5)*'Touch 1 1'!$AC111</f>
        <v>27.516359486493457</v>
      </c>
      <c r="C111" s="1">
        <f>'Touch 1 1'!C111-'Touch 1 1'!$AA111-('Touch 1 1'!C$2- 12.5)*'Touch 1 1'!$AC111</f>
        <v>6.0294296760703219</v>
      </c>
      <c r="D111" s="1">
        <f>'Touch 1 1'!D111-'Touch 1 1'!$AA111-('Touch 1 1'!D$2- 12.5)*'Touch 1 1'!$AC111</f>
        <v>24.542499865647414</v>
      </c>
      <c r="E111" s="1">
        <f>'Touch 1 1'!E111-'Touch 1 1'!$AA111-('Touch 1 1'!E$2- 12.5)*'Touch 1 1'!$AC111</f>
        <v>13.05557005522428</v>
      </c>
      <c r="F111" s="1">
        <f>'Touch 1 1'!F111-'Touch 1 1'!$AA111-('Touch 1 1'!F$2- 12.5)*'Touch 1 1'!$AC111</f>
        <v>-78.431359755198855</v>
      </c>
      <c r="G111" s="1">
        <f>'Touch 1 1'!G111-'Touch 1 1'!$AA111-('Touch 1 1'!G$2- 12.5)*'Touch 1 1'!$AC111</f>
        <v>-59.91828956562199</v>
      </c>
      <c r="H111" s="1">
        <f>'Touch 1 1'!H111-'Touch 1 1'!$AA111-('Touch 1 1'!H$2- 12.5)*'Touch 1 1'!$AC111</f>
        <v>-31.405219376045125</v>
      </c>
      <c r="I111" s="1">
        <f>'Touch 1 1'!I111-'Touch 1 1'!$AA111-('Touch 1 1'!I$2- 12.5)*'Touch 1 1'!$AC111</f>
        <v>47.107850813531854</v>
      </c>
      <c r="J111" s="1">
        <f>'Touch 1 1'!J111-'Touch 1 1'!$AA111-('Touch 1 1'!J$2- 12.5)*'Touch 1 1'!$AC111</f>
        <v>5.6209210031087196</v>
      </c>
      <c r="K111" s="1">
        <f>'Touch 1 1'!K111-'Touch 1 1'!$AA111-('Touch 1 1'!K$2- 12.5)*'Touch 1 1'!$AC111</f>
        <v>-75.866008807314415</v>
      </c>
      <c r="L111" s="1">
        <f>'Touch 1 1'!L111-'Touch 1 1'!$AA111-('Touch 1 1'!L$2- 12.5)*'Touch 1 1'!$AC111</f>
        <v>-27.352938617737493</v>
      </c>
      <c r="M111" s="1">
        <f>'Touch 1 1'!M111-'Touch 1 1'!$AA111-('Touch 1 1'!M$2- 12.5)*'Touch 1 1'!$AC111</f>
        <v>11.160131571839415</v>
      </c>
      <c r="N111" s="1">
        <f>'Touch 1 1'!N111-'Touch 1 1'!$AA111-('Touch 1 1'!N$2- 12.5)*'Touch 1 1'!$AC111</f>
        <v>109.67320176141631</v>
      </c>
      <c r="O111" s="1">
        <f>'Touch 1 1'!O111-'Touch 1 1'!$AA111-('Touch 1 1'!O$2- 12.5)*'Touch 1 1'!$AC111</f>
        <v>48.186271950993216</v>
      </c>
      <c r="P111" s="1">
        <f>'Touch 1 1'!P111-'Touch 1 1'!$AA111-('Touch 1 1'!P$2- 12.5)*'Touch 1 1'!$AC111</f>
        <v>56.699342140570138</v>
      </c>
      <c r="Q111" s="1">
        <f>'Touch 1 1'!Q111-'Touch 1 1'!$AA111-('Touch 1 1'!Q$2- 12.5)*'Touch 1 1'!$AC111</f>
        <v>-4.7875876698529964</v>
      </c>
      <c r="R111" s="1">
        <f>'Touch 1 1'!R111-'Touch 1 1'!$AA111-('Touch 1 1'!R$2- 12.5)*'Touch 1 1'!$AC111</f>
        <v>-26.274517480276131</v>
      </c>
      <c r="S111" s="1">
        <f>'Touch 1 1'!S111-'Touch 1 1'!$AA111-('Touch 1 1'!S$2- 12.5)*'Touch 1 1'!$AC111</f>
        <v>-17.761447290699152</v>
      </c>
      <c r="T111" s="1">
        <f>'Touch 1 1'!T111-'Touch 1 1'!$AA111-('Touch 1 1'!T$2- 12.5)*'Touch 1 1'!$AC111</f>
        <v>30.751622898877713</v>
      </c>
      <c r="U111" s="1">
        <f>'Touch 1 1'!U111-'Touch 1 1'!$AA111-('Touch 1 1'!U$2- 12.5)*'Touch 1 1'!$AC111</f>
        <v>-0.73530691154542183</v>
      </c>
      <c r="V111" s="1">
        <f>'Touch 1 1'!V111-'Touch 1 1'!$AA111-('Touch 1 1'!V$2- 12.5)*'Touch 1 1'!$AC111</f>
        <v>-42.222236721968557</v>
      </c>
      <c r="W111" s="1">
        <f>'Touch 1 1'!W111-'Touch 1 1'!$AA111-('Touch 1 1'!W$2- 12.5)*'Touch 1 1'!$AC111</f>
        <v>-13.709166532391691</v>
      </c>
      <c r="X111" s="1">
        <f>'Touch 1 1'!X111-'Touch 1 1'!$AA111-('Touch 1 1'!X$2- 12.5)*'Touch 1 1'!$AC111</f>
        <v>-35.196096342814599</v>
      </c>
      <c r="Y111" s="1">
        <f>'Touch 1 1'!Y111-'Touch 1 1'!$AA111-('Touch 1 1'!Y$2- 12.5)*'Touch 1 1'!$AC111</f>
        <v>33.316973846762266</v>
      </c>
      <c r="AB111" s="1">
        <f>STDEV(B111:Y111)</f>
        <v>44.24866111869418</v>
      </c>
      <c r="AD111" s="11" t="s">
        <v>45</v>
      </c>
      <c r="AE111" s="11">
        <v>5</v>
      </c>
      <c r="AF111" s="11">
        <v>2</v>
      </c>
      <c r="AG111" s="11" t="s">
        <v>44</v>
      </c>
      <c r="AH111" s="11">
        <v>7</v>
      </c>
      <c r="AI111" s="11">
        <v>9</v>
      </c>
      <c r="AJ111" s="11">
        <v>4</v>
      </c>
      <c r="AK111" s="11">
        <v>8</v>
      </c>
      <c r="AL111" s="11">
        <v>3</v>
      </c>
      <c r="AM111" s="11" t="s">
        <v>46</v>
      </c>
      <c r="AN111" s="11">
        <v>6</v>
      </c>
      <c r="AO111" s="11">
        <v>1</v>
      </c>
      <c r="AP111" s="11">
        <v>5</v>
      </c>
      <c r="AQ111" s="11" t="s">
        <v>45</v>
      </c>
      <c r="AR111" s="11" t="s">
        <v>44</v>
      </c>
      <c r="AS111" s="11">
        <v>2</v>
      </c>
      <c r="AT111" s="11">
        <v>9</v>
      </c>
      <c r="AU111" s="11">
        <v>7</v>
      </c>
      <c r="AV111" s="11">
        <v>8</v>
      </c>
      <c r="AW111" s="11">
        <v>4</v>
      </c>
      <c r="AX111" s="11" t="s">
        <v>46</v>
      </c>
      <c r="AY111" s="11">
        <v>3</v>
      </c>
      <c r="AZ111" s="11">
        <v>6</v>
      </c>
      <c r="BA111" s="11">
        <v>1</v>
      </c>
      <c r="BB111" s="5"/>
      <c r="BC111" s="1">
        <f ca="1">OFFSET(A111,0, 12) -0</f>
        <v>11.160131571839415</v>
      </c>
      <c r="BD111" s="1">
        <f ca="1">OFFSET(A111,0, 3) -0</f>
        <v>24.542499865647414</v>
      </c>
      <c r="BE111" s="1">
        <f ca="1">OFFSET(A111,0, 9) -0</f>
        <v>5.6209210031087196</v>
      </c>
      <c r="BF111" s="1">
        <f ca="1">OFFSET(A111,0, 7) -0</f>
        <v>-31.405219376045125</v>
      </c>
      <c r="BG111" s="1">
        <f ca="1">OFFSET(A111,0, 2) -0</f>
        <v>6.0294296760703219</v>
      </c>
      <c r="BH111" s="1">
        <f ca="1">OFFSET(A111,0, 11) -0</f>
        <v>-27.352938617737493</v>
      </c>
      <c r="BI111" s="1">
        <f ca="1">OFFSET(A111,0, 5) -0</f>
        <v>-78.431359755198855</v>
      </c>
      <c r="BJ111" s="1">
        <f ca="1">OFFSET(A111,0, 8) -0</f>
        <v>47.107850813531854</v>
      </c>
      <c r="BK111" s="1">
        <f ca="1">OFFSET(A111,0, 6) -0</f>
        <v>-59.91828956562199</v>
      </c>
      <c r="BL111" s="1">
        <f ca="1">OFFSET(A111,0, 4) -0</f>
        <v>13.05557005522428</v>
      </c>
      <c r="BM111" s="1">
        <f ca="1">OFFSET(A111,0, 1) -0</f>
        <v>27.516359486493457</v>
      </c>
      <c r="BN111" s="1">
        <f ca="1">OFFSET(A111,0, 10) -0</f>
        <v>-75.866008807314415</v>
      </c>
      <c r="BO111" s="1">
        <f ca="1">OFFSET(A111,0, 24) -0</f>
        <v>33.316973846762266</v>
      </c>
      <c r="BP111" s="1">
        <f ca="1">OFFSET(A111,0, 16) -0</f>
        <v>-4.7875876698529964</v>
      </c>
      <c r="BQ111" s="1">
        <f ca="1">OFFSET(A111,0, 22) -0</f>
        <v>-13.709166532391691</v>
      </c>
      <c r="BR111" s="1">
        <f ca="1">OFFSET(A111,0, 20) -0</f>
        <v>-0.73530691154542183</v>
      </c>
      <c r="BS111" s="1">
        <f ca="1">OFFSET(A111,0, 13) -0</f>
        <v>109.67320176141631</v>
      </c>
      <c r="BT111" s="1">
        <f ca="1">OFFSET(A111,0, 23) -0</f>
        <v>-35.196096342814599</v>
      </c>
      <c r="BU111" s="1">
        <f ca="1">OFFSET(A111,0, 18) -0</f>
        <v>-17.761447290699152</v>
      </c>
      <c r="BV111" s="1">
        <f ca="1">OFFSET(A111,0, 19) -0</f>
        <v>30.751622898877713</v>
      </c>
      <c r="BW111" s="1">
        <f ca="1">OFFSET(A111,0, 17) -0</f>
        <v>-26.274517480276131</v>
      </c>
      <c r="BX111" s="1">
        <f ca="1">OFFSET(A111,0, 15) -0</f>
        <v>56.699342140570138</v>
      </c>
      <c r="BY111" s="1">
        <f ca="1">OFFSET(A111,0, 14) -0</f>
        <v>48.186271950993216</v>
      </c>
      <c r="BZ111" s="1">
        <f ca="1">OFFSET(A111,0, 21) -0</f>
        <v>-42.222236721968557</v>
      </c>
      <c r="CB111" s="1">
        <f>COUNTIF(B111,"&lt;-75")</f>
        <v>0</v>
      </c>
      <c r="CC111" s="1">
        <f ca="1">COUNTIF(BC111:BN111,"&lt;-53")</f>
        <v>3</v>
      </c>
      <c r="CD111" s="1">
        <f ca="1">COUNTIF(BC111:BN111,"&gt;+53")</f>
        <v>0</v>
      </c>
      <c r="CE111" s="1">
        <f ca="1">COUNTIF(BO111:BZ111,"&lt;-53")</f>
        <v>0</v>
      </c>
      <c r="CF111" s="1">
        <f ca="1">COUNTIF(BO111:BZ111,"&gt;+53")</f>
        <v>2</v>
      </c>
    </row>
    <row r="112" spans="1:84">
      <c r="A112" s="1">
        <v>109</v>
      </c>
      <c r="B112" s="1">
        <f>'Touch 1 1'!B112-'Touch 1 1'!$AA112-('Touch 1 1'!B$2- 12.5)*'Touch 1 1'!$AC112</f>
        <v>22.291650175240193</v>
      </c>
      <c r="C112" s="1">
        <f>'Touch 1 1'!C112-'Touch 1 1'!$AA112-('Touch 1 1'!C$2- 12.5)*'Touch 1 1'!$AC112</f>
        <v>-29.211971579128658</v>
      </c>
      <c r="D112" s="1">
        <f>'Touch 1 1'!D112-'Touch 1 1'!$AA112-('Touch 1 1'!D$2- 12.5)*'Touch 1 1'!$AC112</f>
        <v>-10.715593333497281</v>
      </c>
      <c r="E112" s="1">
        <f>'Touch 1 1'!E112-'Touch 1 1'!$AA112-('Touch 1 1'!E$2- 12.5)*'Touch 1 1'!$AC112</f>
        <v>7.7807849121340951</v>
      </c>
      <c r="F112" s="1">
        <f>'Touch 1 1'!F112-'Touch 1 1'!$AA112-('Touch 1 1'!F$2- 12.5)*'Touch 1 1'!$AC112</f>
        <v>106.27716315776524</v>
      </c>
      <c r="G112" s="1">
        <f>'Touch 1 1'!G112-'Touch 1 1'!$AA112-('Touch 1 1'!G$2- 12.5)*'Touch 1 1'!$AC112</f>
        <v>-25.226458596603379</v>
      </c>
      <c r="H112" s="1">
        <f>'Touch 1 1'!H112-'Touch 1 1'!$AA112-('Touch 1 1'!H$2- 12.5)*'Touch 1 1'!$AC112</f>
        <v>3.2699196490279974</v>
      </c>
      <c r="I112" s="1">
        <f>'Touch 1 1'!I112-'Touch 1 1'!$AA112-('Touch 1 1'!I$2- 12.5)*'Touch 1 1'!$AC112</f>
        <v>91.766297894659147</v>
      </c>
      <c r="J112" s="1">
        <f>'Touch 1 1'!J112-'Touch 1 1'!$AA112-('Touch 1 1'!J$2- 12.5)*'Touch 1 1'!$AC112</f>
        <v>10.262676140290523</v>
      </c>
      <c r="K112" s="1">
        <f>'Touch 1 1'!K112-'Touch 1 1'!$AA112-('Touch 1 1'!K$2- 12.5)*'Touch 1 1'!$AC112</f>
        <v>-71.240945614078214</v>
      </c>
      <c r="L112" s="1">
        <f>'Touch 1 1'!L112-'Touch 1 1'!$AA112-('Touch 1 1'!L$2- 12.5)*'Touch 1 1'!$AC112</f>
        <v>-72.744567368446951</v>
      </c>
      <c r="M112" s="1">
        <f>'Touch 1 1'!M112-'Touch 1 1'!$AA112-('Touch 1 1'!M$2- 12.5)*'Touch 1 1'!$AC112</f>
        <v>-44.248189122815646</v>
      </c>
      <c r="N112" s="1">
        <f>'Touch 1 1'!N112-'Touch 1 1'!$AA112-('Touch 1 1'!N$2- 12.5)*'Touch 1 1'!$AC112</f>
        <v>4.2481891228156456</v>
      </c>
      <c r="O112" s="1">
        <f>'Touch 1 1'!O112-'Touch 1 1'!$AA112-('Touch 1 1'!O$2- 12.5)*'Touch 1 1'!$AC112</f>
        <v>32.744567368446951</v>
      </c>
      <c r="P112" s="1">
        <f>'Touch 1 1'!P112-'Touch 1 1'!$AA112-('Touch 1 1'!P$2- 12.5)*'Touch 1 1'!$AC112</f>
        <v>-78.759054385921786</v>
      </c>
      <c r="Q112" s="1">
        <f>'Touch 1 1'!Q112-'Touch 1 1'!$AA112-('Touch 1 1'!Q$2- 12.5)*'Touch 1 1'!$AC112</f>
        <v>-10.262676140290523</v>
      </c>
      <c r="R112" s="1">
        <f>'Touch 1 1'!R112-'Touch 1 1'!$AA112-('Touch 1 1'!R$2- 12.5)*'Touch 1 1'!$AC112</f>
        <v>-11.766297894659147</v>
      </c>
      <c r="S112" s="1">
        <f>'Touch 1 1'!S112-'Touch 1 1'!$AA112-('Touch 1 1'!S$2- 12.5)*'Touch 1 1'!$AC112</f>
        <v>46.730080350972003</v>
      </c>
      <c r="T112" s="1">
        <f>'Touch 1 1'!T112-'Touch 1 1'!$AA112-('Touch 1 1'!T$2- 12.5)*'Touch 1 1'!$AC112</f>
        <v>45.226458596603379</v>
      </c>
      <c r="U112" s="1">
        <f>'Touch 1 1'!U112-'Touch 1 1'!$AA112-('Touch 1 1'!U$2- 12.5)*'Touch 1 1'!$AC112</f>
        <v>-16.277163157765244</v>
      </c>
      <c r="V112" s="1">
        <f>'Touch 1 1'!V112-'Touch 1 1'!$AA112-('Touch 1 1'!V$2- 12.5)*'Touch 1 1'!$AC112</f>
        <v>2.2192150878659049</v>
      </c>
      <c r="W112" s="1">
        <f>'Touch 1 1'!W112-'Touch 1 1'!$AA112-('Touch 1 1'!W$2- 12.5)*'Touch 1 1'!$AC112</f>
        <v>-39.284406666502719</v>
      </c>
      <c r="X112" s="1">
        <f>'Touch 1 1'!X112-'Touch 1 1'!$AA112-('Touch 1 1'!X$2- 12.5)*'Touch 1 1'!$AC112</f>
        <v>-20.788028420871342</v>
      </c>
      <c r="Y112" s="1">
        <f>'Touch 1 1'!Y112-'Touch 1 1'!$AA112-('Touch 1 1'!Y$2- 12.5)*'Touch 1 1'!$AC112</f>
        <v>57.708349824759807</v>
      </c>
      <c r="AB112" s="1">
        <f>STDEV(B112:Y112)</f>
        <v>47.393138900237815</v>
      </c>
      <c r="AD112" s="11" t="s">
        <v>45</v>
      </c>
      <c r="AE112" s="11">
        <v>5</v>
      </c>
      <c r="AF112" s="11">
        <v>2</v>
      </c>
      <c r="AG112" s="11" t="s">
        <v>44</v>
      </c>
      <c r="AH112" s="11">
        <v>7</v>
      </c>
      <c r="AI112" s="11">
        <v>9</v>
      </c>
      <c r="AJ112" s="11">
        <v>4</v>
      </c>
      <c r="AK112" s="11">
        <v>8</v>
      </c>
      <c r="AL112" s="11">
        <v>3</v>
      </c>
      <c r="AM112" s="11" t="s">
        <v>46</v>
      </c>
      <c r="AN112" s="11">
        <v>1</v>
      </c>
      <c r="AO112" s="11">
        <v>6</v>
      </c>
      <c r="AP112" s="11" t="s">
        <v>45</v>
      </c>
      <c r="AQ112" s="11">
        <v>2</v>
      </c>
      <c r="AR112" s="11">
        <v>5</v>
      </c>
      <c r="AS112" s="11">
        <v>7</v>
      </c>
      <c r="AT112" s="11" t="s">
        <v>44</v>
      </c>
      <c r="AU112" s="11">
        <v>4</v>
      </c>
      <c r="AV112" s="11">
        <v>9</v>
      </c>
      <c r="AW112" s="11">
        <v>3</v>
      </c>
      <c r="AX112" s="11">
        <v>8</v>
      </c>
      <c r="AY112" s="11" t="s">
        <v>46</v>
      </c>
      <c r="AZ112" s="11">
        <v>6</v>
      </c>
      <c r="BA112" s="11">
        <v>1</v>
      </c>
      <c r="BB112" s="5"/>
      <c r="BC112" s="1">
        <f ca="1">OFFSET(A112,0, 11) -0</f>
        <v>-72.744567368446951</v>
      </c>
      <c r="BD112" s="1">
        <f ca="1">OFFSET(A112,0, 3) -0</f>
        <v>-10.715593333497281</v>
      </c>
      <c r="BE112" s="1">
        <f ca="1">OFFSET(A112,0, 9) -0</f>
        <v>10.262676140290523</v>
      </c>
      <c r="BF112" s="1">
        <f ca="1">OFFSET(A112,0, 7) -0</f>
        <v>3.2699196490279974</v>
      </c>
      <c r="BG112" s="1">
        <f ca="1">OFFSET(A112,0, 2) -0</f>
        <v>-29.211971579128658</v>
      </c>
      <c r="BH112" s="1">
        <f ca="1">OFFSET(A112,0, 12) -0</f>
        <v>-44.248189122815646</v>
      </c>
      <c r="BI112" s="1">
        <f ca="1">OFFSET(A112,0, 5) -0</f>
        <v>106.27716315776524</v>
      </c>
      <c r="BJ112" s="1">
        <f ca="1">OFFSET(A112,0, 8) -0</f>
        <v>91.766297894659147</v>
      </c>
      <c r="BK112" s="1">
        <f ca="1">OFFSET(A112,0, 6) -0</f>
        <v>-25.226458596603379</v>
      </c>
      <c r="BL112" s="1">
        <f ca="1">OFFSET(A112,0, 4) -0</f>
        <v>7.7807849121340951</v>
      </c>
      <c r="BM112" s="1">
        <f ca="1">OFFSET(A112,0, 1) -0</f>
        <v>22.291650175240193</v>
      </c>
      <c r="BN112" s="1">
        <f ca="1">OFFSET(A112,0, 10) -0</f>
        <v>-71.240945614078214</v>
      </c>
      <c r="BO112" s="1">
        <f ca="1">OFFSET(A112,0, 24) -0</f>
        <v>57.708349824759807</v>
      </c>
      <c r="BP112" s="1">
        <f ca="1">OFFSET(A112,0, 14) -0</f>
        <v>32.744567368446951</v>
      </c>
      <c r="BQ112" s="1">
        <f ca="1">OFFSET(A112,0, 20) -0</f>
        <v>-16.277163157765244</v>
      </c>
      <c r="BR112" s="1">
        <f ca="1">OFFSET(A112,0, 18) -0</f>
        <v>46.730080350972003</v>
      </c>
      <c r="BS112" s="1">
        <f ca="1">OFFSET(A112,0, 15) -0</f>
        <v>-78.759054385921786</v>
      </c>
      <c r="BT112" s="1">
        <f ca="1">OFFSET(A112,0, 23) -0</f>
        <v>-20.788028420871342</v>
      </c>
      <c r="BU112" s="1">
        <f ca="1">OFFSET(A112,0, 16) -0</f>
        <v>-10.262676140290523</v>
      </c>
      <c r="BV112" s="1">
        <f ca="1">OFFSET(A112,0, 21) -0</f>
        <v>2.2192150878659049</v>
      </c>
      <c r="BW112" s="1">
        <f ca="1">OFFSET(A112,0, 19) -0</f>
        <v>45.226458596603379</v>
      </c>
      <c r="BX112" s="1">
        <f ca="1">OFFSET(A112,0, 17) -0</f>
        <v>-11.766297894659147</v>
      </c>
      <c r="BY112" s="1">
        <f ca="1">OFFSET(A112,0, 13) -0</f>
        <v>4.2481891228156456</v>
      </c>
      <c r="BZ112" s="1">
        <f ca="1">OFFSET(A112,0, 22) -0</f>
        <v>-39.284406666502719</v>
      </c>
      <c r="CB112" s="1">
        <f>COUNTIF(B112,"&lt;-75")</f>
        <v>0</v>
      </c>
      <c r="CC112" s="1">
        <f ca="1">COUNTIF(BC112:BN112,"&lt;-53")</f>
        <v>2</v>
      </c>
      <c r="CD112" s="1">
        <f ca="1">COUNTIF(BC112:BN112,"&gt;+53")</f>
        <v>2</v>
      </c>
      <c r="CE112" s="1">
        <f ca="1">COUNTIF(BO112:BZ112,"&lt;-53")</f>
        <v>1</v>
      </c>
      <c r="CF112" s="1">
        <f ca="1">COUNTIF(BO112:BZ112,"&gt;+53")</f>
        <v>1</v>
      </c>
    </row>
    <row r="113" spans="1:84">
      <c r="A113" s="1">
        <v>110</v>
      </c>
      <c r="B113" s="1">
        <f>'Touch 1 1'!B113-'Touch 1 1'!$AA113-('Touch 1 1'!B$2- 12.5)*'Touch 1 1'!$AC113</f>
        <v>-0.88247775858280875</v>
      </c>
      <c r="C113" s="1">
        <f>'Touch 1 1'!C113-'Touch 1 1'!$AA113-('Touch 1 1'!C$2- 12.5)*'Touch 1 1'!$AC113</f>
        <v>7.5638246552066448</v>
      </c>
      <c r="D113" s="1">
        <f>'Touch 1 1'!D113-'Touch 1 1'!$AA113-('Touch 1 1'!D$2- 12.5)*'Touch 1 1'!$AC113</f>
        <v>6.0101270689967805</v>
      </c>
      <c r="E113" s="1">
        <f>'Touch 1 1'!E113-'Touch 1 1'!$AA113-('Touch 1 1'!E$2- 12.5)*'Touch 1 1'!$AC113</f>
        <v>14.456429482786461</v>
      </c>
      <c r="F113" s="1">
        <f>'Touch 1 1'!F113-'Touch 1 1'!$AA113-('Touch 1 1'!F$2- 12.5)*'Touch 1 1'!$AC113</f>
        <v>22.90273189657637</v>
      </c>
      <c r="G113" s="1">
        <f>'Touch 1 1'!G113-'Touch 1 1'!$AA113-('Touch 1 1'!G$2- 12.5)*'Touch 1 1'!$AC113</f>
        <v>51.349034310366051</v>
      </c>
      <c r="H113" s="1">
        <f>'Touch 1 1'!H113-'Touch 1 1'!$AA113-('Touch 1 1'!H$2- 12.5)*'Touch 1 1'!$AC113</f>
        <v>-30.204663275844041</v>
      </c>
      <c r="I113" s="1">
        <f>'Touch 1 1'!I113-'Touch 1 1'!$AA113-('Touch 1 1'!I$2- 12.5)*'Touch 1 1'!$AC113</f>
        <v>-41.758360862054246</v>
      </c>
      <c r="J113" s="1">
        <f>'Touch 1 1'!J113-'Touch 1 1'!$AA113-('Touch 1 1'!J$2- 12.5)*'Touch 1 1'!$AC113</f>
        <v>-33.312058448264338</v>
      </c>
      <c r="K113" s="1">
        <f>'Touch 1 1'!K113-'Touch 1 1'!$AA113-('Touch 1 1'!K$2- 12.5)*'Touch 1 1'!$AC113</f>
        <v>-4.8657560344745434</v>
      </c>
      <c r="L113" s="1">
        <f>'Touch 1 1'!L113-'Touch 1 1'!$AA113-('Touch 1 1'!L$2- 12.5)*'Touch 1 1'!$AC113</f>
        <v>43.580546379315251</v>
      </c>
      <c r="M113" s="1">
        <f>'Touch 1 1'!M113-'Touch 1 1'!$AA113-('Touch 1 1'!M$2- 12.5)*'Touch 1 1'!$AC113</f>
        <v>-7.9731512068949115</v>
      </c>
      <c r="N113" s="1">
        <f>'Touch 1 1'!N113-'Touch 1 1'!$AA113-('Touch 1 1'!N$2- 12.5)*'Touch 1 1'!$AC113</f>
        <v>20.473151206894912</v>
      </c>
      <c r="O113" s="1">
        <f>'Touch 1 1'!O113-'Touch 1 1'!$AA113-('Touch 1 1'!O$2- 12.5)*'Touch 1 1'!$AC113</f>
        <v>28.919453620684749</v>
      </c>
      <c r="P113" s="1">
        <f>'Touch 1 1'!P113-'Touch 1 1'!$AA113-('Touch 1 1'!P$2- 12.5)*'Touch 1 1'!$AC113</f>
        <v>-32.634243965525457</v>
      </c>
      <c r="Q113" s="1">
        <f>'Touch 1 1'!Q113-'Touch 1 1'!$AA113-('Touch 1 1'!Q$2- 12.5)*'Touch 1 1'!$AC113</f>
        <v>75.812058448264338</v>
      </c>
      <c r="R113" s="1">
        <f>'Touch 1 1'!R113-'Touch 1 1'!$AA113-('Touch 1 1'!R$2- 12.5)*'Touch 1 1'!$AC113</f>
        <v>-45.741639137945754</v>
      </c>
      <c r="S113" s="1">
        <f>'Touch 1 1'!S113-'Touch 1 1'!$AA113-('Touch 1 1'!S$2- 12.5)*'Touch 1 1'!$AC113</f>
        <v>22.704663275844041</v>
      </c>
      <c r="T113" s="1">
        <f>'Touch 1 1'!T113-'Touch 1 1'!$AA113-('Touch 1 1'!T$2- 12.5)*'Touch 1 1'!$AC113</f>
        <v>-18.849034310366051</v>
      </c>
      <c r="U113" s="1">
        <f>'Touch 1 1'!U113-'Touch 1 1'!$AA113-('Touch 1 1'!U$2- 12.5)*'Touch 1 1'!$AC113</f>
        <v>19.59726810342363</v>
      </c>
      <c r="V113" s="1">
        <f>'Touch 1 1'!V113-'Touch 1 1'!$AA113-('Touch 1 1'!V$2- 12.5)*'Touch 1 1'!$AC113</f>
        <v>-41.956429482786461</v>
      </c>
      <c r="W113" s="1">
        <f>'Touch 1 1'!W113-'Touch 1 1'!$AA113-('Touch 1 1'!W$2- 12.5)*'Touch 1 1'!$AC113</f>
        <v>-23.510127068996781</v>
      </c>
      <c r="X113" s="1">
        <f>'Touch 1 1'!X113-'Touch 1 1'!$AA113-('Touch 1 1'!X$2- 12.5)*'Touch 1 1'!$AC113</f>
        <v>-55.063824655206645</v>
      </c>
      <c r="Y113" s="1">
        <f>'Touch 1 1'!Y113-'Touch 1 1'!$AA113-('Touch 1 1'!Y$2- 12.5)*'Touch 1 1'!$AC113</f>
        <v>23.382477758582809</v>
      </c>
      <c r="AB113" s="1">
        <f>STDEV(B113:Y113)</f>
        <v>33.958775016539896</v>
      </c>
      <c r="AD113" s="11">
        <v>2</v>
      </c>
      <c r="AE113" s="11" t="s">
        <v>45</v>
      </c>
      <c r="AF113" s="11">
        <v>7</v>
      </c>
      <c r="AG113" s="11">
        <v>5</v>
      </c>
      <c r="AH113" s="11">
        <v>4</v>
      </c>
      <c r="AI113" s="11" t="s">
        <v>44</v>
      </c>
      <c r="AJ113" s="11">
        <v>3</v>
      </c>
      <c r="AK113" s="11">
        <v>9</v>
      </c>
      <c r="AL113" s="11" t="s">
        <v>46</v>
      </c>
      <c r="AM113" s="11">
        <v>8</v>
      </c>
      <c r="AN113" s="11">
        <v>1</v>
      </c>
      <c r="AO113" s="11">
        <v>6</v>
      </c>
      <c r="AP113" s="11" t="s">
        <v>45</v>
      </c>
      <c r="AQ113" s="11">
        <v>2</v>
      </c>
      <c r="AR113" s="11">
        <v>5</v>
      </c>
      <c r="AS113" s="11">
        <v>7</v>
      </c>
      <c r="AT113" s="11" t="s">
        <v>44</v>
      </c>
      <c r="AU113" s="11">
        <v>4</v>
      </c>
      <c r="AV113" s="11">
        <v>9</v>
      </c>
      <c r="AW113" s="11">
        <v>3</v>
      </c>
      <c r="AX113" s="11" t="s">
        <v>46</v>
      </c>
      <c r="AY113" s="11">
        <v>1</v>
      </c>
      <c r="AZ113" s="11">
        <v>8</v>
      </c>
      <c r="BA113" s="11">
        <v>6</v>
      </c>
      <c r="BB113" s="5"/>
      <c r="BC113" s="1">
        <f ca="1">OFFSET(A113,0, 11) -0</f>
        <v>43.580546379315251</v>
      </c>
      <c r="BD113" s="1">
        <f ca="1">OFFSET(A113,0, 1) -0</f>
        <v>-0.88247775858280875</v>
      </c>
      <c r="BE113" s="1">
        <f ca="1">OFFSET(A113,0, 7) -0</f>
        <v>-30.204663275844041</v>
      </c>
      <c r="BF113" s="1">
        <f ca="1">OFFSET(A113,0, 5) -0</f>
        <v>22.90273189657637</v>
      </c>
      <c r="BG113" s="1">
        <f ca="1">OFFSET(A113,0, 4) -0</f>
        <v>14.456429482786461</v>
      </c>
      <c r="BH113" s="1">
        <f ca="1">OFFSET(A113,0, 12) -0</f>
        <v>-7.9731512068949115</v>
      </c>
      <c r="BI113" s="1">
        <f ca="1">OFFSET(A113,0, 3) -0</f>
        <v>6.0101270689967805</v>
      </c>
      <c r="BJ113" s="1">
        <f ca="1">OFFSET(A113,0, 10) -0</f>
        <v>-4.8657560344745434</v>
      </c>
      <c r="BK113" s="1">
        <f ca="1">OFFSET(A113,0, 8) -0</f>
        <v>-41.758360862054246</v>
      </c>
      <c r="BL113" s="1">
        <f ca="1">OFFSET(A113,0, 6) -0</f>
        <v>51.349034310366051</v>
      </c>
      <c r="BM113" s="1">
        <f ca="1">OFFSET(A113,0, 2) -0</f>
        <v>7.5638246552066448</v>
      </c>
      <c r="BN113" s="1">
        <f ca="1">OFFSET(A113,0, 9) -0</f>
        <v>-33.312058448264338</v>
      </c>
      <c r="BO113" s="1">
        <f ca="1">OFFSET(A113,0, 22) -0</f>
        <v>-23.510127068996781</v>
      </c>
      <c r="BP113" s="1">
        <f ca="1">OFFSET(A113,0, 14) -0</f>
        <v>28.919453620684749</v>
      </c>
      <c r="BQ113" s="1">
        <f ca="1">OFFSET(A113,0, 20) -0</f>
        <v>19.59726810342363</v>
      </c>
      <c r="BR113" s="1">
        <f ca="1">OFFSET(A113,0, 18) -0</f>
        <v>22.704663275844041</v>
      </c>
      <c r="BS113" s="1">
        <f ca="1">OFFSET(A113,0, 15) -0</f>
        <v>-32.634243965525457</v>
      </c>
      <c r="BT113" s="1">
        <f ca="1">OFFSET(A113,0, 24) -0</f>
        <v>23.382477758582809</v>
      </c>
      <c r="BU113" s="1">
        <f ca="1">OFFSET(A113,0, 16) -0</f>
        <v>75.812058448264338</v>
      </c>
      <c r="BV113" s="1">
        <f ca="1">OFFSET(A113,0, 23) -0</f>
        <v>-55.063824655206645</v>
      </c>
      <c r="BW113" s="1">
        <f ca="1">OFFSET(A113,0, 19) -0</f>
        <v>-18.849034310366051</v>
      </c>
      <c r="BX113" s="1">
        <f ca="1">OFFSET(A113,0, 17) -0</f>
        <v>-45.741639137945754</v>
      </c>
      <c r="BY113" s="1">
        <f ca="1">OFFSET(A113,0, 13) -0</f>
        <v>20.473151206894912</v>
      </c>
      <c r="BZ113" s="1">
        <f ca="1">OFFSET(A113,0, 21) -0</f>
        <v>-41.956429482786461</v>
      </c>
      <c r="CB113" s="1">
        <f>COUNTIF(B113,"&lt;-75")</f>
        <v>0</v>
      </c>
      <c r="CC113" s="1">
        <f ca="1">COUNTIF(BC113:BN113,"&lt;-53")</f>
        <v>0</v>
      </c>
      <c r="CD113" s="1">
        <f ca="1">COUNTIF(BC113:BN113,"&gt;+53")</f>
        <v>0</v>
      </c>
      <c r="CE113" s="1">
        <f ca="1">COUNTIF(BO113:BZ113,"&lt;-53")</f>
        <v>1</v>
      </c>
      <c r="CF113" s="1">
        <f ca="1">COUNTIF(BO113:BZ113,"&gt;+53")</f>
        <v>1</v>
      </c>
    </row>
    <row r="114" spans="1:84">
      <c r="A114" s="1">
        <v>111</v>
      </c>
      <c r="B114" s="1">
        <f>'Touch 1 1'!B114-'Touch 1 1'!$AA114-('Touch 1 1'!B$2- 12.5)*'Touch 1 1'!$AC114</f>
        <v>13.408365161809343</v>
      </c>
      <c r="C114" s="1">
        <f>'Touch 1 1'!C114-'Touch 1 1'!$AA114-('Touch 1 1'!C$2- 12.5)*'Touch 1 1'!$AC114</f>
        <v>131.66271022020601</v>
      </c>
      <c r="D114" s="1">
        <f>'Touch 1 1'!D114-'Touch 1 1'!$AA114-('Touch 1 1'!D$2- 12.5)*'Touch 1 1'!$AC114</f>
        <v>19.917055278602675</v>
      </c>
      <c r="E114" s="1">
        <f>'Touch 1 1'!E114-'Touch 1 1'!$AA114-('Touch 1 1'!E$2- 12.5)*'Touch 1 1'!$AC114</f>
        <v>8.171400336999568</v>
      </c>
      <c r="F114" s="1">
        <f>'Touch 1 1'!F114-'Touch 1 1'!$AA114-('Touch 1 1'!F$2- 12.5)*'Touch 1 1'!$AC114</f>
        <v>16.425745395396234</v>
      </c>
      <c r="G114" s="1">
        <f>'Touch 1 1'!G114-'Touch 1 1'!$AA114-('Touch 1 1'!G$2- 12.5)*'Touch 1 1'!$AC114</f>
        <v>-15.319909546206873</v>
      </c>
      <c r="H114" s="1">
        <f>'Touch 1 1'!H114-'Touch 1 1'!$AA114-('Touch 1 1'!H$2- 12.5)*'Touch 1 1'!$AC114</f>
        <v>42.934435512189793</v>
      </c>
      <c r="I114" s="1">
        <f>'Touch 1 1'!I114-'Touch 1 1'!$AA114-('Touch 1 1'!I$2- 12.5)*'Touch 1 1'!$AC114</f>
        <v>-48.811219429413313</v>
      </c>
      <c r="J114" s="1">
        <f>'Touch 1 1'!J114-'Touch 1 1'!$AA114-('Touch 1 1'!J$2- 12.5)*'Touch 1 1'!$AC114</f>
        <v>-40.556874371016647</v>
      </c>
      <c r="K114" s="1">
        <f>'Touch 1 1'!K114-'Touch 1 1'!$AA114-('Touch 1 1'!K$2- 12.5)*'Touch 1 1'!$AC114</f>
        <v>-52.302529312619754</v>
      </c>
      <c r="L114" s="1">
        <f>'Touch 1 1'!L114-'Touch 1 1'!$AA114-('Touch 1 1'!L$2- 12.5)*'Touch 1 1'!$AC114</f>
        <v>-64.048184254223031</v>
      </c>
      <c r="M114" s="1">
        <f>'Touch 1 1'!M114-'Touch 1 1'!$AA114-('Touch 1 1'!M$2- 12.5)*'Touch 1 1'!$AC114</f>
        <v>4.2061608041737486</v>
      </c>
      <c r="N114" s="1">
        <f>'Touch 1 1'!N114-'Touch 1 1'!$AA114-('Touch 1 1'!N$2- 12.5)*'Touch 1 1'!$AC114</f>
        <v>62.460505862570528</v>
      </c>
      <c r="O114" s="1">
        <f>'Touch 1 1'!O114-'Touch 1 1'!$AA114-('Touch 1 1'!O$2- 12.5)*'Touch 1 1'!$AC114</f>
        <v>-59.285149079032692</v>
      </c>
      <c r="P114" s="1">
        <f>'Touch 1 1'!P114-'Touch 1 1'!$AA114-('Touch 1 1'!P$2- 12.5)*'Touch 1 1'!$AC114</f>
        <v>38.969195979364031</v>
      </c>
      <c r="Q114" s="1">
        <f>'Touch 1 1'!Q114-'Touch 1 1'!$AA114-('Touch 1 1'!Q$2- 12.5)*'Touch 1 1'!$AC114</f>
        <v>17.223541037760924</v>
      </c>
      <c r="R114" s="1">
        <f>'Touch 1 1'!R114-'Touch 1 1'!$AA114-('Touch 1 1'!R$2- 12.5)*'Touch 1 1'!$AC114</f>
        <v>-44.52211390384241</v>
      </c>
      <c r="S114" s="1">
        <f>'Touch 1 1'!S114-'Touch 1 1'!$AA114-('Touch 1 1'!S$2- 12.5)*'Touch 1 1'!$AC114</f>
        <v>3.7322311545544835</v>
      </c>
      <c r="T114" s="1">
        <f>'Touch 1 1'!T114-'Touch 1 1'!$AA114-('Touch 1 1'!T$2- 12.5)*'Touch 1 1'!$AC114</f>
        <v>-18.01342378704885</v>
      </c>
      <c r="U114" s="1">
        <f>'Touch 1 1'!U114-'Touch 1 1'!$AA114-('Touch 1 1'!U$2- 12.5)*'Touch 1 1'!$AC114</f>
        <v>-9.7590787286519571</v>
      </c>
      <c r="V114" s="1">
        <f>'Touch 1 1'!V114-'Touch 1 1'!$AA114-('Touch 1 1'!V$2- 12.5)*'Touch 1 1'!$AC114</f>
        <v>-31.504733670255291</v>
      </c>
      <c r="W114" s="1">
        <f>'Touch 1 1'!W114-'Touch 1 1'!$AA114-('Touch 1 1'!W$2- 12.5)*'Touch 1 1'!$AC114</f>
        <v>36.749611388141602</v>
      </c>
      <c r="X114" s="1">
        <f>'Touch 1 1'!X114-'Touch 1 1'!$AA114-('Touch 1 1'!X$2- 12.5)*'Touch 1 1'!$AC114</f>
        <v>-34.996043553461732</v>
      </c>
      <c r="Y114" s="1">
        <f>'Touch 1 1'!Y114-'Touch 1 1'!$AA114-('Touch 1 1'!Y$2- 12.5)*'Touch 1 1'!$AC114</f>
        <v>23.258301504934934</v>
      </c>
      <c r="AB114" s="1">
        <f>STDEV(B114:Y114)</f>
        <v>45.187971520877213</v>
      </c>
      <c r="AD114" s="11">
        <v>2</v>
      </c>
      <c r="AE114" s="11" t="s">
        <v>45</v>
      </c>
      <c r="AF114" s="11">
        <v>7</v>
      </c>
      <c r="AG114" s="11">
        <v>5</v>
      </c>
      <c r="AH114" s="11">
        <v>4</v>
      </c>
      <c r="AI114" s="11" t="s">
        <v>44</v>
      </c>
      <c r="AJ114" s="11">
        <v>3</v>
      </c>
      <c r="AK114" s="11">
        <v>9</v>
      </c>
      <c r="AL114" s="11">
        <v>1</v>
      </c>
      <c r="AM114" s="11" t="s">
        <v>46</v>
      </c>
      <c r="AN114" s="11">
        <v>6</v>
      </c>
      <c r="AO114" s="11">
        <v>8</v>
      </c>
      <c r="AP114" s="11">
        <v>2</v>
      </c>
      <c r="AQ114" s="11">
        <v>7</v>
      </c>
      <c r="AR114" s="11" t="s">
        <v>45</v>
      </c>
      <c r="AS114" s="11">
        <v>4</v>
      </c>
      <c r="AT114" s="11">
        <v>5</v>
      </c>
      <c r="AU114" s="11">
        <v>3</v>
      </c>
      <c r="AV114" s="11" t="s">
        <v>44</v>
      </c>
      <c r="AW114" s="11">
        <v>9</v>
      </c>
      <c r="AX114" s="11" t="s">
        <v>46</v>
      </c>
      <c r="AY114" s="11">
        <v>1</v>
      </c>
      <c r="AZ114" s="11">
        <v>8</v>
      </c>
      <c r="BA114" s="11">
        <v>6</v>
      </c>
      <c r="BB114" s="5"/>
      <c r="BC114" s="1">
        <f ca="1">OFFSET(A114,0, 9) -0</f>
        <v>-40.556874371016647</v>
      </c>
      <c r="BD114" s="1">
        <f ca="1">OFFSET(A114,0, 1) -0</f>
        <v>13.408365161809343</v>
      </c>
      <c r="BE114" s="1">
        <f ca="1">OFFSET(A114,0, 7) -0</f>
        <v>42.934435512189793</v>
      </c>
      <c r="BF114" s="1">
        <f ca="1">OFFSET(A114,0, 5) -0</f>
        <v>16.425745395396234</v>
      </c>
      <c r="BG114" s="1">
        <f ca="1">OFFSET(A114,0, 4) -0</f>
        <v>8.171400336999568</v>
      </c>
      <c r="BH114" s="1">
        <f ca="1">OFFSET(A114,0, 11) -0</f>
        <v>-64.048184254223031</v>
      </c>
      <c r="BI114" s="1">
        <f ca="1">OFFSET(A114,0, 3) -0</f>
        <v>19.917055278602675</v>
      </c>
      <c r="BJ114" s="1">
        <f ca="1">OFFSET(A114,0, 12) -0</f>
        <v>4.2061608041737486</v>
      </c>
      <c r="BK114" s="1">
        <f ca="1">OFFSET(A114,0, 8) -0</f>
        <v>-48.811219429413313</v>
      </c>
      <c r="BL114" s="1">
        <f ca="1">OFFSET(A114,0, 6) -0</f>
        <v>-15.319909546206873</v>
      </c>
      <c r="BM114" s="1">
        <f ca="1">OFFSET(A114,0, 2) -0</f>
        <v>131.66271022020601</v>
      </c>
      <c r="BN114" s="1">
        <f ca="1">OFFSET(A114,0, 10) -0</f>
        <v>-52.302529312619754</v>
      </c>
      <c r="BO114" s="1">
        <f ca="1">OFFSET(A114,0, 22) -0</f>
        <v>36.749611388141602</v>
      </c>
      <c r="BP114" s="1">
        <f ca="1">OFFSET(A114,0, 13) -0</f>
        <v>62.460505862570528</v>
      </c>
      <c r="BQ114" s="1">
        <f ca="1">OFFSET(A114,0, 18) -0</f>
        <v>3.7322311545544835</v>
      </c>
      <c r="BR114" s="1">
        <f ca="1">OFFSET(A114,0, 16) -0</f>
        <v>17.223541037760924</v>
      </c>
      <c r="BS114" s="1">
        <f ca="1">OFFSET(A114,0, 17) -0</f>
        <v>-44.52211390384241</v>
      </c>
      <c r="BT114" s="1">
        <f ca="1">OFFSET(A114,0, 24) -0</f>
        <v>23.258301504934934</v>
      </c>
      <c r="BU114" s="1">
        <f ca="1">OFFSET(A114,0, 14) -0</f>
        <v>-59.285149079032692</v>
      </c>
      <c r="BV114" s="1">
        <f ca="1">OFFSET(A114,0, 23) -0</f>
        <v>-34.996043553461732</v>
      </c>
      <c r="BW114" s="1">
        <f ca="1">OFFSET(A114,0, 20) -0</f>
        <v>-9.7590787286519571</v>
      </c>
      <c r="BX114" s="1">
        <f ca="1">OFFSET(A114,0, 19) -0</f>
        <v>-18.01342378704885</v>
      </c>
      <c r="BY114" s="1">
        <f ca="1">OFFSET(A114,0, 15) -0</f>
        <v>38.969195979364031</v>
      </c>
      <c r="BZ114" s="1">
        <f ca="1">OFFSET(A114,0, 21) -0</f>
        <v>-31.504733670255291</v>
      </c>
      <c r="CB114" s="1">
        <f>COUNTIF(B114,"&lt;-75")</f>
        <v>0</v>
      </c>
      <c r="CC114" s="1">
        <f ca="1">COUNTIF(BC114:BN114,"&lt;-53")</f>
        <v>1</v>
      </c>
      <c r="CD114" s="1">
        <f ca="1">COUNTIF(BC114:BN114,"&gt;+53")</f>
        <v>1</v>
      </c>
      <c r="CE114" s="1">
        <f ca="1">COUNTIF(BO114:BZ114,"&lt;-53")</f>
        <v>1</v>
      </c>
      <c r="CF114" s="1">
        <f ca="1">COUNTIF(BO114:BZ114,"&gt;+53")</f>
        <v>1</v>
      </c>
    </row>
    <row r="115" spans="1:84">
      <c r="A115" s="1">
        <v>112</v>
      </c>
      <c r="B115" s="1">
        <f>'Touch 1 1'!B115-'Touch 1 1'!$AA115-('Touch 1 1'!B$2- 12.5)*'Touch 1 1'!$AC115</f>
        <v>-17.909415939944665</v>
      </c>
      <c r="C115" s="1">
        <f>'Touch 1 1'!C115-'Touch 1 1'!$AA115-('Touch 1 1'!C$2- 12.5)*'Touch 1 1'!$AC115</f>
        <v>0.1696637070072029</v>
      </c>
      <c r="D115" s="1">
        <f>'Touch 1 1'!D115-'Touch 1 1'!$AA115-('Touch 1 1'!D$2- 12.5)*'Touch 1 1'!$AC115</f>
        <v>-1.7512566460411563</v>
      </c>
      <c r="E115" s="1">
        <f>'Touch 1 1'!E115-'Touch 1 1'!$AA115-('Touch 1 1'!E$2- 12.5)*'Touch 1 1'!$AC115</f>
        <v>26.327823000910485</v>
      </c>
      <c r="F115" s="1">
        <f>'Touch 1 1'!F115-'Touch 1 1'!$AA115-('Touch 1 1'!F$2- 12.5)*'Touch 1 1'!$AC115</f>
        <v>4.4069026478623528</v>
      </c>
      <c r="G115" s="1">
        <f>'Touch 1 1'!G115-'Touch 1 1'!$AA115-('Touch 1 1'!G$2- 12.5)*'Touch 1 1'!$AC115</f>
        <v>-27.514017705186006</v>
      </c>
      <c r="H115" s="1">
        <f>'Touch 1 1'!H115-'Touch 1 1'!$AA115-('Touch 1 1'!H$2- 12.5)*'Touch 1 1'!$AC115</f>
        <v>-9.4349380582343656</v>
      </c>
      <c r="I115" s="1">
        <f>'Touch 1 1'!I115-'Touch 1 1'!$AA115-('Touch 1 1'!I$2- 12.5)*'Touch 1 1'!$AC115</f>
        <v>-61.355858411282611</v>
      </c>
      <c r="J115" s="1">
        <f>'Touch 1 1'!J115-'Touch 1 1'!$AA115-('Touch 1 1'!J$2- 12.5)*'Touch 1 1'!$AC115</f>
        <v>16.72322123566903</v>
      </c>
      <c r="K115" s="1">
        <f>'Touch 1 1'!K115-'Touch 1 1'!$AA115-('Touch 1 1'!K$2- 12.5)*'Touch 1 1'!$AC115</f>
        <v>24.802300882620784</v>
      </c>
      <c r="L115" s="1">
        <f>'Touch 1 1'!L115-'Touch 1 1'!$AA115-('Touch 1 1'!L$2- 12.5)*'Touch 1 1'!$AC115</f>
        <v>-77.118619470427575</v>
      </c>
      <c r="M115" s="1">
        <f>'Touch 1 1'!M115-'Touch 1 1'!$AA115-('Touch 1 1'!M$2- 12.5)*'Touch 1 1'!$AC115</f>
        <v>40.960460176524151</v>
      </c>
      <c r="N115" s="1">
        <f>'Touch 1 1'!N115-'Touch 1 1'!$AA115-('Touch 1 1'!N$2- 12.5)*'Touch 1 1'!$AC115</f>
        <v>79.039539823475849</v>
      </c>
      <c r="O115" s="1">
        <f>'Touch 1 1'!O115-'Touch 1 1'!$AA115-('Touch 1 1'!O$2- 12.5)*'Touch 1 1'!$AC115</f>
        <v>27.118619470427575</v>
      </c>
      <c r="P115" s="1">
        <f>'Touch 1 1'!P115-'Touch 1 1'!$AA115-('Touch 1 1'!P$2- 12.5)*'Touch 1 1'!$AC115</f>
        <v>-24.802300882620784</v>
      </c>
      <c r="Q115" s="1">
        <f>'Touch 1 1'!Q115-'Touch 1 1'!$AA115-('Touch 1 1'!Q$2- 12.5)*'Touch 1 1'!$AC115</f>
        <v>13.27677876433097</v>
      </c>
      <c r="R115" s="1">
        <f>'Touch 1 1'!R115-'Touch 1 1'!$AA115-('Touch 1 1'!R$2- 12.5)*'Touch 1 1'!$AC115</f>
        <v>-78.644141588717389</v>
      </c>
      <c r="S115" s="1">
        <f>'Touch 1 1'!S115-'Touch 1 1'!$AA115-('Touch 1 1'!S$2- 12.5)*'Touch 1 1'!$AC115</f>
        <v>-30.565061941765634</v>
      </c>
      <c r="T115" s="1">
        <f>'Touch 1 1'!T115-'Touch 1 1'!$AA115-('Touch 1 1'!T$2- 12.5)*'Touch 1 1'!$AC115</f>
        <v>7.5140177051860064</v>
      </c>
      <c r="U115" s="1">
        <f>'Touch 1 1'!U115-'Touch 1 1'!$AA115-('Touch 1 1'!U$2- 12.5)*'Touch 1 1'!$AC115</f>
        <v>65.593097352137647</v>
      </c>
      <c r="V115" s="1">
        <f>'Touch 1 1'!V115-'Touch 1 1'!$AA115-('Touch 1 1'!V$2- 12.5)*'Touch 1 1'!$AC115</f>
        <v>-76.327823000910485</v>
      </c>
      <c r="W115" s="1">
        <f>'Touch 1 1'!W115-'Touch 1 1'!$AA115-('Touch 1 1'!W$2- 12.5)*'Touch 1 1'!$AC115</f>
        <v>1.7512566460411563</v>
      </c>
      <c r="X115" s="1">
        <f>'Touch 1 1'!X115-'Touch 1 1'!$AA115-('Touch 1 1'!X$2- 12.5)*'Touch 1 1'!$AC115</f>
        <v>39.830336292992797</v>
      </c>
      <c r="Y115" s="1">
        <f>'Touch 1 1'!Y115-'Touch 1 1'!$AA115-('Touch 1 1'!Y$2- 12.5)*'Touch 1 1'!$AC115</f>
        <v>57.909415939944665</v>
      </c>
      <c r="AB115" s="1">
        <f>STDEV(B115:Y115)</f>
        <v>43.831670801473109</v>
      </c>
      <c r="AD115" s="11">
        <v>7</v>
      </c>
      <c r="AE115" s="11">
        <v>2</v>
      </c>
      <c r="AF115" s="11">
        <v>4</v>
      </c>
      <c r="AG115" s="11" t="s">
        <v>45</v>
      </c>
      <c r="AH115" s="11">
        <v>3</v>
      </c>
      <c r="AI115" s="11">
        <v>5</v>
      </c>
      <c r="AJ115" s="11">
        <v>9</v>
      </c>
      <c r="AK115" s="11" t="s">
        <v>44</v>
      </c>
      <c r="AL115" s="11">
        <v>1</v>
      </c>
      <c r="AM115" s="11" t="s">
        <v>46</v>
      </c>
      <c r="AN115" s="11">
        <v>6</v>
      </c>
      <c r="AO115" s="11">
        <v>8</v>
      </c>
      <c r="AP115" s="11">
        <v>2</v>
      </c>
      <c r="AQ115" s="11">
        <v>7</v>
      </c>
      <c r="AR115" s="11" t="s">
        <v>45</v>
      </c>
      <c r="AS115" s="11">
        <v>4</v>
      </c>
      <c r="AT115" s="11">
        <v>5</v>
      </c>
      <c r="AU115" s="11">
        <v>3</v>
      </c>
      <c r="AV115" s="11">
        <v>9</v>
      </c>
      <c r="AW115" s="11">
        <v>1</v>
      </c>
      <c r="AX115" s="11" t="s">
        <v>44</v>
      </c>
      <c r="AY115" s="11" t="s">
        <v>46</v>
      </c>
      <c r="AZ115" s="11">
        <v>8</v>
      </c>
      <c r="BA115" s="11">
        <v>6</v>
      </c>
      <c r="BB115" s="5"/>
      <c r="BC115" s="1">
        <f ca="1">OFFSET(A115,0, 9) -0</f>
        <v>16.72322123566903</v>
      </c>
      <c r="BD115" s="1">
        <f ca="1">OFFSET(A115,0, 2) -0</f>
        <v>0.1696637070072029</v>
      </c>
      <c r="BE115" s="1">
        <f ca="1">OFFSET(A115,0, 5) -0</f>
        <v>4.4069026478623528</v>
      </c>
      <c r="BF115" s="1">
        <f ca="1">OFFSET(A115,0, 3) -0</f>
        <v>-1.7512566460411563</v>
      </c>
      <c r="BG115" s="1">
        <f ca="1">OFFSET(A115,0, 6) -0</f>
        <v>-27.514017705186006</v>
      </c>
      <c r="BH115" s="1">
        <f ca="1">OFFSET(A115,0, 11) -0</f>
        <v>-77.118619470427575</v>
      </c>
      <c r="BI115" s="1">
        <f ca="1">OFFSET(A115,0, 1) -0</f>
        <v>-17.909415939944665</v>
      </c>
      <c r="BJ115" s="1">
        <f ca="1">OFFSET(A115,0, 12) -0</f>
        <v>40.960460176524151</v>
      </c>
      <c r="BK115" s="1">
        <f ca="1">OFFSET(A115,0, 7) -0</f>
        <v>-9.4349380582343656</v>
      </c>
      <c r="BL115" s="1">
        <f ca="1">OFFSET(A115,0, 8) -0</f>
        <v>-61.355858411282611</v>
      </c>
      <c r="BM115" s="1">
        <f ca="1">OFFSET(A115,0, 4) -0</f>
        <v>26.327823000910485</v>
      </c>
      <c r="BN115" s="1">
        <f ca="1">OFFSET(A115,0, 10) -0</f>
        <v>24.802300882620784</v>
      </c>
      <c r="BO115" s="1">
        <f ca="1">OFFSET(A115,0, 20) -0</f>
        <v>65.593097352137647</v>
      </c>
      <c r="BP115" s="1">
        <f ca="1">OFFSET(A115,0, 13) -0</f>
        <v>79.039539823475849</v>
      </c>
      <c r="BQ115" s="1">
        <f ca="1">OFFSET(A115,0, 18) -0</f>
        <v>-30.565061941765634</v>
      </c>
      <c r="BR115" s="1">
        <f ca="1">OFFSET(A115,0, 16) -0</f>
        <v>13.27677876433097</v>
      </c>
      <c r="BS115" s="1">
        <f ca="1">OFFSET(A115,0, 17) -0</f>
        <v>-78.644141588717389</v>
      </c>
      <c r="BT115" s="1">
        <f ca="1">OFFSET(A115,0, 24) -0</f>
        <v>57.909415939944665</v>
      </c>
      <c r="BU115" s="1">
        <f ca="1">OFFSET(A115,0, 14) -0</f>
        <v>27.118619470427575</v>
      </c>
      <c r="BV115" s="1">
        <f ca="1">OFFSET(A115,0, 23) -0</f>
        <v>39.830336292992797</v>
      </c>
      <c r="BW115" s="1">
        <f ca="1">OFFSET(A115,0, 19) -0</f>
        <v>7.5140177051860064</v>
      </c>
      <c r="BX115" s="1">
        <f ca="1">OFFSET(A115,0, 21) -0</f>
        <v>-76.327823000910485</v>
      </c>
      <c r="BY115" s="1">
        <f ca="1">OFFSET(A115,0, 15) -0</f>
        <v>-24.802300882620784</v>
      </c>
      <c r="BZ115" s="1">
        <f ca="1">OFFSET(A115,0, 22) -0</f>
        <v>1.7512566460411563</v>
      </c>
      <c r="CB115" s="1">
        <f>COUNTIF(B115,"&lt;-75")</f>
        <v>0</v>
      </c>
      <c r="CC115" s="1">
        <f ca="1">COUNTIF(BC115:BN115,"&lt;-53")</f>
        <v>2</v>
      </c>
      <c r="CD115" s="1">
        <f ca="1">COUNTIF(BC115:BN115,"&gt;+53")</f>
        <v>0</v>
      </c>
      <c r="CE115" s="1">
        <f ca="1">COUNTIF(BO115:BZ115,"&lt;-53")</f>
        <v>2</v>
      </c>
      <c r="CF115" s="1">
        <f ca="1">COUNTIF(BO115:BZ115,"&gt;+53")</f>
        <v>3</v>
      </c>
    </row>
    <row r="116" spans="1:84">
      <c r="A116" s="1">
        <v>113</v>
      </c>
      <c r="B116" s="1">
        <f>'Touch 1 1'!B116-'Touch 1 1'!$AA116-('Touch 1 1'!B$2- 12.5)*'Touch 1 1'!$AC116</f>
        <v>64.944024004938456</v>
      </c>
      <c r="C116" s="1">
        <f>'Touch 1 1'!C116-'Touch 1 1'!$AA116-('Touch 1 1'!C$2- 12.5)*'Touch 1 1'!$AC116</f>
        <v>23.064833511758479</v>
      </c>
      <c r="D116" s="1">
        <f>'Touch 1 1'!D116-'Touch 1 1'!$AA116-('Touch 1 1'!D$2- 12.5)*'Touch 1 1'!$AC116</f>
        <v>51.185643018578958</v>
      </c>
      <c r="E116" s="1">
        <f>'Touch 1 1'!E116-'Touch 1 1'!$AA116-('Touch 1 1'!E$2- 12.5)*'Touch 1 1'!$AC116</f>
        <v>79.306452525399209</v>
      </c>
      <c r="F116" s="1">
        <f>'Touch 1 1'!F116-'Touch 1 1'!$AA116-('Touch 1 1'!F$2- 12.5)*'Touch 1 1'!$AC116</f>
        <v>7.4272620322196872</v>
      </c>
      <c r="G116" s="1">
        <f>'Touch 1 1'!G116-'Touch 1 1'!$AA116-('Touch 1 1'!G$2- 12.5)*'Touch 1 1'!$AC116</f>
        <v>-24.451928460960062</v>
      </c>
      <c r="H116" s="1">
        <f>'Touch 1 1'!H116-'Touch 1 1'!$AA116-('Touch 1 1'!H$2- 12.5)*'Touch 1 1'!$AC116</f>
        <v>13.668881045860189</v>
      </c>
      <c r="I116" s="1">
        <f>'Touch 1 1'!I116-'Touch 1 1'!$AA116-('Touch 1 1'!I$2- 12.5)*'Touch 1 1'!$AC116</f>
        <v>-108.21030944731933</v>
      </c>
      <c r="J116" s="1">
        <f>'Touch 1 1'!J116-'Touch 1 1'!$AA116-('Touch 1 1'!J$2- 12.5)*'Touch 1 1'!$AC116</f>
        <v>-40.089499940499081</v>
      </c>
      <c r="K116" s="1">
        <f>'Touch 1 1'!K116-'Touch 1 1'!$AA116-('Touch 1 1'!K$2- 12.5)*'Touch 1 1'!$AC116</f>
        <v>-21.968690433678717</v>
      </c>
      <c r="L116" s="1">
        <f>'Touch 1 1'!L116-'Touch 1 1'!$AA116-('Touch 1 1'!L$2- 12.5)*'Touch 1 1'!$AC116</f>
        <v>6.1521190731416482</v>
      </c>
      <c r="M116" s="1">
        <f>'Touch 1 1'!M116-'Touch 1 1'!$AA116-('Touch 1 1'!M$2- 12.5)*'Touch 1 1'!$AC116</f>
        <v>44.27292857996197</v>
      </c>
      <c r="N116" s="1">
        <f>'Touch 1 1'!N116-'Touch 1 1'!$AA116-('Touch 1 1'!N$2- 12.5)*'Touch 1 1'!$AC116</f>
        <v>-7.6062619132176934</v>
      </c>
      <c r="O116" s="1">
        <f>'Touch 1 1'!O116-'Touch 1 1'!$AA116-('Touch 1 1'!O$2- 12.5)*'Touch 1 1'!$AC116</f>
        <v>60.514547593602629</v>
      </c>
      <c r="P116" s="1">
        <f>'Touch 1 1'!P116-'Touch 1 1'!$AA116-('Touch 1 1'!P$2- 12.5)*'Touch 1 1'!$AC116</f>
        <v>38.635357100422993</v>
      </c>
      <c r="Q116" s="1">
        <f>'Touch 1 1'!Q116-'Touch 1 1'!$AA116-('Touch 1 1'!Q$2- 12.5)*'Touch 1 1'!$AC116</f>
        <v>6.7561666072433582</v>
      </c>
      <c r="R116" s="1">
        <f>'Touch 1 1'!R116-'Touch 1 1'!$AA116-('Touch 1 1'!R$2- 12.5)*'Touch 1 1'!$AC116</f>
        <v>-5.1230238859363908</v>
      </c>
      <c r="S116" s="1">
        <f>'Touch 1 1'!S116-'Touch 1 1'!$AA116-('Touch 1 1'!S$2- 12.5)*'Touch 1 1'!$AC116</f>
        <v>-77.002214379115912</v>
      </c>
      <c r="T116" s="1">
        <f>'Touch 1 1'!T116-'Touch 1 1'!$AA116-('Touch 1 1'!T$2- 12.5)*'Touch 1 1'!$AC116</f>
        <v>-68.881404872295661</v>
      </c>
      <c r="U116" s="1">
        <f>'Touch 1 1'!U116-'Touch 1 1'!$AA116-('Touch 1 1'!U$2- 12.5)*'Touch 1 1'!$AC116</f>
        <v>19.23940463452459</v>
      </c>
      <c r="V116" s="1">
        <f>'Touch 1 1'!V116-'Touch 1 1'!$AA116-('Touch 1 1'!V$2- 12.5)*'Touch 1 1'!$AC116</f>
        <v>-42.639785858654932</v>
      </c>
      <c r="W116" s="1">
        <f>'Touch 1 1'!W116-'Touch 1 1'!$AA116-('Touch 1 1'!W$2- 12.5)*'Touch 1 1'!$AC116</f>
        <v>-4.5189763518346808</v>
      </c>
      <c r="X116" s="1">
        <f>'Touch 1 1'!X116-'Touch 1 1'!$AA116-('Touch 1 1'!X$2- 12.5)*'Touch 1 1'!$AC116</f>
        <v>-6.3981668450142024</v>
      </c>
      <c r="Y116" s="1">
        <f>'Touch 1 1'!Y116-'Touch 1 1'!$AA116-('Touch 1 1'!Y$2- 12.5)*'Touch 1 1'!$AC116</f>
        <v>-8.2773573381941787</v>
      </c>
      <c r="AB116" s="1">
        <f>STDEV(B116:Y116)</f>
        <v>45.955041259015395</v>
      </c>
      <c r="AD116" s="11">
        <v>7</v>
      </c>
      <c r="AE116" s="11">
        <v>2</v>
      </c>
      <c r="AF116" s="11">
        <v>4</v>
      </c>
      <c r="AG116" s="11" t="s">
        <v>45</v>
      </c>
      <c r="AH116" s="11">
        <v>3</v>
      </c>
      <c r="AI116" s="11">
        <v>5</v>
      </c>
      <c r="AJ116" s="11">
        <v>1</v>
      </c>
      <c r="AK116" s="11">
        <v>9</v>
      </c>
      <c r="AL116" s="11" t="s">
        <v>46</v>
      </c>
      <c r="AM116" s="11" t="s">
        <v>44</v>
      </c>
      <c r="AN116" s="11">
        <v>6</v>
      </c>
      <c r="AO116" s="11">
        <v>8</v>
      </c>
      <c r="AP116" s="11">
        <v>7</v>
      </c>
      <c r="AQ116" s="11">
        <v>4</v>
      </c>
      <c r="AR116" s="11">
        <v>2</v>
      </c>
      <c r="AS116" s="11">
        <v>3</v>
      </c>
      <c r="AT116" s="11" t="s">
        <v>45</v>
      </c>
      <c r="AU116" s="11">
        <v>5</v>
      </c>
      <c r="AV116" s="11">
        <v>9</v>
      </c>
      <c r="AW116" s="11">
        <v>1</v>
      </c>
      <c r="AX116" s="11" t="s">
        <v>46</v>
      </c>
      <c r="AY116" s="11">
        <v>6</v>
      </c>
      <c r="AZ116" s="11" t="s">
        <v>44</v>
      </c>
      <c r="BA116" s="11">
        <v>8</v>
      </c>
      <c r="BB116" s="5"/>
      <c r="BC116" s="1">
        <f ca="1">OFFSET(A116,0, 7) -0</f>
        <v>13.668881045860189</v>
      </c>
      <c r="BD116" s="1">
        <f ca="1">OFFSET(A116,0, 2) -0</f>
        <v>23.064833511758479</v>
      </c>
      <c r="BE116" s="1">
        <f ca="1">OFFSET(A116,0, 5) -0</f>
        <v>7.4272620322196872</v>
      </c>
      <c r="BF116" s="1">
        <f ca="1">OFFSET(A116,0, 3) -0</f>
        <v>51.185643018578958</v>
      </c>
      <c r="BG116" s="1">
        <f ca="1">OFFSET(A116,0, 6) -0</f>
        <v>-24.451928460960062</v>
      </c>
      <c r="BH116" s="1">
        <f ca="1">OFFSET(A116,0, 11) -0</f>
        <v>6.1521190731416482</v>
      </c>
      <c r="BI116" s="1">
        <f ca="1">OFFSET(A116,0, 1) -0</f>
        <v>64.944024004938456</v>
      </c>
      <c r="BJ116" s="1">
        <f ca="1">OFFSET(A116,0, 12) -0</f>
        <v>44.27292857996197</v>
      </c>
      <c r="BK116" s="1">
        <f ca="1">OFFSET(A116,0, 8) -0</f>
        <v>-108.21030944731933</v>
      </c>
      <c r="BL116" s="1">
        <f ca="1">OFFSET(A116,0, 10) -0</f>
        <v>-21.968690433678717</v>
      </c>
      <c r="BM116" s="1">
        <f ca="1">OFFSET(A116,0, 4) -0</f>
        <v>79.306452525399209</v>
      </c>
      <c r="BN116" s="1">
        <f ca="1">OFFSET(A116,0, 9) -0</f>
        <v>-40.089499940499081</v>
      </c>
      <c r="BO116" s="1">
        <f ca="1">OFFSET(A116,0, 20) -0</f>
        <v>19.23940463452459</v>
      </c>
      <c r="BP116" s="1">
        <f ca="1">OFFSET(A116,0, 15) -0</f>
        <v>38.635357100422993</v>
      </c>
      <c r="BQ116" s="1">
        <f ca="1">OFFSET(A116,0, 16) -0</f>
        <v>6.7561666072433582</v>
      </c>
      <c r="BR116" s="1">
        <f ca="1">OFFSET(A116,0, 14) -0</f>
        <v>60.514547593602629</v>
      </c>
      <c r="BS116" s="1">
        <f ca="1">OFFSET(A116,0, 18) -0</f>
        <v>-77.002214379115912</v>
      </c>
      <c r="BT116" s="1">
        <f ca="1">OFFSET(A116,0, 22) -0</f>
        <v>-4.5189763518346808</v>
      </c>
      <c r="BU116" s="1">
        <f ca="1">OFFSET(A116,0, 13) -0</f>
        <v>-7.6062619132176934</v>
      </c>
      <c r="BV116" s="1">
        <f ca="1">OFFSET(A116,0, 24) -0</f>
        <v>-8.2773573381941787</v>
      </c>
      <c r="BW116" s="1">
        <f ca="1">OFFSET(A116,0, 19) -0</f>
        <v>-68.881404872295661</v>
      </c>
      <c r="BX116" s="1">
        <f ca="1">OFFSET(A116,0, 23) -0</f>
        <v>-6.3981668450142024</v>
      </c>
      <c r="BY116" s="1">
        <f ca="1">OFFSET(A116,0, 17) -0</f>
        <v>-5.1230238859363908</v>
      </c>
      <c r="BZ116" s="1">
        <f ca="1">OFFSET(A116,0, 21) -0</f>
        <v>-42.639785858654932</v>
      </c>
      <c r="CB116" s="1">
        <f>COUNTIF(B116,"&lt;-75")</f>
        <v>0</v>
      </c>
      <c r="CC116" s="1">
        <f ca="1">COUNTIF(BC116:BN116,"&lt;-53")</f>
        <v>1</v>
      </c>
      <c r="CD116" s="1">
        <f ca="1">COUNTIF(BC116:BN116,"&gt;+53")</f>
        <v>2</v>
      </c>
      <c r="CE116" s="1">
        <f ca="1">COUNTIF(BO116:BZ116,"&lt;-53")</f>
        <v>2</v>
      </c>
      <c r="CF116" s="1">
        <f ca="1">COUNTIF(BO116:BZ116,"&gt;+53")</f>
        <v>1</v>
      </c>
    </row>
    <row r="117" spans="1:84">
      <c r="A117" s="1">
        <v>114</v>
      </c>
      <c r="B117" s="1">
        <f>'Touch 1 1'!B117-'Touch 1 1'!$AA117-('Touch 1 1'!B$2- 12.5)*'Touch 1 1'!$AC117</f>
        <v>19.087047475551117</v>
      </c>
      <c r="C117" s="1">
        <f>'Touch 1 1'!C117-'Touch 1 1'!$AA117-('Touch 1 1'!C$2- 12.5)*'Touch 1 1'!$AC117</f>
        <v>47.608463637100613</v>
      </c>
      <c r="D117" s="1">
        <f>'Touch 1 1'!D117-'Touch 1 1'!$AA117-('Touch 1 1'!D$2- 12.5)*'Touch 1 1'!$AC117</f>
        <v>46.129879798650336</v>
      </c>
      <c r="E117" s="1">
        <f>'Touch 1 1'!E117-'Touch 1 1'!$AA117-('Touch 1 1'!E$2- 12.5)*'Touch 1 1'!$AC117</f>
        <v>24.651295960200059</v>
      </c>
      <c r="F117" s="1">
        <f>'Touch 1 1'!F117-'Touch 1 1'!$AA117-('Touch 1 1'!F$2- 12.5)*'Touch 1 1'!$AC117</f>
        <v>73.172712121749555</v>
      </c>
      <c r="G117" s="1">
        <f>'Touch 1 1'!G117-'Touch 1 1'!$AA117-('Touch 1 1'!G$2- 12.5)*'Touch 1 1'!$AC117</f>
        <v>21.694128283299278</v>
      </c>
      <c r="H117" s="1">
        <f>'Touch 1 1'!H117-'Touch 1 1'!$AA117-('Touch 1 1'!H$2- 12.5)*'Touch 1 1'!$AC117</f>
        <v>10.215544444849002</v>
      </c>
      <c r="I117" s="1">
        <f>'Touch 1 1'!I117-'Touch 1 1'!$AA117-('Touch 1 1'!I$2- 12.5)*'Touch 1 1'!$AC117</f>
        <v>-91.263039393601389</v>
      </c>
      <c r="J117" s="1">
        <f>'Touch 1 1'!J117-'Touch 1 1'!$AA117-('Touch 1 1'!J$2- 12.5)*'Touch 1 1'!$AC117</f>
        <v>-112.74162323205167</v>
      </c>
      <c r="K117" s="1">
        <f>'Touch 1 1'!K117-'Touch 1 1'!$AA117-('Touch 1 1'!K$2- 12.5)*'Touch 1 1'!$AC117</f>
        <v>-74.220207070502056</v>
      </c>
      <c r="L117" s="1">
        <f>'Touch 1 1'!L117-'Touch 1 1'!$AA117-('Touch 1 1'!L$2- 12.5)*'Touch 1 1'!$AC117</f>
        <v>-45.698790908952333</v>
      </c>
      <c r="M117" s="1">
        <f>'Touch 1 1'!M117-'Touch 1 1'!$AA117-('Touch 1 1'!M$2- 12.5)*'Touch 1 1'!$AC117</f>
        <v>-57.177374747402695</v>
      </c>
      <c r="N117" s="1">
        <f>'Touch 1 1'!N117-'Touch 1 1'!$AA117-('Touch 1 1'!N$2- 12.5)*'Touch 1 1'!$AC117</f>
        <v>81.344041414146972</v>
      </c>
      <c r="O117" s="1">
        <f>'Touch 1 1'!O117-'Touch 1 1'!$AA117-('Touch 1 1'!O$2- 12.5)*'Touch 1 1'!$AC117</f>
        <v>49.86545757569661</v>
      </c>
      <c r="P117" s="1">
        <f>'Touch 1 1'!P117-'Touch 1 1'!$AA117-('Touch 1 1'!P$2- 12.5)*'Touch 1 1'!$AC117</f>
        <v>28.386873737246333</v>
      </c>
      <c r="Q117" s="1">
        <f>'Touch 1 1'!Q117-'Touch 1 1'!$AA117-('Touch 1 1'!Q$2- 12.5)*'Touch 1 1'!$AC117</f>
        <v>26.908289898795942</v>
      </c>
      <c r="R117" s="1">
        <f>'Touch 1 1'!R117-'Touch 1 1'!$AA117-('Touch 1 1'!R$2- 12.5)*'Touch 1 1'!$AC117</f>
        <v>-14.570293939654334</v>
      </c>
      <c r="S117" s="1">
        <f>'Touch 1 1'!S117-'Touch 1 1'!$AA117-('Touch 1 1'!S$2- 12.5)*'Touch 1 1'!$AC117</f>
        <v>93.951122221895275</v>
      </c>
      <c r="T117" s="1">
        <f>'Touch 1 1'!T117-'Touch 1 1'!$AA117-('Touch 1 1'!T$2- 12.5)*'Touch 1 1'!$AC117</f>
        <v>-7.5274616165550015</v>
      </c>
      <c r="U117" s="1">
        <f>'Touch 1 1'!U117-'Touch 1 1'!$AA117-('Touch 1 1'!U$2- 12.5)*'Touch 1 1'!$AC117</f>
        <v>-29.006045455005278</v>
      </c>
      <c r="V117" s="1">
        <f>'Touch 1 1'!V117-'Touch 1 1'!$AA117-('Touch 1 1'!V$2- 12.5)*'Touch 1 1'!$AC117</f>
        <v>-30.484629293455782</v>
      </c>
      <c r="W117" s="1">
        <f>'Touch 1 1'!W117-'Touch 1 1'!$AA117-('Touch 1 1'!W$2- 12.5)*'Touch 1 1'!$AC117</f>
        <v>-51.963213131906059</v>
      </c>
      <c r="X117" s="1">
        <f>'Touch 1 1'!X117-'Touch 1 1'!$AA117-('Touch 1 1'!X$2- 12.5)*'Touch 1 1'!$AC117</f>
        <v>-43.441796970356336</v>
      </c>
      <c r="Y117" s="1">
        <f>'Touch 1 1'!Y117-'Touch 1 1'!$AA117-('Touch 1 1'!Y$2- 12.5)*'Touch 1 1'!$AC117</f>
        <v>35.07961919119316</v>
      </c>
      <c r="AB117" s="1">
        <f>STDEV(B117:Y117)</f>
        <v>55.371992549207022</v>
      </c>
      <c r="AD117" s="11">
        <v>4</v>
      </c>
      <c r="AE117" s="11">
        <v>7</v>
      </c>
      <c r="AF117" s="11">
        <v>3</v>
      </c>
      <c r="AG117" s="11">
        <v>2</v>
      </c>
      <c r="AH117" s="11">
        <v>5</v>
      </c>
      <c r="AI117" s="11" t="s">
        <v>45</v>
      </c>
      <c r="AJ117" s="11">
        <v>1</v>
      </c>
      <c r="AK117" s="11">
        <v>9</v>
      </c>
      <c r="AL117" s="11">
        <v>6</v>
      </c>
      <c r="AM117" s="11" t="s">
        <v>46</v>
      </c>
      <c r="AN117" s="11">
        <v>8</v>
      </c>
      <c r="AO117" s="11" t="s">
        <v>44</v>
      </c>
      <c r="AP117" s="11">
        <v>7</v>
      </c>
      <c r="AQ117" s="11">
        <v>4</v>
      </c>
      <c r="AR117" s="11">
        <v>2</v>
      </c>
      <c r="AS117" s="11">
        <v>3</v>
      </c>
      <c r="AT117" s="11">
        <v>5</v>
      </c>
      <c r="AU117" s="11">
        <v>1</v>
      </c>
      <c r="AV117" s="11" t="s">
        <v>45</v>
      </c>
      <c r="AW117" s="11">
        <v>9</v>
      </c>
      <c r="AX117" s="11" t="s">
        <v>46</v>
      </c>
      <c r="AY117" s="11">
        <v>6</v>
      </c>
      <c r="AZ117" s="11" t="s">
        <v>44</v>
      </c>
      <c r="BA117" s="11">
        <v>8</v>
      </c>
      <c r="BB117" s="5"/>
      <c r="BC117" s="1">
        <f ca="1">OFFSET(A117,0, 7) -0</f>
        <v>10.215544444849002</v>
      </c>
      <c r="BD117" s="1">
        <f ca="1">OFFSET(A117,0, 4) -0</f>
        <v>24.651295960200059</v>
      </c>
      <c r="BE117" s="1">
        <f ca="1">OFFSET(A117,0, 3) -0</f>
        <v>46.129879798650336</v>
      </c>
      <c r="BF117" s="1">
        <f ca="1">OFFSET(A117,0, 1) -0</f>
        <v>19.087047475551117</v>
      </c>
      <c r="BG117" s="1">
        <f ca="1">OFFSET(A117,0, 5) -0</f>
        <v>73.172712121749555</v>
      </c>
      <c r="BH117" s="1">
        <f ca="1">OFFSET(A117,0, 9) -0</f>
        <v>-112.74162323205167</v>
      </c>
      <c r="BI117" s="1">
        <f ca="1">OFFSET(A117,0, 2) -0</f>
        <v>47.608463637100613</v>
      </c>
      <c r="BJ117" s="1">
        <f ca="1">OFFSET(A117,0, 11) -0</f>
        <v>-45.698790908952333</v>
      </c>
      <c r="BK117" s="1">
        <f ca="1">OFFSET(A117,0, 8) -0</f>
        <v>-91.263039393601389</v>
      </c>
      <c r="BL117" s="1">
        <f ca="1">OFFSET(A117,0, 12) -0</f>
        <v>-57.177374747402695</v>
      </c>
      <c r="BM117" s="1">
        <f ca="1">OFFSET(A117,0, 6) -0</f>
        <v>21.694128283299278</v>
      </c>
      <c r="BN117" s="1">
        <f ca="1">OFFSET(A117,0, 10) -0</f>
        <v>-74.220207070502056</v>
      </c>
      <c r="BO117" s="1">
        <f ca="1">OFFSET(A117,0, 18) -0</f>
        <v>93.951122221895275</v>
      </c>
      <c r="BP117" s="1">
        <f ca="1">OFFSET(A117,0, 15) -0</f>
        <v>28.386873737246333</v>
      </c>
      <c r="BQ117" s="1">
        <f ca="1">OFFSET(A117,0, 16) -0</f>
        <v>26.908289898795942</v>
      </c>
      <c r="BR117" s="1">
        <f ca="1">OFFSET(A117,0, 14) -0</f>
        <v>49.86545757569661</v>
      </c>
      <c r="BS117" s="1">
        <f ca="1">OFFSET(A117,0, 17) -0</f>
        <v>-14.570293939654334</v>
      </c>
      <c r="BT117" s="1">
        <f ca="1">OFFSET(A117,0, 22) -0</f>
        <v>-51.963213131906059</v>
      </c>
      <c r="BU117" s="1">
        <f ca="1">OFFSET(A117,0, 13) -0</f>
        <v>81.344041414146972</v>
      </c>
      <c r="BV117" s="1">
        <f ca="1">OFFSET(A117,0, 24) -0</f>
        <v>35.07961919119316</v>
      </c>
      <c r="BW117" s="1">
        <f ca="1">OFFSET(A117,0, 20) -0</f>
        <v>-29.006045455005278</v>
      </c>
      <c r="BX117" s="1">
        <f ca="1">OFFSET(A117,0, 23) -0</f>
        <v>-43.441796970356336</v>
      </c>
      <c r="BY117" s="1">
        <f ca="1">OFFSET(A117,0, 19) -0</f>
        <v>-7.5274616165550015</v>
      </c>
      <c r="BZ117" s="1">
        <f ca="1">OFFSET(A117,0, 21) -0</f>
        <v>-30.484629293455782</v>
      </c>
      <c r="CB117" s="1">
        <f>COUNTIF(B117,"&lt;-75")</f>
        <v>0</v>
      </c>
      <c r="CC117" s="1">
        <f ca="1">COUNTIF(BC117:BN117,"&lt;-53")</f>
        <v>4</v>
      </c>
      <c r="CD117" s="1">
        <f ca="1">COUNTIF(BC117:BN117,"&gt;+53")</f>
        <v>1</v>
      </c>
      <c r="CE117" s="1">
        <f ca="1">COUNTIF(BO117:BZ117,"&lt;-53")</f>
        <v>0</v>
      </c>
      <c r="CF117" s="1">
        <f ca="1">COUNTIF(BO117:BZ117,"&gt;+53")</f>
        <v>2</v>
      </c>
    </row>
    <row r="118" spans="1:84">
      <c r="A118" s="1">
        <v>115</v>
      </c>
      <c r="B118" s="1">
        <f>'Touch 1 1'!B118-'Touch 1 1'!$AA118-('Touch 1 1'!B$2- 12.5)*'Touch 1 1'!$AC118</f>
        <v>37.315293371309053</v>
      </c>
      <c r="C118" s="1">
        <f>'Touch 1 1'!C118-'Touch 1 1'!$AA118-('Touch 1 1'!C$2- 12.5)*'Touch 1 1'!$AC118</f>
        <v>85.411064962206183</v>
      </c>
      <c r="D118" s="1">
        <f>'Touch 1 1'!D118-'Touch 1 1'!$AA118-('Touch 1 1'!D$2- 12.5)*'Touch 1 1'!$AC118</f>
        <v>63.50683655310354</v>
      </c>
      <c r="E118" s="1">
        <f>'Touch 1 1'!E118-'Touch 1 1'!$AA118-('Touch 1 1'!E$2- 12.5)*'Touch 1 1'!$AC118</f>
        <v>31.602608144000897</v>
      </c>
      <c r="F118" s="1">
        <f>'Touch 1 1'!F118-'Touch 1 1'!$AA118-('Touch 1 1'!F$2- 12.5)*'Touch 1 1'!$AC118</f>
        <v>49.698379734898026</v>
      </c>
      <c r="G118" s="1">
        <f>'Touch 1 1'!G118-'Touch 1 1'!$AA118-('Touch 1 1'!G$2- 12.5)*'Touch 1 1'!$AC118</f>
        <v>-12.205848674204617</v>
      </c>
      <c r="H118" s="1">
        <f>'Touch 1 1'!H118-'Touch 1 1'!$AA118-('Touch 1 1'!H$2- 12.5)*'Touch 1 1'!$AC118</f>
        <v>5.8899229166927398</v>
      </c>
      <c r="I118" s="1">
        <f>'Touch 1 1'!I118-'Touch 1 1'!$AA118-('Touch 1 1'!I$2- 12.5)*'Touch 1 1'!$AC118</f>
        <v>3.985694507589983</v>
      </c>
      <c r="J118" s="1">
        <f>'Touch 1 1'!J118-'Touch 1 1'!$AA118-('Touch 1 1'!J$2- 12.5)*'Touch 1 1'!$AC118</f>
        <v>12.08146609848734</v>
      </c>
      <c r="K118" s="1">
        <f>'Touch 1 1'!K118-'Touch 1 1'!$AA118-('Touch 1 1'!K$2- 12.5)*'Touch 1 1'!$AC118</f>
        <v>-29.822762310615417</v>
      </c>
      <c r="L118" s="1">
        <f>'Touch 1 1'!L118-'Touch 1 1'!$AA118-('Touch 1 1'!L$2- 12.5)*'Touch 1 1'!$AC118</f>
        <v>8.2730092802819399</v>
      </c>
      <c r="M118" s="1">
        <f>'Touch 1 1'!M118-'Touch 1 1'!$AA118-('Touch 1 1'!M$2- 12.5)*'Touch 1 1'!$AC118</f>
        <v>-63.631219128820788</v>
      </c>
      <c r="N118" s="1">
        <f>'Touch 1 1'!N118-'Touch 1 1'!$AA118-('Touch 1 1'!N$2- 12.5)*'Touch 1 1'!$AC118</f>
        <v>54.464552462076512</v>
      </c>
      <c r="O118" s="1">
        <f>'Touch 1 1'!O118-'Touch 1 1'!$AA118-('Touch 1 1'!O$2- 12.5)*'Touch 1 1'!$AC118</f>
        <v>62.560324052973783</v>
      </c>
      <c r="P118" s="1">
        <f>'Touch 1 1'!P118-'Touch 1 1'!$AA118-('Touch 1 1'!P$2- 12.5)*'Touch 1 1'!$AC118</f>
        <v>-49.34390435612886</v>
      </c>
      <c r="Q118" s="1">
        <f>'Touch 1 1'!Q118-'Touch 1 1'!$AA118-('Touch 1 1'!Q$2- 12.5)*'Touch 1 1'!$AC118</f>
        <v>-21.248132765231617</v>
      </c>
      <c r="R118" s="1">
        <f>'Touch 1 1'!R118-'Touch 1 1'!$AA118-('Touch 1 1'!R$2- 12.5)*'Touch 1 1'!$AC118</f>
        <v>-63.15236117433426</v>
      </c>
      <c r="S118" s="1">
        <f>'Touch 1 1'!S118-'Touch 1 1'!$AA118-('Touch 1 1'!S$2- 12.5)*'Touch 1 1'!$AC118</f>
        <v>4.9434104165629833</v>
      </c>
      <c r="T118" s="1">
        <f>'Touch 1 1'!T118-'Touch 1 1'!$AA118-('Touch 1 1'!T$2- 12.5)*'Touch 1 1'!$AC118</f>
        <v>-26.96081799253966</v>
      </c>
      <c r="U118" s="1">
        <f>'Touch 1 1'!U118-'Touch 1 1'!$AA118-('Touch 1 1'!U$2- 12.5)*'Touch 1 1'!$AC118</f>
        <v>-28.865046401642303</v>
      </c>
      <c r="V118" s="1">
        <f>'Touch 1 1'!V118-'Touch 1 1'!$AA118-('Touch 1 1'!V$2- 12.5)*'Touch 1 1'!$AC118</f>
        <v>-70.769274810745173</v>
      </c>
      <c r="W118" s="1">
        <f>'Touch 1 1'!W118-'Touch 1 1'!$AA118-('Touch 1 1'!W$2- 12.5)*'Touch 1 1'!$AC118</f>
        <v>-52.673503219847817</v>
      </c>
      <c r="X118" s="1">
        <f>'Touch 1 1'!X118-'Touch 1 1'!$AA118-('Touch 1 1'!X$2- 12.5)*'Touch 1 1'!$AC118</f>
        <v>-14.57773162895046</v>
      </c>
      <c r="Y118" s="1">
        <f>'Touch 1 1'!Y118-'Touch 1 1'!$AA118-('Touch 1 1'!Y$2- 12.5)*'Touch 1 1'!$AC118</f>
        <v>13.51803996194667</v>
      </c>
      <c r="AB118" s="1">
        <f>STDEV(B118:Y118)</f>
        <v>44.261477401793854</v>
      </c>
      <c r="AD118" s="11">
        <v>4</v>
      </c>
      <c r="AE118" s="11">
        <v>7</v>
      </c>
      <c r="AF118" s="11">
        <v>3</v>
      </c>
      <c r="AG118" s="11">
        <v>2</v>
      </c>
      <c r="AH118" s="11">
        <v>1</v>
      </c>
      <c r="AI118" s="11">
        <v>5</v>
      </c>
      <c r="AJ118" s="11">
        <v>9</v>
      </c>
      <c r="AK118" s="11" t="s">
        <v>45</v>
      </c>
      <c r="AL118" s="11">
        <v>6</v>
      </c>
      <c r="AM118" s="11" t="s">
        <v>46</v>
      </c>
      <c r="AN118" s="11">
        <v>8</v>
      </c>
      <c r="AO118" s="11" t="s">
        <v>44</v>
      </c>
      <c r="AP118" s="11">
        <v>4</v>
      </c>
      <c r="AQ118" s="11">
        <v>3</v>
      </c>
      <c r="AR118" s="11">
        <v>7</v>
      </c>
      <c r="AS118" s="11">
        <v>2</v>
      </c>
      <c r="AT118" s="11">
        <v>5</v>
      </c>
      <c r="AU118" s="11">
        <v>1</v>
      </c>
      <c r="AV118" s="11">
        <v>9</v>
      </c>
      <c r="AW118" s="11">
        <v>6</v>
      </c>
      <c r="AX118" s="11" t="s">
        <v>45</v>
      </c>
      <c r="AY118" s="11">
        <v>8</v>
      </c>
      <c r="AZ118" s="11" t="s">
        <v>46</v>
      </c>
      <c r="BA118" s="11" t="s">
        <v>44</v>
      </c>
      <c r="BB118" s="5"/>
      <c r="BC118" s="1">
        <f ca="1">OFFSET(A118,0, 5) -0</f>
        <v>49.698379734898026</v>
      </c>
      <c r="BD118" s="1">
        <f ca="1">OFFSET(A118,0, 4) -0</f>
        <v>31.602608144000897</v>
      </c>
      <c r="BE118" s="1">
        <f ca="1">OFFSET(A118,0, 3) -0</f>
        <v>63.50683655310354</v>
      </c>
      <c r="BF118" s="1">
        <f ca="1">OFFSET(A118,0, 1) -0</f>
        <v>37.315293371309053</v>
      </c>
      <c r="BG118" s="1">
        <f ca="1">OFFSET(A118,0, 6) -0</f>
        <v>-12.205848674204617</v>
      </c>
      <c r="BH118" s="1">
        <f ca="1">OFFSET(A118,0, 9) -0</f>
        <v>12.08146609848734</v>
      </c>
      <c r="BI118" s="1">
        <f ca="1">OFFSET(A118,0, 2) -0</f>
        <v>85.411064962206183</v>
      </c>
      <c r="BJ118" s="1">
        <f ca="1">OFFSET(A118,0, 11) -0</f>
        <v>8.2730092802819399</v>
      </c>
      <c r="BK118" s="1">
        <f ca="1">OFFSET(A118,0, 7) -0</f>
        <v>5.8899229166927398</v>
      </c>
      <c r="BL118" s="1">
        <f ca="1">OFFSET(A118,0, 12) -0</f>
        <v>-63.631219128820788</v>
      </c>
      <c r="BM118" s="1">
        <f ca="1">OFFSET(A118,0, 8) -0</f>
        <v>3.985694507589983</v>
      </c>
      <c r="BN118" s="1">
        <f ca="1">OFFSET(A118,0, 10) -0</f>
        <v>-29.822762310615417</v>
      </c>
      <c r="BO118" s="1">
        <f ca="1">OFFSET(A118,0, 18) -0</f>
        <v>4.9434104165629833</v>
      </c>
      <c r="BP118" s="1">
        <f ca="1">OFFSET(A118,0, 16) -0</f>
        <v>-21.248132765231617</v>
      </c>
      <c r="BQ118" s="1">
        <f ca="1">OFFSET(A118,0, 14) -0</f>
        <v>62.560324052973783</v>
      </c>
      <c r="BR118" s="1">
        <f ca="1">OFFSET(A118,0, 13) -0</f>
        <v>54.464552462076512</v>
      </c>
      <c r="BS118" s="1">
        <f ca="1">OFFSET(A118,0, 17) -0</f>
        <v>-63.15236117433426</v>
      </c>
      <c r="BT118" s="1">
        <f ca="1">OFFSET(A118,0, 20) -0</f>
        <v>-28.865046401642303</v>
      </c>
      <c r="BU118" s="1">
        <f ca="1">OFFSET(A118,0, 15) -0</f>
        <v>-49.34390435612886</v>
      </c>
      <c r="BV118" s="1">
        <f ca="1">OFFSET(A118,0, 22) -0</f>
        <v>-52.673503219847817</v>
      </c>
      <c r="BW118" s="1">
        <f ca="1">OFFSET(A118,0, 19) -0</f>
        <v>-26.96081799253966</v>
      </c>
      <c r="BX118" s="1">
        <f ca="1">OFFSET(A118,0, 24) -0</f>
        <v>13.51803996194667</v>
      </c>
      <c r="BY118" s="1">
        <f ca="1">OFFSET(A118,0, 21) -0</f>
        <v>-70.769274810745173</v>
      </c>
      <c r="BZ118" s="1">
        <f ca="1">OFFSET(A118,0, 23) -0</f>
        <v>-14.57773162895046</v>
      </c>
      <c r="CB118" s="1">
        <f>COUNTIF(B118,"&lt;-75")</f>
        <v>0</v>
      </c>
      <c r="CC118" s="1">
        <f ca="1">COUNTIF(BC118:BN118,"&lt;-53")</f>
        <v>1</v>
      </c>
      <c r="CD118" s="1">
        <f ca="1">COUNTIF(BC118:BN118,"&gt;+53")</f>
        <v>2</v>
      </c>
      <c r="CE118" s="1">
        <f ca="1">COUNTIF(BO118:BZ118,"&lt;-53")</f>
        <v>2</v>
      </c>
      <c r="CF118" s="1">
        <f ca="1">COUNTIF(BO118:BZ118,"&gt;+53")</f>
        <v>2</v>
      </c>
    </row>
    <row r="119" spans="1:84">
      <c r="A119" s="1">
        <v>116</v>
      </c>
      <c r="B119" s="1">
        <f>'Touch 1 1'!B119-'Touch 1 1'!$AA119-('Touch 1 1'!B$2- 12.5)*'Touch 1 1'!$AC119</f>
        <v>20.382056677648961</v>
      </c>
      <c r="C119" s="1">
        <f>'Touch 1 1'!C119-'Touch 1 1'!$AA119-('Touch 1 1'!C$2- 12.5)*'Touch 1 1'!$AC119</f>
        <v>67.993761894081672</v>
      </c>
      <c r="D119" s="1">
        <f>'Touch 1 1'!D119-'Touch 1 1'!$AA119-('Touch 1 1'!D$2- 12.5)*'Touch 1 1'!$AC119</f>
        <v>35.60546711051461</v>
      </c>
      <c r="E119" s="1">
        <f>'Touch 1 1'!E119-'Touch 1 1'!$AA119-('Touch 1 1'!E$2- 12.5)*'Touch 1 1'!$AC119</f>
        <v>43.217172326947548</v>
      </c>
      <c r="F119" s="1">
        <f>'Touch 1 1'!F119-'Touch 1 1'!$AA119-('Touch 1 1'!F$2- 12.5)*'Touch 1 1'!$AC119</f>
        <v>10.828877543380713</v>
      </c>
      <c r="G119" s="1">
        <f>'Touch 1 1'!G119-'Touch 1 1'!$AA119-('Touch 1 1'!G$2- 12.5)*'Touch 1 1'!$AC119</f>
        <v>8.4405827598136511</v>
      </c>
      <c r="H119" s="1">
        <f>'Touch 1 1'!H119-'Touch 1 1'!$AA119-('Touch 1 1'!H$2- 12.5)*'Touch 1 1'!$AC119</f>
        <v>46.052287976246589</v>
      </c>
      <c r="I119" s="1">
        <f>'Touch 1 1'!I119-'Touch 1 1'!$AA119-('Touch 1 1'!I$2- 12.5)*'Touch 1 1'!$AC119</f>
        <v>-56.336006807320473</v>
      </c>
      <c r="J119" s="1">
        <f>'Touch 1 1'!J119-'Touch 1 1'!$AA119-('Touch 1 1'!J$2- 12.5)*'Touch 1 1'!$AC119</f>
        <v>-18.724301590887535</v>
      </c>
      <c r="K119" s="1">
        <f>'Touch 1 1'!K119-'Touch 1 1'!$AA119-('Touch 1 1'!K$2- 12.5)*'Touch 1 1'!$AC119</f>
        <v>-21.112596374454597</v>
      </c>
      <c r="L119" s="1">
        <f>'Touch 1 1'!L119-'Touch 1 1'!$AA119-('Touch 1 1'!L$2- 12.5)*'Touch 1 1'!$AC119</f>
        <v>6.4991088419783978</v>
      </c>
      <c r="M119" s="1">
        <f>'Touch 1 1'!M119-'Touch 1 1'!$AA119-('Touch 1 1'!M$2- 12.5)*'Touch 1 1'!$AC119</f>
        <v>-45.889185941588622</v>
      </c>
      <c r="N119" s="1">
        <f>'Touch 1 1'!N119-'Touch 1 1'!$AA119-('Touch 1 1'!N$2- 12.5)*'Touch 1 1'!$AC119</f>
        <v>31.722519274844345</v>
      </c>
      <c r="O119" s="1">
        <f>'Touch 1 1'!O119-'Touch 1 1'!$AA119-('Touch 1 1'!O$2- 12.5)*'Touch 1 1'!$AC119</f>
        <v>29.334224491277325</v>
      </c>
      <c r="P119" s="1">
        <f>'Touch 1 1'!P119-'Touch 1 1'!$AA119-('Touch 1 1'!P$2- 12.5)*'Touch 1 1'!$AC119</f>
        <v>16.94592970771032</v>
      </c>
      <c r="Q119" s="1">
        <f>'Touch 1 1'!Q119-'Touch 1 1'!$AA119-('Touch 1 1'!Q$2- 12.5)*'Touch 1 1'!$AC119</f>
        <v>54.557634924143258</v>
      </c>
      <c r="R119" s="1">
        <f>'Touch 1 1'!R119-'Touch 1 1'!$AA119-('Touch 1 1'!R$2- 12.5)*'Touch 1 1'!$AC119</f>
        <v>-37.830659859423804</v>
      </c>
      <c r="S119" s="1">
        <f>'Touch 1 1'!S119-'Touch 1 1'!$AA119-('Touch 1 1'!S$2- 12.5)*'Touch 1 1'!$AC119</f>
        <v>-70.218954642990866</v>
      </c>
      <c r="T119" s="1">
        <f>'Touch 1 1'!T119-'Touch 1 1'!$AA119-('Touch 1 1'!T$2- 12.5)*'Touch 1 1'!$AC119</f>
        <v>-2.607249426557928</v>
      </c>
      <c r="U119" s="1">
        <f>'Touch 1 1'!U119-'Touch 1 1'!$AA119-('Touch 1 1'!U$2- 12.5)*'Touch 1 1'!$AC119</f>
        <v>5.0044557898750099</v>
      </c>
      <c r="V119" s="1">
        <f>'Touch 1 1'!V119-'Touch 1 1'!$AA119-('Touch 1 1'!V$2- 12.5)*'Touch 1 1'!$AC119</f>
        <v>-57.383838993691825</v>
      </c>
      <c r="W119" s="1">
        <f>'Touch 1 1'!W119-'Touch 1 1'!$AA119-('Touch 1 1'!W$2- 12.5)*'Touch 1 1'!$AC119</f>
        <v>-9.7721337772588868</v>
      </c>
      <c r="X119" s="1">
        <f>'Touch 1 1'!X119-'Touch 1 1'!$AA119-('Touch 1 1'!X$2- 12.5)*'Touch 1 1'!$AC119</f>
        <v>-52.160428560825949</v>
      </c>
      <c r="Y119" s="1">
        <f>'Touch 1 1'!Y119-'Touch 1 1'!$AA119-('Touch 1 1'!Y$2- 12.5)*'Touch 1 1'!$AC119</f>
        <v>-4.5487233443932382</v>
      </c>
      <c r="AB119" s="1">
        <f>STDEV(B119:Y119)</f>
        <v>38.592371180977999</v>
      </c>
      <c r="AD119" s="11">
        <v>3</v>
      </c>
      <c r="AE119" s="11">
        <v>4</v>
      </c>
      <c r="AF119" s="11">
        <v>2</v>
      </c>
      <c r="AG119" s="11">
        <v>7</v>
      </c>
      <c r="AH119" s="11">
        <v>1</v>
      </c>
      <c r="AI119" s="11">
        <v>5</v>
      </c>
      <c r="AJ119" s="11">
        <v>6</v>
      </c>
      <c r="AK119" s="11">
        <v>9</v>
      </c>
      <c r="AL119" s="11">
        <v>8</v>
      </c>
      <c r="AM119" s="11" t="s">
        <v>45</v>
      </c>
      <c r="AN119" s="11" t="s">
        <v>44</v>
      </c>
      <c r="AO119" s="11" t="s">
        <v>46</v>
      </c>
      <c r="AP119" s="11">
        <v>4</v>
      </c>
      <c r="AQ119" s="11">
        <v>3</v>
      </c>
      <c r="AR119" s="11">
        <v>2</v>
      </c>
      <c r="AS119" s="11">
        <v>1</v>
      </c>
      <c r="AT119" s="11">
        <v>7</v>
      </c>
      <c r="AU119" s="11">
        <v>5</v>
      </c>
      <c r="AV119" s="11">
        <v>9</v>
      </c>
      <c r="AW119" s="11">
        <v>6</v>
      </c>
      <c r="AX119" s="11" t="s">
        <v>45</v>
      </c>
      <c r="AY119" s="11">
        <v>8</v>
      </c>
      <c r="AZ119" s="11" t="s">
        <v>46</v>
      </c>
      <c r="BA119" s="11" t="s">
        <v>44</v>
      </c>
      <c r="BB119" s="5"/>
      <c r="BC119" s="1">
        <f ca="1">OFFSET(A119,0, 5) -0</f>
        <v>10.828877543380713</v>
      </c>
      <c r="BD119" s="1">
        <f ca="1">OFFSET(A119,0, 3) -0</f>
        <v>35.60546711051461</v>
      </c>
      <c r="BE119" s="1">
        <f ca="1">OFFSET(A119,0, 1) -0</f>
        <v>20.382056677648961</v>
      </c>
      <c r="BF119" s="1">
        <f ca="1">OFFSET(A119,0, 2) -0</f>
        <v>67.993761894081672</v>
      </c>
      <c r="BG119" s="1">
        <f ca="1">OFFSET(A119,0, 6) -0</f>
        <v>8.4405827598136511</v>
      </c>
      <c r="BH119" s="1">
        <f ca="1">OFFSET(A119,0, 7) -0</f>
        <v>46.052287976246589</v>
      </c>
      <c r="BI119" s="1">
        <f ca="1">OFFSET(A119,0, 4) -0</f>
        <v>43.217172326947548</v>
      </c>
      <c r="BJ119" s="1">
        <f ca="1">OFFSET(A119,0, 9) -0</f>
        <v>-18.724301590887535</v>
      </c>
      <c r="BK119" s="1">
        <f ca="1">OFFSET(A119,0, 8) -0</f>
        <v>-56.336006807320473</v>
      </c>
      <c r="BL119" s="1">
        <f ca="1">OFFSET(A119,0, 11) -0</f>
        <v>6.4991088419783978</v>
      </c>
      <c r="BM119" s="1">
        <f ca="1">OFFSET(A119,0, 10) -0</f>
        <v>-21.112596374454597</v>
      </c>
      <c r="BN119" s="1">
        <f ca="1">OFFSET(A119,0, 12) -0</f>
        <v>-45.889185941588622</v>
      </c>
      <c r="BO119" s="1">
        <f ca="1">OFFSET(A119,0, 16) -0</f>
        <v>54.557634924143258</v>
      </c>
      <c r="BP119" s="1">
        <f ca="1">OFFSET(A119,0, 15) -0</f>
        <v>16.94592970771032</v>
      </c>
      <c r="BQ119" s="1">
        <f ca="1">OFFSET(A119,0, 14) -0</f>
        <v>29.334224491277325</v>
      </c>
      <c r="BR119" s="1">
        <f ca="1">OFFSET(A119,0, 13) -0</f>
        <v>31.722519274844345</v>
      </c>
      <c r="BS119" s="1">
        <f ca="1">OFFSET(A119,0, 18) -0</f>
        <v>-70.218954642990866</v>
      </c>
      <c r="BT119" s="1">
        <f ca="1">OFFSET(A119,0, 20) -0</f>
        <v>5.0044557898750099</v>
      </c>
      <c r="BU119" s="1">
        <f ca="1">OFFSET(A119,0, 17) -0</f>
        <v>-37.830659859423804</v>
      </c>
      <c r="BV119" s="1">
        <f ca="1">OFFSET(A119,0, 22) -0</f>
        <v>-9.7721337772588868</v>
      </c>
      <c r="BW119" s="1">
        <f ca="1">OFFSET(A119,0, 19) -0</f>
        <v>-2.607249426557928</v>
      </c>
      <c r="BX119" s="1">
        <f ca="1">OFFSET(A119,0, 24) -0</f>
        <v>-4.5487233443932382</v>
      </c>
      <c r="BY119" s="1">
        <f ca="1">OFFSET(A119,0, 21) -0</f>
        <v>-57.383838993691825</v>
      </c>
      <c r="BZ119" s="1">
        <f ca="1">OFFSET(A119,0, 23) -0</f>
        <v>-52.160428560825949</v>
      </c>
      <c r="CB119" s="1">
        <f>COUNTIF(B119,"&lt;-75")</f>
        <v>0</v>
      </c>
      <c r="CC119" s="1">
        <f ca="1">COUNTIF(BC119:BN119,"&lt;-53")</f>
        <v>1</v>
      </c>
      <c r="CD119" s="1">
        <f ca="1">COUNTIF(BC119:BN119,"&gt;+53")</f>
        <v>1</v>
      </c>
      <c r="CE119" s="1">
        <f ca="1">COUNTIF(BO119:BZ119,"&lt;-53")</f>
        <v>2</v>
      </c>
      <c r="CF119" s="1">
        <f ca="1">COUNTIF(BO119:BZ119,"&gt;+53")</f>
        <v>1</v>
      </c>
    </row>
    <row r="120" spans="1:84">
      <c r="A120" s="1">
        <v>117</v>
      </c>
      <c r="B120" s="1">
        <f>'Touch 1 1'!B120-'Touch 1 1'!$AA120-('Touch 1 1'!B$2- 12.5)*'Touch 1 1'!$AC120</f>
        <v>11.372318220637226</v>
      </c>
      <c r="C120" s="1">
        <f>'Touch 1 1'!C120-'Touch 1 1'!$AA120-('Touch 1 1'!C$2- 12.5)*'Touch 1 1'!$AC120</f>
        <v>38.825449969570855</v>
      </c>
      <c r="D120" s="1">
        <f>'Touch 1 1'!D120-'Touch 1 1'!$AA120-('Touch 1 1'!D$2- 12.5)*'Touch 1 1'!$AC120</f>
        <v>26.278581718504256</v>
      </c>
      <c r="E120" s="1">
        <f>'Touch 1 1'!E120-'Touch 1 1'!$AA120-('Touch 1 1'!E$2- 12.5)*'Touch 1 1'!$AC120</f>
        <v>43.731713467437658</v>
      </c>
      <c r="F120" s="1">
        <f>'Touch 1 1'!F120-'Touch 1 1'!$AA120-('Touch 1 1'!F$2- 12.5)*'Touch 1 1'!$AC120</f>
        <v>1.1848452163712864</v>
      </c>
      <c r="G120" s="1">
        <f>'Touch 1 1'!G120-'Touch 1 1'!$AA120-('Touch 1 1'!G$2- 12.5)*'Touch 1 1'!$AC120</f>
        <v>-11.362023034695312</v>
      </c>
      <c r="H120" s="1">
        <f>'Touch 1 1'!H120-'Touch 1 1'!$AA120-('Touch 1 1'!H$2- 12.5)*'Touch 1 1'!$AC120</f>
        <v>-43.908891285761911</v>
      </c>
      <c r="I120" s="1">
        <f>'Touch 1 1'!I120-'Touch 1 1'!$AA120-('Touch 1 1'!I$2- 12.5)*'Touch 1 1'!$AC120</f>
        <v>-26.455759536828396</v>
      </c>
      <c r="J120" s="1">
        <f>'Touch 1 1'!J120-'Touch 1 1'!$AA120-('Touch 1 1'!J$2- 12.5)*'Touch 1 1'!$AC120</f>
        <v>10.997372212105006</v>
      </c>
      <c r="K120" s="1">
        <f>'Touch 1 1'!K120-'Touch 1 1'!$AA120-('Touch 1 1'!K$2- 12.5)*'Touch 1 1'!$AC120</f>
        <v>78.450503961038521</v>
      </c>
      <c r="L120" s="1">
        <f>'Touch 1 1'!L120-'Touch 1 1'!$AA120-('Touch 1 1'!L$2- 12.5)*'Touch 1 1'!$AC120</f>
        <v>-14.096364290028077</v>
      </c>
      <c r="M120" s="1">
        <f>'Touch 1 1'!M120-'Touch 1 1'!$AA120-('Touch 1 1'!M$2- 12.5)*'Touch 1 1'!$AC120</f>
        <v>-26.643232541094591</v>
      </c>
      <c r="N120" s="1">
        <f>'Touch 1 1'!N120-'Touch 1 1'!$AA120-('Touch 1 1'!N$2- 12.5)*'Touch 1 1'!$AC120</f>
        <v>-49.190100792161132</v>
      </c>
      <c r="O120" s="1">
        <f>'Touch 1 1'!O120-'Touch 1 1'!$AA120-('Touch 1 1'!O$2- 12.5)*'Touch 1 1'!$AC120</f>
        <v>28.263030956772354</v>
      </c>
      <c r="P120" s="1">
        <f>'Touch 1 1'!P120-'Touch 1 1'!$AA120-('Touch 1 1'!P$2- 12.5)*'Touch 1 1'!$AC120</f>
        <v>-54.283837294294244</v>
      </c>
      <c r="Q120" s="1">
        <f>'Touch 1 1'!Q120-'Touch 1 1'!$AA120-('Touch 1 1'!Q$2- 12.5)*'Touch 1 1'!$AC120</f>
        <v>3.169294454639271</v>
      </c>
      <c r="R120" s="1">
        <f>'Touch 1 1'!R120-'Touch 1 1'!$AA120-('Touch 1 1'!R$2- 12.5)*'Touch 1 1'!$AC120</f>
        <v>-9.3775737964273276</v>
      </c>
      <c r="S120" s="1">
        <f>'Touch 1 1'!S120-'Touch 1 1'!$AA120-('Touch 1 1'!S$2- 12.5)*'Touch 1 1'!$AC120</f>
        <v>-1.9244420474938124</v>
      </c>
      <c r="T120" s="1">
        <f>'Touch 1 1'!T120-'Touch 1 1'!$AA120-('Touch 1 1'!T$2- 12.5)*'Touch 1 1'!$AC120</f>
        <v>-34.471310298560411</v>
      </c>
      <c r="U120" s="1">
        <f>'Touch 1 1'!U120-'Touch 1 1'!$AA120-('Touch 1 1'!U$2- 12.5)*'Touch 1 1'!$AC120</f>
        <v>2.9818214503729905</v>
      </c>
      <c r="V120" s="1">
        <f>'Touch 1 1'!V120-'Touch 1 1'!$AA120-('Touch 1 1'!V$2- 12.5)*'Touch 1 1'!$AC120</f>
        <v>-39.565046800693381</v>
      </c>
      <c r="W120" s="1">
        <f>'Touch 1 1'!W120-'Touch 1 1'!$AA120-('Touch 1 1'!W$2- 12.5)*'Touch 1 1'!$AC120</f>
        <v>-22.111915051759979</v>
      </c>
      <c r="X120" s="1">
        <f>'Touch 1 1'!X120-'Touch 1 1'!$AA120-('Touch 1 1'!X$2- 12.5)*'Touch 1 1'!$AC120</f>
        <v>65.341216697173422</v>
      </c>
      <c r="Y120" s="1">
        <f>'Touch 1 1'!Y120-'Touch 1 1'!$AA120-('Touch 1 1'!Y$2- 12.5)*'Touch 1 1'!$AC120</f>
        <v>22.794348446107051</v>
      </c>
      <c r="AB120" s="1">
        <f>STDEV(B120:Y120)</f>
        <v>35.194860125621155</v>
      </c>
      <c r="AD120" s="11">
        <v>3</v>
      </c>
      <c r="AE120" s="11">
        <v>4</v>
      </c>
      <c r="AF120" s="11">
        <v>1</v>
      </c>
      <c r="AG120" s="11">
        <v>2</v>
      </c>
      <c r="AH120" s="11">
        <v>5</v>
      </c>
      <c r="AI120" s="11">
        <v>7</v>
      </c>
      <c r="AJ120" s="11">
        <v>6</v>
      </c>
      <c r="AK120" s="11">
        <v>9</v>
      </c>
      <c r="AL120" s="11">
        <v>8</v>
      </c>
      <c r="AM120" s="11" t="s">
        <v>45</v>
      </c>
      <c r="AN120" s="11" t="s">
        <v>44</v>
      </c>
      <c r="AO120" s="11" t="s">
        <v>46</v>
      </c>
      <c r="AP120" s="11">
        <v>3</v>
      </c>
      <c r="AQ120" s="11">
        <v>4</v>
      </c>
      <c r="AR120" s="11">
        <v>2</v>
      </c>
      <c r="AS120" s="11">
        <v>1</v>
      </c>
      <c r="AT120" s="11">
        <v>5</v>
      </c>
      <c r="AU120" s="11">
        <v>6</v>
      </c>
      <c r="AV120" s="11">
        <v>7</v>
      </c>
      <c r="AW120" s="11">
        <v>8</v>
      </c>
      <c r="AX120" s="11">
        <v>9</v>
      </c>
      <c r="AY120" s="11" t="s">
        <v>44</v>
      </c>
      <c r="AZ120" s="11" t="s">
        <v>45</v>
      </c>
      <c r="BA120" s="11" t="s">
        <v>46</v>
      </c>
      <c r="BB120" s="5"/>
      <c r="BC120" s="1">
        <f ca="1">OFFSET(A120,0, 3) -0</f>
        <v>26.278581718504256</v>
      </c>
      <c r="BD120" s="1">
        <f ca="1">OFFSET(A120,0, 4) -0</f>
        <v>43.731713467437658</v>
      </c>
      <c r="BE120" s="1">
        <f ca="1">OFFSET(A120,0, 1) -0</f>
        <v>11.372318220637226</v>
      </c>
      <c r="BF120" s="1">
        <f ca="1">OFFSET(A120,0, 2) -0</f>
        <v>38.825449969570855</v>
      </c>
      <c r="BG120" s="1">
        <f ca="1">OFFSET(A120,0, 5) -0</f>
        <v>1.1848452163712864</v>
      </c>
      <c r="BH120" s="1">
        <f ca="1">OFFSET(A120,0, 7) -0</f>
        <v>-43.908891285761911</v>
      </c>
      <c r="BI120" s="1">
        <f ca="1">OFFSET(A120,0, 6) -0</f>
        <v>-11.362023034695312</v>
      </c>
      <c r="BJ120" s="1">
        <f ca="1">OFFSET(A120,0, 9) -0</f>
        <v>10.997372212105006</v>
      </c>
      <c r="BK120" s="1">
        <f ca="1">OFFSET(A120,0, 8) -0</f>
        <v>-26.455759536828396</v>
      </c>
      <c r="BL120" s="1">
        <f ca="1">OFFSET(A120,0, 11) -0</f>
        <v>-14.096364290028077</v>
      </c>
      <c r="BM120" s="1">
        <f ca="1">OFFSET(A120,0, 10) -0</f>
        <v>78.450503961038521</v>
      </c>
      <c r="BN120" s="1">
        <f ca="1">OFFSET(A120,0, 12) -0</f>
        <v>-26.643232541094591</v>
      </c>
      <c r="BO120" s="1">
        <f ca="1">OFFSET(A120,0, 16) -0</f>
        <v>3.169294454639271</v>
      </c>
      <c r="BP120" s="1">
        <f ca="1">OFFSET(A120,0, 15) -0</f>
        <v>-54.283837294294244</v>
      </c>
      <c r="BQ120" s="1">
        <f ca="1">OFFSET(A120,0, 13) -0</f>
        <v>-49.190100792161132</v>
      </c>
      <c r="BR120" s="1">
        <f ca="1">OFFSET(A120,0, 14) -0</f>
        <v>28.263030956772354</v>
      </c>
      <c r="BS120" s="1">
        <f ca="1">OFFSET(A120,0, 17) -0</f>
        <v>-9.3775737964273276</v>
      </c>
      <c r="BT120" s="1">
        <f ca="1">OFFSET(A120,0, 18) -0</f>
        <v>-1.9244420474938124</v>
      </c>
      <c r="BU120" s="1">
        <f ca="1">OFFSET(A120,0, 19) -0</f>
        <v>-34.471310298560411</v>
      </c>
      <c r="BV120" s="1">
        <f ca="1">OFFSET(A120,0, 20) -0</f>
        <v>2.9818214503729905</v>
      </c>
      <c r="BW120" s="1">
        <f ca="1">OFFSET(A120,0, 21) -0</f>
        <v>-39.565046800693381</v>
      </c>
      <c r="BX120" s="1">
        <f ca="1">OFFSET(A120,0, 22) -0</f>
        <v>-22.111915051759979</v>
      </c>
      <c r="BY120" s="1">
        <f ca="1">OFFSET(A120,0, 23) -0</f>
        <v>65.341216697173422</v>
      </c>
      <c r="BZ120" s="1">
        <f ca="1">OFFSET(A120,0, 24) -0</f>
        <v>22.794348446107051</v>
      </c>
      <c r="CB120" s="1">
        <f>COUNTIF(B120,"&lt;-75")</f>
        <v>0</v>
      </c>
      <c r="CC120" s="1">
        <f ca="1">COUNTIF(BC120:BN120,"&lt;-53")</f>
        <v>0</v>
      </c>
      <c r="CD120" s="1">
        <f ca="1">COUNTIF(BC120:BN120,"&gt;+53")</f>
        <v>1</v>
      </c>
      <c r="CE120" s="1">
        <f ca="1">COUNTIF(BO120:BZ120,"&lt;-53")</f>
        <v>1</v>
      </c>
      <c r="CF120" s="1">
        <f ca="1">COUNTIF(BO120:BZ120,"&gt;+53")</f>
        <v>1</v>
      </c>
    </row>
    <row r="121" spans="1:84">
      <c r="A121" s="1">
        <v>118</v>
      </c>
      <c r="B121" s="1">
        <f>'Touch 1 1'!B121-'Touch 1 1'!$AA121-('Touch 1 1'!B$2- 12.5)*'Touch 1 1'!$AC121</f>
        <v>31.531523620069493</v>
      </c>
      <c r="C121" s="1">
        <f>'Touch 1 1'!C121-'Touch 1 1'!$AA121-('Touch 1 1'!C$2- 12.5)*'Touch 1 1'!$AC121</f>
        <v>48.934579537161881</v>
      </c>
      <c r="D121" s="1">
        <f>'Touch 1 1'!D121-'Touch 1 1'!$AA121-('Touch 1 1'!D$2- 12.5)*'Touch 1 1'!$AC121</f>
        <v>-3.6623645457464136</v>
      </c>
      <c r="E121" s="1">
        <f>'Touch 1 1'!E121-'Touch 1 1'!$AA121-('Touch 1 1'!E$2- 12.5)*'Touch 1 1'!$AC121</f>
        <v>-46.259308628654253</v>
      </c>
      <c r="F121" s="1">
        <f>'Touch 1 1'!F121-'Touch 1 1'!$AA121-('Touch 1 1'!F$2- 12.5)*'Touch 1 1'!$AC121</f>
        <v>-38.85625271156232</v>
      </c>
      <c r="G121" s="1">
        <f>'Touch 1 1'!G121-'Touch 1 1'!$AA121-('Touch 1 1'!G$2- 12.5)*'Touch 1 1'!$AC121</f>
        <v>-51.453196794470159</v>
      </c>
      <c r="H121" s="1">
        <f>'Touch 1 1'!H121-'Touch 1 1'!$AA121-('Touch 1 1'!H$2- 12.5)*'Touch 1 1'!$AC121</f>
        <v>35.949859122621774</v>
      </c>
      <c r="I121" s="1">
        <f>'Touch 1 1'!I121-'Touch 1 1'!$AA121-('Touch 1 1'!I$2- 12.5)*'Touch 1 1'!$AC121</f>
        <v>93.352915039713821</v>
      </c>
      <c r="J121" s="1">
        <f>'Touch 1 1'!J121-'Touch 1 1'!$AA121-('Touch 1 1'!J$2- 12.5)*'Touch 1 1'!$AC121</f>
        <v>10.755970956805754</v>
      </c>
      <c r="K121" s="1">
        <f>'Touch 1 1'!K121-'Touch 1 1'!$AA121-('Touch 1 1'!K$2- 12.5)*'Touch 1 1'!$AC121</f>
        <v>-61.840973126102199</v>
      </c>
      <c r="L121" s="1">
        <f>'Touch 1 1'!L121-'Touch 1 1'!$AA121-('Touch 1 1'!L$2- 12.5)*'Touch 1 1'!$AC121</f>
        <v>-24.437917209010152</v>
      </c>
      <c r="M121" s="1">
        <f>'Touch 1 1'!M121-'Touch 1 1'!$AA121-('Touch 1 1'!M$2- 12.5)*'Touch 1 1'!$AC121</f>
        <v>42.965138708081852</v>
      </c>
      <c r="N121" s="1">
        <f>'Touch 1 1'!N121-'Touch 1 1'!$AA121-('Touch 1 1'!N$2- 12.5)*'Touch 1 1'!$AC121</f>
        <v>20.368194625173871</v>
      </c>
      <c r="O121" s="1">
        <f>'Touch 1 1'!O121-'Touch 1 1'!$AA121-('Touch 1 1'!O$2- 12.5)*'Touch 1 1'!$AC121</f>
        <v>7.7712505422658751</v>
      </c>
      <c r="P121" s="1">
        <f>'Touch 1 1'!P121-'Touch 1 1'!$AA121-('Touch 1 1'!P$2- 12.5)*'Touch 1 1'!$AC121</f>
        <v>55.174306459357922</v>
      </c>
      <c r="Q121" s="1">
        <f>'Touch 1 1'!Q121-'Touch 1 1'!$AA121-('Touch 1 1'!Q$2- 12.5)*'Touch 1 1'!$AC121</f>
        <v>22.577362376449969</v>
      </c>
      <c r="R121" s="1">
        <f>'Touch 1 1'!R121-'Touch 1 1'!$AA121-('Touch 1 1'!R$2- 12.5)*'Touch 1 1'!$AC121</f>
        <v>39.980418293541902</v>
      </c>
      <c r="S121" s="1">
        <f>'Touch 1 1'!S121-'Touch 1 1'!$AA121-('Touch 1 1'!S$2- 12.5)*'Touch 1 1'!$AC121</f>
        <v>27.383474210633949</v>
      </c>
      <c r="T121" s="1">
        <f>'Touch 1 1'!T121-'Touch 1 1'!$AA121-('Touch 1 1'!T$2- 12.5)*'Touch 1 1'!$AC121</f>
        <v>-15.213469872274118</v>
      </c>
      <c r="U121" s="1">
        <f>'Touch 1 1'!U121-'Touch 1 1'!$AA121-('Touch 1 1'!U$2- 12.5)*'Touch 1 1'!$AC121</f>
        <v>-7.8104139551819571</v>
      </c>
      <c r="V121" s="1">
        <f>'Touch 1 1'!V121-'Touch 1 1'!$AA121-('Touch 1 1'!V$2- 12.5)*'Touch 1 1'!$AC121</f>
        <v>-30.407358038090024</v>
      </c>
      <c r="W121" s="1">
        <f>'Touch 1 1'!W121-'Touch 1 1'!$AA121-('Touch 1 1'!W$2- 12.5)*'Touch 1 1'!$AC121</f>
        <v>-13.004302120997863</v>
      </c>
      <c r="X121" s="1">
        <f>'Touch 1 1'!X121-'Touch 1 1'!$AA121-('Touch 1 1'!X$2- 12.5)*'Touch 1 1'!$AC121</f>
        <v>-75.601246203906157</v>
      </c>
      <c r="Y121" s="1">
        <f>'Touch 1 1'!Y121-'Touch 1 1'!$AA121-('Touch 1 1'!Y$2- 12.5)*'Touch 1 1'!$AC121</f>
        <v>-68.198190286813769</v>
      </c>
      <c r="AB121" s="1">
        <f>STDEV(B121:Y121)</f>
        <v>43.847550157718999</v>
      </c>
      <c r="AD121" s="11">
        <v>4</v>
      </c>
      <c r="AE121" s="11">
        <v>3</v>
      </c>
      <c r="AF121" s="11">
        <v>1</v>
      </c>
      <c r="AG121" s="11">
        <v>2</v>
      </c>
      <c r="AH121" s="11">
        <v>6</v>
      </c>
      <c r="AI121" s="11">
        <v>5</v>
      </c>
      <c r="AJ121" s="11">
        <v>8</v>
      </c>
      <c r="AK121" s="11">
        <v>7</v>
      </c>
      <c r="AL121" s="11" t="s">
        <v>44</v>
      </c>
      <c r="AM121" s="11">
        <v>9</v>
      </c>
      <c r="AN121" s="11" t="s">
        <v>46</v>
      </c>
      <c r="AO121" s="11" t="s">
        <v>45</v>
      </c>
      <c r="AP121" s="11">
        <v>4</v>
      </c>
      <c r="AQ121" s="11">
        <v>1</v>
      </c>
      <c r="AR121" s="11">
        <v>3</v>
      </c>
      <c r="AS121" s="11">
        <v>2</v>
      </c>
      <c r="AT121" s="11">
        <v>5</v>
      </c>
      <c r="AU121" s="11">
        <v>6</v>
      </c>
      <c r="AV121" s="11">
        <v>7</v>
      </c>
      <c r="AW121" s="11">
        <v>8</v>
      </c>
      <c r="AX121" s="11">
        <v>9</v>
      </c>
      <c r="AY121" s="11" t="s">
        <v>44</v>
      </c>
      <c r="AZ121" s="11" t="s">
        <v>45</v>
      </c>
      <c r="BA121" s="11" t="s">
        <v>46</v>
      </c>
      <c r="BB121" s="5"/>
      <c r="BC121" s="1">
        <f ca="1">OFFSET(A121,0, 3) -0</f>
        <v>-3.6623645457464136</v>
      </c>
      <c r="BD121" s="1">
        <f ca="1">OFFSET(A121,0, 4) -0</f>
        <v>-46.259308628654253</v>
      </c>
      <c r="BE121" s="1">
        <f ca="1">OFFSET(A121,0, 2) -0</f>
        <v>48.934579537161881</v>
      </c>
      <c r="BF121" s="1">
        <f ca="1">OFFSET(A121,0, 1) -0</f>
        <v>31.531523620069493</v>
      </c>
      <c r="BG121" s="1">
        <f ca="1">OFFSET(A121,0, 6) -0</f>
        <v>-51.453196794470159</v>
      </c>
      <c r="BH121" s="1">
        <f ca="1">OFFSET(A121,0, 5) -0</f>
        <v>-38.85625271156232</v>
      </c>
      <c r="BI121" s="1">
        <f ca="1">OFFSET(A121,0, 8) -0</f>
        <v>93.352915039713821</v>
      </c>
      <c r="BJ121" s="1">
        <f ca="1">OFFSET(A121,0, 7) -0</f>
        <v>35.949859122621774</v>
      </c>
      <c r="BK121" s="1">
        <f ca="1">OFFSET(A121,0, 10) -0</f>
        <v>-61.840973126102199</v>
      </c>
      <c r="BL121" s="1">
        <f ca="1">OFFSET(A121,0, 9) -0</f>
        <v>10.755970956805754</v>
      </c>
      <c r="BM121" s="1">
        <f ca="1">OFFSET(A121,0, 12) -0</f>
        <v>42.965138708081852</v>
      </c>
      <c r="BN121" s="1">
        <f ca="1">OFFSET(A121,0, 11) -0</f>
        <v>-24.437917209010152</v>
      </c>
      <c r="BO121" s="1">
        <f ca="1">OFFSET(A121,0, 14) -0</f>
        <v>7.7712505422658751</v>
      </c>
      <c r="BP121" s="1">
        <f ca="1">OFFSET(A121,0, 16) -0</f>
        <v>22.577362376449969</v>
      </c>
      <c r="BQ121" s="1">
        <f ca="1">OFFSET(A121,0, 15) -0</f>
        <v>55.174306459357922</v>
      </c>
      <c r="BR121" s="1">
        <f ca="1">OFFSET(A121,0, 13) -0</f>
        <v>20.368194625173871</v>
      </c>
      <c r="BS121" s="1">
        <f ca="1">OFFSET(A121,0, 17) -0</f>
        <v>39.980418293541902</v>
      </c>
      <c r="BT121" s="1">
        <f ca="1">OFFSET(A121,0, 18) -0</f>
        <v>27.383474210633949</v>
      </c>
      <c r="BU121" s="1">
        <f ca="1">OFFSET(A121,0, 19) -0</f>
        <v>-15.213469872274118</v>
      </c>
      <c r="BV121" s="1">
        <f ca="1">OFFSET(A121,0, 20) -0</f>
        <v>-7.8104139551819571</v>
      </c>
      <c r="BW121" s="1">
        <f ca="1">OFFSET(A121,0, 21) -0</f>
        <v>-30.407358038090024</v>
      </c>
      <c r="BX121" s="1">
        <f ca="1">OFFSET(A121,0, 22) -0</f>
        <v>-13.004302120997863</v>
      </c>
      <c r="BY121" s="1">
        <f ca="1">OFFSET(A121,0, 23) -0</f>
        <v>-75.601246203906157</v>
      </c>
      <c r="BZ121" s="1">
        <f ca="1">OFFSET(A121,0, 24) -0</f>
        <v>-68.198190286813769</v>
      </c>
      <c r="CB121" s="1">
        <f>COUNTIF(B121,"&lt;-75")</f>
        <v>0</v>
      </c>
      <c r="CC121" s="1">
        <f ca="1">COUNTIF(BC121:BN121,"&lt;-53")</f>
        <v>1</v>
      </c>
      <c r="CD121" s="1">
        <f ca="1">COUNTIF(BC121:BN121,"&gt;+53")</f>
        <v>1</v>
      </c>
      <c r="CE121" s="1">
        <f ca="1">COUNTIF(BO121:BZ121,"&lt;-53")</f>
        <v>2</v>
      </c>
      <c r="CF121" s="1">
        <f ca="1">COUNTIF(BO121:BZ121,"&gt;+53")</f>
        <v>1</v>
      </c>
    </row>
    <row r="122" spans="1:84">
      <c r="A122" s="1">
        <v>119</v>
      </c>
      <c r="B122" s="1">
        <f>'Touch 1 1'!B122-'Touch 1 1'!$AA122-('Touch 1 1'!B$2- 12.5)*'Touch 1 1'!$AC122</f>
        <v>47.430360865236253</v>
      </c>
      <c r="C122" s="1">
        <f>'Touch 1 1'!C122-'Touch 1 1'!$AA122-('Touch 1 1'!C$2- 12.5)*'Touch 1 1'!$AC122</f>
        <v>144.90018455811742</v>
      </c>
      <c r="D122" s="1">
        <f>'Touch 1 1'!D122-'Touch 1 1'!$AA122-('Touch 1 1'!D$2- 12.5)*'Touch 1 1'!$AC122</f>
        <v>62.370008250999035</v>
      </c>
      <c r="E122" s="1">
        <f>'Touch 1 1'!E122-'Touch 1 1'!$AA122-('Touch 1 1'!E$2- 12.5)*'Touch 1 1'!$AC122</f>
        <v>69.839831943880199</v>
      </c>
      <c r="F122" s="1">
        <f>'Touch 1 1'!F122-'Touch 1 1'!$AA122-('Touch 1 1'!F$2- 12.5)*'Touch 1 1'!$AC122</f>
        <v>17.309655636761818</v>
      </c>
      <c r="G122" s="1">
        <f>'Touch 1 1'!G122-'Touch 1 1'!$AA122-('Touch 1 1'!G$2- 12.5)*'Touch 1 1'!$AC122</f>
        <v>-25.220520670357018</v>
      </c>
      <c r="H122" s="1">
        <f>'Touch 1 1'!H122-'Touch 1 1'!$AA122-('Touch 1 1'!H$2- 12.5)*'Touch 1 1'!$AC122</f>
        <v>12.2493030225246</v>
      </c>
      <c r="I122" s="1">
        <f>'Touch 1 1'!I122-'Touch 1 1'!$AA122-('Touch 1 1'!I$2- 12.5)*'Touch 1 1'!$AC122</f>
        <v>-20.280873284594122</v>
      </c>
      <c r="J122" s="1">
        <f>'Touch 1 1'!J122-'Touch 1 1'!$AA122-('Touch 1 1'!J$2- 12.5)*'Touch 1 1'!$AC122</f>
        <v>-42.811049591712731</v>
      </c>
      <c r="K122" s="1">
        <f>'Touch 1 1'!K122-'Touch 1 1'!$AA122-('Touch 1 1'!K$2- 12.5)*'Touch 1 1'!$AC122</f>
        <v>-25.34122589883134</v>
      </c>
      <c r="L122" s="1">
        <f>'Touch 1 1'!L122-'Touch 1 1'!$AA122-('Touch 1 1'!L$2- 12.5)*'Touch 1 1'!$AC122</f>
        <v>-77.871402205949948</v>
      </c>
      <c r="M122" s="1">
        <f>'Touch 1 1'!M122-'Touch 1 1'!$AA122-('Touch 1 1'!M$2- 12.5)*'Touch 1 1'!$AC122</f>
        <v>-0.40157851306855719</v>
      </c>
      <c r="N122" s="1">
        <f>'Touch 1 1'!N122-'Touch 1 1'!$AA122-('Touch 1 1'!N$2- 12.5)*'Touch 1 1'!$AC122</f>
        <v>27.068245179812834</v>
      </c>
      <c r="O122" s="1">
        <f>'Touch 1 1'!O122-'Touch 1 1'!$AA122-('Touch 1 1'!O$2- 12.5)*'Touch 1 1'!$AC122</f>
        <v>44.538068872694225</v>
      </c>
      <c r="P122" s="1">
        <f>'Touch 1 1'!P122-'Touch 1 1'!$AA122-('Touch 1 1'!P$2- 12.5)*'Touch 1 1'!$AC122</f>
        <v>42.007892565575617</v>
      </c>
      <c r="Q122" s="1">
        <f>'Touch 1 1'!Q122-'Touch 1 1'!$AA122-('Touch 1 1'!Q$2- 12.5)*'Touch 1 1'!$AC122</f>
        <v>-10.522283741542992</v>
      </c>
      <c r="R122" s="1">
        <f>'Touch 1 1'!R122-'Touch 1 1'!$AA122-('Touch 1 1'!R$2- 12.5)*'Touch 1 1'!$AC122</f>
        <v>6.9475399513383991</v>
      </c>
      <c r="S122" s="1">
        <f>'Touch 1 1'!S122-'Touch 1 1'!$AA122-('Touch 1 1'!S$2- 12.5)*'Touch 1 1'!$AC122</f>
        <v>4.4173636442196766</v>
      </c>
      <c r="T122" s="1">
        <f>'Touch 1 1'!T122-'Touch 1 1'!$AA122-('Touch 1 1'!T$2- 12.5)*'Touch 1 1'!$AC122</f>
        <v>-58.112812662898705</v>
      </c>
      <c r="U122" s="1">
        <f>'Touch 1 1'!U122-'Touch 1 1'!$AA122-('Touch 1 1'!U$2- 12.5)*'Touch 1 1'!$AC122</f>
        <v>-60.642988970017541</v>
      </c>
      <c r="V122" s="1">
        <f>'Touch 1 1'!V122-'Touch 1 1'!$AA122-('Touch 1 1'!V$2- 12.5)*'Touch 1 1'!$AC122</f>
        <v>-53.173165277135922</v>
      </c>
      <c r="W122" s="1">
        <f>'Touch 1 1'!W122-'Touch 1 1'!$AA122-('Touch 1 1'!W$2- 12.5)*'Touch 1 1'!$AC122</f>
        <v>-65.703341584254758</v>
      </c>
      <c r="X122" s="1">
        <f>'Touch 1 1'!X122-'Touch 1 1'!$AA122-('Touch 1 1'!X$2- 12.5)*'Touch 1 1'!$AC122</f>
        <v>-48.23351789137314</v>
      </c>
      <c r="Y122" s="1">
        <f>'Touch 1 1'!Y122-'Touch 1 1'!$AA122-('Touch 1 1'!Y$2- 12.5)*'Touch 1 1'!$AC122</f>
        <v>9.2363058015080242</v>
      </c>
      <c r="AB122" s="1">
        <f>STDEV(B122:Y122)</f>
        <v>52.469337085135408</v>
      </c>
      <c r="AD122" s="11">
        <v>1</v>
      </c>
      <c r="AE122" s="11">
        <v>4</v>
      </c>
      <c r="AF122" s="11">
        <v>2</v>
      </c>
      <c r="AG122" s="11">
        <v>3</v>
      </c>
      <c r="AH122" s="11">
        <v>6</v>
      </c>
      <c r="AI122" s="11">
        <v>5</v>
      </c>
      <c r="AJ122" s="11">
        <v>8</v>
      </c>
      <c r="AK122" s="11">
        <v>7</v>
      </c>
      <c r="AL122" s="11" t="s">
        <v>44</v>
      </c>
      <c r="AM122" s="11">
        <v>9</v>
      </c>
      <c r="AN122" s="11" t="s">
        <v>46</v>
      </c>
      <c r="AO122" s="11" t="s">
        <v>45</v>
      </c>
      <c r="AP122" s="11">
        <v>4</v>
      </c>
      <c r="AQ122" s="11">
        <v>1</v>
      </c>
      <c r="AR122" s="11">
        <v>2</v>
      </c>
      <c r="AS122" s="11">
        <v>6</v>
      </c>
      <c r="AT122" s="11">
        <v>3</v>
      </c>
      <c r="AU122" s="11">
        <v>8</v>
      </c>
      <c r="AV122" s="11">
        <v>5</v>
      </c>
      <c r="AW122" s="11" t="s">
        <v>44</v>
      </c>
      <c r="AX122" s="11">
        <v>7</v>
      </c>
      <c r="AY122" s="11" t="s">
        <v>46</v>
      </c>
      <c r="AZ122" s="11">
        <v>9</v>
      </c>
      <c r="BA122" s="11" t="s">
        <v>45</v>
      </c>
      <c r="BB122" s="5"/>
      <c r="BC122" s="1">
        <f ca="1">OFFSET(A122,0, 1) -0</f>
        <v>47.430360865236253</v>
      </c>
      <c r="BD122" s="1">
        <f ca="1">OFFSET(A122,0, 3) -0</f>
        <v>62.370008250999035</v>
      </c>
      <c r="BE122" s="1">
        <f ca="1">OFFSET(A122,0, 4) -0</f>
        <v>69.839831943880199</v>
      </c>
      <c r="BF122" s="1">
        <f ca="1">OFFSET(A122,0, 2) -0</f>
        <v>144.90018455811742</v>
      </c>
      <c r="BG122" s="1">
        <f ca="1">OFFSET(A122,0, 6) -0</f>
        <v>-25.220520670357018</v>
      </c>
      <c r="BH122" s="1">
        <f ca="1">OFFSET(A122,0, 5) -0</f>
        <v>17.309655636761818</v>
      </c>
      <c r="BI122" s="1">
        <f ca="1">OFFSET(A122,0, 8) -0</f>
        <v>-20.280873284594122</v>
      </c>
      <c r="BJ122" s="1">
        <f ca="1">OFFSET(A122,0, 7) -0</f>
        <v>12.2493030225246</v>
      </c>
      <c r="BK122" s="1">
        <f ca="1">OFFSET(A122,0, 10) -0</f>
        <v>-25.34122589883134</v>
      </c>
      <c r="BL122" s="1">
        <f ca="1">OFFSET(A122,0, 9) -0</f>
        <v>-42.811049591712731</v>
      </c>
      <c r="BM122" s="1">
        <f ca="1">OFFSET(A122,0, 12) -0</f>
        <v>-0.40157851306855719</v>
      </c>
      <c r="BN122" s="1">
        <f ca="1">OFFSET(A122,0, 11) -0</f>
        <v>-77.871402205949948</v>
      </c>
      <c r="BO122" s="1">
        <f ca="1">OFFSET(A122,0, 14) -0</f>
        <v>44.538068872694225</v>
      </c>
      <c r="BP122" s="1">
        <f ca="1">OFFSET(A122,0, 15) -0</f>
        <v>42.007892565575617</v>
      </c>
      <c r="BQ122" s="1">
        <f ca="1">OFFSET(A122,0, 17) -0</f>
        <v>6.9475399513383991</v>
      </c>
      <c r="BR122" s="1">
        <f ca="1">OFFSET(A122,0, 13) -0</f>
        <v>27.068245179812834</v>
      </c>
      <c r="BS122" s="1">
        <f ca="1">OFFSET(A122,0, 19) -0</f>
        <v>-58.112812662898705</v>
      </c>
      <c r="BT122" s="1">
        <f ca="1">OFFSET(A122,0, 16) -0</f>
        <v>-10.522283741542992</v>
      </c>
      <c r="BU122" s="1">
        <f ca="1">OFFSET(A122,0, 21) -0</f>
        <v>-53.173165277135922</v>
      </c>
      <c r="BV122" s="1">
        <f ca="1">OFFSET(A122,0, 18) -0</f>
        <v>4.4173636442196766</v>
      </c>
      <c r="BW122" s="1">
        <f ca="1">OFFSET(A122,0, 23) -0</f>
        <v>-48.23351789137314</v>
      </c>
      <c r="BX122" s="1">
        <f ca="1">OFFSET(A122,0, 20) -0</f>
        <v>-60.642988970017541</v>
      </c>
      <c r="BY122" s="1">
        <f ca="1">OFFSET(A122,0, 24) -0</f>
        <v>9.2363058015080242</v>
      </c>
      <c r="BZ122" s="1">
        <f ca="1">OFFSET(A122,0, 22) -0</f>
        <v>-65.703341584254758</v>
      </c>
      <c r="CB122" s="1">
        <f>COUNTIF(B122,"&lt;-75")</f>
        <v>0</v>
      </c>
      <c r="CC122" s="1">
        <f ca="1">COUNTIF(BC122:BN122,"&lt;-53")</f>
        <v>1</v>
      </c>
      <c r="CD122" s="1">
        <f ca="1">COUNTIF(BC122:BN122,"&gt;+53")</f>
        <v>3</v>
      </c>
      <c r="CE122" s="1">
        <f ca="1">COUNTIF(BO122:BZ122,"&lt;-53")</f>
        <v>4</v>
      </c>
      <c r="CF122" s="1">
        <f ca="1">COUNTIF(BO122:BZ122,"&gt;+53")</f>
        <v>0</v>
      </c>
    </row>
    <row r="123" spans="1:84">
      <c r="A123" s="1">
        <v>120</v>
      </c>
      <c r="B123" s="1">
        <f>'Touch 1 1'!B123-'Touch 1 1'!$AA123-('Touch 1 1'!B$2- 12.5)*'Touch 1 1'!$AC123</f>
        <v>53.724498770857736</v>
      </c>
      <c r="C123" s="1">
        <f>'Touch 1 1'!C123-'Touch 1 1'!$AA123-('Touch 1 1'!C$2- 12.5)*'Touch 1 1'!$AC123</f>
        <v>71.770194529913624</v>
      </c>
      <c r="D123" s="1">
        <f>'Touch 1 1'!D123-'Touch 1 1'!$AA123-('Touch 1 1'!D$2- 12.5)*'Touch 1 1'!$AC123</f>
        <v>49.815890288969513</v>
      </c>
      <c r="E123" s="1">
        <f>'Touch 1 1'!E123-'Touch 1 1'!$AA123-('Touch 1 1'!E$2- 12.5)*'Touch 1 1'!$AC123</f>
        <v>37.861586048025401</v>
      </c>
      <c r="F123" s="1">
        <f>'Touch 1 1'!F123-'Touch 1 1'!$AA123-('Touch 1 1'!F$2- 12.5)*'Touch 1 1'!$AC123</f>
        <v>25.90728180708129</v>
      </c>
      <c r="G123" s="1">
        <f>'Touch 1 1'!G123-'Touch 1 1'!$AA123-('Touch 1 1'!G$2- 12.5)*'Touch 1 1'!$AC123</f>
        <v>23.952977566137179</v>
      </c>
      <c r="H123" s="1">
        <f>'Touch 1 1'!H123-'Touch 1 1'!$AA123-('Touch 1 1'!H$2- 12.5)*'Touch 1 1'!$AC123</f>
        <v>-68.00132667480716</v>
      </c>
      <c r="I123" s="1">
        <f>'Touch 1 1'!I123-'Touch 1 1'!$AA123-('Touch 1 1'!I$2- 12.5)*'Touch 1 1'!$AC123</f>
        <v>-49.955630915751271</v>
      </c>
      <c r="J123" s="1">
        <f>'Touch 1 1'!J123-'Touch 1 1'!$AA123-('Touch 1 1'!J$2- 12.5)*'Touch 1 1'!$AC123</f>
        <v>-41.909935156695383</v>
      </c>
      <c r="K123" s="1">
        <f>'Touch 1 1'!K123-'Touch 1 1'!$AA123-('Touch 1 1'!K$2- 12.5)*'Touch 1 1'!$AC123</f>
        <v>-33.864239397639608</v>
      </c>
      <c r="L123" s="1">
        <f>'Touch 1 1'!L123-'Touch 1 1'!$AA123-('Touch 1 1'!L$2- 12.5)*'Touch 1 1'!$AC123</f>
        <v>-15.818543638583719</v>
      </c>
      <c r="M123" s="1">
        <f>'Touch 1 1'!M123-'Touch 1 1'!$AA123-('Touch 1 1'!M$2- 12.5)*'Touch 1 1'!$AC123</f>
        <v>-7.7728478795279159</v>
      </c>
      <c r="N123" s="1">
        <f>'Touch 1 1'!N123-'Touch 1 1'!$AA123-('Touch 1 1'!N$2- 12.5)*'Touch 1 1'!$AC123</f>
        <v>70.272847879527916</v>
      </c>
      <c r="O123" s="1">
        <f>'Touch 1 1'!O123-'Touch 1 1'!$AA123-('Touch 1 1'!O$2- 12.5)*'Touch 1 1'!$AC123</f>
        <v>48.318543638583719</v>
      </c>
      <c r="P123" s="1">
        <f>'Touch 1 1'!P123-'Touch 1 1'!$AA123-('Touch 1 1'!P$2- 12.5)*'Touch 1 1'!$AC123</f>
        <v>36.364239397639608</v>
      </c>
      <c r="Q123" s="1">
        <f>'Touch 1 1'!Q123-'Touch 1 1'!$AA123-('Touch 1 1'!Q$2- 12.5)*'Touch 1 1'!$AC123</f>
        <v>14.409935156695383</v>
      </c>
      <c r="R123" s="1">
        <f>'Touch 1 1'!R123-'Touch 1 1'!$AA123-('Touch 1 1'!R$2- 12.5)*'Touch 1 1'!$AC123</f>
        <v>12.455630915751271</v>
      </c>
      <c r="S123" s="1">
        <f>'Touch 1 1'!S123-'Touch 1 1'!$AA123-('Touch 1 1'!S$2- 12.5)*'Touch 1 1'!$AC123</f>
        <v>-39.49867332519284</v>
      </c>
      <c r="T123" s="1">
        <f>'Touch 1 1'!T123-'Touch 1 1'!$AA123-('Touch 1 1'!T$2- 12.5)*'Touch 1 1'!$AC123</f>
        <v>8.5470224338628213</v>
      </c>
      <c r="U123" s="1">
        <f>'Touch 1 1'!U123-'Touch 1 1'!$AA123-('Touch 1 1'!U$2- 12.5)*'Touch 1 1'!$AC123</f>
        <v>-43.40728180708129</v>
      </c>
      <c r="V123" s="1">
        <f>'Touch 1 1'!V123-'Touch 1 1'!$AA123-('Touch 1 1'!V$2- 12.5)*'Touch 1 1'!$AC123</f>
        <v>-115.3615860480254</v>
      </c>
      <c r="W123" s="1">
        <f>'Touch 1 1'!W123-'Touch 1 1'!$AA123-('Touch 1 1'!W$2- 12.5)*'Touch 1 1'!$AC123</f>
        <v>-37.315890288969513</v>
      </c>
      <c r="X123" s="1">
        <f>'Touch 1 1'!X123-'Touch 1 1'!$AA123-('Touch 1 1'!X$2- 12.5)*'Touch 1 1'!$AC123</f>
        <v>-19.270194529913624</v>
      </c>
      <c r="Y123" s="1">
        <f>'Touch 1 1'!Y123-'Touch 1 1'!$AA123-('Touch 1 1'!Y$2- 12.5)*'Touch 1 1'!$AC123</f>
        <v>18.775501229142264</v>
      </c>
      <c r="AB123" s="1">
        <f>STDEV(B123:Y123)</f>
        <v>47.287776519218632</v>
      </c>
      <c r="AD123" s="11">
        <v>1</v>
      </c>
      <c r="AE123" s="11">
        <v>4</v>
      </c>
      <c r="AF123" s="11">
        <v>6</v>
      </c>
      <c r="AG123" s="11">
        <v>2</v>
      </c>
      <c r="AH123" s="11">
        <v>8</v>
      </c>
      <c r="AI123" s="11">
        <v>3</v>
      </c>
      <c r="AJ123" s="11" t="s">
        <v>44</v>
      </c>
      <c r="AK123" s="11">
        <v>5</v>
      </c>
      <c r="AL123" s="11" t="s">
        <v>46</v>
      </c>
      <c r="AM123" s="11">
        <v>7</v>
      </c>
      <c r="AN123" s="11" t="s">
        <v>45</v>
      </c>
      <c r="AO123" s="11">
        <v>9</v>
      </c>
      <c r="AP123" s="11">
        <v>1</v>
      </c>
      <c r="AQ123" s="11">
        <v>4</v>
      </c>
      <c r="AR123" s="11">
        <v>2</v>
      </c>
      <c r="AS123" s="11">
        <v>6</v>
      </c>
      <c r="AT123" s="11">
        <v>3</v>
      </c>
      <c r="AU123" s="11">
        <v>8</v>
      </c>
      <c r="AV123" s="11">
        <v>5</v>
      </c>
      <c r="AW123" s="11" t="s">
        <v>44</v>
      </c>
      <c r="AX123" s="11">
        <v>7</v>
      </c>
      <c r="AY123" s="11" t="s">
        <v>46</v>
      </c>
      <c r="AZ123" s="11">
        <v>9</v>
      </c>
      <c r="BA123" s="11" t="s">
        <v>45</v>
      </c>
      <c r="BB123" s="5"/>
      <c r="BC123" s="1">
        <f ca="1">OFFSET(A123,0, 1) -0</f>
        <v>53.724498770857736</v>
      </c>
      <c r="BD123" s="1">
        <f ca="1">OFFSET(A123,0, 4) -0</f>
        <v>37.861586048025401</v>
      </c>
      <c r="BE123" s="1">
        <f ca="1">OFFSET(A123,0, 6) -0</f>
        <v>23.952977566137179</v>
      </c>
      <c r="BF123" s="1">
        <f ca="1">OFFSET(A123,0, 2) -0</f>
        <v>71.770194529913624</v>
      </c>
      <c r="BG123" s="1">
        <f ca="1">OFFSET(A123,0, 8) -0</f>
        <v>-49.955630915751271</v>
      </c>
      <c r="BH123" s="1">
        <f ca="1">OFFSET(A123,0, 3) -0</f>
        <v>49.815890288969513</v>
      </c>
      <c r="BI123" s="1">
        <f ca="1">OFFSET(A123,0, 10) -0</f>
        <v>-33.864239397639608</v>
      </c>
      <c r="BJ123" s="1">
        <f ca="1">OFFSET(A123,0, 5) -0</f>
        <v>25.90728180708129</v>
      </c>
      <c r="BK123" s="1">
        <f ca="1">OFFSET(A123,0, 12) -0</f>
        <v>-7.7728478795279159</v>
      </c>
      <c r="BL123" s="1">
        <f ca="1">OFFSET(A123,0, 7) -0</f>
        <v>-68.00132667480716</v>
      </c>
      <c r="BM123" s="1">
        <f ca="1">OFFSET(A123,0, 11) -0</f>
        <v>-15.818543638583719</v>
      </c>
      <c r="BN123" s="1">
        <f ca="1">OFFSET(A123,0, 9) -0</f>
        <v>-41.909935156695383</v>
      </c>
      <c r="BO123" s="1">
        <f ca="1">OFFSET(A123,0, 13) -0</f>
        <v>70.272847879527916</v>
      </c>
      <c r="BP123" s="1">
        <f ca="1">OFFSET(A123,0, 15) -0</f>
        <v>36.364239397639608</v>
      </c>
      <c r="BQ123" s="1">
        <f ca="1">OFFSET(A123,0, 17) -0</f>
        <v>12.455630915751271</v>
      </c>
      <c r="BR123" s="1">
        <f ca="1">OFFSET(A123,0, 14) -0</f>
        <v>48.318543638583719</v>
      </c>
      <c r="BS123" s="1">
        <f ca="1">OFFSET(A123,0, 19) -0</f>
        <v>8.5470224338628213</v>
      </c>
      <c r="BT123" s="1">
        <f ca="1">OFFSET(A123,0, 16) -0</f>
        <v>14.409935156695383</v>
      </c>
      <c r="BU123" s="1">
        <f ca="1">OFFSET(A123,0, 21) -0</f>
        <v>-115.3615860480254</v>
      </c>
      <c r="BV123" s="1">
        <f ca="1">OFFSET(A123,0, 18) -0</f>
        <v>-39.49867332519284</v>
      </c>
      <c r="BW123" s="1">
        <f ca="1">OFFSET(A123,0, 23) -0</f>
        <v>-19.270194529913624</v>
      </c>
      <c r="BX123" s="1">
        <f ca="1">OFFSET(A123,0, 20) -0</f>
        <v>-43.40728180708129</v>
      </c>
      <c r="BY123" s="1">
        <f ca="1">OFFSET(A123,0, 24) -0</f>
        <v>18.775501229142264</v>
      </c>
      <c r="BZ123" s="1">
        <f ca="1">OFFSET(A123,0, 22) -0</f>
        <v>-37.315890288969513</v>
      </c>
      <c r="CB123" s="1">
        <f>COUNTIF(B123,"&lt;-75")</f>
        <v>0</v>
      </c>
      <c r="CC123" s="1">
        <f ca="1">COUNTIF(BC123:BN123,"&lt;-53")</f>
        <v>1</v>
      </c>
      <c r="CD123" s="1">
        <f ca="1">COUNTIF(BC123:BN123,"&gt;+53")</f>
        <v>2</v>
      </c>
      <c r="CE123" s="1">
        <f ca="1">COUNTIF(BO123:BZ123,"&lt;-53")</f>
        <v>1</v>
      </c>
      <c r="CF123" s="1">
        <f ca="1">COUNTIF(BO123:BZ123,"&gt;+53")</f>
        <v>1</v>
      </c>
    </row>
    <row r="124" spans="1:84">
      <c r="A124" s="1">
        <v>121</v>
      </c>
      <c r="B124" s="1">
        <f>'Touch 1 1'!B124-'Touch 1 1'!$AA124-('Touch 1 1'!B$2- 12.5)*'Touch 1 1'!$AC124</f>
        <v>35.97386907348664</v>
      </c>
      <c r="C124" s="1">
        <f>'Touch 1 1'!C124-'Touch 1 1'!$AA124-('Touch 1 1'!C$2- 12.5)*'Touch 1 1'!$AC124</f>
        <v>34.294981907672991</v>
      </c>
      <c r="D124" s="1">
        <f>'Touch 1 1'!D124-'Touch 1 1'!$AA124-('Touch 1 1'!D$2- 12.5)*'Touch 1 1'!$AC124</f>
        <v>52.616094741859115</v>
      </c>
      <c r="E124" s="1">
        <f>'Touch 1 1'!E124-'Touch 1 1'!$AA124-('Touch 1 1'!E$2- 12.5)*'Touch 1 1'!$AC124</f>
        <v>50.937207576045239</v>
      </c>
      <c r="F124" s="1">
        <f>'Touch 1 1'!F124-'Touch 1 1'!$AA124-('Touch 1 1'!F$2- 12.5)*'Touch 1 1'!$AC124</f>
        <v>-0.74167958976840964</v>
      </c>
      <c r="G124" s="1">
        <f>'Touch 1 1'!G124-'Touch 1 1'!$AA124-('Touch 1 1'!G$2- 12.5)*'Touch 1 1'!$AC124</f>
        <v>17.579433244417714</v>
      </c>
      <c r="H124" s="1">
        <f>'Touch 1 1'!H124-'Touch 1 1'!$AA124-('Touch 1 1'!H$2- 12.5)*'Touch 1 1'!$AC124</f>
        <v>-4.0994539213961616</v>
      </c>
      <c r="I124" s="1">
        <f>'Touch 1 1'!I124-'Touch 1 1'!$AA124-('Touch 1 1'!I$2- 12.5)*'Touch 1 1'!$AC124</f>
        <v>-5.7783410872099239</v>
      </c>
      <c r="J124" s="1">
        <f>'Touch 1 1'!J124-'Touch 1 1'!$AA124-('Touch 1 1'!J$2- 12.5)*'Touch 1 1'!$AC124</f>
        <v>-7.4572282530237999</v>
      </c>
      <c r="K124" s="1">
        <f>'Touch 1 1'!K124-'Touch 1 1'!$AA124-('Touch 1 1'!K$2- 12.5)*'Touch 1 1'!$AC124</f>
        <v>-79.136115418837562</v>
      </c>
      <c r="L124" s="1">
        <f>'Touch 1 1'!L124-'Touch 1 1'!$AA124-('Touch 1 1'!L$2- 12.5)*'Touch 1 1'!$AC124</f>
        <v>-20.815002584651438</v>
      </c>
      <c r="M124" s="1">
        <f>'Touch 1 1'!M124-'Touch 1 1'!$AA124-('Touch 1 1'!M$2- 12.5)*'Touch 1 1'!$AC124</f>
        <v>17.506110249534771</v>
      </c>
      <c r="N124" s="1">
        <f>'Touch 1 1'!N124-'Touch 1 1'!$AA124-('Touch 1 1'!N$2- 12.5)*'Touch 1 1'!$AC124</f>
        <v>5.827223083720952</v>
      </c>
      <c r="O124" s="1">
        <f>'Touch 1 1'!O124-'Touch 1 1'!$AA124-('Touch 1 1'!O$2- 12.5)*'Touch 1 1'!$AC124</f>
        <v>34.148335917907161</v>
      </c>
      <c r="P124" s="1">
        <f>'Touch 1 1'!P124-'Touch 1 1'!$AA124-('Touch 1 1'!P$2- 12.5)*'Touch 1 1'!$AC124</f>
        <v>32.469448752093285</v>
      </c>
      <c r="Q124" s="1">
        <f>'Touch 1 1'!Q124-'Touch 1 1'!$AA124-('Touch 1 1'!Q$2- 12.5)*'Touch 1 1'!$AC124</f>
        <v>20.790561586279523</v>
      </c>
      <c r="R124" s="1">
        <f>'Touch 1 1'!R124-'Touch 1 1'!$AA124-('Touch 1 1'!R$2- 12.5)*'Touch 1 1'!$AC124</f>
        <v>19.111674420465647</v>
      </c>
      <c r="S124" s="1">
        <f>'Touch 1 1'!S124-'Touch 1 1'!$AA124-('Touch 1 1'!S$2- 12.5)*'Touch 1 1'!$AC124</f>
        <v>-12.567212745348115</v>
      </c>
      <c r="T124" s="1">
        <f>'Touch 1 1'!T124-'Touch 1 1'!$AA124-('Touch 1 1'!T$2- 12.5)*'Touch 1 1'!$AC124</f>
        <v>-14.246099911161991</v>
      </c>
      <c r="U124" s="1">
        <f>'Touch 1 1'!U124-'Touch 1 1'!$AA124-('Touch 1 1'!U$2- 12.5)*'Touch 1 1'!$AC124</f>
        <v>-15.924987076975867</v>
      </c>
      <c r="V124" s="1">
        <f>'Touch 1 1'!V124-'Touch 1 1'!$AA124-('Touch 1 1'!V$2- 12.5)*'Touch 1 1'!$AC124</f>
        <v>-107.60387424278952</v>
      </c>
      <c r="W124" s="1">
        <f>'Touch 1 1'!W124-'Touch 1 1'!$AA124-('Touch 1 1'!W$2- 12.5)*'Touch 1 1'!$AC124</f>
        <v>-9.2827614086033918</v>
      </c>
      <c r="X124" s="1">
        <f>'Touch 1 1'!X124-'Touch 1 1'!$AA124-('Touch 1 1'!X$2- 12.5)*'Touch 1 1'!$AC124</f>
        <v>-90.961648574417268</v>
      </c>
      <c r="Y124" s="1">
        <f>'Touch 1 1'!Y124-'Touch 1 1'!$AA124-('Touch 1 1'!Y$2- 12.5)*'Touch 1 1'!$AC124</f>
        <v>47.359464259769084</v>
      </c>
      <c r="AB124" s="1">
        <f>STDEV(B124:Y124)</f>
        <v>42.27188980383248</v>
      </c>
      <c r="AD124" s="11">
        <v>4</v>
      </c>
      <c r="AE124" s="11">
        <v>1</v>
      </c>
      <c r="AF124" s="11">
        <v>6</v>
      </c>
      <c r="AG124" s="11">
        <v>2</v>
      </c>
      <c r="AH124" s="11">
        <v>8</v>
      </c>
      <c r="AI124" s="11">
        <v>3</v>
      </c>
      <c r="AJ124" s="11" t="s">
        <v>44</v>
      </c>
      <c r="AK124" s="11">
        <v>5</v>
      </c>
      <c r="AL124" s="11" t="s">
        <v>46</v>
      </c>
      <c r="AM124" s="11">
        <v>7</v>
      </c>
      <c r="AN124" s="11" t="s">
        <v>45</v>
      </c>
      <c r="AO124" s="11">
        <v>9</v>
      </c>
      <c r="AP124" s="11">
        <v>1</v>
      </c>
      <c r="AQ124" s="11">
        <v>4</v>
      </c>
      <c r="AR124" s="11">
        <v>6</v>
      </c>
      <c r="AS124" s="11">
        <v>8</v>
      </c>
      <c r="AT124" s="11">
        <v>2</v>
      </c>
      <c r="AU124" s="11" t="s">
        <v>44</v>
      </c>
      <c r="AV124" s="11">
        <v>3</v>
      </c>
      <c r="AW124" s="11" t="s">
        <v>46</v>
      </c>
      <c r="AX124" s="11">
        <v>5</v>
      </c>
      <c r="AY124" s="11" t="s">
        <v>45</v>
      </c>
      <c r="AZ124" s="11">
        <v>7</v>
      </c>
      <c r="BA124" s="11">
        <v>9</v>
      </c>
      <c r="BB124" s="5"/>
      <c r="BC124" s="1">
        <f ca="1">OFFSET(A124,0, 2) -0</f>
        <v>34.294981907672991</v>
      </c>
      <c r="BD124" s="1">
        <f ca="1">OFFSET(A124,0, 4) -0</f>
        <v>50.937207576045239</v>
      </c>
      <c r="BE124" s="1">
        <f ca="1">OFFSET(A124,0, 6) -0</f>
        <v>17.579433244417714</v>
      </c>
      <c r="BF124" s="1">
        <f ca="1">OFFSET(A124,0, 1) -0</f>
        <v>35.97386907348664</v>
      </c>
      <c r="BG124" s="1">
        <f ca="1">OFFSET(A124,0, 8) -0</f>
        <v>-5.7783410872099239</v>
      </c>
      <c r="BH124" s="1">
        <f ca="1">OFFSET(A124,0, 3) -0</f>
        <v>52.616094741859115</v>
      </c>
      <c r="BI124" s="1">
        <f ca="1">OFFSET(A124,0, 10) -0</f>
        <v>-79.136115418837562</v>
      </c>
      <c r="BJ124" s="1">
        <f ca="1">OFFSET(A124,0, 5) -0</f>
        <v>-0.74167958976840964</v>
      </c>
      <c r="BK124" s="1">
        <f ca="1">OFFSET(A124,0, 12) -0</f>
        <v>17.506110249534771</v>
      </c>
      <c r="BL124" s="1">
        <f ca="1">OFFSET(A124,0, 7) -0</f>
        <v>-4.0994539213961616</v>
      </c>
      <c r="BM124" s="1">
        <f ca="1">OFFSET(A124,0, 11) -0</f>
        <v>-20.815002584651438</v>
      </c>
      <c r="BN124" s="1">
        <f ca="1">OFFSET(A124,0, 9) -0</f>
        <v>-7.4572282530237999</v>
      </c>
      <c r="BO124" s="1">
        <f ca="1">OFFSET(A124,0, 13) -0</f>
        <v>5.827223083720952</v>
      </c>
      <c r="BP124" s="1">
        <f ca="1">OFFSET(A124,0, 17) -0</f>
        <v>19.111674420465647</v>
      </c>
      <c r="BQ124" s="1">
        <f ca="1">OFFSET(A124,0, 19) -0</f>
        <v>-14.246099911161991</v>
      </c>
      <c r="BR124" s="1">
        <f ca="1">OFFSET(A124,0, 14) -0</f>
        <v>34.148335917907161</v>
      </c>
      <c r="BS124" s="1">
        <f ca="1">OFFSET(A124,0, 21) -0</f>
        <v>-107.60387424278952</v>
      </c>
      <c r="BT124" s="1">
        <f ca="1">OFFSET(A124,0, 15) -0</f>
        <v>32.469448752093285</v>
      </c>
      <c r="BU124" s="1">
        <f ca="1">OFFSET(A124,0, 23) -0</f>
        <v>-90.961648574417268</v>
      </c>
      <c r="BV124" s="1">
        <f ca="1">OFFSET(A124,0, 16) -0</f>
        <v>20.790561586279523</v>
      </c>
      <c r="BW124" s="1">
        <f ca="1">OFFSET(A124,0, 24) -0</f>
        <v>47.359464259769084</v>
      </c>
      <c r="BX124" s="1">
        <f ca="1">OFFSET(A124,0, 18) -0</f>
        <v>-12.567212745348115</v>
      </c>
      <c r="BY124" s="1">
        <f ca="1">OFFSET(A124,0, 22) -0</f>
        <v>-9.2827614086033918</v>
      </c>
      <c r="BZ124" s="1">
        <f ca="1">OFFSET(A124,0, 20) -0</f>
        <v>-15.924987076975867</v>
      </c>
      <c r="CB124" s="1">
        <f>COUNTIF(B124,"&lt;-75")</f>
        <v>0</v>
      </c>
      <c r="CC124" s="1">
        <f ca="1">COUNTIF(BC124:BN124,"&lt;-53")</f>
        <v>1</v>
      </c>
      <c r="CD124" s="1">
        <f ca="1">COUNTIF(BC124:BN124,"&gt;+53")</f>
        <v>0</v>
      </c>
      <c r="CE124" s="1">
        <f ca="1">COUNTIF(BO124:BZ124,"&lt;-53")</f>
        <v>2</v>
      </c>
      <c r="CF124" s="1">
        <f ca="1">COUNTIF(BO124:BZ124,"&gt;+53")</f>
        <v>0</v>
      </c>
    </row>
    <row r="125" spans="1:84">
      <c r="A125" s="1">
        <v>122</v>
      </c>
      <c r="B125" s="1">
        <f>'Touch 1 1'!B125-'Touch 1 1'!$AA125-('Touch 1 1'!B$2- 12.5)*'Touch 1 1'!$AC125</f>
        <v>66.671640203468087</v>
      </c>
      <c r="C125" s="1">
        <f>'Touch 1 1'!C125-'Touch 1 1'!$AA125-('Touch 1 1'!C$2- 12.5)*'Touch 1 1'!$AC125</f>
        <v>24.642222214764388</v>
      </c>
      <c r="D125" s="1">
        <f>'Touch 1 1'!D125-'Touch 1 1'!$AA125-('Touch 1 1'!D$2- 12.5)*'Touch 1 1'!$AC125</f>
        <v>12.612804226060234</v>
      </c>
      <c r="E125" s="1">
        <f>'Touch 1 1'!E125-'Touch 1 1'!$AA125-('Touch 1 1'!E$2- 12.5)*'Touch 1 1'!$AC125</f>
        <v>50.583386237356308</v>
      </c>
      <c r="F125" s="1">
        <f>'Touch 1 1'!F125-'Touch 1 1'!$AA125-('Touch 1 1'!F$2- 12.5)*'Touch 1 1'!$AC125</f>
        <v>-1.4460317513478458</v>
      </c>
      <c r="G125" s="1">
        <f>'Touch 1 1'!G125-'Touch 1 1'!$AA125-('Touch 1 1'!G$2- 12.5)*'Touch 1 1'!$AC125</f>
        <v>-3.4754497400517721</v>
      </c>
      <c r="H125" s="1">
        <f>'Touch 1 1'!H125-'Touch 1 1'!$AA125-('Touch 1 1'!H$2- 12.5)*'Touch 1 1'!$AC125</f>
        <v>4.4951322712443016</v>
      </c>
      <c r="I125" s="1">
        <f>'Touch 1 1'!I125-'Touch 1 1'!$AA125-('Touch 1 1'!I$2- 12.5)*'Touch 1 1'!$AC125</f>
        <v>2.4657142825401479</v>
      </c>
      <c r="J125" s="1">
        <f>'Touch 1 1'!J125-'Touch 1 1'!$AA125-('Touch 1 1'!J$2- 12.5)*'Touch 1 1'!$AC125</f>
        <v>40.436296293836222</v>
      </c>
      <c r="K125" s="1">
        <f>'Touch 1 1'!K125-'Touch 1 1'!$AA125-('Touch 1 1'!K$2- 12.5)*'Touch 1 1'!$AC125</f>
        <v>-61.593121694867818</v>
      </c>
      <c r="L125" s="1">
        <f>'Touch 1 1'!L125-'Touch 1 1'!$AA125-('Touch 1 1'!L$2- 12.5)*'Touch 1 1'!$AC125</f>
        <v>-23.622539683571858</v>
      </c>
      <c r="M125" s="1">
        <f>'Touch 1 1'!M125-'Touch 1 1'!$AA125-('Touch 1 1'!M$2- 12.5)*'Touch 1 1'!$AC125</f>
        <v>4.3480423277241442</v>
      </c>
      <c r="N125" s="1">
        <f>'Touch 1 1'!N125-'Touch 1 1'!$AA125-('Touch 1 1'!N$2- 12.5)*'Touch 1 1'!$AC125</f>
        <v>52.318624339020133</v>
      </c>
      <c r="O125" s="1">
        <f>'Touch 1 1'!O125-'Touch 1 1'!$AA125-('Touch 1 1'!O$2- 12.5)*'Touch 1 1'!$AC125</f>
        <v>50.289206350316135</v>
      </c>
      <c r="P125" s="1">
        <f>'Touch 1 1'!P125-'Touch 1 1'!$AA125-('Touch 1 1'!P$2- 12.5)*'Touch 1 1'!$AC125</f>
        <v>18.259788361612095</v>
      </c>
      <c r="Q125" s="1">
        <f>'Touch 1 1'!Q125-'Touch 1 1'!$AA125-('Touch 1 1'!Q$2- 12.5)*'Touch 1 1'!$AC125</f>
        <v>6.2303703729080553</v>
      </c>
      <c r="R125" s="1">
        <f>'Touch 1 1'!R125-'Touch 1 1'!$AA125-('Touch 1 1'!R$2- 12.5)*'Touch 1 1'!$AC125</f>
        <v>34.200952384204129</v>
      </c>
      <c r="S125" s="1">
        <f>'Touch 1 1'!S125-'Touch 1 1'!$AA125-('Touch 1 1'!S$2- 12.5)*'Touch 1 1'!$AC125</f>
        <v>-57.828465604500025</v>
      </c>
      <c r="T125" s="1">
        <f>'Touch 1 1'!T125-'Touch 1 1'!$AA125-('Touch 1 1'!T$2- 12.5)*'Touch 1 1'!$AC125</f>
        <v>-9.857883593203951</v>
      </c>
      <c r="U125" s="1">
        <f>'Touch 1 1'!U125-'Touch 1 1'!$AA125-('Touch 1 1'!U$2- 12.5)*'Touch 1 1'!$AC125</f>
        <v>-31.887301581907877</v>
      </c>
      <c r="V125" s="1">
        <f>'Touch 1 1'!V125-'Touch 1 1'!$AA125-('Touch 1 1'!V$2- 12.5)*'Touch 1 1'!$AC125</f>
        <v>-93.916719570612031</v>
      </c>
      <c r="W125" s="1">
        <f>'Touch 1 1'!W125-'Touch 1 1'!$AA125-('Touch 1 1'!W$2- 12.5)*'Touch 1 1'!$AC125</f>
        <v>24.053862440684043</v>
      </c>
      <c r="X125" s="1">
        <f>'Touch 1 1'!X125-'Touch 1 1'!$AA125-('Touch 1 1'!X$2- 12.5)*'Touch 1 1'!$AC125</f>
        <v>-97.975555548020111</v>
      </c>
      <c r="Y125" s="1">
        <f>'Touch 1 1'!Y125-'Touch 1 1'!$AA125-('Touch 1 1'!Y$2- 12.5)*'Touch 1 1'!$AC125</f>
        <v>-10.00497353672381</v>
      </c>
      <c r="AB125" s="1">
        <f>STDEV(B125:Y125)</f>
        <v>43.82814404744564</v>
      </c>
      <c r="AD125" s="11">
        <v>4</v>
      </c>
      <c r="AE125" s="11">
        <v>1</v>
      </c>
      <c r="AF125" s="11">
        <v>8</v>
      </c>
      <c r="AG125" s="11">
        <v>6</v>
      </c>
      <c r="AH125" s="11" t="s">
        <v>44</v>
      </c>
      <c r="AI125" s="11">
        <v>2</v>
      </c>
      <c r="AJ125" s="11" t="s">
        <v>46</v>
      </c>
      <c r="AK125" s="11">
        <v>3</v>
      </c>
      <c r="AL125" s="11" t="s">
        <v>45</v>
      </c>
      <c r="AM125" s="11">
        <v>5</v>
      </c>
      <c r="AN125" s="11">
        <v>9</v>
      </c>
      <c r="AO125" s="11">
        <v>7</v>
      </c>
      <c r="AP125" s="11">
        <v>4</v>
      </c>
      <c r="AQ125" s="11">
        <v>8</v>
      </c>
      <c r="AR125" s="11">
        <v>1</v>
      </c>
      <c r="AS125" s="11">
        <v>6</v>
      </c>
      <c r="AT125" s="11">
        <v>2</v>
      </c>
      <c r="AU125" s="11" t="s">
        <v>44</v>
      </c>
      <c r="AV125" s="11">
        <v>3</v>
      </c>
      <c r="AW125" s="11" t="s">
        <v>46</v>
      </c>
      <c r="AX125" s="11">
        <v>5</v>
      </c>
      <c r="AY125" s="11" t="s">
        <v>45</v>
      </c>
      <c r="AZ125" s="11">
        <v>7</v>
      </c>
      <c r="BA125" s="11">
        <v>9</v>
      </c>
      <c r="BB125" s="5"/>
      <c r="BC125" s="1">
        <f ca="1">OFFSET(A125,0, 2) -0</f>
        <v>24.642222214764388</v>
      </c>
      <c r="BD125" s="1">
        <f ca="1">OFFSET(A125,0, 6) -0</f>
        <v>-3.4754497400517721</v>
      </c>
      <c r="BE125" s="1">
        <f ca="1">OFFSET(A125,0, 8) -0</f>
        <v>2.4657142825401479</v>
      </c>
      <c r="BF125" s="1">
        <f ca="1">OFFSET(A125,0, 1) -0</f>
        <v>66.671640203468087</v>
      </c>
      <c r="BG125" s="1">
        <f ca="1">OFFSET(A125,0, 10) -0</f>
        <v>-61.593121694867818</v>
      </c>
      <c r="BH125" s="1">
        <f ca="1">OFFSET(A125,0, 4) -0</f>
        <v>50.583386237356308</v>
      </c>
      <c r="BI125" s="1">
        <f ca="1">OFFSET(A125,0, 12) -0</f>
        <v>4.3480423277241442</v>
      </c>
      <c r="BJ125" s="1">
        <f ca="1">OFFSET(A125,0, 3) -0</f>
        <v>12.612804226060234</v>
      </c>
      <c r="BK125" s="1">
        <f ca="1">OFFSET(A125,0, 11) -0</f>
        <v>-23.622539683571858</v>
      </c>
      <c r="BL125" s="1">
        <f ca="1">OFFSET(A125,0, 5) -0</f>
        <v>-1.4460317513478458</v>
      </c>
      <c r="BM125" s="1">
        <f ca="1">OFFSET(A125,0, 9) -0</f>
        <v>40.436296293836222</v>
      </c>
      <c r="BN125" s="1">
        <f ca="1">OFFSET(A125,0, 7) -0</f>
        <v>4.4951322712443016</v>
      </c>
      <c r="BO125" s="1">
        <f ca="1">OFFSET(A125,0, 15) -0</f>
        <v>18.259788361612095</v>
      </c>
      <c r="BP125" s="1">
        <f ca="1">OFFSET(A125,0, 17) -0</f>
        <v>34.200952384204129</v>
      </c>
      <c r="BQ125" s="1">
        <f ca="1">OFFSET(A125,0, 19) -0</f>
        <v>-9.857883593203951</v>
      </c>
      <c r="BR125" s="1">
        <f ca="1">OFFSET(A125,0, 13) -0</f>
        <v>52.318624339020133</v>
      </c>
      <c r="BS125" s="1">
        <f ca="1">OFFSET(A125,0, 21) -0</f>
        <v>-93.916719570612031</v>
      </c>
      <c r="BT125" s="1">
        <f ca="1">OFFSET(A125,0, 16) -0</f>
        <v>6.2303703729080553</v>
      </c>
      <c r="BU125" s="1">
        <f ca="1">OFFSET(A125,0, 23) -0</f>
        <v>-97.975555548020111</v>
      </c>
      <c r="BV125" s="1">
        <f ca="1">OFFSET(A125,0, 14) -0</f>
        <v>50.289206350316135</v>
      </c>
      <c r="BW125" s="1">
        <f ca="1">OFFSET(A125,0, 24) -0</f>
        <v>-10.00497353672381</v>
      </c>
      <c r="BX125" s="1">
        <f ca="1">OFFSET(A125,0, 18) -0</f>
        <v>-57.828465604500025</v>
      </c>
      <c r="BY125" s="1">
        <f ca="1">OFFSET(A125,0, 22) -0</f>
        <v>24.053862440684043</v>
      </c>
      <c r="BZ125" s="1">
        <f ca="1">OFFSET(A125,0, 20) -0</f>
        <v>-31.887301581907877</v>
      </c>
      <c r="CB125" s="1">
        <f>COUNTIF(B125,"&lt;-75")</f>
        <v>0</v>
      </c>
      <c r="CC125" s="1">
        <f ca="1">COUNTIF(BC125:BN125,"&lt;-53")</f>
        <v>1</v>
      </c>
      <c r="CD125" s="1">
        <f ca="1">COUNTIF(BC125:BN125,"&gt;+53")</f>
        <v>1</v>
      </c>
      <c r="CE125" s="1">
        <f ca="1">COUNTIF(BO125:BZ125,"&lt;-53")</f>
        <v>3</v>
      </c>
      <c r="CF125" s="1">
        <f ca="1">COUNTIF(BO125:BZ125,"&gt;+53")</f>
        <v>0</v>
      </c>
    </row>
    <row r="126" spans="1:84">
      <c r="A126" s="1">
        <v>123</v>
      </c>
      <c r="B126" s="1">
        <f>'Touch 1 1'!B126-'Touch 1 1'!$AA126-('Touch 1 1'!B$2- 12.5)*'Touch 1 1'!$AC126</f>
        <v>56.411901746340391</v>
      </c>
      <c r="C126" s="1">
        <f>'Touch 1 1'!C126-'Touch 1 1'!$AA126-('Touch 1 1'!C$2- 12.5)*'Touch 1 1'!$AC126</f>
        <v>74.223910290137155</v>
      </c>
      <c r="D126" s="1">
        <f>'Touch 1 1'!D126-'Touch 1 1'!$AA126-('Touch 1 1'!D$2- 12.5)*'Touch 1 1'!$AC126</f>
        <v>92.035918833933465</v>
      </c>
      <c r="E126" s="1">
        <f>'Touch 1 1'!E126-'Touch 1 1'!$AA126-('Touch 1 1'!E$2- 12.5)*'Touch 1 1'!$AC126</f>
        <v>99.847927377730002</v>
      </c>
      <c r="F126" s="1">
        <f>'Touch 1 1'!F126-'Touch 1 1'!$AA126-('Touch 1 1'!F$2- 12.5)*'Touch 1 1'!$AC126</f>
        <v>7.6599359215263121</v>
      </c>
      <c r="G126" s="1">
        <f>'Touch 1 1'!G126-'Touch 1 1'!$AA126-('Touch 1 1'!G$2- 12.5)*'Touch 1 1'!$AC126</f>
        <v>15.471944465322849</v>
      </c>
      <c r="H126" s="1">
        <f>'Touch 1 1'!H126-'Touch 1 1'!$AA126-('Touch 1 1'!H$2- 12.5)*'Touch 1 1'!$AC126</f>
        <v>-26.716046990880614</v>
      </c>
      <c r="I126" s="1">
        <f>'Touch 1 1'!I126-'Touch 1 1'!$AA126-('Touch 1 1'!I$2- 12.5)*'Touch 1 1'!$AC126</f>
        <v>21.09596155291581</v>
      </c>
      <c r="J126" s="1">
        <f>'Touch 1 1'!J126-'Touch 1 1'!$AA126-('Touch 1 1'!J$2- 12.5)*'Touch 1 1'!$AC126</f>
        <v>-31.092029903287653</v>
      </c>
      <c r="K126" s="1">
        <f>'Touch 1 1'!K126-'Touch 1 1'!$AA126-('Touch 1 1'!K$2- 12.5)*'Touch 1 1'!$AC126</f>
        <v>-53.280021359491229</v>
      </c>
      <c r="L126" s="1">
        <f>'Touch 1 1'!L126-'Touch 1 1'!$AA126-('Touch 1 1'!L$2- 12.5)*'Touch 1 1'!$AC126</f>
        <v>-75.468012815694692</v>
      </c>
      <c r="M126" s="1">
        <f>'Touch 1 1'!M126-'Touch 1 1'!$AA126-('Touch 1 1'!M$2- 12.5)*'Touch 1 1'!$AC126</f>
        <v>-77.65600427189824</v>
      </c>
      <c r="N126" s="1">
        <f>'Touch 1 1'!N126-'Touch 1 1'!$AA126-('Touch 1 1'!N$2- 12.5)*'Touch 1 1'!$AC126</f>
        <v>-19.84399572810176</v>
      </c>
      <c r="O126" s="1">
        <f>'Touch 1 1'!O126-'Touch 1 1'!$AA126-('Touch 1 1'!O$2- 12.5)*'Touch 1 1'!$AC126</f>
        <v>17.968012815694692</v>
      </c>
      <c r="P126" s="1">
        <f>'Touch 1 1'!P126-'Touch 1 1'!$AA126-('Touch 1 1'!P$2- 12.5)*'Touch 1 1'!$AC126</f>
        <v>-24.219978640508771</v>
      </c>
      <c r="Q126" s="1">
        <f>'Touch 1 1'!Q126-'Touch 1 1'!$AA126-('Touch 1 1'!Q$2- 12.5)*'Touch 1 1'!$AC126</f>
        <v>3.5920299032876528</v>
      </c>
      <c r="R126" s="1">
        <f>'Touch 1 1'!R126-'Touch 1 1'!$AA126-('Touch 1 1'!R$2- 12.5)*'Touch 1 1'!$AC126</f>
        <v>21.40403844708419</v>
      </c>
      <c r="S126" s="1">
        <f>'Touch 1 1'!S126-'Touch 1 1'!$AA126-('Touch 1 1'!S$2- 12.5)*'Touch 1 1'!$AC126</f>
        <v>39.216046990880614</v>
      </c>
      <c r="T126" s="1">
        <f>'Touch 1 1'!T126-'Touch 1 1'!$AA126-('Touch 1 1'!T$2- 12.5)*'Touch 1 1'!$AC126</f>
        <v>-132.97194446532285</v>
      </c>
      <c r="U126" s="1">
        <f>'Touch 1 1'!U126-'Touch 1 1'!$AA126-('Touch 1 1'!U$2- 12.5)*'Touch 1 1'!$AC126</f>
        <v>-15.159935921526312</v>
      </c>
      <c r="V126" s="1">
        <f>'Touch 1 1'!V126-'Touch 1 1'!$AA126-('Touch 1 1'!V$2- 12.5)*'Touch 1 1'!$AC126</f>
        <v>22.652072622269998</v>
      </c>
      <c r="W126" s="1">
        <f>'Touch 1 1'!W126-'Touch 1 1'!$AA126-('Touch 1 1'!W$2- 12.5)*'Touch 1 1'!$AC126</f>
        <v>-19.535918833933465</v>
      </c>
      <c r="X126" s="1">
        <f>'Touch 1 1'!X126-'Touch 1 1'!$AA126-('Touch 1 1'!X$2- 12.5)*'Touch 1 1'!$AC126</f>
        <v>-31.723910290137155</v>
      </c>
      <c r="Y126" s="1">
        <f>'Touch 1 1'!Y126-'Touch 1 1'!$AA126-('Touch 1 1'!Y$2- 12.5)*'Touch 1 1'!$AC126</f>
        <v>36.088098253659609</v>
      </c>
      <c r="AB126" s="1">
        <f>STDEV(B126:Y126)</f>
        <v>54.592150369663671</v>
      </c>
      <c r="AD126" s="11">
        <v>8</v>
      </c>
      <c r="AE126" s="11">
        <v>4</v>
      </c>
      <c r="AF126" s="11">
        <v>6</v>
      </c>
      <c r="AG126" s="11">
        <v>1</v>
      </c>
      <c r="AH126" s="11" t="s">
        <v>44</v>
      </c>
      <c r="AI126" s="11">
        <v>2</v>
      </c>
      <c r="AJ126" s="11" t="s">
        <v>46</v>
      </c>
      <c r="AK126" s="11">
        <v>3</v>
      </c>
      <c r="AL126" s="11" t="s">
        <v>45</v>
      </c>
      <c r="AM126" s="11">
        <v>5</v>
      </c>
      <c r="AN126" s="11">
        <v>9</v>
      </c>
      <c r="AO126" s="11">
        <v>7</v>
      </c>
      <c r="AP126" s="11">
        <v>8</v>
      </c>
      <c r="AQ126" s="11">
        <v>4</v>
      </c>
      <c r="AR126" s="11">
        <v>1</v>
      </c>
      <c r="AS126" s="11">
        <v>6</v>
      </c>
      <c r="AT126" s="11" t="s">
        <v>44</v>
      </c>
      <c r="AU126" s="11" t="s">
        <v>46</v>
      </c>
      <c r="AV126" s="11">
        <v>2</v>
      </c>
      <c r="AW126" s="11" t="s">
        <v>45</v>
      </c>
      <c r="AX126" s="11">
        <v>3</v>
      </c>
      <c r="AY126" s="11">
        <v>9</v>
      </c>
      <c r="AZ126" s="11">
        <v>5</v>
      </c>
      <c r="BA126" s="11">
        <v>7</v>
      </c>
      <c r="BB126" s="5"/>
      <c r="BC126" s="1">
        <f ca="1">OFFSET(A126,0, 4) -0</f>
        <v>99.847927377730002</v>
      </c>
      <c r="BD126" s="1">
        <f ca="1">OFFSET(A126,0, 6) -0</f>
        <v>15.471944465322849</v>
      </c>
      <c r="BE126" s="1">
        <f ca="1">OFFSET(A126,0, 8) -0</f>
        <v>21.09596155291581</v>
      </c>
      <c r="BF126" s="1">
        <f ca="1">OFFSET(A126,0, 2) -0</f>
        <v>74.223910290137155</v>
      </c>
      <c r="BG126" s="1">
        <f ca="1">OFFSET(A126,0, 10) -0</f>
        <v>-53.280021359491229</v>
      </c>
      <c r="BH126" s="1">
        <f ca="1">OFFSET(A126,0, 3) -0</f>
        <v>92.035918833933465</v>
      </c>
      <c r="BI126" s="1">
        <f ca="1">OFFSET(A126,0, 12) -0</f>
        <v>-77.65600427189824</v>
      </c>
      <c r="BJ126" s="1">
        <f ca="1">OFFSET(A126,0, 1) -0</f>
        <v>56.411901746340391</v>
      </c>
      <c r="BK126" s="1">
        <f ca="1">OFFSET(A126,0, 11) -0</f>
        <v>-75.468012815694692</v>
      </c>
      <c r="BL126" s="1">
        <f ca="1">OFFSET(A126,0, 5) -0</f>
        <v>7.6599359215263121</v>
      </c>
      <c r="BM126" s="1">
        <f ca="1">OFFSET(A126,0, 9) -0</f>
        <v>-31.092029903287653</v>
      </c>
      <c r="BN126" s="1">
        <f ca="1">OFFSET(A126,0, 7) -0</f>
        <v>-26.716046990880614</v>
      </c>
      <c r="BO126" s="1">
        <f ca="1">OFFSET(A126,0, 15) -0</f>
        <v>-24.219978640508771</v>
      </c>
      <c r="BP126" s="1">
        <f ca="1">OFFSET(A126,0, 19) -0</f>
        <v>-132.97194446532285</v>
      </c>
      <c r="BQ126" s="1">
        <f ca="1">OFFSET(A126,0, 21) -0</f>
        <v>22.652072622269998</v>
      </c>
      <c r="BR126" s="1">
        <f ca="1">OFFSET(A126,0, 14) -0</f>
        <v>17.968012815694692</v>
      </c>
      <c r="BS126" s="1">
        <f ca="1">OFFSET(A126,0, 23) -0</f>
        <v>-31.723910290137155</v>
      </c>
      <c r="BT126" s="1">
        <f ca="1">OFFSET(A126,0, 16) -0</f>
        <v>3.5920299032876528</v>
      </c>
      <c r="BU126" s="1">
        <f ca="1">OFFSET(A126,0, 24) -0</f>
        <v>36.088098253659609</v>
      </c>
      <c r="BV126" s="1">
        <f ca="1">OFFSET(A126,0, 13) -0</f>
        <v>-19.84399572810176</v>
      </c>
      <c r="BW126" s="1">
        <f ca="1">OFFSET(A126,0, 22) -0</f>
        <v>-19.535918833933465</v>
      </c>
      <c r="BX126" s="1">
        <f ca="1">OFFSET(A126,0, 17) -0</f>
        <v>21.40403844708419</v>
      </c>
      <c r="BY126" s="1">
        <f ca="1">OFFSET(A126,0, 20) -0</f>
        <v>-15.159935921526312</v>
      </c>
      <c r="BZ126" s="1">
        <f ca="1">OFFSET(A126,0, 18) -0</f>
        <v>39.216046990880614</v>
      </c>
      <c r="CB126" s="1">
        <f>COUNTIF(B126,"&lt;-75")</f>
        <v>0</v>
      </c>
      <c r="CC126" s="1">
        <f ca="1">COUNTIF(BC126:BN126,"&lt;-53")</f>
        <v>3</v>
      </c>
      <c r="CD126" s="1">
        <f ca="1">COUNTIF(BC126:BN126,"&gt;+53")</f>
        <v>4</v>
      </c>
      <c r="CE126" s="1">
        <f ca="1">COUNTIF(BO126:BZ126,"&lt;-53")</f>
        <v>1</v>
      </c>
      <c r="CF126" s="1">
        <f ca="1">COUNTIF(BO126:BZ126,"&gt;+53")</f>
        <v>0</v>
      </c>
    </row>
    <row r="127" spans="1:84">
      <c r="A127" s="1">
        <v>124</v>
      </c>
      <c r="B127" s="1">
        <f>'Touch 1 1'!B127-'Touch 1 1'!$AA127-('Touch 1 1'!B$2- 12.5)*'Touch 1 1'!$AC127</f>
        <v>-4.7421195759725379</v>
      </c>
      <c r="C127" s="1">
        <f>'Touch 1 1'!C127-'Touch 1 1'!$AA127-('Touch 1 1'!C$2- 12.5)*'Touch 1 1'!$AC127</f>
        <v>3.0615429958515961</v>
      </c>
      <c r="D127" s="1">
        <f>'Touch 1 1'!D127-'Touch 1 1'!$AA127-('Touch 1 1'!D$2- 12.5)*'Touch 1 1'!$AC127</f>
        <v>-49.134794432324952</v>
      </c>
      <c r="E127" s="1">
        <f>'Touch 1 1'!E127-'Touch 1 1'!$AA127-('Touch 1 1'!E$2- 12.5)*'Touch 1 1'!$AC127</f>
        <v>28.668868139498727</v>
      </c>
      <c r="F127" s="1">
        <f>'Touch 1 1'!F127-'Touch 1 1'!$AA127-('Touch 1 1'!F$2- 12.5)*'Touch 1 1'!$AC127</f>
        <v>-13.527469288677594</v>
      </c>
      <c r="G127" s="1">
        <f>'Touch 1 1'!G127-'Touch 1 1'!$AA127-('Touch 1 1'!G$2- 12.5)*'Touch 1 1'!$AC127</f>
        <v>-5.7238067168539146</v>
      </c>
      <c r="H127" s="1">
        <f>'Touch 1 1'!H127-'Touch 1 1'!$AA127-('Touch 1 1'!H$2- 12.5)*'Touch 1 1'!$AC127</f>
        <v>2.0798558549697646</v>
      </c>
      <c r="I127" s="1">
        <f>'Touch 1 1'!I127-'Touch 1 1'!$AA127-('Touch 1 1'!I$2- 12.5)*'Touch 1 1'!$AC127</f>
        <v>39.883518426793444</v>
      </c>
      <c r="J127" s="1">
        <f>'Touch 1 1'!J127-'Touch 1 1'!$AA127-('Touch 1 1'!J$2- 12.5)*'Touch 1 1'!$AC127</f>
        <v>7.6871809986171229</v>
      </c>
      <c r="K127" s="1">
        <f>'Touch 1 1'!K127-'Touch 1 1'!$AA127-('Touch 1 1'!K$2- 12.5)*'Touch 1 1'!$AC127</f>
        <v>45.490843570440802</v>
      </c>
      <c r="L127" s="1">
        <f>'Touch 1 1'!L127-'Touch 1 1'!$AA127-('Touch 1 1'!L$2- 12.5)*'Touch 1 1'!$AC127</f>
        <v>-16.705493857735519</v>
      </c>
      <c r="M127" s="1">
        <f>'Touch 1 1'!M127-'Touch 1 1'!$AA127-('Touch 1 1'!M$2- 12.5)*'Touch 1 1'!$AC127</f>
        <v>-58.90183128591184</v>
      </c>
      <c r="N127" s="1">
        <f>'Touch 1 1'!N127-'Touch 1 1'!$AA127-('Touch 1 1'!N$2- 12.5)*'Touch 1 1'!$AC127</f>
        <v>-1.0981687140881604</v>
      </c>
      <c r="O127" s="1">
        <f>'Touch 1 1'!O127-'Touch 1 1'!$AA127-('Touch 1 1'!O$2- 12.5)*'Touch 1 1'!$AC127</f>
        <v>-3.2945061422644812</v>
      </c>
      <c r="P127" s="1">
        <f>'Touch 1 1'!P127-'Touch 1 1'!$AA127-('Touch 1 1'!P$2- 12.5)*'Touch 1 1'!$AC127</f>
        <v>4.5091564295591979</v>
      </c>
      <c r="Q127" s="1">
        <f>'Touch 1 1'!Q127-'Touch 1 1'!$AA127-('Touch 1 1'!Q$2- 12.5)*'Touch 1 1'!$AC127</f>
        <v>-7.6871809986171229</v>
      </c>
      <c r="R127" s="1">
        <f>'Touch 1 1'!R127-'Touch 1 1'!$AA127-('Touch 1 1'!R$2- 12.5)*'Touch 1 1'!$AC127</f>
        <v>20.116481573206556</v>
      </c>
      <c r="S127" s="1">
        <f>'Touch 1 1'!S127-'Touch 1 1'!$AA127-('Touch 1 1'!S$2- 12.5)*'Touch 1 1'!$AC127</f>
        <v>-22.079855854969765</v>
      </c>
      <c r="T127" s="1">
        <f>'Touch 1 1'!T127-'Touch 1 1'!$AA127-('Touch 1 1'!T$2- 12.5)*'Touch 1 1'!$AC127</f>
        <v>25.723806716853915</v>
      </c>
      <c r="U127" s="1">
        <f>'Touch 1 1'!U127-'Touch 1 1'!$AA127-('Touch 1 1'!U$2- 12.5)*'Touch 1 1'!$AC127</f>
        <v>33.527469288677594</v>
      </c>
      <c r="V127" s="1">
        <f>'Touch 1 1'!V127-'Touch 1 1'!$AA127-('Touch 1 1'!V$2- 12.5)*'Touch 1 1'!$AC127</f>
        <v>51.331131860501273</v>
      </c>
      <c r="W127" s="1">
        <f>'Touch 1 1'!W127-'Touch 1 1'!$AA127-('Touch 1 1'!W$2- 12.5)*'Touch 1 1'!$AC127</f>
        <v>-40.865205567675048</v>
      </c>
      <c r="X127" s="1">
        <f>'Touch 1 1'!X127-'Touch 1 1'!$AA127-('Touch 1 1'!X$2- 12.5)*'Touch 1 1'!$AC127</f>
        <v>-73.061542995851596</v>
      </c>
      <c r="Y127" s="1">
        <f>'Touch 1 1'!Y127-'Touch 1 1'!$AA127-('Touch 1 1'!Y$2- 12.5)*'Touch 1 1'!$AC127</f>
        <v>34.742119575972538</v>
      </c>
      <c r="AB127" s="1">
        <f>STDEV(B127:Y127)</f>
        <v>32.687661678472459</v>
      </c>
      <c r="AD127" s="11">
        <v>4</v>
      </c>
      <c r="AE127" s="11">
        <v>8</v>
      </c>
      <c r="AF127" s="11">
        <v>6</v>
      </c>
      <c r="AG127" s="11">
        <v>1</v>
      </c>
      <c r="AH127" s="11" t="s">
        <v>46</v>
      </c>
      <c r="AI127" s="11" t="s">
        <v>44</v>
      </c>
      <c r="AJ127" s="11" t="s">
        <v>45</v>
      </c>
      <c r="AK127" s="11">
        <v>2</v>
      </c>
      <c r="AL127" s="11">
        <v>9</v>
      </c>
      <c r="AM127" s="11">
        <v>3</v>
      </c>
      <c r="AN127" s="11">
        <v>7</v>
      </c>
      <c r="AO127" s="11">
        <v>5</v>
      </c>
      <c r="AP127" s="11">
        <v>8</v>
      </c>
      <c r="AQ127" s="11">
        <v>4</v>
      </c>
      <c r="AR127" s="11">
        <v>6</v>
      </c>
      <c r="AS127" s="11" t="s">
        <v>46</v>
      </c>
      <c r="AT127" s="11">
        <v>1</v>
      </c>
      <c r="AU127" s="11" t="s">
        <v>44</v>
      </c>
      <c r="AV127" s="11">
        <v>2</v>
      </c>
      <c r="AW127" s="11" t="s">
        <v>45</v>
      </c>
      <c r="AX127" s="11">
        <v>3</v>
      </c>
      <c r="AY127" s="11">
        <v>9</v>
      </c>
      <c r="AZ127" s="11">
        <v>5</v>
      </c>
      <c r="BA127" s="11">
        <v>7</v>
      </c>
      <c r="BB127" s="5"/>
      <c r="BC127" s="1">
        <f ca="1">OFFSET(A127,0, 4) -0</f>
        <v>28.668868139498727</v>
      </c>
      <c r="BD127" s="1">
        <f ca="1">OFFSET(A127,0, 8) -0</f>
        <v>39.883518426793444</v>
      </c>
      <c r="BE127" s="1">
        <f ca="1">OFFSET(A127,0, 10) -0</f>
        <v>45.490843570440802</v>
      </c>
      <c r="BF127" s="1">
        <f ca="1">OFFSET(A127,0, 1) -0</f>
        <v>-4.7421195759725379</v>
      </c>
      <c r="BG127" s="1">
        <f ca="1">OFFSET(A127,0, 12) -0</f>
        <v>-58.90183128591184</v>
      </c>
      <c r="BH127" s="1">
        <f ca="1">OFFSET(A127,0, 3) -0</f>
        <v>-49.134794432324952</v>
      </c>
      <c r="BI127" s="1">
        <f ca="1">OFFSET(A127,0, 11) -0</f>
        <v>-16.705493857735519</v>
      </c>
      <c r="BJ127" s="1">
        <f ca="1">OFFSET(A127,0, 2) -0</f>
        <v>3.0615429958515961</v>
      </c>
      <c r="BK127" s="1">
        <f ca="1">OFFSET(A127,0, 9) -0</f>
        <v>7.6871809986171229</v>
      </c>
      <c r="BL127" s="1">
        <f ca="1">OFFSET(A127,0, 6) -0</f>
        <v>-5.7238067168539146</v>
      </c>
      <c r="BM127" s="1">
        <f ca="1">OFFSET(A127,0, 7) -0</f>
        <v>2.0798558549697646</v>
      </c>
      <c r="BN127" s="1">
        <f ca="1">OFFSET(A127,0, 5) -0</f>
        <v>-13.527469288677594</v>
      </c>
      <c r="BO127" s="1">
        <f ca="1">OFFSET(A127,0, 17) -0</f>
        <v>20.116481573206556</v>
      </c>
      <c r="BP127" s="1">
        <f ca="1">OFFSET(A127,0, 19) -0</f>
        <v>25.723806716853915</v>
      </c>
      <c r="BQ127" s="1">
        <f ca="1">OFFSET(A127,0, 21) -0</f>
        <v>51.331131860501273</v>
      </c>
      <c r="BR127" s="1">
        <f ca="1">OFFSET(A127,0, 14) -0</f>
        <v>-3.2945061422644812</v>
      </c>
      <c r="BS127" s="1">
        <f ca="1">OFFSET(A127,0, 23) -0</f>
        <v>-73.061542995851596</v>
      </c>
      <c r="BT127" s="1">
        <f ca="1">OFFSET(A127,0, 15) -0</f>
        <v>4.5091564295591979</v>
      </c>
      <c r="BU127" s="1">
        <f ca="1">OFFSET(A127,0, 24) -0</f>
        <v>34.742119575972538</v>
      </c>
      <c r="BV127" s="1">
        <f ca="1">OFFSET(A127,0, 13) -0</f>
        <v>-1.0981687140881604</v>
      </c>
      <c r="BW127" s="1">
        <f ca="1">OFFSET(A127,0, 22) -0</f>
        <v>-40.865205567675048</v>
      </c>
      <c r="BX127" s="1">
        <f ca="1">OFFSET(A127,0, 18) -0</f>
        <v>-22.079855854969765</v>
      </c>
      <c r="BY127" s="1">
        <f ca="1">OFFSET(A127,0, 20) -0</f>
        <v>33.527469288677594</v>
      </c>
      <c r="BZ127" s="1">
        <f ca="1">OFFSET(A127,0, 16) -0</f>
        <v>-7.6871809986171229</v>
      </c>
      <c r="CB127" s="1">
        <f>COUNTIF(B127,"&lt;-75")</f>
        <v>0</v>
      </c>
      <c r="CC127" s="1">
        <f ca="1">COUNTIF(BC127:BN127,"&lt;-53")</f>
        <v>1</v>
      </c>
      <c r="CD127" s="1">
        <f ca="1">COUNTIF(BC127:BN127,"&gt;+53")</f>
        <v>0</v>
      </c>
      <c r="CE127" s="1">
        <f ca="1">COUNTIF(BO127:BZ127,"&lt;-53")</f>
        <v>1</v>
      </c>
      <c r="CF127" s="1">
        <f ca="1">COUNTIF(BO127:BZ127,"&gt;+53")</f>
        <v>0</v>
      </c>
    </row>
    <row r="128" spans="1:84">
      <c r="A128" s="1">
        <v>125</v>
      </c>
      <c r="B128" s="1">
        <f>'Touch 1 1'!B128-'Touch 1 1'!$AA128-('Touch 1 1'!B$2- 12.5)*'Touch 1 1'!$AC128</f>
        <v>13.429731167891987</v>
      </c>
      <c r="C128" s="1">
        <f>'Touch 1 1'!C128-'Touch 1 1'!$AA128-('Touch 1 1'!C$2- 12.5)*'Touch 1 1'!$AC128</f>
        <v>31.17497193590134</v>
      </c>
      <c r="D128" s="1">
        <f>'Touch 1 1'!D128-'Touch 1 1'!$AA128-('Touch 1 1'!D$2- 12.5)*'Touch 1 1'!$AC128</f>
        <v>-31.079787296089307</v>
      </c>
      <c r="E128" s="1">
        <f>'Touch 1 1'!E128-'Touch 1 1'!$AA128-('Touch 1 1'!E$2- 12.5)*'Touch 1 1'!$AC128</f>
        <v>36.665453471920046</v>
      </c>
      <c r="F128" s="1">
        <f>'Touch 1 1'!F128-'Touch 1 1'!$AA128-('Touch 1 1'!F$2- 12.5)*'Touch 1 1'!$AC128</f>
        <v>4.4106942399293985</v>
      </c>
      <c r="G128" s="1">
        <f>'Touch 1 1'!G128-'Touch 1 1'!$AA128-('Touch 1 1'!G$2- 12.5)*'Touch 1 1'!$AC128</f>
        <v>-7.8440649920612486</v>
      </c>
      <c r="H128" s="1">
        <f>'Touch 1 1'!H128-'Touch 1 1'!$AA128-('Touch 1 1'!H$2- 12.5)*'Touch 1 1'!$AC128</f>
        <v>29.901175775948332</v>
      </c>
      <c r="I128" s="1">
        <f>'Touch 1 1'!I128-'Touch 1 1'!$AA128-('Touch 1 1'!I$2- 12.5)*'Touch 1 1'!$AC128</f>
        <v>27.646416543957685</v>
      </c>
      <c r="J128" s="1">
        <f>'Touch 1 1'!J128-'Touch 1 1'!$AA128-('Touch 1 1'!J$2- 12.5)*'Touch 1 1'!$AC128</f>
        <v>-44.608342688032963</v>
      </c>
      <c r="K128" s="1">
        <f>'Touch 1 1'!K128-'Touch 1 1'!$AA128-('Touch 1 1'!K$2- 12.5)*'Touch 1 1'!$AC128</f>
        <v>33.136898079976504</v>
      </c>
      <c r="L128" s="1">
        <f>'Touch 1 1'!L128-'Touch 1 1'!$AA128-('Touch 1 1'!L$2- 12.5)*'Touch 1 1'!$AC128</f>
        <v>0.88213884798585696</v>
      </c>
      <c r="M128" s="1">
        <f>'Touch 1 1'!M128-'Touch 1 1'!$AA128-('Touch 1 1'!M$2- 12.5)*'Touch 1 1'!$AC128</f>
        <v>8.6273796159952951</v>
      </c>
      <c r="N128" s="1">
        <f>'Touch 1 1'!N128-'Touch 1 1'!$AA128-('Touch 1 1'!N$2- 12.5)*'Touch 1 1'!$AC128</f>
        <v>36.372620384004705</v>
      </c>
      <c r="O128" s="1">
        <f>'Touch 1 1'!O128-'Touch 1 1'!$AA128-('Touch 1 1'!O$2- 12.5)*'Touch 1 1'!$AC128</f>
        <v>44.117861152014143</v>
      </c>
      <c r="P128" s="1">
        <f>'Touch 1 1'!P128-'Touch 1 1'!$AA128-('Touch 1 1'!P$2- 12.5)*'Touch 1 1'!$AC128</f>
        <v>-38.136898079976504</v>
      </c>
      <c r="Q128" s="1">
        <f>'Touch 1 1'!Q128-'Touch 1 1'!$AA128-('Touch 1 1'!Q$2- 12.5)*'Touch 1 1'!$AC128</f>
        <v>-20.391657311967037</v>
      </c>
      <c r="R128" s="1">
        <f>'Touch 1 1'!R128-'Touch 1 1'!$AA128-('Touch 1 1'!R$2- 12.5)*'Touch 1 1'!$AC128</f>
        <v>7.3535834560423154</v>
      </c>
      <c r="S128" s="1">
        <f>'Touch 1 1'!S128-'Touch 1 1'!$AA128-('Touch 1 1'!S$2- 12.5)*'Touch 1 1'!$AC128</f>
        <v>-84.901175775948332</v>
      </c>
      <c r="T128" s="1">
        <f>'Touch 1 1'!T128-'Touch 1 1'!$AA128-('Touch 1 1'!T$2- 12.5)*'Touch 1 1'!$AC128</f>
        <v>32.844064992061249</v>
      </c>
      <c r="U128" s="1">
        <f>'Touch 1 1'!U128-'Touch 1 1'!$AA128-('Touch 1 1'!U$2- 12.5)*'Touch 1 1'!$AC128</f>
        <v>-19.410694239929398</v>
      </c>
      <c r="V128" s="1">
        <f>'Touch 1 1'!V128-'Touch 1 1'!$AA128-('Touch 1 1'!V$2- 12.5)*'Touch 1 1'!$AC128</f>
        <v>-31.665453471920046</v>
      </c>
      <c r="W128" s="1">
        <f>'Touch 1 1'!W128-'Touch 1 1'!$AA128-('Touch 1 1'!W$2- 12.5)*'Touch 1 1'!$AC128</f>
        <v>-33.920212703910693</v>
      </c>
      <c r="X128" s="1">
        <f>'Touch 1 1'!X128-'Touch 1 1'!$AA128-('Touch 1 1'!X$2- 12.5)*'Touch 1 1'!$AC128</f>
        <v>-6.1749719359013397</v>
      </c>
      <c r="Y128" s="1">
        <f>'Touch 1 1'!Y128-'Touch 1 1'!$AA128-('Touch 1 1'!Y$2- 12.5)*'Touch 1 1'!$AC128</f>
        <v>11.570268832108013</v>
      </c>
      <c r="AB128" s="1">
        <f>STDEV(B128:Y128)</f>
        <v>32.669473243728007</v>
      </c>
      <c r="AD128" s="11">
        <v>4</v>
      </c>
      <c r="AE128" s="11">
        <v>8</v>
      </c>
      <c r="AF128" s="11" t="s">
        <v>46</v>
      </c>
      <c r="AG128" s="11">
        <v>6</v>
      </c>
      <c r="AH128" s="11" t="s">
        <v>44</v>
      </c>
      <c r="AI128" s="11">
        <v>1</v>
      </c>
      <c r="AJ128" s="11" t="s">
        <v>45</v>
      </c>
      <c r="AK128" s="11">
        <v>2</v>
      </c>
      <c r="AL128" s="11">
        <v>9</v>
      </c>
      <c r="AM128" s="11">
        <v>3</v>
      </c>
      <c r="AN128" s="11">
        <v>7</v>
      </c>
      <c r="AO128" s="11">
        <v>5</v>
      </c>
      <c r="AP128" s="11">
        <v>4</v>
      </c>
      <c r="AQ128" s="11" t="s">
        <v>46</v>
      </c>
      <c r="AR128" s="11">
        <v>8</v>
      </c>
      <c r="AS128" s="11">
        <v>6</v>
      </c>
      <c r="AT128" s="11">
        <v>1</v>
      </c>
      <c r="AU128" s="11" t="s">
        <v>44</v>
      </c>
      <c r="AV128" s="11" t="s">
        <v>45</v>
      </c>
      <c r="AW128" s="11">
        <v>9</v>
      </c>
      <c r="AX128" s="11">
        <v>2</v>
      </c>
      <c r="AY128" s="11">
        <v>7</v>
      </c>
      <c r="AZ128" s="11">
        <v>3</v>
      </c>
      <c r="BA128" s="11">
        <v>5</v>
      </c>
      <c r="BB128" s="5"/>
      <c r="BC128" s="1">
        <f ca="1">OFFSET(A128,0, 6) -0</f>
        <v>-7.8440649920612486</v>
      </c>
      <c r="BD128" s="1">
        <f ca="1">OFFSET(A128,0, 8) -0</f>
        <v>27.646416543957685</v>
      </c>
      <c r="BE128" s="1">
        <f ca="1">OFFSET(A128,0, 10) -0</f>
        <v>33.136898079976504</v>
      </c>
      <c r="BF128" s="1">
        <f ca="1">OFFSET(A128,0, 1) -0</f>
        <v>13.429731167891987</v>
      </c>
      <c r="BG128" s="1">
        <f ca="1">OFFSET(A128,0, 12) -0</f>
        <v>8.6273796159952951</v>
      </c>
      <c r="BH128" s="1">
        <f ca="1">OFFSET(A128,0, 4) -0</f>
        <v>36.665453471920046</v>
      </c>
      <c r="BI128" s="1">
        <f ca="1">OFFSET(A128,0, 11) -0</f>
        <v>0.88213884798585696</v>
      </c>
      <c r="BJ128" s="1">
        <f ca="1">OFFSET(A128,0, 2) -0</f>
        <v>31.17497193590134</v>
      </c>
      <c r="BK128" s="1">
        <f ca="1">OFFSET(A128,0, 9) -0</f>
        <v>-44.608342688032963</v>
      </c>
      <c r="BL128" s="1">
        <f ca="1">OFFSET(A128,0, 5) -0</f>
        <v>4.4106942399293985</v>
      </c>
      <c r="BM128" s="1">
        <f ca="1">OFFSET(A128,0, 7) -0</f>
        <v>29.901175775948332</v>
      </c>
      <c r="BN128" s="1">
        <f ca="1">OFFSET(A128,0, 3) -0</f>
        <v>-31.079787296089307</v>
      </c>
      <c r="BO128" s="1">
        <f ca="1">OFFSET(A128,0, 17) -0</f>
        <v>7.3535834560423154</v>
      </c>
      <c r="BP128" s="1">
        <f ca="1">OFFSET(A128,0, 21) -0</f>
        <v>-31.665453471920046</v>
      </c>
      <c r="BQ128" s="1">
        <f ca="1">OFFSET(A128,0, 23) -0</f>
        <v>-6.1749719359013397</v>
      </c>
      <c r="BR128" s="1">
        <f ca="1">OFFSET(A128,0, 13) -0</f>
        <v>36.372620384004705</v>
      </c>
      <c r="BS128" s="1">
        <f ca="1">OFFSET(A128,0, 24) -0</f>
        <v>11.570268832108013</v>
      </c>
      <c r="BT128" s="1">
        <f ca="1">OFFSET(A128,0, 16) -0</f>
        <v>-20.391657311967037</v>
      </c>
      <c r="BU128" s="1">
        <f ca="1">OFFSET(A128,0, 22) -0</f>
        <v>-33.920212703910693</v>
      </c>
      <c r="BV128" s="1">
        <f ca="1">OFFSET(A128,0, 15) -0</f>
        <v>-38.136898079976504</v>
      </c>
      <c r="BW128" s="1">
        <f ca="1">OFFSET(A128,0, 20) -0</f>
        <v>-19.410694239929398</v>
      </c>
      <c r="BX128" s="1">
        <f ca="1">OFFSET(A128,0, 18) -0</f>
        <v>-84.901175775948332</v>
      </c>
      <c r="BY128" s="1">
        <f ca="1">OFFSET(A128,0, 19) -0</f>
        <v>32.844064992061249</v>
      </c>
      <c r="BZ128" s="1">
        <f ca="1">OFFSET(A128,0, 14) -0</f>
        <v>44.117861152014143</v>
      </c>
      <c r="CB128" s="1">
        <f>COUNTIF(B128,"&lt;-75")</f>
        <v>0</v>
      </c>
      <c r="CC128" s="1">
        <f ca="1">COUNTIF(BC128:BN128,"&lt;-53")</f>
        <v>0</v>
      </c>
      <c r="CD128" s="1">
        <f ca="1">COUNTIF(BC128:BN128,"&gt;+53")</f>
        <v>0</v>
      </c>
      <c r="CE128" s="1">
        <f ca="1">COUNTIF(BO128:BZ128,"&lt;-53")</f>
        <v>1</v>
      </c>
      <c r="CF128" s="1">
        <f ca="1">COUNTIF(BO128:BZ128,"&gt;+53")</f>
        <v>0</v>
      </c>
    </row>
    <row r="129" spans="1:84">
      <c r="A129" s="1">
        <v>126</v>
      </c>
      <c r="B129" s="1">
        <f>'Touch 1 1'!B129-'Touch 1 1'!$AA129-('Touch 1 1'!B$2- 12.5)*'Touch 1 1'!$AC129</f>
        <v>16.863597558869515</v>
      </c>
      <c r="C129" s="1">
        <f>'Touch 1 1'!C129-'Touch 1 1'!$AA129-('Touch 1 1'!C$2- 12.5)*'Touch 1 1'!$AC129</f>
        <v>114.81748762621737</v>
      </c>
      <c r="D129" s="1">
        <f>'Touch 1 1'!D129-'Touch 1 1'!$AA129-('Touch 1 1'!D$2- 12.5)*'Touch 1 1'!$AC129</f>
        <v>52.771377693565682</v>
      </c>
      <c r="E129" s="1">
        <f>'Touch 1 1'!E129-'Touch 1 1'!$AA129-('Touch 1 1'!E$2- 12.5)*'Touch 1 1'!$AC129</f>
        <v>40.725267760913766</v>
      </c>
      <c r="F129" s="1">
        <f>'Touch 1 1'!F129-'Touch 1 1'!$AA129-('Touch 1 1'!F$2- 12.5)*'Touch 1 1'!$AC129</f>
        <v>-21.320842171738377</v>
      </c>
      <c r="G129" s="1">
        <f>'Touch 1 1'!G129-'Touch 1 1'!$AA129-('Touch 1 1'!G$2- 12.5)*'Touch 1 1'!$AC129</f>
        <v>16.633047895609707</v>
      </c>
      <c r="H129" s="1">
        <f>'Touch 1 1'!H129-'Touch 1 1'!$AA129-('Touch 1 1'!H$2- 12.5)*'Touch 1 1'!$AC129</f>
        <v>-35.413062037042209</v>
      </c>
      <c r="I129" s="1">
        <f>'Touch 1 1'!I129-'Touch 1 1'!$AA129-('Touch 1 1'!I$2- 12.5)*'Touch 1 1'!$AC129</f>
        <v>22.540828030305875</v>
      </c>
      <c r="J129" s="1">
        <f>'Touch 1 1'!J129-'Touch 1 1'!$AA129-('Touch 1 1'!J$2- 12.5)*'Touch 1 1'!$AC129</f>
        <v>-19.505281902346042</v>
      </c>
      <c r="K129" s="1">
        <f>'Touch 1 1'!K129-'Touch 1 1'!$AA129-('Touch 1 1'!K$2- 12.5)*'Touch 1 1'!$AC129</f>
        <v>-61.551391834997958</v>
      </c>
      <c r="L129" s="1">
        <f>'Touch 1 1'!L129-'Touch 1 1'!$AA129-('Touch 1 1'!L$2- 12.5)*'Touch 1 1'!$AC129</f>
        <v>-93.597501767649931</v>
      </c>
      <c r="M129" s="1">
        <f>'Touch 1 1'!M129-'Touch 1 1'!$AA129-('Touch 1 1'!M$2- 12.5)*'Touch 1 1'!$AC129</f>
        <v>-5.6436117003018893</v>
      </c>
      <c r="N129" s="1">
        <f>'Touch 1 1'!N129-'Touch 1 1'!$AA129-('Touch 1 1'!N$2- 12.5)*'Touch 1 1'!$AC129</f>
        <v>22.310278367046166</v>
      </c>
      <c r="O129" s="1">
        <f>'Touch 1 1'!O129-'Touch 1 1'!$AA129-('Touch 1 1'!O$2- 12.5)*'Touch 1 1'!$AC129</f>
        <v>10.264168434394207</v>
      </c>
      <c r="P129" s="1">
        <f>'Touch 1 1'!P129-'Touch 1 1'!$AA129-('Touch 1 1'!P$2- 12.5)*'Touch 1 1'!$AC129</f>
        <v>38.218058501742235</v>
      </c>
      <c r="Q129" s="1">
        <f>'Touch 1 1'!Q129-'Touch 1 1'!$AA129-('Touch 1 1'!Q$2- 12.5)*'Touch 1 1'!$AC129</f>
        <v>96.171948569090318</v>
      </c>
      <c r="R129" s="1">
        <f>'Touch 1 1'!R129-'Touch 1 1'!$AA129-('Touch 1 1'!R$2- 12.5)*'Touch 1 1'!$AC129</f>
        <v>14.125838636438402</v>
      </c>
      <c r="S129" s="1">
        <f>'Touch 1 1'!S129-'Touch 1 1'!$AA129-('Touch 1 1'!S$2- 12.5)*'Touch 1 1'!$AC129</f>
        <v>12.079728703786486</v>
      </c>
      <c r="T129" s="1">
        <f>'Touch 1 1'!T129-'Touch 1 1'!$AA129-('Touch 1 1'!T$2- 12.5)*'Touch 1 1'!$AC129</f>
        <v>20.03361877113457</v>
      </c>
      <c r="U129" s="1">
        <f>'Touch 1 1'!U129-'Touch 1 1'!$AA129-('Touch 1 1'!U$2- 12.5)*'Touch 1 1'!$AC129</f>
        <v>-42.012491161517346</v>
      </c>
      <c r="V129" s="1">
        <f>'Touch 1 1'!V129-'Touch 1 1'!$AA129-('Touch 1 1'!V$2- 12.5)*'Touch 1 1'!$AC129</f>
        <v>-24.058601094169489</v>
      </c>
      <c r="W129" s="1">
        <f>'Touch 1 1'!W129-'Touch 1 1'!$AA129-('Touch 1 1'!W$2- 12.5)*'Touch 1 1'!$AC129</f>
        <v>-96.104711026821406</v>
      </c>
      <c r="X129" s="1">
        <f>'Touch 1 1'!X129-'Touch 1 1'!$AA129-('Touch 1 1'!X$2- 12.5)*'Touch 1 1'!$AC129</f>
        <v>-58.150820959473094</v>
      </c>
      <c r="Y129" s="1">
        <f>'Touch 1 1'!Y129-'Touch 1 1'!$AA129-('Touch 1 1'!Y$2- 12.5)*'Touch 1 1'!$AC129</f>
        <v>-20.196930892125238</v>
      </c>
      <c r="AB129" s="1">
        <f>STDEV(B129:Y129)</f>
        <v>51.4124713096001</v>
      </c>
      <c r="AD129" s="11" t="s">
        <v>46</v>
      </c>
      <c r="AE129" s="11">
        <v>4</v>
      </c>
      <c r="AF129" s="11">
        <v>6</v>
      </c>
      <c r="AG129" s="11">
        <v>8</v>
      </c>
      <c r="AH129" s="11" t="s">
        <v>44</v>
      </c>
      <c r="AI129" s="11">
        <v>1</v>
      </c>
      <c r="AJ129" s="11">
        <v>9</v>
      </c>
      <c r="AK129" s="11" t="s">
        <v>45</v>
      </c>
      <c r="AL129" s="11">
        <v>7</v>
      </c>
      <c r="AM129" s="11">
        <v>2</v>
      </c>
      <c r="AN129" s="11">
        <v>5</v>
      </c>
      <c r="AO129" s="11">
        <v>3</v>
      </c>
      <c r="AP129" s="11">
        <v>4</v>
      </c>
      <c r="AQ129" s="11" t="s">
        <v>46</v>
      </c>
      <c r="AR129" s="11">
        <v>8</v>
      </c>
      <c r="AS129" s="11">
        <v>6</v>
      </c>
      <c r="AT129" s="11" t="s">
        <v>44</v>
      </c>
      <c r="AU129" s="11">
        <v>9</v>
      </c>
      <c r="AV129" s="11">
        <v>1</v>
      </c>
      <c r="AW129" s="11" t="s">
        <v>45</v>
      </c>
      <c r="AX129" s="11">
        <v>2</v>
      </c>
      <c r="AY129" s="11">
        <v>7</v>
      </c>
      <c r="AZ129" s="11">
        <v>3</v>
      </c>
      <c r="BA129" s="11">
        <v>5</v>
      </c>
      <c r="BB129" s="5"/>
      <c r="BC129" s="1">
        <f ca="1">OFFSET(A129,0, 6) -0</f>
        <v>16.633047895609707</v>
      </c>
      <c r="BD129" s="1">
        <f ca="1">OFFSET(A129,0, 10) -0</f>
        <v>-61.551391834997958</v>
      </c>
      <c r="BE129" s="1">
        <f ca="1">OFFSET(A129,0, 12) -0</f>
        <v>-5.6436117003018893</v>
      </c>
      <c r="BF129" s="1">
        <f ca="1">OFFSET(A129,0, 2) -0</f>
        <v>114.81748762621737</v>
      </c>
      <c r="BG129" s="1">
        <f ca="1">OFFSET(A129,0, 11) -0</f>
        <v>-93.597501767649931</v>
      </c>
      <c r="BH129" s="1">
        <f ca="1">OFFSET(A129,0, 3) -0</f>
        <v>52.771377693565682</v>
      </c>
      <c r="BI129" s="1">
        <f ca="1">OFFSET(A129,0, 9) -0</f>
        <v>-19.505281902346042</v>
      </c>
      <c r="BJ129" s="1">
        <f ca="1">OFFSET(A129,0, 4) -0</f>
        <v>40.725267760913766</v>
      </c>
      <c r="BK129" s="1">
        <f ca="1">OFFSET(A129,0, 7) -0</f>
        <v>-35.413062037042209</v>
      </c>
      <c r="BL129" s="1">
        <f ca="1">OFFSET(A129,0, 5) -0</f>
        <v>-21.320842171738377</v>
      </c>
      <c r="BM129" s="1">
        <f ca="1">OFFSET(A129,0, 8) -0</f>
        <v>22.540828030305875</v>
      </c>
      <c r="BN129" s="1">
        <f ca="1">OFFSET(A129,0, 1) -0</f>
        <v>16.863597558869515</v>
      </c>
      <c r="BO129" s="1">
        <f ca="1">OFFSET(A129,0, 19) -0</f>
        <v>20.03361877113457</v>
      </c>
      <c r="BP129" s="1">
        <f ca="1">OFFSET(A129,0, 21) -0</f>
        <v>-24.058601094169489</v>
      </c>
      <c r="BQ129" s="1">
        <f ca="1">OFFSET(A129,0, 23) -0</f>
        <v>-58.150820959473094</v>
      </c>
      <c r="BR129" s="1">
        <f ca="1">OFFSET(A129,0, 13) -0</f>
        <v>22.310278367046166</v>
      </c>
      <c r="BS129" s="1">
        <f ca="1">OFFSET(A129,0, 24) -0</f>
        <v>-20.196930892125238</v>
      </c>
      <c r="BT129" s="1">
        <f ca="1">OFFSET(A129,0, 16) -0</f>
        <v>96.171948569090318</v>
      </c>
      <c r="BU129" s="1">
        <f ca="1">OFFSET(A129,0, 22) -0</f>
        <v>-96.104711026821406</v>
      </c>
      <c r="BV129" s="1">
        <f ca="1">OFFSET(A129,0, 15) -0</f>
        <v>38.218058501742235</v>
      </c>
      <c r="BW129" s="1">
        <f ca="1">OFFSET(A129,0, 18) -0</f>
        <v>12.079728703786486</v>
      </c>
      <c r="BX129" s="1">
        <f ca="1">OFFSET(A129,0, 17) -0</f>
        <v>14.125838636438402</v>
      </c>
      <c r="BY129" s="1">
        <f ca="1">OFFSET(A129,0, 20) -0</f>
        <v>-42.012491161517346</v>
      </c>
      <c r="BZ129" s="1">
        <f ca="1">OFFSET(A129,0, 14) -0</f>
        <v>10.264168434394207</v>
      </c>
      <c r="CB129" s="1">
        <f>COUNTIF(B129,"&lt;-75")</f>
        <v>0</v>
      </c>
      <c r="CC129" s="1">
        <f ca="1">COUNTIF(BC129:BN129,"&lt;-53")</f>
        <v>2</v>
      </c>
      <c r="CD129" s="1">
        <f ca="1">COUNTIF(BC129:BN129,"&gt;+53")</f>
        <v>1</v>
      </c>
      <c r="CE129" s="1">
        <f ca="1">COUNTIF(BO129:BZ129,"&lt;-53")</f>
        <v>2</v>
      </c>
      <c r="CF129" s="1">
        <f ca="1">COUNTIF(BO129:BZ129,"&gt;+53")</f>
        <v>1</v>
      </c>
    </row>
    <row r="130" spans="1:84">
      <c r="A130" s="1">
        <v>127</v>
      </c>
      <c r="B130" s="1">
        <f>'Touch 1 1'!B130-'Touch 1 1'!$AA130-('Touch 1 1'!B$2- 12.5)*'Touch 1 1'!$AC130</f>
        <v>-6.3532623872351905</v>
      </c>
      <c r="C130" s="1">
        <f>'Touch 1 1'!C130-'Touch 1 1'!$AA130-('Touch 1 1'!C$2- 12.5)*'Touch 1 1'!$AC130</f>
        <v>42.568760429046051</v>
      </c>
      <c r="D130" s="1">
        <f>'Touch 1 1'!D130-'Touch 1 1'!$AA130-('Touch 1 1'!D$2- 12.5)*'Touch 1 1'!$AC130</f>
        <v>31.490783245327293</v>
      </c>
      <c r="E130" s="1">
        <f>'Touch 1 1'!E130-'Touch 1 1'!$AA130-('Touch 1 1'!E$2- 12.5)*'Touch 1 1'!$AC130</f>
        <v>90.412806061608762</v>
      </c>
      <c r="F130" s="1">
        <f>'Touch 1 1'!F130-'Touch 1 1'!$AA130-('Touch 1 1'!F$2- 12.5)*'Touch 1 1'!$AC130</f>
        <v>39.334828877890004</v>
      </c>
      <c r="G130" s="1">
        <f>'Touch 1 1'!G130-'Touch 1 1'!$AA130-('Touch 1 1'!G$2- 12.5)*'Touch 1 1'!$AC130</f>
        <v>-1.7431483058285266</v>
      </c>
      <c r="H130" s="1">
        <f>'Touch 1 1'!H130-'Touch 1 1'!$AA130-('Touch 1 1'!H$2- 12.5)*'Touch 1 1'!$AC130</f>
        <v>-12.821125489547285</v>
      </c>
      <c r="I130" s="1">
        <f>'Touch 1 1'!I130-'Touch 1 1'!$AA130-('Touch 1 1'!I$2- 12.5)*'Touch 1 1'!$AC130</f>
        <v>46.100897326734071</v>
      </c>
      <c r="J130" s="1">
        <f>'Touch 1 1'!J130-'Touch 1 1'!$AA130-('Touch 1 1'!J$2- 12.5)*'Touch 1 1'!$AC130</f>
        <v>-84.977079856984687</v>
      </c>
      <c r="K130" s="1">
        <f>'Touch 1 1'!K130-'Touch 1 1'!$AA130-('Touch 1 1'!K$2- 12.5)*'Touch 1 1'!$AC130</f>
        <v>-36.055057040703332</v>
      </c>
      <c r="L130" s="1">
        <f>'Touch 1 1'!L130-'Touch 1 1'!$AA130-('Touch 1 1'!L$2- 12.5)*'Touch 1 1'!$AC130</f>
        <v>-77.133034224421976</v>
      </c>
      <c r="M130" s="1">
        <f>'Touch 1 1'!M130-'Touch 1 1'!$AA130-('Touch 1 1'!M$2- 12.5)*'Touch 1 1'!$AC130</f>
        <v>-8.2110114081406635</v>
      </c>
      <c r="N130" s="1">
        <f>'Touch 1 1'!N130-'Touch 1 1'!$AA130-('Touch 1 1'!N$2- 12.5)*'Touch 1 1'!$AC130</f>
        <v>10.711011408140664</v>
      </c>
      <c r="O130" s="1">
        <f>'Touch 1 1'!O130-'Touch 1 1'!$AA130-('Touch 1 1'!O$2- 12.5)*'Touch 1 1'!$AC130</f>
        <v>49.633034224421976</v>
      </c>
      <c r="P130" s="1">
        <f>'Touch 1 1'!P130-'Touch 1 1'!$AA130-('Touch 1 1'!P$2- 12.5)*'Touch 1 1'!$AC130</f>
        <v>18.555057040703332</v>
      </c>
      <c r="Q130" s="1">
        <f>'Touch 1 1'!Q130-'Touch 1 1'!$AA130-('Touch 1 1'!Q$2- 12.5)*'Touch 1 1'!$AC130</f>
        <v>57.477079856984687</v>
      </c>
      <c r="R130" s="1">
        <f>'Touch 1 1'!R130-'Touch 1 1'!$AA130-('Touch 1 1'!R$2- 12.5)*'Touch 1 1'!$AC130</f>
        <v>16.399102673265929</v>
      </c>
      <c r="S130" s="1">
        <f>'Touch 1 1'!S130-'Touch 1 1'!$AA130-('Touch 1 1'!S$2- 12.5)*'Touch 1 1'!$AC130</f>
        <v>5.3211254895472848</v>
      </c>
      <c r="T130" s="1">
        <f>'Touch 1 1'!T130-'Touch 1 1'!$AA130-('Touch 1 1'!T$2- 12.5)*'Touch 1 1'!$AC130</f>
        <v>-45.756851694171473</v>
      </c>
      <c r="U130" s="1">
        <f>'Touch 1 1'!U130-'Touch 1 1'!$AA130-('Touch 1 1'!U$2- 12.5)*'Touch 1 1'!$AC130</f>
        <v>13.165171122109996</v>
      </c>
      <c r="V130" s="1">
        <f>'Touch 1 1'!V130-'Touch 1 1'!$AA130-('Touch 1 1'!V$2- 12.5)*'Touch 1 1'!$AC130</f>
        <v>-97.912806061608762</v>
      </c>
      <c r="W130" s="1">
        <f>'Touch 1 1'!W130-'Touch 1 1'!$AA130-('Touch 1 1'!W$2- 12.5)*'Touch 1 1'!$AC130</f>
        <v>-88.990783245327293</v>
      </c>
      <c r="X130" s="1">
        <f>'Touch 1 1'!X130-'Touch 1 1'!$AA130-('Touch 1 1'!X$2- 12.5)*'Touch 1 1'!$AC130</f>
        <v>9.9312395709539487</v>
      </c>
      <c r="Y130" s="1">
        <f>'Touch 1 1'!Y130-'Touch 1 1'!$AA130-('Touch 1 1'!Y$2- 12.5)*'Touch 1 1'!$AC130</f>
        <v>28.853262387235191</v>
      </c>
      <c r="AB130" s="1">
        <f>STDEV(B130:Y130)</f>
        <v>49.617795148110957</v>
      </c>
      <c r="AD130" s="11" t="s">
        <v>46</v>
      </c>
      <c r="AE130" s="11">
        <v>4</v>
      </c>
      <c r="AF130" s="11">
        <v>6</v>
      </c>
      <c r="AG130" s="11">
        <v>8</v>
      </c>
      <c r="AH130" s="11">
        <v>9</v>
      </c>
      <c r="AI130" s="11" t="s">
        <v>44</v>
      </c>
      <c r="AJ130" s="11" t="s">
        <v>45</v>
      </c>
      <c r="AK130" s="11">
        <v>1</v>
      </c>
      <c r="AL130" s="11">
        <v>7</v>
      </c>
      <c r="AM130" s="11">
        <v>2</v>
      </c>
      <c r="AN130" s="11">
        <v>5</v>
      </c>
      <c r="AO130" s="11">
        <v>3</v>
      </c>
      <c r="AP130" s="11" t="s">
        <v>46</v>
      </c>
      <c r="AQ130" s="11">
        <v>6</v>
      </c>
      <c r="AR130" s="11">
        <v>4</v>
      </c>
      <c r="AS130" s="11">
        <v>9</v>
      </c>
      <c r="AT130" s="11">
        <v>8</v>
      </c>
      <c r="AU130" s="11" t="s">
        <v>44</v>
      </c>
      <c r="AV130" s="11">
        <v>1</v>
      </c>
      <c r="AW130" s="11" t="s">
        <v>45</v>
      </c>
      <c r="AX130" s="11">
        <v>7</v>
      </c>
      <c r="AY130" s="11">
        <v>5</v>
      </c>
      <c r="AZ130" s="11">
        <v>2</v>
      </c>
      <c r="BA130" s="11">
        <v>3</v>
      </c>
      <c r="BB130" s="5"/>
      <c r="BC130" s="1">
        <f ca="1">OFFSET(A130,0, 8) -0</f>
        <v>46.100897326734071</v>
      </c>
      <c r="BD130" s="1">
        <f ca="1">OFFSET(A130,0, 10) -0</f>
        <v>-36.055057040703332</v>
      </c>
      <c r="BE130" s="1">
        <f ca="1">OFFSET(A130,0, 12) -0</f>
        <v>-8.2110114081406635</v>
      </c>
      <c r="BF130" s="1">
        <f ca="1">OFFSET(A130,0, 2) -0</f>
        <v>42.568760429046051</v>
      </c>
      <c r="BG130" s="1">
        <f ca="1">OFFSET(A130,0, 11) -0</f>
        <v>-77.133034224421976</v>
      </c>
      <c r="BH130" s="1">
        <f ca="1">OFFSET(A130,0, 3) -0</f>
        <v>31.490783245327293</v>
      </c>
      <c r="BI130" s="1">
        <f ca="1">OFFSET(A130,0, 9) -0</f>
        <v>-84.977079856984687</v>
      </c>
      <c r="BJ130" s="1">
        <f ca="1">OFFSET(A130,0, 4) -0</f>
        <v>90.412806061608762</v>
      </c>
      <c r="BK130" s="1">
        <f ca="1">OFFSET(A130,0, 5) -0</f>
        <v>39.334828877890004</v>
      </c>
      <c r="BL130" s="1">
        <f ca="1">OFFSET(A130,0, 6) -0</f>
        <v>-1.7431483058285266</v>
      </c>
      <c r="BM130" s="1">
        <f ca="1">OFFSET(A130,0, 7) -0</f>
        <v>-12.821125489547285</v>
      </c>
      <c r="BN130" s="1">
        <f ca="1">OFFSET(A130,0, 1) -0</f>
        <v>-6.3532623872351905</v>
      </c>
      <c r="BO130" s="1">
        <f ca="1">OFFSET(A130,0, 19) -0</f>
        <v>-45.756851694171473</v>
      </c>
      <c r="BP130" s="1">
        <f ca="1">OFFSET(A130,0, 23) -0</f>
        <v>9.9312395709539487</v>
      </c>
      <c r="BQ130" s="1">
        <f ca="1">OFFSET(A130,0, 24) -0</f>
        <v>28.853262387235191</v>
      </c>
      <c r="BR130" s="1">
        <f ca="1">OFFSET(A130,0, 15) -0</f>
        <v>18.555057040703332</v>
      </c>
      <c r="BS130" s="1">
        <f ca="1">OFFSET(A130,0, 22) -0</f>
        <v>-88.990783245327293</v>
      </c>
      <c r="BT130" s="1">
        <f ca="1">OFFSET(A130,0, 14) -0</f>
        <v>49.633034224421976</v>
      </c>
      <c r="BU130" s="1">
        <f ca="1">OFFSET(A130,0, 21) -0</f>
        <v>-97.912806061608762</v>
      </c>
      <c r="BV130" s="1">
        <f ca="1">OFFSET(A130,0, 17) -0</f>
        <v>16.399102673265929</v>
      </c>
      <c r="BW130" s="1">
        <f ca="1">OFFSET(A130,0, 16) -0</f>
        <v>57.477079856984687</v>
      </c>
      <c r="BX130" s="1">
        <f ca="1">OFFSET(A130,0, 18) -0</f>
        <v>5.3211254895472848</v>
      </c>
      <c r="BY130" s="1">
        <f ca="1">OFFSET(A130,0, 20) -0</f>
        <v>13.165171122109996</v>
      </c>
      <c r="BZ130" s="1">
        <f ca="1">OFFSET(A130,0, 13) -0</f>
        <v>10.711011408140664</v>
      </c>
      <c r="CB130" s="1">
        <f>COUNTIF(B130,"&lt;-75")</f>
        <v>0</v>
      </c>
      <c r="CC130" s="1">
        <f ca="1">COUNTIF(BC130:BN130,"&lt;-53")</f>
        <v>2</v>
      </c>
      <c r="CD130" s="1">
        <f ca="1">COUNTIF(BC130:BN130,"&gt;+53")</f>
        <v>1</v>
      </c>
      <c r="CE130" s="1">
        <f ca="1">COUNTIF(BO130:BZ130,"&lt;-53")</f>
        <v>2</v>
      </c>
      <c r="CF130" s="1">
        <f ca="1">COUNTIF(BO130:BZ130,"&gt;+53")</f>
        <v>1</v>
      </c>
    </row>
    <row r="131" spans="1:84">
      <c r="A131" s="1">
        <v>128</v>
      </c>
      <c r="B131" s="1">
        <f>'Touch 1 1'!B131-'Touch 1 1'!$AA131-('Touch 1 1'!B$2- 12.5)*'Touch 1 1'!$AC131</f>
        <v>19.175323286714047</v>
      </c>
      <c r="C131" s="1">
        <f>'Touch 1 1'!C131-'Touch 1 1'!$AA131-('Touch 1 1'!C$2- 12.5)*'Touch 1 1'!$AC131</f>
        <v>-11.151516419380187</v>
      </c>
      <c r="D131" s="1">
        <f>'Touch 1 1'!D131-'Touch 1 1'!$AA131-('Touch 1 1'!D$2- 12.5)*'Touch 1 1'!$AC131</f>
        <v>-1.4783561254748747</v>
      </c>
      <c r="E131" s="1">
        <f>'Touch 1 1'!E131-'Touch 1 1'!$AA131-('Touch 1 1'!E$2- 12.5)*'Touch 1 1'!$AC131</f>
        <v>28.194804168430892</v>
      </c>
      <c r="F131" s="1">
        <f>'Touch 1 1'!F131-'Touch 1 1'!$AA131-('Touch 1 1'!F$2- 12.5)*'Touch 1 1'!$AC131</f>
        <v>-2.1320355376637963</v>
      </c>
      <c r="G131" s="1">
        <f>'Touch 1 1'!G131-'Touch 1 1'!$AA131-('Touch 1 1'!G$2- 12.5)*'Touch 1 1'!$AC131</f>
        <v>-2.4588752437580297</v>
      </c>
      <c r="H131" s="1">
        <f>'Touch 1 1'!H131-'Touch 1 1'!$AA131-('Touch 1 1'!H$2- 12.5)*'Touch 1 1'!$AC131</f>
        <v>47.214285050147282</v>
      </c>
      <c r="I131" s="1">
        <f>'Touch 1 1'!I131-'Touch 1 1'!$AA131-('Touch 1 1'!I$2- 12.5)*'Touch 1 1'!$AC131</f>
        <v>46.887445344052935</v>
      </c>
      <c r="J131" s="1">
        <f>'Touch 1 1'!J131-'Touch 1 1'!$AA131-('Touch 1 1'!J$2- 12.5)*'Touch 1 1'!$AC131</f>
        <v>-53.439394362041526</v>
      </c>
      <c r="K131" s="1">
        <f>'Touch 1 1'!K131-'Touch 1 1'!$AA131-('Touch 1 1'!K$2- 12.5)*'Touch 1 1'!$AC131</f>
        <v>-53.766234068135986</v>
      </c>
      <c r="L131" s="1">
        <f>'Touch 1 1'!L131-'Touch 1 1'!$AA131-('Touch 1 1'!L$2- 12.5)*'Touch 1 1'!$AC131</f>
        <v>-14.093073774230447</v>
      </c>
      <c r="M131" s="1">
        <f>'Touch 1 1'!M131-'Touch 1 1'!$AA131-('Touch 1 1'!M$2- 12.5)*'Touch 1 1'!$AC131</f>
        <v>-54.419913480324908</v>
      </c>
      <c r="N131" s="1">
        <f>'Touch 1 1'!N131-'Touch 1 1'!$AA131-('Touch 1 1'!N$2- 12.5)*'Touch 1 1'!$AC131</f>
        <v>15.253246813580631</v>
      </c>
      <c r="O131" s="1">
        <f>'Touch 1 1'!O131-'Touch 1 1'!$AA131-('Touch 1 1'!O$2- 12.5)*'Touch 1 1'!$AC131</f>
        <v>44.92640710748617</v>
      </c>
      <c r="P131" s="1">
        <f>'Touch 1 1'!P131-'Touch 1 1'!$AA131-('Touch 1 1'!P$2- 12.5)*'Touch 1 1'!$AC131</f>
        <v>44.59956740139171</v>
      </c>
      <c r="Q131" s="1">
        <f>'Touch 1 1'!Q131-'Touch 1 1'!$AA131-('Touch 1 1'!Q$2- 12.5)*'Touch 1 1'!$AC131</f>
        <v>24.272727695297249</v>
      </c>
      <c r="R131" s="1">
        <f>'Touch 1 1'!R131-'Touch 1 1'!$AA131-('Touch 1 1'!R$2- 12.5)*'Touch 1 1'!$AC131</f>
        <v>-6.054112010797212</v>
      </c>
      <c r="S131" s="1">
        <f>'Touch 1 1'!S131-'Touch 1 1'!$AA131-('Touch 1 1'!S$2- 12.5)*'Touch 1 1'!$AC131</f>
        <v>-16.380951716891559</v>
      </c>
      <c r="T131" s="1">
        <f>'Touch 1 1'!T131-'Touch 1 1'!$AA131-('Touch 1 1'!T$2- 12.5)*'Touch 1 1'!$AC131</f>
        <v>23.292208577013753</v>
      </c>
      <c r="U131" s="1">
        <f>'Touch 1 1'!U131-'Touch 1 1'!$AA131-('Touch 1 1'!U$2- 12.5)*'Touch 1 1'!$AC131</f>
        <v>-27.034631129080481</v>
      </c>
      <c r="V131" s="1">
        <f>'Touch 1 1'!V131-'Touch 1 1'!$AA131-('Touch 1 1'!V$2- 12.5)*'Touch 1 1'!$AC131</f>
        <v>2.6385291648248312</v>
      </c>
      <c r="W131" s="1">
        <f>'Touch 1 1'!W131-'Touch 1 1'!$AA131-('Touch 1 1'!W$2- 12.5)*'Touch 1 1'!$AC131</f>
        <v>-27.688310541269402</v>
      </c>
      <c r="X131" s="1">
        <f>'Touch 1 1'!X131-'Touch 1 1'!$AA131-('Touch 1 1'!X$2- 12.5)*'Touch 1 1'!$AC131</f>
        <v>-18.01515024736409</v>
      </c>
      <c r="Y131" s="1">
        <f>'Touch 1 1'!Y131-'Touch 1 1'!$AA131-('Touch 1 1'!Y$2- 12.5)*'Touch 1 1'!$AC131</f>
        <v>-8.3419899534583237</v>
      </c>
      <c r="AB131" s="1">
        <f>STDEV(B131:Y131)</f>
        <v>31.074642601225221</v>
      </c>
      <c r="AD131" s="11">
        <v>6</v>
      </c>
      <c r="AE131" s="11" t="s">
        <v>46</v>
      </c>
      <c r="AF131" s="11">
        <v>9</v>
      </c>
      <c r="AG131" s="11">
        <v>4</v>
      </c>
      <c r="AH131" s="11" t="s">
        <v>44</v>
      </c>
      <c r="AI131" s="11">
        <v>8</v>
      </c>
      <c r="AJ131" s="11" t="s">
        <v>45</v>
      </c>
      <c r="AK131" s="11">
        <v>1</v>
      </c>
      <c r="AL131" s="11">
        <v>5</v>
      </c>
      <c r="AM131" s="11">
        <v>7</v>
      </c>
      <c r="AN131" s="11">
        <v>3</v>
      </c>
      <c r="AO131" s="11">
        <v>2</v>
      </c>
      <c r="AP131" s="11" t="s">
        <v>46</v>
      </c>
      <c r="AQ131" s="11">
        <v>6</v>
      </c>
      <c r="AR131" s="11">
        <v>4</v>
      </c>
      <c r="AS131" s="11">
        <v>9</v>
      </c>
      <c r="AT131" s="11">
        <v>8</v>
      </c>
      <c r="AU131" s="11" t="s">
        <v>44</v>
      </c>
      <c r="AV131" s="11" t="s">
        <v>45</v>
      </c>
      <c r="AW131" s="11">
        <v>5</v>
      </c>
      <c r="AX131" s="11">
        <v>1</v>
      </c>
      <c r="AY131" s="11">
        <v>7</v>
      </c>
      <c r="AZ131" s="11">
        <v>2</v>
      </c>
      <c r="BA131" s="11">
        <v>3</v>
      </c>
      <c r="BB131" s="5"/>
      <c r="BC131" s="1">
        <f ca="1">OFFSET(A131,0, 8) -0</f>
        <v>46.887445344052935</v>
      </c>
      <c r="BD131" s="1">
        <f ca="1">OFFSET(A131,0, 12) -0</f>
        <v>-54.419913480324908</v>
      </c>
      <c r="BE131" s="1">
        <f ca="1">OFFSET(A131,0, 11) -0</f>
        <v>-14.093073774230447</v>
      </c>
      <c r="BF131" s="1">
        <f ca="1">OFFSET(A131,0, 4) -0</f>
        <v>28.194804168430892</v>
      </c>
      <c r="BG131" s="1">
        <f ca="1">OFFSET(A131,0, 9) -0</f>
        <v>-53.439394362041526</v>
      </c>
      <c r="BH131" s="1">
        <f ca="1">OFFSET(A131,0, 1) -0</f>
        <v>19.175323286714047</v>
      </c>
      <c r="BI131" s="1">
        <f ca="1">OFFSET(A131,0, 10) -0</f>
        <v>-53.766234068135986</v>
      </c>
      <c r="BJ131" s="1">
        <f ca="1">OFFSET(A131,0, 6) -0</f>
        <v>-2.4588752437580297</v>
      </c>
      <c r="BK131" s="1">
        <f ca="1">OFFSET(A131,0, 3) -0</f>
        <v>-1.4783561254748747</v>
      </c>
      <c r="BL131" s="1">
        <f ca="1">OFFSET(A131,0, 5) -0</f>
        <v>-2.1320355376637963</v>
      </c>
      <c r="BM131" s="1">
        <f ca="1">OFFSET(A131,0, 7) -0</f>
        <v>47.214285050147282</v>
      </c>
      <c r="BN131" s="1">
        <f ca="1">OFFSET(A131,0, 2) -0</f>
        <v>-11.151516419380187</v>
      </c>
      <c r="BO131" s="1">
        <f ca="1">OFFSET(A131,0, 21) -0</f>
        <v>2.6385291648248312</v>
      </c>
      <c r="BP131" s="1">
        <f ca="1">OFFSET(A131,0, 23) -0</f>
        <v>-18.01515024736409</v>
      </c>
      <c r="BQ131" s="1">
        <f ca="1">OFFSET(A131,0, 24) -0</f>
        <v>-8.3419899534583237</v>
      </c>
      <c r="BR131" s="1">
        <f ca="1">OFFSET(A131,0, 15) -0</f>
        <v>44.59956740139171</v>
      </c>
      <c r="BS131" s="1">
        <f ca="1">OFFSET(A131,0, 20) -0</f>
        <v>-27.034631129080481</v>
      </c>
      <c r="BT131" s="1">
        <f ca="1">OFFSET(A131,0, 14) -0</f>
        <v>44.92640710748617</v>
      </c>
      <c r="BU131" s="1">
        <f ca="1">OFFSET(A131,0, 22) -0</f>
        <v>-27.688310541269402</v>
      </c>
      <c r="BV131" s="1">
        <f ca="1">OFFSET(A131,0, 17) -0</f>
        <v>-6.054112010797212</v>
      </c>
      <c r="BW131" s="1">
        <f ca="1">OFFSET(A131,0, 16) -0</f>
        <v>24.272727695297249</v>
      </c>
      <c r="BX131" s="1">
        <f ca="1">OFFSET(A131,0, 18) -0</f>
        <v>-16.380951716891559</v>
      </c>
      <c r="BY131" s="1">
        <f ca="1">OFFSET(A131,0, 19) -0</f>
        <v>23.292208577013753</v>
      </c>
      <c r="BZ131" s="1">
        <f ca="1">OFFSET(A131,0, 13) -0</f>
        <v>15.253246813580631</v>
      </c>
      <c r="CB131" s="1">
        <f>COUNTIF(B131,"&lt;-74")</f>
        <v>0</v>
      </c>
      <c r="CC131" s="1">
        <f ca="1">COUNTIF(BC131:BN131,"&lt;-53")</f>
        <v>3</v>
      </c>
      <c r="CD131" s="1">
        <f ca="1">COUNTIF(BC131:BN131,"&gt;+53")</f>
        <v>0</v>
      </c>
      <c r="CE131" s="1">
        <f ca="1">COUNTIF(BO131:BZ131,"&lt;-53")</f>
        <v>0</v>
      </c>
      <c r="CF131" s="1">
        <f ca="1">COUNTIF(BO131:BZ131,"&gt;+53")</f>
        <v>0</v>
      </c>
    </row>
    <row r="132" spans="1:84">
      <c r="A132" s="1">
        <v>129</v>
      </c>
      <c r="B132" s="1">
        <f>'Touch 1 1'!B132-'Touch 1 1'!$AA132-('Touch 1 1'!B$2- 12.5)*'Touch 1 1'!$AC132</f>
        <v>-21.28092690561698</v>
      </c>
      <c r="C132" s="1">
        <f>'Touch 1 1'!C132-'Touch 1 1'!$AA132-('Touch 1 1'!C$2- 12.5)*'Touch 1 1'!$AC132</f>
        <v>-1.9666434065748035</v>
      </c>
      <c r="D132" s="1">
        <f>'Touch 1 1'!D132-'Touch 1 1'!$AA132-('Touch 1 1'!D$2- 12.5)*'Touch 1 1'!$AC132</f>
        <v>-32.652359907531945</v>
      </c>
      <c r="E132" s="1">
        <f>'Touch 1 1'!E132-'Touch 1 1'!$AA132-('Touch 1 1'!E$2- 12.5)*'Touch 1 1'!$AC132</f>
        <v>6.6619235915104582</v>
      </c>
      <c r="F132" s="1">
        <f>'Touch 1 1'!F132-'Touch 1 1'!$AA132-('Touch 1 1'!F$2- 12.5)*'Touch 1 1'!$AC132</f>
        <v>-4.0237929094469109</v>
      </c>
      <c r="G132" s="1">
        <f>'Touch 1 1'!G132-'Touch 1 1'!$AA132-('Touch 1 1'!G$2- 12.5)*'Touch 1 1'!$AC132</f>
        <v>25.290490589595493</v>
      </c>
      <c r="H132" s="1">
        <f>'Touch 1 1'!H132-'Touch 1 1'!$AA132-('Touch 1 1'!H$2- 12.5)*'Touch 1 1'!$AC132</f>
        <v>-45.395225911361877</v>
      </c>
      <c r="I132" s="1">
        <f>'Touch 1 1'!I132-'Touch 1 1'!$AA132-('Touch 1 1'!I$2- 12.5)*'Touch 1 1'!$AC132</f>
        <v>73.919057587680641</v>
      </c>
      <c r="J132" s="1">
        <f>'Touch 1 1'!J132-'Touch 1 1'!$AA132-('Touch 1 1'!J$2- 12.5)*'Touch 1 1'!$AC132</f>
        <v>13.233341086723271</v>
      </c>
      <c r="K132" s="1">
        <f>'Touch 1 1'!K132-'Touch 1 1'!$AA132-('Touch 1 1'!K$2- 12.5)*'Touch 1 1'!$AC132</f>
        <v>-7.4523754142342113</v>
      </c>
      <c r="L132" s="1">
        <f>'Touch 1 1'!L132-'Touch 1 1'!$AA132-('Touch 1 1'!L$2- 12.5)*'Touch 1 1'!$AC132</f>
        <v>11.861908084808306</v>
      </c>
      <c r="M132" s="1">
        <f>'Touch 1 1'!M132-'Touch 1 1'!$AA132-('Touch 1 1'!M$2- 12.5)*'Touch 1 1'!$AC132</f>
        <v>-28.823808416149134</v>
      </c>
      <c r="N132" s="1">
        <f>'Touch 1 1'!N132-'Touch 1 1'!$AA132-('Touch 1 1'!N$2- 12.5)*'Touch 1 1'!$AC132</f>
        <v>-29.509524917106589</v>
      </c>
      <c r="O132" s="1">
        <f>'Touch 1 1'!O132-'Touch 1 1'!$AA132-('Touch 1 1'!O$2- 12.5)*'Touch 1 1'!$AC132</f>
        <v>29.804758581935971</v>
      </c>
      <c r="P132" s="1">
        <f>'Touch 1 1'!P132-'Touch 1 1'!$AA132-('Touch 1 1'!P$2- 12.5)*'Touch 1 1'!$AC132</f>
        <v>-30.880957919021512</v>
      </c>
      <c r="Q132" s="1">
        <f>'Touch 1 1'!Q132-'Touch 1 1'!$AA132-('Touch 1 1'!Q$2- 12.5)*'Touch 1 1'!$AC132</f>
        <v>-31.566674419978995</v>
      </c>
      <c r="R132" s="1">
        <f>'Touch 1 1'!R132-'Touch 1 1'!$AA132-('Touch 1 1'!R$2- 12.5)*'Touch 1 1'!$AC132</f>
        <v>-22.252390920936364</v>
      </c>
      <c r="S132" s="1">
        <f>'Touch 1 1'!S132-'Touch 1 1'!$AA132-('Touch 1 1'!S$2- 12.5)*'Touch 1 1'!$AC132</f>
        <v>-42.938107421893847</v>
      </c>
      <c r="T132" s="1">
        <f>'Touch 1 1'!T132-'Touch 1 1'!$AA132-('Touch 1 1'!T$2- 12.5)*'Touch 1 1'!$AC132</f>
        <v>-23.623823922851216</v>
      </c>
      <c r="U132" s="1">
        <f>'Touch 1 1'!U132-'Touch 1 1'!$AA132-('Touch 1 1'!U$2- 12.5)*'Touch 1 1'!$AC132</f>
        <v>45.690459576191188</v>
      </c>
      <c r="V132" s="1">
        <f>'Touch 1 1'!V132-'Touch 1 1'!$AA132-('Touch 1 1'!V$2- 12.5)*'Touch 1 1'!$AC132</f>
        <v>85.004743075233819</v>
      </c>
      <c r="W132" s="1">
        <f>'Touch 1 1'!W132-'Touch 1 1'!$AA132-('Touch 1 1'!W$2- 12.5)*'Touch 1 1'!$AC132</f>
        <v>-5.6809734257237778</v>
      </c>
      <c r="X132" s="1">
        <f>'Touch 1 1'!X132-'Touch 1 1'!$AA132-('Touch 1 1'!X$2- 12.5)*'Touch 1 1'!$AC132</f>
        <v>13.63331007331908</v>
      </c>
      <c r="Y132" s="1">
        <f>'Touch 1 1'!Y132-'Touch 1 1'!$AA132-('Touch 1 1'!Y$2- 12.5)*'Touch 1 1'!$AC132</f>
        <v>22.947593572361257</v>
      </c>
      <c r="AB132" s="1">
        <f>STDEV(B132:Y132)</f>
        <v>34.650019842812043</v>
      </c>
      <c r="AD132" s="11">
        <v>6</v>
      </c>
      <c r="AE132" s="11" t="s">
        <v>46</v>
      </c>
      <c r="AF132" s="11">
        <v>9</v>
      </c>
      <c r="AG132" s="11">
        <v>4</v>
      </c>
      <c r="AH132" s="11" t="s">
        <v>44</v>
      </c>
      <c r="AI132" s="11">
        <v>8</v>
      </c>
      <c r="AJ132" s="11">
        <v>5</v>
      </c>
      <c r="AK132" s="11" t="s">
        <v>45</v>
      </c>
      <c r="AL132" s="11">
        <v>7</v>
      </c>
      <c r="AM132" s="11">
        <v>1</v>
      </c>
      <c r="AN132" s="11">
        <v>3</v>
      </c>
      <c r="AO132" s="11">
        <v>2</v>
      </c>
      <c r="AP132" s="11">
        <v>6</v>
      </c>
      <c r="AQ132" s="11">
        <v>9</v>
      </c>
      <c r="AR132" s="11" t="s">
        <v>46</v>
      </c>
      <c r="AS132" s="11" t="s">
        <v>44</v>
      </c>
      <c r="AT132" s="11">
        <v>4</v>
      </c>
      <c r="AU132" s="11">
        <v>5</v>
      </c>
      <c r="AV132" s="11">
        <v>8</v>
      </c>
      <c r="AW132" s="11" t="s">
        <v>45</v>
      </c>
      <c r="AX132" s="11">
        <v>1</v>
      </c>
      <c r="AY132" s="11">
        <v>7</v>
      </c>
      <c r="AZ132" s="11">
        <v>2</v>
      </c>
      <c r="BA132" s="11">
        <v>3</v>
      </c>
      <c r="BB132" s="5"/>
      <c r="BC132" s="1">
        <f ca="1">OFFSET(A132,0, 10) -0</f>
        <v>-7.4523754142342113</v>
      </c>
      <c r="BD132" s="1">
        <f ca="1">OFFSET(A132,0, 12) -0</f>
        <v>-28.823808416149134</v>
      </c>
      <c r="BE132" s="1">
        <f ca="1">OFFSET(A132,0, 11) -0</f>
        <v>11.861908084808306</v>
      </c>
      <c r="BF132" s="1">
        <f ca="1">OFFSET(A132,0, 4) -0</f>
        <v>6.6619235915104582</v>
      </c>
      <c r="BG132" s="1">
        <f ca="1">OFFSET(A132,0, 7) -0</f>
        <v>-45.395225911361877</v>
      </c>
      <c r="BH132" s="1">
        <f ca="1">OFFSET(A132,0, 1) -0</f>
        <v>-21.28092690561698</v>
      </c>
      <c r="BI132" s="1">
        <f ca="1">OFFSET(A132,0, 9) -0</f>
        <v>13.233341086723271</v>
      </c>
      <c r="BJ132" s="1">
        <f ca="1">OFFSET(A132,0, 6) -0</f>
        <v>25.290490589595493</v>
      </c>
      <c r="BK132" s="1">
        <f ca="1">OFFSET(A132,0, 3) -0</f>
        <v>-32.652359907531945</v>
      </c>
      <c r="BL132" s="1">
        <f ca="1">OFFSET(A132,0, 5) -0</f>
        <v>-4.0237929094469109</v>
      </c>
      <c r="BM132" s="1">
        <f ca="1">OFFSET(A132,0, 8) -0</f>
        <v>73.919057587680641</v>
      </c>
      <c r="BN132" s="1">
        <f ca="1">OFFSET(A132,0, 2) -0</f>
        <v>-1.9666434065748035</v>
      </c>
      <c r="BO132" s="1">
        <f ca="1">OFFSET(A132,0, 21) -0</f>
        <v>85.004743075233819</v>
      </c>
      <c r="BP132" s="1">
        <f ca="1">OFFSET(A132,0, 23) -0</f>
        <v>13.63331007331908</v>
      </c>
      <c r="BQ132" s="1">
        <f ca="1">OFFSET(A132,0, 24) -0</f>
        <v>22.947593572361257</v>
      </c>
      <c r="BR132" s="1">
        <f ca="1">OFFSET(A132,0, 17) -0</f>
        <v>-22.252390920936364</v>
      </c>
      <c r="BS132" s="1">
        <f ca="1">OFFSET(A132,0, 18) -0</f>
        <v>-42.938107421893847</v>
      </c>
      <c r="BT132" s="1">
        <f ca="1">OFFSET(A132,0, 13) -0</f>
        <v>-29.509524917106589</v>
      </c>
      <c r="BU132" s="1">
        <f ca="1">OFFSET(A132,0, 22) -0</f>
        <v>-5.6809734257237778</v>
      </c>
      <c r="BV132" s="1">
        <f ca="1">OFFSET(A132,0, 19) -0</f>
        <v>-23.623823922851216</v>
      </c>
      <c r="BW132" s="1">
        <f ca="1">OFFSET(A132,0, 14) -0</f>
        <v>29.804758581935971</v>
      </c>
      <c r="BX132" s="1">
        <f ca="1">OFFSET(A132,0, 16) -0</f>
        <v>-31.566674419978995</v>
      </c>
      <c r="BY132" s="1">
        <f ca="1">OFFSET(A132,0, 20) -0</f>
        <v>45.690459576191188</v>
      </c>
      <c r="BZ132" s="1">
        <f ca="1">OFFSET(A132,0, 15) -0</f>
        <v>-30.880957919021512</v>
      </c>
      <c r="CB132" s="1">
        <f>COUNTIF(B132,"&lt;-74")</f>
        <v>0</v>
      </c>
      <c r="CC132" s="1">
        <f ca="1">COUNTIF(BC132:BN132,"&lt;-53")</f>
        <v>0</v>
      </c>
      <c r="CD132" s="1">
        <f ca="1">COUNTIF(BC132:BN132,"&gt;+53")</f>
        <v>1</v>
      </c>
      <c r="CE132" s="1">
        <f ca="1">COUNTIF(BO132:BZ132,"&lt;-53")</f>
        <v>0</v>
      </c>
      <c r="CF132" s="1">
        <f ca="1">COUNTIF(BO132:BZ132,"&gt;+53")</f>
        <v>1</v>
      </c>
    </row>
    <row r="133" spans="1:84">
      <c r="A133" s="1">
        <v>130</v>
      </c>
      <c r="B133" s="1">
        <f>'Touch 1 1'!B133-'Touch 1 1'!$AA133-('Touch 1 1'!B$2- 12.5)*'Touch 1 1'!$AC133</f>
        <v>22.551388632395174</v>
      </c>
      <c r="C133" s="1">
        <f>'Touch 1 1'!C133-'Touch 1 1'!$AA133-('Touch 1 1'!C$2- 12.5)*'Touch 1 1'!$AC133</f>
        <v>-8.7936596544764143</v>
      </c>
      <c r="D133" s="1">
        <f>'Touch 1 1'!D133-'Touch 1 1'!$AA133-('Touch 1 1'!D$2- 12.5)*'Touch 1 1'!$AC133</f>
        <v>-40.138707941348002</v>
      </c>
      <c r="E133" s="1">
        <f>'Touch 1 1'!E133-'Touch 1 1'!$AA133-('Touch 1 1'!E$2- 12.5)*'Touch 1 1'!$AC133</f>
        <v>-71.48375622821959</v>
      </c>
      <c r="F133" s="1">
        <f>'Touch 1 1'!F133-'Touch 1 1'!$AA133-('Touch 1 1'!F$2- 12.5)*'Touch 1 1'!$AC133</f>
        <v>-82.828804515091178</v>
      </c>
      <c r="G133" s="1">
        <f>'Touch 1 1'!G133-'Touch 1 1'!$AA133-('Touch 1 1'!G$2- 12.5)*'Touch 1 1'!$AC133</f>
        <v>5.8261471980372335</v>
      </c>
      <c r="H133" s="1">
        <f>'Touch 1 1'!H133-'Touch 1 1'!$AA133-('Touch 1 1'!H$2- 12.5)*'Touch 1 1'!$AC133</f>
        <v>34.481098911165645</v>
      </c>
      <c r="I133" s="1">
        <f>'Touch 1 1'!I133-'Touch 1 1'!$AA133-('Touch 1 1'!I$2- 12.5)*'Touch 1 1'!$AC133</f>
        <v>53.136050624294171</v>
      </c>
      <c r="J133" s="1">
        <f>'Touch 1 1'!J133-'Touch 1 1'!$AA133-('Touch 1 1'!J$2- 12.5)*'Touch 1 1'!$AC133</f>
        <v>31.791002337422583</v>
      </c>
      <c r="K133" s="1">
        <f>'Touch 1 1'!K133-'Touch 1 1'!$AA133-('Touch 1 1'!K$2- 12.5)*'Touch 1 1'!$AC133</f>
        <v>0.44595405055099491</v>
      </c>
      <c r="L133" s="1">
        <f>'Touch 1 1'!L133-'Touch 1 1'!$AA133-('Touch 1 1'!L$2- 12.5)*'Touch 1 1'!$AC133</f>
        <v>39.100905763679464</v>
      </c>
      <c r="M133" s="1">
        <f>'Touch 1 1'!M133-'Touch 1 1'!$AA133-('Touch 1 1'!M$2- 12.5)*'Touch 1 1'!$AC133</f>
        <v>7.7558574768079183</v>
      </c>
      <c r="N133" s="1">
        <f>'Touch 1 1'!N133-'Touch 1 1'!$AA133-('Touch 1 1'!N$2- 12.5)*'Touch 1 1'!$AC133</f>
        <v>-13.589190810063641</v>
      </c>
      <c r="O133" s="1">
        <f>'Touch 1 1'!O133-'Touch 1 1'!$AA133-('Touch 1 1'!O$2- 12.5)*'Touch 1 1'!$AC133</f>
        <v>-14.934239096935187</v>
      </c>
      <c r="P133" s="1">
        <f>'Touch 1 1'!P133-'Touch 1 1'!$AA133-('Touch 1 1'!P$2- 12.5)*'Touch 1 1'!$AC133</f>
        <v>-36.279287383806718</v>
      </c>
      <c r="Q133" s="1">
        <f>'Touch 1 1'!Q133-'Touch 1 1'!$AA133-('Touch 1 1'!Q$2- 12.5)*'Touch 1 1'!$AC133</f>
        <v>12.375664329321694</v>
      </c>
      <c r="R133" s="1">
        <f>'Touch 1 1'!R133-'Touch 1 1'!$AA133-('Touch 1 1'!R$2- 12.5)*'Touch 1 1'!$AC133</f>
        <v>-18.969383957549894</v>
      </c>
      <c r="S133" s="1">
        <f>'Touch 1 1'!S133-'Touch 1 1'!$AA133-('Touch 1 1'!S$2- 12.5)*'Touch 1 1'!$AC133</f>
        <v>-20.314432244421369</v>
      </c>
      <c r="T133" s="1">
        <f>'Touch 1 1'!T133-'Touch 1 1'!$AA133-('Touch 1 1'!T$2- 12.5)*'Touch 1 1'!$AC133</f>
        <v>-1.6594805312929566</v>
      </c>
      <c r="U133" s="1">
        <f>'Touch 1 1'!U133-'Touch 1 1'!$AA133-('Touch 1 1'!U$2- 12.5)*'Touch 1 1'!$AC133</f>
        <v>46.995471181835455</v>
      </c>
      <c r="V133" s="1">
        <f>'Touch 1 1'!V133-'Touch 1 1'!$AA133-('Touch 1 1'!V$2- 12.5)*'Touch 1 1'!$AC133</f>
        <v>-74.349577105036133</v>
      </c>
      <c r="W133" s="1">
        <f>'Touch 1 1'!W133-'Touch 1 1'!$AA133-('Touch 1 1'!W$2- 12.5)*'Touch 1 1'!$AC133</f>
        <v>14.305374608092279</v>
      </c>
      <c r="X133" s="1">
        <f>'Touch 1 1'!X133-'Touch 1 1'!$AA133-('Touch 1 1'!X$2- 12.5)*'Touch 1 1'!$AC133</f>
        <v>52.960326321220691</v>
      </c>
      <c r="Y133" s="1">
        <f>'Touch 1 1'!Y133-'Touch 1 1'!$AA133-('Touch 1 1'!Y$2- 12.5)*'Touch 1 1'!$AC133</f>
        <v>61.615278034349103</v>
      </c>
      <c r="AB133" s="1">
        <f>STDEV(B133:Y133)</f>
        <v>40.651436615119067</v>
      </c>
      <c r="AD133" s="11">
        <v>9</v>
      </c>
      <c r="AE133" s="11">
        <v>6</v>
      </c>
      <c r="AF133" s="11" t="s">
        <v>44</v>
      </c>
      <c r="AG133" s="11" t="s">
        <v>46</v>
      </c>
      <c r="AH133" s="11">
        <v>5</v>
      </c>
      <c r="AI133" s="11">
        <v>4</v>
      </c>
      <c r="AJ133" s="11" t="s">
        <v>45</v>
      </c>
      <c r="AK133" s="11">
        <v>8</v>
      </c>
      <c r="AL133" s="11">
        <v>7</v>
      </c>
      <c r="AM133" s="11">
        <v>1</v>
      </c>
      <c r="AN133" s="11">
        <v>3</v>
      </c>
      <c r="AO133" s="11">
        <v>2</v>
      </c>
      <c r="AP133" s="11">
        <v>6</v>
      </c>
      <c r="AQ133" s="11">
        <v>9</v>
      </c>
      <c r="AR133" s="11" t="s">
        <v>46</v>
      </c>
      <c r="AS133" s="11" t="s">
        <v>44</v>
      </c>
      <c r="AT133" s="11">
        <v>4</v>
      </c>
      <c r="AU133" s="11">
        <v>5</v>
      </c>
      <c r="AV133" s="11">
        <v>8</v>
      </c>
      <c r="AW133" s="11" t="s">
        <v>45</v>
      </c>
      <c r="AX133" s="11">
        <v>7</v>
      </c>
      <c r="AY133" s="11">
        <v>3</v>
      </c>
      <c r="AZ133" s="11">
        <v>1</v>
      </c>
      <c r="BA133" s="11">
        <v>2</v>
      </c>
      <c r="BB133" s="5"/>
      <c r="BC133" s="1">
        <f ca="1">OFFSET(A133,0, 10) -0</f>
        <v>0.44595405055099491</v>
      </c>
      <c r="BD133" s="1">
        <f ca="1">OFFSET(A133,0, 12) -0</f>
        <v>7.7558574768079183</v>
      </c>
      <c r="BE133" s="1">
        <f ca="1">OFFSET(A133,0, 11) -0</f>
        <v>39.100905763679464</v>
      </c>
      <c r="BF133" s="1">
        <f ca="1">OFFSET(A133,0, 6) -0</f>
        <v>5.8261471980372335</v>
      </c>
      <c r="BG133" s="1">
        <f ca="1">OFFSET(A133,0, 5) -0</f>
        <v>-82.828804515091178</v>
      </c>
      <c r="BH133" s="1">
        <f ca="1">OFFSET(A133,0, 2) -0</f>
        <v>-8.7936596544764143</v>
      </c>
      <c r="BI133" s="1">
        <f ca="1">OFFSET(A133,0, 9) -0</f>
        <v>31.791002337422583</v>
      </c>
      <c r="BJ133" s="1">
        <f ca="1">OFFSET(A133,0, 8) -0</f>
        <v>53.136050624294171</v>
      </c>
      <c r="BK133" s="1">
        <f ca="1">OFFSET(A133,0, 1) -0</f>
        <v>22.551388632395174</v>
      </c>
      <c r="BL133" s="1">
        <f ca="1">OFFSET(A133,0, 3) -0</f>
        <v>-40.138707941348002</v>
      </c>
      <c r="BM133" s="1">
        <f ca="1">OFFSET(A133,0, 7) -0</f>
        <v>34.481098911165645</v>
      </c>
      <c r="BN133" s="1">
        <f ca="1">OFFSET(A133,0, 4) -0</f>
        <v>-71.48375622821959</v>
      </c>
      <c r="BO133" s="1">
        <f ca="1">OFFSET(A133,0, 23) -0</f>
        <v>52.960326321220691</v>
      </c>
      <c r="BP133" s="1">
        <f ca="1">OFFSET(A133,0, 24) -0</f>
        <v>61.615278034349103</v>
      </c>
      <c r="BQ133" s="1">
        <f ca="1">OFFSET(A133,0, 22) -0</f>
        <v>14.305374608092279</v>
      </c>
      <c r="BR133" s="1">
        <f ca="1">OFFSET(A133,0, 17) -0</f>
        <v>-18.969383957549894</v>
      </c>
      <c r="BS133" s="1">
        <f ca="1">OFFSET(A133,0, 18) -0</f>
        <v>-20.314432244421369</v>
      </c>
      <c r="BT133" s="1">
        <f ca="1">OFFSET(A133,0, 13) -0</f>
        <v>-13.589190810063641</v>
      </c>
      <c r="BU133" s="1">
        <f ca="1">OFFSET(A133,0, 21) -0</f>
        <v>-74.349577105036133</v>
      </c>
      <c r="BV133" s="1">
        <f ca="1">OFFSET(A133,0, 19) -0</f>
        <v>-1.6594805312929566</v>
      </c>
      <c r="BW133" s="1">
        <f ca="1">OFFSET(A133,0, 14) -0</f>
        <v>-14.934239096935187</v>
      </c>
      <c r="BX133" s="1">
        <f ca="1">OFFSET(A133,0, 16) -0</f>
        <v>12.375664329321694</v>
      </c>
      <c r="BY133" s="1">
        <f ca="1">OFFSET(A133,0, 20) -0</f>
        <v>46.995471181835455</v>
      </c>
      <c r="BZ133" s="1">
        <f ca="1">OFFSET(A133,0, 15) -0</f>
        <v>-36.279287383806718</v>
      </c>
      <c r="CB133" s="1">
        <f>COUNTIF(B133,"&lt;-75")</f>
        <v>0</v>
      </c>
      <c r="CC133" s="1">
        <f ca="1">COUNTIF(BC133:BN133,"&lt;-53")</f>
        <v>2</v>
      </c>
      <c r="CD133" s="1">
        <f ca="1">COUNTIF(BC133:BN133,"&gt;+53")</f>
        <v>1</v>
      </c>
      <c r="CE133" s="1">
        <f ca="1">COUNTIF(BO133:BZ133,"&lt;-53")</f>
        <v>1</v>
      </c>
      <c r="CF133" s="1">
        <f ca="1">COUNTIF(BO133:BZ133,"&gt;+53")</f>
        <v>1</v>
      </c>
    </row>
    <row r="134" spans="1:84">
      <c r="A134" s="1">
        <v>131</v>
      </c>
      <c r="B134" s="1">
        <f>'Touch 1 1'!B134-'Touch 1 1'!$AA134-('Touch 1 1'!B$2- 12.5)*'Touch 1 1'!$AC134</f>
        <v>-4.1807819460273095</v>
      </c>
      <c r="C134" s="1">
        <f>'Touch 1 1'!C134-'Touch 1 1'!$AA134-('Touch 1 1'!C$2- 12.5)*'Touch 1 1'!$AC134</f>
        <v>-5.5925980086881282</v>
      </c>
      <c r="D134" s="1">
        <f>'Touch 1 1'!D134-'Touch 1 1'!$AA134-('Touch 1 1'!D$2- 12.5)*'Touch 1 1'!$AC134</f>
        <v>-17.004414071348947</v>
      </c>
      <c r="E134" s="1">
        <f>'Touch 1 1'!E134-'Touch 1 1'!$AA134-('Touch 1 1'!E$2- 12.5)*'Touch 1 1'!$AC134</f>
        <v>-8.416230134009993</v>
      </c>
      <c r="F134" s="1">
        <f>'Touch 1 1'!F134-'Touch 1 1'!$AA134-('Touch 1 1'!F$2- 12.5)*'Touch 1 1'!$AC134</f>
        <v>-79.828046196670812</v>
      </c>
      <c r="G134" s="1">
        <f>'Touch 1 1'!G134-'Touch 1 1'!$AA134-('Touch 1 1'!G$2- 12.5)*'Touch 1 1'!$AC134</f>
        <v>18.760137740668142</v>
      </c>
      <c r="H134" s="1">
        <f>'Touch 1 1'!H134-'Touch 1 1'!$AA134-('Touch 1 1'!H$2- 12.5)*'Touch 1 1'!$AC134</f>
        <v>27.348321678007323</v>
      </c>
      <c r="I134" s="1">
        <f>'Touch 1 1'!I134-'Touch 1 1'!$AA134-('Touch 1 1'!I$2- 12.5)*'Touch 1 1'!$AC134</f>
        <v>45.936505615346277</v>
      </c>
      <c r="J134" s="1">
        <f>'Touch 1 1'!J134-'Touch 1 1'!$AA134-('Touch 1 1'!J$2- 12.5)*'Touch 1 1'!$AC134</f>
        <v>4.5246895526854587</v>
      </c>
      <c r="K134" s="1">
        <f>'Touch 1 1'!K134-'Touch 1 1'!$AA134-('Touch 1 1'!K$2- 12.5)*'Touch 1 1'!$AC134</f>
        <v>3.1128734900244126</v>
      </c>
      <c r="L134" s="1">
        <f>'Touch 1 1'!L134-'Touch 1 1'!$AA134-('Touch 1 1'!L$2- 12.5)*'Touch 1 1'!$AC134</f>
        <v>1.701057427363537</v>
      </c>
      <c r="M134" s="1">
        <f>'Touch 1 1'!M134-'Touch 1 1'!$AA134-('Touch 1 1'!M$2- 12.5)*'Touch 1 1'!$AC134</f>
        <v>20.289241364702605</v>
      </c>
      <c r="N134" s="1">
        <f>'Touch 1 1'!N134-'Touch 1 1'!$AA134-('Touch 1 1'!N$2- 12.5)*'Touch 1 1'!$AC134</f>
        <v>18.877425302041672</v>
      </c>
      <c r="O134" s="1">
        <f>'Touch 1 1'!O134-'Touch 1 1'!$AA134-('Touch 1 1'!O$2- 12.5)*'Touch 1 1'!$AC134</f>
        <v>37.46560923938074</v>
      </c>
      <c r="P134" s="1">
        <f>'Touch 1 1'!P134-'Touch 1 1'!$AA134-('Touch 1 1'!P$2- 12.5)*'Touch 1 1'!$AC134</f>
        <v>-53.946206823280136</v>
      </c>
      <c r="Q134" s="1">
        <f>'Touch 1 1'!Q134-'Touch 1 1'!$AA134-('Touch 1 1'!Q$2- 12.5)*'Touch 1 1'!$AC134</f>
        <v>-15.358022885941182</v>
      </c>
      <c r="R134" s="1">
        <f>'Touch 1 1'!R134-'Touch 1 1'!$AA134-('Touch 1 1'!R$2- 12.5)*'Touch 1 1'!$AC134</f>
        <v>-56.769838948602001</v>
      </c>
      <c r="S134" s="1">
        <f>'Touch 1 1'!S134-'Touch 1 1'!$AA134-('Touch 1 1'!S$2- 12.5)*'Touch 1 1'!$AC134</f>
        <v>21.818344988736953</v>
      </c>
      <c r="T134" s="1">
        <f>'Touch 1 1'!T134-'Touch 1 1'!$AA134-('Touch 1 1'!T$2- 12.5)*'Touch 1 1'!$AC134</f>
        <v>-19.593471073923865</v>
      </c>
      <c r="U134" s="1">
        <f>'Touch 1 1'!U134-'Touch 1 1'!$AA134-('Touch 1 1'!U$2- 12.5)*'Touch 1 1'!$AC134</f>
        <v>28.994712863415089</v>
      </c>
      <c r="V134" s="1">
        <f>'Touch 1 1'!V134-'Touch 1 1'!$AA134-('Touch 1 1'!V$2- 12.5)*'Touch 1 1'!$AC134</f>
        <v>-32.41710319924573</v>
      </c>
      <c r="W134" s="1">
        <f>'Touch 1 1'!W134-'Touch 1 1'!$AA134-('Touch 1 1'!W$2- 12.5)*'Touch 1 1'!$AC134</f>
        <v>-43.828919261906776</v>
      </c>
      <c r="X134" s="1">
        <f>'Touch 1 1'!X134-'Touch 1 1'!$AA134-('Touch 1 1'!X$2- 12.5)*'Touch 1 1'!$AC134</f>
        <v>64.759264675432405</v>
      </c>
      <c r="Y134" s="1">
        <f>'Touch 1 1'!Y134-'Touch 1 1'!$AA134-('Touch 1 1'!Y$2- 12.5)*'Touch 1 1'!$AC134</f>
        <v>43.347448612771586</v>
      </c>
      <c r="AB134" s="1">
        <f>STDEV(B134:Y134)</f>
        <v>35.698101058345586</v>
      </c>
      <c r="AD134" s="11">
        <v>9</v>
      </c>
      <c r="AE134" s="11">
        <v>6</v>
      </c>
      <c r="AF134" s="11" t="s">
        <v>44</v>
      </c>
      <c r="AG134" s="11" t="s">
        <v>46</v>
      </c>
      <c r="AH134" s="11">
        <v>5</v>
      </c>
      <c r="AI134" s="11">
        <v>4</v>
      </c>
      <c r="AJ134" s="11" t="s">
        <v>45</v>
      </c>
      <c r="AK134" s="11">
        <v>8</v>
      </c>
      <c r="AL134" s="11">
        <v>3</v>
      </c>
      <c r="AM134" s="11">
        <v>7</v>
      </c>
      <c r="AN134" s="11">
        <v>2</v>
      </c>
      <c r="AO134" s="11">
        <v>1</v>
      </c>
      <c r="AP134" s="11">
        <v>9</v>
      </c>
      <c r="AQ134" s="11" t="s">
        <v>44</v>
      </c>
      <c r="AR134" s="11">
        <v>6</v>
      </c>
      <c r="AS134" s="11">
        <v>5</v>
      </c>
      <c r="AT134" s="11" t="s">
        <v>46</v>
      </c>
      <c r="AU134" s="11" t="s">
        <v>45</v>
      </c>
      <c r="AV134" s="11">
        <v>4</v>
      </c>
      <c r="AW134" s="11">
        <v>3</v>
      </c>
      <c r="AX134" s="11">
        <v>8</v>
      </c>
      <c r="AY134" s="11">
        <v>7</v>
      </c>
      <c r="AZ134" s="11">
        <v>1</v>
      </c>
      <c r="BA134" s="11">
        <v>2</v>
      </c>
      <c r="BB134" s="5"/>
      <c r="BC134" s="1">
        <f ca="1">OFFSET(A134,0, 12) -0</f>
        <v>20.289241364702605</v>
      </c>
      <c r="BD134" s="1">
        <f ca="1">OFFSET(A134,0, 11) -0</f>
        <v>1.701057427363537</v>
      </c>
      <c r="BE134" s="1">
        <f ca="1">OFFSET(A134,0, 9) -0</f>
        <v>4.5246895526854587</v>
      </c>
      <c r="BF134" s="1">
        <f ca="1">OFFSET(A134,0, 6) -0</f>
        <v>18.760137740668142</v>
      </c>
      <c r="BG134" s="1">
        <f ca="1">OFFSET(A134,0, 5) -0</f>
        <v>-79.828046196670812</v>
      </c>
      <c r="BH134" s="1">
        <f ca="1">OFFSET(A134,0, 2) -0</f>
        <v>-5.5925980086881282</v>
      </c>
      <c r="BI134" s="1">
        <f ca="1">OFFSET(A134,0, 10) -0</f>
        <v>3.1128734900244126</v>
      </c>
      <c r="BJ134" s="1">
        <f ca="1">OFFSET(A134,0, 8) -0</f>
        <v>45.936505615346277</v>
      </c>
      <c r="BK134" s="1">
        <f ca="1">OFFSET(A134,0, 1) -0</f>
        <v>-4.1807819460273095</v>
      </c>
      <c r="BL134" s="1">
        <f ca="1">OFFSET(A134,0, 3) -0</f>
        <v>-17.004414071348947</v>
      </c>
      <c r="BM134" s="1">
        <f ca="1">OFFSET(A134,0, 7) -0</f>
        <v>27.348321678007323</v>
      </c>
      <c r="BN134" s="1">
        <f ca="1">OFFSET(A134,0, 4) -0</f>
        <v>-8.416230134009993</v>
      </c>
      <c r="BO134" s="1">
        <f ca="1">OFFSET(A134,0, 23) -0</f>
        <v>64.759264675432405</v>
      </c>
      <c r="BP134" s="1">
        <f ca="1">OFFSET(A134,0, 24) -0</f>
        <v>43.347448612771586</v>
      </c>
      <c r="BQ134" s="1">
        <f ca="1">OFFSET(A134,0, 20) -0</f>
        <v>28.994712863415089</v>
      </c>
      <c r="BR134" s="1">
        <f ca="1">OFFSET(A134,0, 19) -0</f>
        <v>-19.593471073923865</v>
      </c>
      <c r="BS134" s="1">
        <f ca="1">OFFSET(A134,0, 16) -0</f>
        <v>-15.358022885941182</v>
      </c>
      <c r="BT134" s="1">
        <f ca="1">OFFSET(A134,0, 15) -0</f>
        <v>-53.946206823280136</v>
      </c>
      <c r="BU134" s="1">
        <f ca="1">OFFSET(A134,0, 22) -0</f>
        <v>-43.828919261906776</v>
      </c>
      <c r="BV134" s="1">
        <f ca="1">OFFSET(A134,0, 21) -0</f>
        <v>-32.41710319924573</v>
      </c>
      <c r="BW134" s="1">
        <f ca="1">OFFSET(A134,0, 13) -0</f>
        <v>18.877425302041672</v>
      </c>
      <c r="BX134" s="1">
        <f ca="1">OFFSET(A134,0, 14) -0</f>
        <v>37.46560923938074</v>
      </c>
      <c r="BY134" s="1">
        <f ca="1">OFFSET(A134,0, 18) -0</f>
        <v>21.818344988736953</v>
      </c>
      <c r="BZ134" s="1">
        <f ca="1">OFFSET(A134,0, 17) -0</f>
        <v>-56.769838948602001</v>
      </c>
      <c r="CB134" s="1">
        <f>COUNTIF(B134,"&lt;-75")</f>
        <v>0</v>
      </c>
      <c r="CC134" s="1">
        <f ca="1">COUNTIF(BC134:BN134,"&lt;-53")</f>
        <v>1</v>
      </c>
      <c r="CD134" s="1">
        <f ca="1">COUNTIF(BC134:BN134,"&gt;+53")</f>
        <v>0</v>
      </c>
      <c r="CE134" s="1">
        <f ca="1">COUNTIF(BO134:BZ134,"&lt;-53")</f>
        <v>2</v>
      </c>
      <c r="CF134" s="1">
        <f ca="1">COUNTIF(BO134:BZ134,"&gt;+53")</f>
        <v>1</v>
      </c>
    </row>
    <row r="135" spans="1:84">
      <c r="A135" s="1">
        <v>132</v>
      </c>
      <c r="B135" s="1">
        <f>'Touch 1 1'!B135-'Touch 1 1'!$AA135-('Touch 1 1'!B$2- 12.5)*'Touch 1 1'!$AC135</f>
        <v>-14.047496932596005</v>
      </c>
      <c r="C135" s="1">
        <f>'Touch 1 1'!C135-'Touch 1 1'!$AA135-('Touch 1 1'!C$2- 12.5)*'Touch 1 1'!$AC135</f>
        <v>-45.21727980802234</v>
      </c>
      <c r="D135" s="1">
        <f>'Touch 1 1'!D135-'Touch 1 1'!$AA135-('Touch 1 1'!D$2- 12.5)*'Touch 1 1'!$AC135</f>
        <v>-26.387062683448676</v>
      </c>
      <c r="E135" s="1">
        <f>'Touch 1 1'!E135-'Touch 1 1'!$AA135-('Touch 1 1'!E$2- 12.5)*'Touch 1 1'!$AC135</f>
        <v>2.4431544411247614</v>
      </c>
      <c r="F135" s="1">
        <f>'Touch 1 1'!F135-'Touch 1 1'!$AA135-('Touch 1 1'!F$2- 12.5)*'Touch 1 1'!$AC135</f>
        <v>21.273371565698426</v>
      </c>
      <c r="G135" s="1">
        <f>'Touch 1 1'!G135-'Touch 1 1'!$AA135-('Touch 1 1'!G$2- 12.5)*'Touch 1 1'!$AC135</f>
        <v>-29.896411309728137</v>
      </c>
      <c r="H135" s="1">
        <f>'Touch 1 1'!H135-'Touch 1 1'!$AA135-('Touch 1 1'!H$2- 12.5)*'Touch 1 1'!$AC135</f>
        <v>-11.066194185154473</v>
      </c>
      <c r="I135" s="1">
        <f>'Touch 1 1'!I135-'Touch 1 1'!$AA135-('Touch 1 1'!I$2- 12.5)*'Touch 1 1'!$AC135</f>
        <v>27.764022939418965</v>
      </c>
      <c r="J135" s="1">
        <f>'Touch 1 1'!J135-'Touch 1 1'!$AA135-('Touch 1 1'!J$2- 12.5)*'Touch 1 1'!$AC135</f>
        <v>6.5942400639926291</v>
      </c>
      <c r="K135" s="1">
        <f>'Touch 1 1'!K135-'Touch 1 1'!$AA135-('Touch 1 1'!K$2- 12.5)*'Touch 1 1'!$AC135</f>
        <v>-14.575542811433934</v>
      </c>
      <c r="L135" s="1">
        <f>'Touch 1 1'!L135-'Touch 1 1'!$AA135-('Touch 1 1'!L$2- 12.5)*'Touch 1 1'!$AC135</f>
        <v>-15.745325686860326</v>
      </c>
      <c r="M135" s="1">
        <f>'Touch 1 1'!M135-'Touch 1 1'!$AA135-('Touch 1 1'!M$2- 12.5)*'Touch 1 1'!$AC135</f>
        <v>33.084891437713225</v>
      </c>
      <c r="N135" s="1">
        <f>'Touch 1 1'!N135-'Touch 1 1'!$AA135-('Touch 1 1'!N$2- 12.5)*'Touch 1 1'!$AC135</f>
        <v>31.915108562286775</v>
      </c>
      <c r="O135" s="1">
        <f>'Touch 1 1'!O135-'Touch 1 1'!$AA135-('Touch 1 1'!O$2- 12.5)*'Touch 1 1'!$AC135</f>
        <v>-29.254674313139674</v>
      </c>
      <c r="P135" s="1">
        <f>'Touch 1 1'!P135-'Touch 1 1'!$AA135-('Touch 1 1'!P$2- 12.5)*'Touch 1 1'!$AC135</f>
        <v>-20.424457188566066</v>
      </c>
      <c r="Q135" s="1">
        <f>'Touch 1 1'!Q135-'Touch 1 1'!$AA135-('Touch 1 1'!Q$2- 12.5)*'Touch 1 1'!$AC135</f>
        <v>-51.594240063992629</v>
      </c>
      <c r="R135" s="1">
        <f>'Touch 1 1'!R135-'Touch 1 1'!$AA135-('Touch 1 1'!R$2- 12.5)*'Touch 1 1'!$AC135</f>
        <v>-32.764022939418965</v>
      </c>
      <c r="S135" s="1">
        <f>'Touch 1 1'!S135-'Touch 1 1'!$AA135-('Touch 1 1'!S$2- 12.5)*'Touch 1 1'!$AC135</f>
        <v>76.066194185154473</v>
      </c>
      <c r="T135" s="1">
        <f>'Touch 1 1'!T135-'Touch 1 1'!$AA135-('Touch 1 1'!T$2- 12.5)*'Touch 1 1'!$AC135</f>
        <v>-5.103588690271863</v>
      </c>
      <c r="U135" s="1">
        <f>'Touch 1 1'!U135-'Touch 1 1'!$AA135-('Touch 1 1'!U$2- 12.5)*'Touch 1 1'!$AC135</f>
        <v>13.726628434301574</v>
      </c>
      <c r="V135" s="1">
        <f>'Touch 1 1'!V135-'Touch 1 1'!$AA135-('Touch 1 1'!V$2- 12.5)*'Touch 1 1'!$AC135</f>
        <v>-27.443154441124761</v>
      </c>
      <c r="W135" s="1">
        <f>'Touch 1 1'!W135-'Touch 1 1'!$AA135-('Touch 1 1'!W$2- 12.5)*'Touch 1 1'!$AC135</f>
        <v>1.3870626834486757</v>
      </c>
      <c r="X135" s="1">
        <f>'Touch 1 1'!X135-'Touch 1 1'!$AA135-('Touch 1 1'!X$2- 12.5)*'Touch 1 1'!$AC135</f>
        <v>40.21727980802234</v>
      </c>
      <c r="Y135" s="1">
        <f>'Touch 1 1'!Y135-'Touch 1 1'!$AA135-('Touch 1 1'!Y$2- 12.5)*'Touch 1 1'!$AC135</f>
        <v>69.047496932596005</v>
      </c>
      <c r="AB135" s="1">
        <f>STDEV(B135:Y135)</f>
        <v>33.589513832891122</v>
      </c>
      <c r="AD135" s="11" t="s">
        <v>44</v>
      </c>
      <c r="AE135" s="11">
        <v>9</v>
      </c>
      <c r="AF135" s="11">
        <v>5</v>
      </c>
      <c r="AG135" s="11">
        <v>6</v>
      </c>
      <c r="AH135" s="11" t="s">
        <v>45</v>
      </c>
      <c r="AI135" s="11" t="s">
        <v>46</v>
      </c>
      <c r="AJ135" s="11">
        <v>3</v>
      </c>
      <c r="AK135" s="11">
        <v>4</v>
      </c>
      <c r="AL135" s="11">
        <v>7</v>
      </c>
      <c r="AM135" s="11">
        <v>8</v>
      </c>
      <c r="AN135" s="11">
        <v>2</v>
      </c>
      <c r="AO135" s="11">
        <v>1</v>
      </c>
      <c r="AP135" s="11">
        <v>9</v>
      </c>
      <c r="AQ135" s="11" t="s">
        <v>44</v>
      </c>
      <c r="AR135" s="11">
        <v>6</v>
      </c>
      <c r="AS135" s="11">
        <v>5</v>
      </c>
      <c r="AT135" s="11" t="s">
        <v>46</v>
      </c>
      <c r="AU135" s="11" t="s">
        <v>45</v>
      </c>
      <c r="AV135" s="11">
        <v>4</v>
      </c>
      <c r="AW135" s="11">
        <v>3</v>
      </c>
      <c r="AX135" s="11">
        <v>8</v>
      </c>
      <c r="AY135" s="11">
        <v>7</v>
      </c>
      <c r="AZ135" s="11">
        <v>2</v>
      </c>
      <c r="BA135" s="11">
        <v>1</v>
      </c>
      <c r="BB135" s="5"/>
      <c r="BC135" s="1">
        <f ca="1">OFFSET(A135,0, 12) -0</f>
        <v>33.084891437713225</v>
      </c>
      <c r="BD135" s="1">
        <f ca="1">OFFSET(A135,0, 11) -0</f>
        <v>-15.745325686860326</v>
      </c>
      <c r="BE135" s="1">
        <f ca="1">OFFSET(A135,0, 7) -0</f>
        <v>-11.066194185154473</v>
      </c>
      <c r="BF135" s="1">
        <f ca="1">OFFSET(A135,0, 8) -0</f>
        <v>27.764022939418965</v>
      </c>
      <c r="BG135" s="1">
        <f ca="1">OFFSET(A135,0, 3) -0</f>
        <v>-26.387062683448676</v>
      </c>
      <c r="BH135" s="1">
        <f ca="1">OFFSET(A135,0, 4) -0</f>
        <v>2.4431544411247614</v>
      </c>
      <c r="BI135" s="1">
        <f ca="1">OFFSET(A135,0, 9) -0</f>
        <v>6.5942400639926291</v>
      </c>
      <c r="BJ135" s="1">
        <f ca="1">OFFSET(A135,0, 10) -0</f>
        <v>-14.575542811433934</v>
      </c>
      <c r="BK135" s="1">
        <f ca="1">OFFSET(A135,0, 2) -0</f>
        <v>-45.21727980802234</v>
      </c>
      <c r="BL135" s="1">
        <f ca="1">OFFSET(A135,0, 1) -0</f>
        <v>-14.047496932596005</v>
      </c>
      <c r="BM135" s="1">
        <f ca="1">OFFSET(A135,0, 5) -0</f>
        <v>21.273371565698426</v>
      </c>
      <c r="BN135" s="1">
        <f ca="1">OFFSET(A135,0, 6) -0</f>
        <v>-29.896411309728137</v>
      </c>
      <c r="BO135" s="1">
        <f ca="1">OFFSET(A135,0, 24) -0</f>
        <v>69.047496932596005</v>
      </c>
      <c r="BP135" s="1">
        <f ca="1">OFFSET(A135,0, 23) -0</f>
        <v>40.21727980802234</v>
      </c>
      <c r="BQ135" s="1">
        <f ca="1">OFFSET(A135,0, 20) -0</f>
        <v>13.726628434301574</v>
      </c>
      <c r="BR135" s="1">
        <f ca="1">OFFSET(A135,0, 19) -0</f>
        <v>-5.103588690271863</v>
      </c>
      <c r="BS135" s="1">
        <f ca="1">OFFSET(A135,0, 16) -0</f>
        <v>-51.594240063992629</v>
      </c>
      <c r="BT135" s="1">
        <f ca="1">OFFSET(A135,0, 15) -0</f>
        <v>-20.424457188566066</v>
      </c>
      <c r="BU135" s="1">
        <f ca="1">OFFSET(A135,0, 22) -0</f>
        <v>1.3870626834486757</v>
      </c>
      <c r="BV135" s="1">
        <f ca="1">OFFSET(A135,0, 21) -0</f>
        <v>-27.443154441124761</v>
      </c>
      <c r="BW135" s="1">
        <f ca="1">OFFSET(A135,0, 13) -0</f>
        <v>31.915108562286775</v>
      </c>
      <c r="BX135" s="1">
        <f ca="1">OFFSET(A135,0, 14) -0</f>
        <v>-29.254674313139674</v>
      </c>
      <c r="BY135" s="1">
        <f ca="1">OFFSET(A135,0, 18) -0</f>
        <v>76.066194185154473</v>
      </c>
      <c r="BZ135" s="1">
        <f ca="1">OFFSET(A135,0, 17) -0</f>
        <v>-32.764022939418965</v>
      </c>
      <c r="CB135" s="1">
        <f>COUNTIF(B135,"&lt;-75")</f>
        <v>0</v>
      </c>
      <c r="CC135" s="1">
        <f ca="1">COUNTIF(BC135:BN135,"&lt;-53")</f>
        <v>0</v>
      </c>
      <c r="CD135" s="1">
        <f ca="1">COUNTIF(BC135:BN135,"&gt;+53")</f>
        <v>0</v>
      </c>
      <c r="CE135" s="1">
        <f ca="1">COUNTIF(BO135:BZ135,"&lt;-53")</f>
        <v>0</v>
      </c>
      <c r="CF135" s="1">
        <f ca="1">COUNTIF(BO135:BZ135,"&gt;+53")</f>
        <v>2</v>
      </c>
    </row>
    <row r="136" spans="1:84">
      <c r="A136" s="1">
        <v>133</v>
      </c>
      <c r="B136" s="1">
        <f>'Touch 1 1'!B136-'Touch 1 1'!$AA136-('Touch 1 1'!B$2- 12.5)*'Touch 1 1'!$AC136</f>
        <v>-48.888291533047322</v>
      </c>
      <c r="C136" s="1">
        <f>'Touch 1 1'!C136-'Touch 1 1'!$AA136-('Touch 1 1'!C$2- 12.5)*'Touch 1 1'!$AC136</f>
        <v>-50.108150240314899</v>
      </c>
      <c r="D136" s="1">
        <f>'Touch 1 1'!D136-'Touch 1 1'!$AA136-('Touch 1 1'!D$2- 12.5)*'Touch 1 1'!$AC136</f>
        <v>-1.32800894758293</v>
      </c>
      <c r="E136" s="1">
        <f>'Touch 1 1'!E136-'Touch 1 1'!$AA136-('Touch 1 1'!E$2- 12.5)*'Touch 1 1'!$AC136</f>
        <v>37.452132345149266</v>
      </c>
      <c r="F136" s="1">
        <f>'Touch 1 1'!F136-'Touch 1 1'!$AA136-('Touch 1 1'!F$2- 12.5)*'Touch 1 1'!$AC136</f>
        <v>-13.767726362118765</v>
      </c>
      <c r="G136" s="1">
        <f>'Touch 1 1'!G136-'Touch 1 1'!$AA136-('Touch 1 1'!G$2- 12.5)*'Touch 1 1'!$AC136</f>
        <v>5.0124149306134314</v>
      </c>
      <c r="H136" s="1">
        <f>'Touch 1 1'!H136-'Touch 1 1'!$AA136-('Touch 1 1'!H$2- 12.5)*'Touch 1 1'!$AC136</f>
        <v>23.792556223345628</v>
      </c>
      <c r="I136" s="1">
        <f>'Touch 1 1'!I136-'Touch 1 1'!$AA136-('Touch 1 1'!I$2- 12.5)*'Touch 1 1'!$AC136</f>
        <v>52.572697516077596</v>
      </c>
      <c r="J136" s="1">
        <f>'Touch 1 1'!J136-'Touch 1 1'!$AA136-('Touch 1 1'!J$2- 12.5)*'Touch 1 1'!$AC136</f>
        <v>21.352838808809793</v>
      </c>
      <c r="K136" s="1">
        <f>'Touch 1 1'!K136-'Touch 1 1'!$AA136-('Touch 1 1'!K$2- 12.5)*'Touch 1 1'!$AC136</f>
        <v>40.132980101541875</v>
      </c>
      <c r="L136" s="1">
        <f>'Touch 1 1'!L136-'Touch 1 1'!$AA136-('Touch 1 1'!L$2- 12.5)*'Touch 1 1'!$AC136</f>
        <v>58.913121394273958</v>
      </c>
      <c r="M136" s="1">
        <f>'Touch 1 1'!M136-'Touch 1 1'!$AA136-('Touch 1 1'!M$2- 12.5)*'Touch 1 1'!$AC136</f>
        <v>17.693262687006083</v>
      </c>
      <c r="N136" s="1">
        <f>'Touch 1 1'!N136-'Touch 1 1'!$AA136-('Touch 1 1'!N$2- 12.5)*'Touch 1 1'!$AC136</f>
        <v>-63.526596020261806</v>
      </c>
      <c r="O136" s="1">
        <f>'Touch 1 1'!O136-'Touch 1 1'!$AA136-('Touch 1 1'!O$2- 12.5)*'Touch 1 1'!$AC136</f>
        <v>-74.746454727529681</v>
      </c>
      <c r="P136" s="1">
        <f>'Touch 1 1'!P136-'Touch 1 1'!$AA136-('Touch 1 1'!P$2- 12.5)*'Touch 1 1'!$AC136</f>
        <v>34.033686565202402</v>
      </c>
      <c r="Q136" s="1">
        <f>'Touch 1 1'!Q136-'Touch 1 1'!$AA136-('Touch 1 1'!Q$2- 12.5)*'Touch 1 1'!$AC136</f>
        <v>-57.186172142065516</v>
      </c>
      <c r="R136" s="1">
        <f>'Touch 1 1'!R136-'Touch 1 1'!$AA136-('Touch 1 1'!R$2- 12.5)*'Touch 1 1'!$AC136</f>
        <v>-28.40603084933332</v>
      </c>
      <c r="S136" s="1">
        <f>'Touch 1 1'!S136-'Touch 1 1'!$AA136-('Touch 1 1'!S$2- 12.5)*'Touch 1 1'!$AC136</f>
        <v>60.374110443398649</v>
      </c>
      <c r="T136" s="1">
        <f>'Touch 1 1'!T136-'Touch 1 1'!$AA136-('Touch 1 1'!T$2- 12.5)*'Touch 1 1'!$AC136</f>
        <v>-30.845748263869154</v>
      </c>
      <c r="U136" s="1">
        <f>'Touch 1 1'!U136-'Touch 1 1'!$AA136-('Touch 1 1'!U$2- 12.5)*'Touch 1 1'!$AC136</f>
        <v>-112.06560697113696</v>
      </c>
      <c r="V136" s="1">
        <f>'Touch 1 1'!V136-'Touch 1 1'!$AA136-('Touch 1 1'!V$2- 12.5)*'Touch 1 1'!$AC136</f>
        <v>-13.285465678404989</v>
      </c>
      <c r="W136" s="1">
        <f>'Touch 1 1'!W136-'Touch 1 1'!$AA136-('Touch 1 1'!W$2- 12.5)*'Touch 1 1'!$AC136</f>
        <v>35.494675614327207</v>
      </c>
      <c r="X136" s="1">
        <f>'Touch 1 1'!X136-'Touch 1 1'!$AA136-('Touch 1 1'!X$2- 12.5)*'Touch 1 1'!$AC136</f>
        <v>54.274816907059176</v>
      </c>
      <c r="Y136" s="1">
        <f>'Touch 1 1'!Y136-'Touch 1 1'!$AA136-('Touch 1 1'!Y$2- 12.5)*'Touch 1 1'!$AC136</f>
        <v>53.054958199791599</v>
      </c>
      <c r="AB136" s="1">
        <f>STDEV(B136:Y136)</f>
        <v>48.861223563095258</v>
      </c>
      <c r="AD136" s="11" t="s">
        <v>44</v>
      </c>
      <c r="AE136" s="11">
        <v>9</v>
      </c>
      <c r="AF136" s="11">
        <v>5</v>
      </c>
      <c r="AG136" s="11">
        <v>6</v>
      </c>
      <c r="AH136" s="11" t="s">
        <v>45</v>
      </c>
      <c r="AI136" s="11" t="s">
        <v>46</v>
      </c>
      <c r="AJ136" s="11">
        <v>3</v>
      </c>
      <c r="AK136" s="11">
        <v>4</v>
      </c>
      <c r="AL136" s="11">
        <v>7</v>
      </c>
      <c r="AM136" s="11">
        <v>8</v>
      </c>
      <c r="AN136" s="11">
        <v>1</v>
      </c>
      <c r="AO136" s="11">
        <v>2</v>
      </c>
      <c r="AP136" s="11" t="s">
        <v>44</v>
      </c>
      <c r="AQ136" s="11">
        <v>5</v>
      </c>
      <c r="AR136" s="11">
        <v>9</v>
      </c>
      <c r="AS136" s="11" t="s">
        <v>45</v>
      </c>
      <c r="AT136" s="11">
        <v>6</v>
      </c>
      <c r="AU136" s="11">
        <v>3</v>
      </c>
      <c r="AV136" s="11" t="s">
        <v>46</v>
      </c>
      <c r="AW136" s="11">
        <v>7</v>
      </c>
      <c r="AX136" s="11">
        <v>4</v>
      </c>
      <c r="AY136" s="11">
        <v>8</v>
      </c>
      <c r="AZ136" s="11">
        <v>2</v>
      </c>
      <c r="BA136" s="11">
        <v>1</v>
      </c>
      <c r="BB136" s="5"/>
      <c r="BC136" s="1">
        <f ca="1">OFFSET(A136,0, 11) -0</f>
        <v>58.913121394273958</v>
      </c>
      <c r="BD136" s="1">
        <f ca="1">OFFSET(A136,0, 12) -0</f>
        <v>17.693262687006083</v>
      </c>
      <c r="BE136" s="1">
        <f ca="1">OFFSET(A136,0, 7) -0</f>
        <v>23.792556223345628</v>
      </c>
      <c r="BF136" s="1">
        <f ca="1">OFFSET(A136,0, 8) -0</f>
        <v>52.572697516077596</v>
      </c>
      <c r="BG136" s="1">
        <f ca="1">OFFSET(A136,0, 3) -0</f>
        <v>-1.32800894758293</v>
      </c>
      <c r="BH136" s="1">
        <f ca="1">OFFSET(A136,0, 4) -0</f>
        <v>37.452132345149266</v>
      </c>
      <c r="BI136" s="1">
        <f ca="1">OFFSET(A136,0, 9) -0</f>
        <v>21.352838808809793</v>
      </c>
      <c r="BJ136" s="1">
        <f ca="1">OFFSET(A136,0, 10) -0</f>
        <v>40.132980101541875</v>
      </c>
      <c r="BK136" s="1">
        <f ca="1">OFFSET(A136,0, 2) -0</f>
        <v>-50.108150240314899</v>
      </c>
      <c r="BL136" s="1">
        <f ca="1">OFFSET(A136,0, 1) -0</f>
        <v>-48.888291533047322</v>
      </c>
      <c r="BM136" s="1">
        <f ca="1">OFFSET(A136,0, 5) -0</f>
        <v>-13.767726362118765</v>
      </c>
      <c r="BN136" s="1">
        <f ca="1">OFFSET(A136,0, 6) -0</f>
        <v>5.0124149306134314</v>
      </c>
      <c r="BO136" s="1">
        <f ca="1">OFFSET(A136,0, 24) -0</f>
        <v>53.054958199791599</v>
      </c>
      <c r="BP136" s="1">
        <f ca="1">OFFSET(A136,0, 23) -0</f>
        <v>54.274816907059176</v>
      </c>
      <c r="BQ136" s="1">
        <f ca="1">OFFSET(A136,0, 18) -0</f>
        <v>60.374110443398649</v>
      </c>
      <c r="BR136" s="1">
        <f ca="1">OFFSET(A136,0, 21) -0</f>
        <v>-13.285465678404989</v>
      </c>
      <c r="BS136" s="1">
        <f ca="1">OFFSET(A136,0, 14) -0</f>
        <v>-74.746454727529681</v>
      </c>
      <c r="BT136" s="1">
        <f ca="1">OFFSET(A136,0, 17) -0</f>
        <v>-28.40603084933332</v>
      </c>
      <c r="BU136" s="1">
        <f ca="1">OFFSET(A136,0, 20) -0</f>
        <v>-112.06560697113696</v>
      </c>
      <c r="BV136" s="1">
        <f ca="1">OFFSET(A136,0, 22) -0</f>
        <v>35.494675614327207</v>
      </c>
      <c r="BW136" s="1">
        <f ca="1">OFFSET(A136,0, 15) -0</f>
        <v>34.033686565202402</v>
      </c>
      <c r="BX136" s="1">
        <f ca="1">OFFSET(A136,0, 13) -0</f>
        <v>-63.526596020261806</v>
      </c>
      <c r="BY136" s="1">
        <f ca="1">OFFSET(A136,0, 16) -0</f>
        <v>-57.186172142065516</v>
      </c>
      <c r="BZ136" s="1">
        <f ca="1">OFFSET(A136,0, 19) -0</f>
        <v>-30.845748263869154</v>
      </c>
      <c r="CB136" s="1">
        <f>COUNTIF(B136,"&lt;-75")</f>
        <v>0</v>
      </c>
      <c r="CC136" s="1">
        <f ca="1">COUNTIF(BC136:BN136,"&lt;-53")</f>
        <v>0</v>
      </c>
      <c r="CD136" s="1">
        <f ca="1">COUNTIF(BC136:BN136,"&gt;+53")</f>
        <v>1</v>
      </c>
      <c r="CE136" s="1">
        <f ca="1">COUNTIF(BO136:BZ136,"&lt;-53")</f>
        <v>4</v>
      </c>
      <c r="CF136" s="1">
        <f ca="1">COUNTIF(BO136:BZ136,"&gt;+53")</f>
        <v>3</v>
      </c>
    </row>
    <row r="137" spans="1:84">
      <c r="A137" s="1">
        <v>134</v>
      </c>
      <c r="B137" s="1">
        <f>'Touch 1 1'!B137-'Touch 1 1'!$AA137-('Touch 1 1'!B$2- 12.5)*'Touch 1 1'!$AC137</f>
        <v>9.5128229019624087</v>
      </c>
      <c r="C137" s="1">
        <f>'Touch 1 1'!C137-'Touch 1 1'!$AA137-('Touch 1 1'!C$2- 12.5)*'Touch 1 1'!$AC137</f>
        <v>-31.53177039386037</v>
      </c>
      <c r="D137" s="1">
        <f>'Touch 1 1'!D137-'Touch 1 1'!$AA137-('Touch 1 1'!D$2- 12.5)*'Touch 1 1'!$AC137</f>
        <v>7.4236363103166241</v>
      </c>
      <c r="E137" s="1">
        <f>'Touch 1 1'!E137-'Touch 1 1'!$AA137-('Touch 1 1'!E$2- 12.5)*'Touch 1 1'!$AC137</f>
        <v>-23.620956985506155</v>
      </c>
      <c r="F137" s="1">
        <f>'Touch 1 1'!F137-'Touch 1 1'!$AA137-('Touch 1 1'!F$2- 12.5)*'Touch 1 1'!$AC137</f>
        <v>55.334449718671067</v>
      </c>
      <c r="G137" s="1">
        <f>'Touch 1 1'!G137-'Touch 1 1'!$AA137-('Touch 1 1'!G$2- 12.5)*'Touch 1 1'!$AC137</f>
        <v>14.289856422848288</v>
      </c>
      <c r="H137" s="1">
        <f>'Touch 1 1'!H137-'Touch 1 1'!$AA137-('Touch 1 1'!H$2- 12.5)*'Touch 1 1'!$AC137</f>
        <v>-36.75473687297449</v>
      </c>
      <c r="I137" s="1">
        <f>'Touch 1 1'!I137-'Touch 1 1'!$AA137-('Touch 1 1'!I$2- 12.5)*'Touch 1 1'!$AC137</f>
        <v>-77.799330168797383</v>
      </c>
      <c r="J137" s="1">
        <f>'Touch 1 1'!J137-'Touch 1 1'!$AA137-('Touch 1 1'!J$2- 12.5)*'Touch 1 1'!$AC137</f>
        <v>11.156076535379839</v>
      </c>
      <c r="K137" s="1">
        <f>'Touch 1 1'!K137-'Touch 1 1'!$AA137-('Touch 1 1'!K$2- 12.5)*'Touch 1 1'!$AC137</f>
        <v>30.11148323955706</v>
      </c>
      <c r="L137" s="1">
        <f>'Touch 1 1'!L137-'Touch 1 1'!$AA137-('Touch 1 1'!L$2- 12.5)*'Touch 1 1'!$AC137</f>
        <v>-0.93311005626577526</v>
      </c>
      <c r="M137" s="1">
        <f>'Touch 1 1'!M137-'Touch 1 1'!$AA137-('Touch 1 1'!M$2- 12.5)*'Touch 1 1'!$AC137</f>
        <v>-1.9777033520885965</v>
      </c>
      <c r="N137" s="1">
        <f>'Touch 1 1'!N137-'Touch 1 1'!$AA137-('Touch 1 1'!N$2- 12.5)*'Touch 1 1'!$AC137</f>
        <v>16.977703352088596</v>
      </c>
      <c r="O137" s="1">
        <f>'Touch 1 1'!O137-'Touch 1 1'!$AA137-('Touch 1 1'!O$2- 12.5)*'Touch 1 1'!$AC137</f>
        <v>-44.066889943734225</v>
      </c>
      <c r="P137" s="1">
        <f>'Touch 1 1'!P137-'Touch 1 1'!$AA137-('Touch 1 1'!P$2- 12.5)*'Touch 1 1'!$AC137</f>
        <v>4.8885167604429398</v>
      </c>
      <c r="Q137" s="1">
        <f>'Touch 1 1'!Q137-'Touch 1 1'!$AA137-('Touch 1 1'!Q$2- 12.5)*'Touch 1 1'!$AC137</f>
        <v>43.843923464620161</v>
      </c>
      <c r="R137" s="1">
        <f>'Touch 1 1'!R137-'Touch 1 1'!$AA137-('Touch 1 1'!R$2- 12.5)*'Touch 1 1'!$AC137</f>
        <v>82.799330168797383</v>
      </c>
      <c r="S137" s="1">
        <f>'Touch 1 1'!S137-'Touch 1 1'!$AA137-('Touch 1 1'!S$2- 12.5)*'Touch 1 1'!$AC137</f>
        <v>61.75473687297449</v>
      </c>
      <c r="T137" s="1">
        <f>'Touch 1 1'!T137-'Touch 1 1'!$AA137-('Touch 1 1'!T$2- 12.5)*'Touch 1 1'!$AC137</f>
        <v>-69.289856422848288</v>
      </c>
      <c r="U137" s="1">
        <f>'Touch 1 1'!U137-'Touch 1 1'!$AA137-('Touch 1 1'!U$2- 12.5)*'Touch 1 1'!$AC137</f>
        <v>-80.334449718671067</v>
      </c>
      <c r="V137" s="1">
        <f>'Touch 1 1'!V137-'Touch 1 1'!$AA137-('Touch 1 1'!V$2- 12.5)*'Touch 1 1'!$AC137</f>
        <v>-41.379043014493845</v>
      </c>
      <c r="W137" s="1">
        <f>'Touch 1 1'!W137-'Touch 1 1'!$AA137-('Touch 1 1'!W$2- 12.5)*'Touch 1 1'!$AC137</f>
        <v>-12.423636310316624</v>
      </c>
      <c r="X137" s="1">
        <f>'Touch 1 1'!X137-'Touch 1 1'!$AA137-('Touch 1 1'!X$2- 12.5)*'Touch 1 1'!$AC137</f>
        <v>26.53177039386037</v>
      </c>
      <c r="Y137" s="1">
        <f>'Touch 1 1'!Y137-'Touch 1 1'!$AA137-('Touch 1 1'!Y$2- 12.5)*'Touch 1 1'!$AC137</f>
        <v>55.487177098037591</v>
      </c>
      <c r="AB137" s="1">
        <f>STDEV(B137:Y137)</f>
        <v>44.307833354411095</v>
      </c>
      <c r="AD137" s="11">
        <v>5</v>
      </c>
      <c r="AE137" s="11" t="s">
        <v>44</v>
      </c>
      <c r="AF137" s="11" t="s">
        <v>45</v>
      </c>
      <c r="AG137" s="11">
        <v>9</v>
      </c>
      <c r="AH137" s="11">
        <v>3</v>
      </c>
      <c r="AI137" s="11">
        <v>6</v>
      </c>
      <c r="AJ137" s="11">
        <v>7</v>
      </c>
      <c r="AK137" s="11" t="s">
        <v>46</v>
      </c>
      <c r="AL137" s="11">
        <v>8</v>
      </c>
      <c r="AM137" s="11">
        <v>4</v>
      </c>
      <c r="AN137" s="11">
        <v>1</v>
      </c>
      <c r="AO137" s="11">
        <v>2</v>
      </c>
      <c r="AP137" s="11" t="s">
        <v>44</v>
      </c>
      <c r="AQ137" s="11">
        <v>5</v>
      </c>
      <c r="AR137" s="11">
        <v>9</v>
      </c>
      <c r="AS137" s="11" t="s">
        <v>45</v>
      </c>
      <c r="AT137" s="11">
        <v>6</v>
      </c>
      <c r="AU137" s="11">
        <v>3</v>
      </c>
      <c r="AV137" s="11" t="s">
        <v>46</v>
      </c>
      <c r="AW137" s="11">
        <v>7</v>
      </c>
      <c r="AX137" s="11">
        <v>8</v>
      </c>
      <c r="AY137" s="11">
        <v>1</v>
      </c>
      <c r="AZ137" s="11">
        <v>4</v>
      </c>
      <c r="BA137" s="11">
        <v>2</v>
      </c>
      <c r="BB137" s="5"/>
      <c r="BC137" s="1">
        <f ca="1">OFFSET(A137,0, 11) -0</f>
        <v>-0.93311005626577526</v>
      </c>
      <c r="BD137" s="1">
        <f ca="1">OFFSET(A137,0, 12) -0</f>
        <v>-1.9777033520885965</v>
      </c>
      <c r="BE137" s="1">
        <f ca="1">OFFSET(A137,0, 5) -0</f>
        <v>55.334449718671067</v>
      </c>
      <c r="BF137" s="1">
        <f ca="1">OFFSET(A137,0, 10) -0</f>
        <v>30.11148323955706</v>
      </c>
      <c r="BG137" s="1">
        <f ca="1">OFFSET(A137,0, 1) -0</f>
        <v>9.5128229019624087</v>
      </c>
      <c r="BH137" s="1">
        <f ca="1">OFFSET(A137,0, 6) -0</f>
        <v>14.289856422848288</v>
      </c>
      <c r="BI137" s="1">
        <f ca="1">OFFSET(A137,0, 7) -0</f>
        <v>-36.75473687297449</v>
      </c>
      <c r="BJ137" s="1">
        <f ca="1">OFFSET(A137,0, 9) -0</f>
        <v>11.156076535379839</v>
      </c>
      <c r="BK137" s="1">
        <f ca="1">OFFSET(A137,0, 4) -0</f>
        <v>-23.620956985506155</v>
      </c>
      <c r="BL137" s="1">
        <f ca="1">OFFSET(A137,0, 2) -0</f>
        <v>-31.53177039386037</v>
      </c>
      <c r="BM137" s="1">
        <f ca="1">OFFSET(A137,0, 3) -0</f>
        <v>7.4236363103166241</v>
      </c>
      <c r="BN137" s="1">
        <f ca="1">OFFSET(A137,0, 8) -0</f>
        <v>-77.799330168797383</v>
      </c>
      <c r="BO137" s="1">
        <f ca="1">OFFSET(A137,0, 22) -0</f>
        <v>-12.423636310316624</v>
      </c>
      <c r="BP137" s="1">
        <f ca="1">OFFSET(A137,0, 24) -0</f>
        <v>55.487177098037591</v>
      </c>
      <c r="BQ137" s="1">
        <f ca="1">OFFSET(A137,0, 18) -0</f>
        <v>61.75473687297449</v>
      </c>
      <c r="BR137" s="1">
        <f ca="1">OFFSET(A137,0, 23) -0</f>
        <v>26.53177039386037</v>
      </c>
      <c r="BS137" s="1">
        <f ca="1">OFFSET(A137,0, 14) -0</f>
        <v>-44.066889943734225</v>
      </c>
      <c r="BT137" s="1">
        <f ca="1">OFFSET(A137,0, 17) -0</f>
        <v>82.799330168797383</v>
      </c>
      <c r="BU137" s="1">
        <f ca="1">OFFSET(A137,0, 20) -0</f>
        <v>-80.334449718671067</v>
      </c>
      <c r="BV137" s="1">
        <f ca="1">OFFSET(A137,0, 21) -0</f>
        <v>-41.379043014493845</v>
      </c>
      <c r="BW137" s="1">
        <f ca="1">OFFSET(A137,0, 15) -0</f>
        <v>4.8885167604429398</v>
      </c>
      <c r="BX137" s="1">
        <f ca="1">OFFSET(A137,0, 13) -0</f>
        <v>16.977703352088596</v>
      </c>
      <c r="BY137" s="1">
        <f ca="1">OFFSET(A137,0, 16) -0</f>
        <v>43.843923464620161</v>
      </c>
      <c r="BZ137" s="1">
        <f ca="1">OFFSET(A137,0, 19) -0</f>
        <v>-69.289856422848288</v>
      </c>
      <c r="CB137" s="1">
        <f>COUNTIF(B137,"&lt;-75")</f>
        <v>0</v>
      </c>
      <c r="CC137" s="1">
        <f ca="1">COUNTIF(BC137:BN137,"&lt;-53")</f>
        <v>1</v>
      </c>
      <c r="CD137" s="1">
        <f ca="1">COUNTIF(BC137:BN137,"&gt;+53")</f>
        <v>1</v>
      </c>
      <c r="CE137" s="1">
        <f ca="1">COUNTIF(BO137:BZ137,"&lt;-53")</f>
        <v>2</v>
      </c>
      <c r="CF137" s="1">
        <f ca="1">COUNTIF(BO137:BZ137,"&gt;+53")</f>
        <v>3</v>
      </c>
    </row>
    <row r="138" spans="1:84">
      <c r="A138" s="1">
        <v>135</v>
      </c>
      <c r="B138" s="1">
        <f>'Touch 1 1'!B138-'Touch 1 1'!$AA138-('Touch 1 1'!B$2- 12.5)*'Touch 1 1'!$AC138</f>
        <v>-11.683059135986696</v>
      </c>
      <c r="C138" s="1">
        <f>'Touch 1 1'!C138-'Touch 1 1'!$AA138-('Touch 1 1'!C$2- 12.5)*'Touch 1 1'!$AC138</f>
        <v>-33.203372834303082</v>
      </c>
      <c r="D138" s="1">
        <f>'Touch 1 1'!D138-'Touch 1 1'!$AA138-('Touch 1 1'!D$2- 12.5)*'Touch 1 1'!$AC138</f>
        <v>5.2763134673803052</v>
      </c>
      <c r="E138" s="1">
        <f>'Touch 1 1'!E138-'Touch 1 1'!$AA138-('Touch 1 1'!E$2- 12.5)*'Touch 1 1'!$AC138</f>
        <v>-6.2440002309363081</v>
      </c>
      <c r="F138" s="1">
        <f>'Touch 1 1'!F138-'Touch 1 1'!$AA138-('Touch 1 1'!F$2- 12.5)*'Touch 1 1'!$AC138</f>
        <v>72.235686070746851</v>
      </c>
      <c r="G138" s="1">
        <f>'Touch 1 1'!G138-'Touch 1 1'!$AA138-('Touch 1 1'!G$2- 12.5)*'Touch 1 1'!$AC138</f>
        <v>-9.2846276275697619</v>
      </c>
      <c r="H138" s="1">
        <f>'Touch 1 1'!H138-'Touch 1 1'!$AA138-('Touch 1 1'!H$2- 12.5)*'Touch 1 1'!$AC138</f>
        <v>-0.80494132588637513</v>
      </c>
      <c r="I138" s="1">
        <f>'Touch 1 1'!I138-'Touch 1 1'!$AA138-('Touch 1 1'!I$2- 12.5)*'Touch 1 1'!$AC138</f>
        <v>-42.325255024202988</v>
      </c>
      <c r="J138" s="1">
        <f>'Touch 1 1'!J138-'Touch 1 1'!$AA138-('Touch 1 1'!J$2- 12.5)*'Touch 1 1'!$AC138</f>
        <v>-83.845568722519602</v>
      </c>
      <c r="K138" s="1">
        <f>'Touch 1 1'!K138-'Touch 1 1'!$AA138-('Touch 1 1'!K$2- 12.5)*'Touch 1 1'!$AC138</f>
        <v>-25.365882420836215</v>
      </c>
      <c r="L138" s="1">
        <f>'Touch 1 1'!L138-'Touch 1 1'!$AA138-('Touch 1 1'!L$2- 12.5)*'Touch 1 1'!$AC138</f>
        <v>-6.8861961191528849</v>
      </c>
      <c r="M138" s="1">
        <f>'Touch 1 1'!M138-'Touch 1 1'!$AA138-('Touch 1 1'!M$2- 12.5)*'Touch 1 1'!$AC138</f>
        <v>-8.4065098174695407</v>
      </c>
      <c r="N138" s="1">
        <f>'Touch 1 1'!N138-'Touch 1 1'!$AA138-('Touch 1 1'!N$2- 12.5)*'Touch 1 1'!$AC138</f>
        <v>-49.926823515786182</v>
      </c>
      <c r="O138" s="1">
        <f>'Touch 1 1'!O138-'Touch 1 1'!$AA138-('Touch 1 1'!O$2- 12.5)*'Touch 1 1'!$AC138</f>
        <v>28.552862785897162</v>
      </c>
      <c r="P138" s="1">
        <f>'Touch 1 1'!P138-'Touch 1 1'!$AA138-('Touch 1 1'!P$2- 12.5)*'Touch 1 1'!$AC138</f>
        <v>37.032549087580492</v>
      </c>
      <c r="Q138" s="1">
        <f>'Touch 1 1'!Q138-'Touch 1 1'!$AA138-('Touch 1 1'!Q$2- 12.5)*'Touch 1 1'!$AC138</f>
        <v>65.512235389263878</v>
      </c>
      <c r="R138" s="1">
        <f>'Touch 1 1'!R138-'Touch 1 1'!$AA138-('Touch 1 1'!R$2- 12.5)*'Touch 1 1'!$AC138</f>
        <v>43.991921690947265</v>
      </c>
      <c r="S138" s="1">
        <f>'Touch 1 1'!S138-'Touch 1 1'!$AA138-('Touch 1 1'!S$2- 12.5)*'Touch 1 1'!$AC138</f>
        <v>-7.528392007369348</v>
      </c>
      <c r="T138" s="1">
        <f>'Touch 1 1'!T138-'Touch 1 1'!$AA138-('Touch 1 1'!T$2- 12.5)*'Touch 1 1'!$AC138</f>
        <v>10.951294294314039</v>
      </c>
      <c r="U138" s="1">
        <f>'Touch 1 1'!U138-'Touch 1 1'!$AA138-('Touch 1 1'!U$2- 12.5)*'Touch 1 1'!$AC138</f>
        <v>-20.569019404002574</v>
      </c>
      <c r="V138" s="1">
        <f>'Touch 1 1'!V138-'Touch 1 1'!$AA138-('Touch 1 1'!V$2- 12.5)*'Touch 1 1'!$AC138</f>
        <v>-22.089333102319415</v>
      </c>
      <c r="W138" s="1">
        <f>'Touch 1 1'!W138-'Touch 1 1'!$AA138-('Touch 1 1'!W$2- 12.5)*'Touch 1 1'!$AC138</f>
        <v>26.390353199363972</v>
      </c>
      <c r="X138" s="1">
        <f>'Touch 1 1'!X138-'Touch 1 1'!$AA138-('Touch 1 1'!X$2- 12.5)*'Touch 1 1'!$AC138</f>
        <v>14.870039501047358</v>
      </c>
      <c r="Y138" s="1">
        <f>'Touch 1 1'!Y138-'Touch 1 1'!$AA138-('Touch 1 1'!Y$2- 12.5)*'Touch 1 1'!$AC138</f>
        <v>23.349725802730973</v>
      </c>
      <c r="AB138" s="1">
        <f>STDEV(B138:Y138)</f>
        <v>35.904807670486711</v>
      </c>
      <c r="AD138" s="11">
        <v>5</v>
      </c>
      <c r="AE138" s="11" t="s">
        <v>44</v>
      </c>
      <c r="AF138" s="11" t="s">
        <v>45</v>
      </c>
      <c r="AG138" s="11">
        <v>9</v>
      </c>
      <c r="AH138" s="11">
        <v>3</v>
      </c>
      <c r="AI138" s="11">
        <v>6</v>
      </c>
      <c r="AJ138" s="11">
        <v>7</v>
      </c>
      <c r="AK138" s="11" t="s">
        <v>46</v>
      </c>
      <c r="AL138" s="11">
        <v>1</v>
      </c>
      <c r="AM138" s="11">
        <v>8</v>
      </c>
      <c r="AN138" s="11">
        <v>2</v>
      </c>
      <c r="AO138" s="11">
        <v>4</v>
      </c>
      <c r="AP138" s="11">
        <v>5</v>
      </c>
      <c r="AQ138" s="11" t="s">
        <v>45</v>
      </c>
      <c r="AR138" s="11" t="s">
        <v>44</v>
      </c>
      <c r="AS138" s="11">
        <v>3</v>
      </c>
      <c r="AT138" s="11">
        <v>9</v>
      </c>
      <c r="AU138" s="11">
        <v>7</v>
      </c>
      <c r="AV138" s="11">
        <v>6</v>
      </c>
      <c r="AW138" s="11" t="s">
        <v>46</v>
      </c>
      <c r="AX138" s="11">
        <v>8</v>
      </c>
      <c r="AY138" s="11">
        <v>1</v>
      </c>
      <c r="AZ138" s="11">
        <v>4</v>
      </c>
      <c r="BA138" s="11">
        <v>2</v>
      </c>
      <c r="BB138" s="5"/>
      <c r="BC138" s="1">
        <f ca="1">OFFSET(A138,0, 9) -0</f>
        <v>-83.845568722519602</v>
      </c>
      <c r="BD138" s="1">
        <f ca="1">OFFSET(A138,0, 11) -0</f>
        <v>-6.8861961191528849</v>
      </c>
      <c r="BE138" s="1">
        <f ca="1">OFFSET(A138,0, 5) -0</f>
        <v>72.235686070746851</v>
      </c>
      <c r="BF138" s="1">
        <f ca="1">OFFSET(A138,0, 12) -0</f>
        <v>-8.4065098174695407</v>
      </c>
      <c r="BG138" s="1">
        <f ca="1">OFFSET(A138,0, 1) -0</f>
        <v>-11.683059135986696</v>
      </c>
      <c r="BH138" s="1">
        <f ca="1">OFFSET(A138,0, 6) -0</f>
        <v>-9.2846276275697619</v>
      </c>
      <c r="BI138" s="1">
        <f ca="1">OFFSET(A138,0, 7) -0</f>
        <v>-0.80494132588637513</v>
      </c>
      <c r="BJ138" s="1">
        <f ca="1">OFFSET(A138,0, 10) -0</f>
        <v>-25.365882420836215</v>
      </c>
      <c r="BK138" s="1">
        <f ca="1">OFFSET(A138,0, 4) -0</f>
        <v>-6.2440002309363081</v>
      </c>
      <c r="BL138" s="1">
        <f ca="1">OFFSET(A138,0, 2) -0</f>
        <v>-33.203372834303082</v>
      </c>
      <c r="BM138" s="1">
        <f ca="1">OFFSET(A138,0, 3) -0</f>
        <v>5.2763134673803052</v>
      </c>
      <c r="BN138" s="1">
        <f ca="1">OFFSET(A138,0, 8) -0</f>
        <v>-42.325255024202988</v>
      </c>
      <c r="BO138" s="1">
        <f ca="1">OFFSET(A138,0, 22) -0</f>
        <v>26.390353199363972</v>
      </c>
      <c r="BP138" s="1">
        <f ca="1">OFFSET(A138,0, 24) -0</f>
        <v>23.349725802730973</v>
      </c>
      <c r="BQ138" s="1">
        <f ca="1">OFFSET(A138,0, 16) -0</f>
        <v>65.512235389263878</v>
      </c>
      <c r="BR138" s="1">
        <f ca="1">OFFSET(A138,0, 23) -0</f>
        <v>14.870039501047358</v>
      </c>
      <c r="BS138" s="1">
        <f ca="1">OFFSET(A138,0, 13) -0</f>
        <v>-49.926823515786182</v>
      </c>
      <c r="BT138" s="1">
        <f ca="1">OFFSET(A138,0, 19) -0</f>
        <v>10.951294294314039</v>
      </c>
      <c r="BU138" s="1">
        <f ca="1">OFFSET(A138,0, 18) -0</f>
        <v>-7.528392007369348</v>
      </c>
      <c r="BV138" s="1">
        <f ca="1">OFFSET(A138,0, 21) -0</f>
        <v>-22.089333102319415</v>
      </c>
      <c r="BW138" s="1">
        <f ca="1">OFFSET(A138,0, 17) -0</f>
        <v>43.991921690947265</v>
      </c>
      <c r="BX138" s="1">
        <f ca="1">OFFSET(A138,0, 15) -0</f>
        <v>37.032549087580492</v>
      </c>
      <c r="BY138" s="1">
        <f ca="1">OFFSET(A138,0, 14) -0</f>
        <v>28.552862785897162</v>
      </c>
      <c r="BZ138" s="1">
        <f ca="1">OFFSET(A138,0, 20) -0</f>
        <v>-20.569019404002574</v>
      </c>
      <c r="CB138" s="1">
        <f>COUNTIF(B138,"&lt;-75")</f>
        <v>0</v>
      </c>
      <c r="CC138" s="1">
        <f ca="1">COUNTIF(BC138:BN138,"&lt;-53")</f>
        <v>1</v>
      </c>
      <c r="CD138" s="1">
        <f ca="1">COUNTIF(BC138:BN138,"&gt;+53")</f>
        <v>1</v>
      </c>
      <c r="CE138" s="1">
        <f ca="1">COUNTIF(BO138:BZ138,"&lt;-53")</f>
        <v>0</v>
      </c>
      <c r="CF138" s="1">
        <f ca="1">COUNTIF(BO138:BZ138,"&gt;+53")</f>
        <v>1</v>
      </c>
    </row>
    <row r="139" spans="1:84">
      <c r="A139" s="1">
        <v>136</v>
      </c>
      <c r="B139" s="1">
        <f>'Touch 1 1'!B139-'Touch 1 1'!$AA139-('Touch 1 1'!B$2- 12.5)*'Touch 1 1'!$AC139</f>
        <v>20.166456126232333</v>
      </c>
      <c r="C139" s="1">
        <f>'Touch 1 1'!C139-'Touch 1 1'!$AA139-('Touch 1 1'!C$2- 12.5)*'Touch 1 1'!$AC139</f>
        <v>-31.804540058657494</v>
      </c>
      <c r="D139" s="1">
        <f>'Touch 1 1'!D139-'Touch 1 1'!$AA139-('Touch 1 1'!D$2- 12.5)*'Touch 1 1'!$AC139</f>
        <v>6.2244637564529057</v>
      </c>
      <c r="E139" s="1">
        <f>'Touch 1 1'!E139-'Touch 1 1'!$AA139-('Touch 1 1'!E$2- 12.5)*'Touch 1 1'!$AC139</f>
        <v>4.2534675715630783</v>
      </c>
      <c r="F139" s="1">
        <f>'Touch 1 1'!F139-'Touch 1 1'!$AA139-('Touch 1 1'!F$2- 12.5)*'Touch 1 1'!$AC139</f>
        <v>-17.717528613326749</v>
      </c>
      <c r="G139" s="1">
        <f>'Touch 1 1'!G139-'Touch 1 1'!$AA139-('Touch 1 1'!G$2- 12.5)*'Touch 1 1'!$AC139</f>
        <v>-29.688524798216577</v>
      </c>
      <c r="H139" s="1">
        <f>'Touch 1 1'!H139-'Touch 1 1'!$AA139-('Touch 1 1'!H$2- 12.5)*'Touch 1 1'!$AC139</f>
        <v>-1.6595209831061766</v>
      </c>
      <c r="I139" s="1">
        <f>'Touch 1 1'!I139-'Touch 1 1'!$AA139-('Touch 1 1'!I$2- 12.5)*'Touch 1 1'!$AC139</f>
        <v>6.369482832003996</v>
      </c>
      <c r="J139" s="1">
        <f>'Touch 1 1'!J139-'Touch 1 1'!$AA139-('Touch 1 1'!J$2- 12.5)*'Touch 1 1'!$AC139</f>
        <v>-15.601513352885831</v>
      </c>
      <c r="K139" s="1">
        <f>'Touch 1 1'!K139-'Touch 1 1'!$AA139-('Touch 1 1'!K$2- 12.5)*'Touch 1 1'!$AC139</f>
        <v>2.4274904622244549</v>
      </c>
      <c r="L139" s="1">
        <f>'Touch 1 1'!L139-'Touch 1 1'!$AA139-('Touch 1 1'!L$2- 12.5)*'Touch 1 1'!$AC139</f>
        <v>0.45649427733462744</v>
      </c>
      <c r="M139" s="1">
        <f>'Touch 1 1'!M139-'Touch 1 1'!$AA139-('Touch 1 1'!M$2- 12.5)*'Touch 1 1'!$AC139</f>
        <v>18.485498092444885</v>
      </c>
      <c r="N139" s="1">
        <f>'Touch 1 1'!N139-'Touch 1 1'!$AA139-('Touch 1 1'!N$2- 12.5)*'Touch 1 1'!$AC139</f>
        <v>106.51450190755511</v>
      </c>
      <c r="O139" s="1">
        <f>'Touch 1 1'!O139-'Touch 1 1'!$AA139-('Touch 1 1'!O$2- 12.5)*'Touch 1 1'!$AC139</f>
        <v>44.543505722665373</v>
      </c>
      <c r="P139" s="1">
        <f>'Touch 1 1'!P139-'Touch 1 1'!$AA139-('Touch 1 1'!P$2- 12.5)*'Touch 1 1'!$AC139</f>
        <v>2.5725095377755451</v>
      </c>
      <c r="Q139" s="1">
        <f>'Touch 1 1'!Q139-'Touch 1 1'!$AA139-('Touch 1 1'!Q$2- 12.5)*'Touch 1 1'!$AC139</f>
        <v>-29.398486647114169</v>
      </c>
      <c r="R139" s="1">
        <f>'Touch 1 1'!R139-'Touch 1 1'!$AA139-('Touch 1 1'!R$2- 12.5)*'Touch 1 1'!$AC139</f>
        <v>-21.369482832003996</v>
      </c>
      <c r="S139" s="1">
        <f>'Touch 1 1'!S139-'Touch 1 1'!$AA139-('Touch 1 1'!S$2- 12.5)*'Touch 1 1'!$AC139</f>
        <v>-33.340479016893823</v>
      </c>
      <c r="T139" s="1">
        <f>'Touch 1 1'!T139-'Touch 1 1'!$AA139-('Touch 1 1'!T$2- 12.5)*'Touch 1 1'!$AC139</f>
        <v>-15.311475201783423</v>
      </c>
      <c r="U139" s="1">
        <f>'Touch 1 1'!U139-'Touch 1 1'!$AA139-('Touch 1 1'!U$2- 12.5)*'Touch 1 1'!$AC139</f>
        <v>-37.282471386673251</v>
      </c>
      <c r="V139" s="1">
        <f>'Touch 1 1'!V139-'Touch 1 1'!$AA139-('Touch 1 1'!V$2- 12.5)*'Touch 1 1'!$AC139</f>
        <v>-29.253467571563078</v>
      </c>
      <c r="W139" s="1">
        <f>'Touch 1 1'!W139-'Touch 1 1'!$AA139-('Touch 1 1'!W$2- 12.5)*'Touch 1 1'!$AC139</f>
        <v>-1.2244637564529057</v>
      </c>
      <c r="X139" s="1">
        <f>'Touch 1 1'!X139-'Touch 1 1'!$AA139-('Touch 1 1'!X$2- 12.5)*'Touch 1 1'!$AC139</f>
        <v>6.8045400586574942</v>
      </c>
      <c r="Y139" s="1">
        <f>'Touch 1 1'!Y139-'Touch 1 1'!$AA139-('Touch 1 1'!Y$2- 12.5)*'Touch 1 1'!$AC139</f>
        <v>44.833543873767667</v>
      </c>
      <c r="AB139" s="1">
        <f>STDEV(B139:Y139)</f>
        <v>32.040427913868044</v>
      </c>
      <c r="AD139" s="11" t="s">
        <v>45</v>
      </c>
      <c r="AE139" s="11">
        <v>5</v>
      </c>
      <c r="AF139" s="11">
        <v>3</v>
      </c>
      <c r="AG139" s="11" t="s">
        <v>44</v>
      </c>
      <c r="AH139" s="11">
        <v>7</v>
      </c>
      <c r="AI139" s="11">
        <v>9</v>
      </c>
      <c r="AJ139" s="11" t="s">
        <v>46</v>
      </c>
      <c r="AK139" s="11">
        <v>6</v>
      </c>
      <c r="AL139" s="11">
        <v>1</v>
      </c>
      <c r="AM139" s="11">
        <v>8</v>
      </c>
      <c r="AN139" s="11">
        <v>2</v>
      </c>
      <c r="AO139" s="11">
        <v>4</v>
      </c>
      <c r="AP139" s="11">
        <v>5</v>
      </c>
      <c r="AQ139" s="11" t="s">
        <v>45</v>
      </c>
      <c r="AR139" s="11" t="s">
        <v>44</v>
      </c>
      <c r="AS139" s="11">
        <v>3</v>
      </c>
      <c r="AT139" s="11">
        <v>9</v>
      </c>
      <c r="AU139" s="11">
        <v>7</v>
      </c>
      <c r="AV139" s="11" t="s">
        <v>46</v>
      </c>
      <c r="AW139" s="11">
        <v>1</v>
      </c>
      <c r="AX139" s="11">
        <v>6</v>
      </c>
      <c r="AY139" s="11">
        <v>8</v>
      </c>
      <c r="AZ139" s="11">
        <v>4</v>
      </c>
      <c r="BA139" s="11">
        <v>2</v>
      </c>
      <c r="BB139" s="5"/>
      <c r="BC139" s="1">
        <f ca="1">OFFSET(A139,0, 9) -0</f>
        <v>-15.601513352885831</v>
      </c>
      <c r="BD139" s="1">
        <f ca="1">OFFSET(A139,0, 11) -0</f>
        <v>0.45649427733462744</v>
      </c>
      <c r="BE139" s="1">
        <f ca="1">OFFSET(A139,0, 3) -0</f>
        <v>6.2244637564529057</v>
      </c>
      <c r="BF139" s="1">
        <f ca="1">OFFSET(A139,0, 12) -0</f>
        <v>18.485498092444885</v>
      </c>
      <c r="BG139" s="1">
        <f ca="1">OFFSET(A139,0, 2) -0</f>
        <v>-31.804540058657494</v>
      </c>
      <c r="BH139" s="1">
        <f ca="1">OFFSET(A139,0, 8) -0</f>
        <v>6.369482832003996</v>
      </c>
      <c r="BI139" s="1">
        <f ca="1">OFFSET(A139,0, 5) -0</f>
        <v>-17.717528613326749</v>
      </c>
      <c r="BJ139" s="1">
        <f ca="1">OFFSET(A139,0, 10) -0</f>
        <v>2.4274904622244549</v>
      </c>
      <c r="BK139" s="1">
        <f ca="1">OFFSET(A139,0, 6) -0</f>
        <v>-29.688524798216577</v>
      </c>
      <c r="BL139" s="1">
        <f ca="1">OFFSET(A139,0, 4) -0</f>
        <v>4.2534675715630783</v>
      </c>
      <c r="BM139" s="1">
        <f ca="1">OFFSET(A139,0, 1) -0</f>
        <v>20.166456126232333</v>
      </c>
      <c r="BN139" s="1">
        <f ca="1">OFFSET(A139,0, 7) -0</f>
        <v>-1.6595209831061766</v>
      </c>
      <c r="BO139" s="1">
        <f ca="1">OFFSET(A139,0, 20) -0</f>
        <v>-37.282471386673251</v>
      </c>
      <c r="BP139" s="1">
        <f ca="1">OFFSET(A139,0, 24) -0</f>
        <v>44.833543873767667</v>
      </c>
      <c r="BQ139" s="1">
        <f ca="1">OFFSET(A139,0, 16) -0</f>
        <v>-29.398486647114169</v>
      </c>
      <c r="BR139" s="1">
        <f ca="1">OFFSET(A139,0, 23) -0</f>
        <v>6.8045400586574942</v>
      </c>
      <c r="BS139" s="1">
        <f ca="1">OFFSET(A139,0, 13) -0</f>
        <v>106.51450190755511</v>
      </c>
      <c r="BT139" s="1">
        <f ca="1">OFFSET(A139,0, 21) -0</f>
        <v>-29.253467571563078</v>
      </c>
      <c r="BU139" s="1">
        <f ca="1">OFFSET(A139,0, 18) -0</f>
        <v>-33.340479016893823</v>
      </c>
      <c r="BV139" s="1">
        <f ca="1">OFFSET(A139,0, 22) -0</f>
        <v>-1.2244637564529057</v>
      </c>
      <c r="BW139" s="1">
        <f ca="1">OFFSET(A139,0, 17) -0</f>
        <v>-21.369482832003996</v>
      </c>
      <c r="BX139" s="1">
        <f ca="1">OFFSET(A139,0, 15) -0</f>
        <v>2.5725095377755451</v>
      </c>
      <c r="BY139" s="1">
        <f ca="1">OFFSET(A139,0, 14) -0</f>
        <v>44.543505722665373</v>
      </c>
      <c r="BZ139" s="1">
        <f ca="1">OFFSET(A139,0, 19) -0</f>
        <v>-15.311475201783423</v>
      </c>
      <c r="CB139" s="1">
        <f>COUNTIF(B139,"&lt;-75")</f>
        <v>0</v>
      </c>
      <c r="CC139" s="1">
        <f ca="1">COUNTIF(BC139:BN139,"&lt;-53")</f>
        <v>0</v>
      </c>
      <c r="CD139" s="1">
        <f ca="1">COUNTIF(BC139:BN139,"&gt;+53")</f>
        <v>0</v>
      </c>
      <c r="CE139" s="1">
        <f ca="1">COUNTIF(BO139:BZ139,"&lt;-53")</f>
        <v>0</v>
      </c>
      <c r="CF139" s="1">
        <f ca="1">COUNTIF(BO139:BZ139,"&gt;+53")</f>
        <v>1</v>
      </c>
    </row>
    <row r="140" spans="1:84">
      <c r="A140" s="1">
        <v>137</v>
      </c>
      <c r="B140" s="1">
        <f>'Touch 1 1'!B140-'Touch 1 1'!$AA140-('Touch 1 1'!B$2- 12.5)*'Touch 1 1'!$AC140</f>
        <v>67.928471773319416</v>
      </c>
      <c r="C140" s="1">
        <f>'Touch 1 1'!C140-'Touch 1 1'!$AA140-('Touch 1 1'!C$2- 12.5)*'Touch 1 1'!$AC140</f>
        <v>-53.775453308414853</v>
      </c>
      <c r="D140" s="1">
        <f>'Touch 1 1'!D140-'Touch 1 1'!$AA140-('Touch 1 1'!D$2- 12.5)*'Touch 1 1'!$AC140</f>
        <v>24.520621609850423</v>
      </c>
      <c r="E140" s="1">
        <f>'Touch 1 1'!E140-'Touch 1 1'!$AA140-('Touch 1 1'!E$2- 12.5)*'Touch 1 1'!$AC140</f>
        <v>2.8166965281159264</v>
      </c>
      <c r="F140" s="1">
        <f>'Touch 1 1'!F140-'Touch 1 1'!$AA140-('Touch 1 1'!F$2- 12.5)*'Touch 1 1'!$AC140</f>
        <v>11.112771446381203</v>
      </c>
      <c r="G140" s="1">
        <f>'Touch 1 1'!G140-'Touch 1 1'!$AA140-('Touch 1 1'!G$2- 12.5)*'Touch 1 1'!$AC140</f>
        <v>-40.591153635353294</v>
      </c>
      <c r="H140" s="1">
        <f>'Touch 1 1'!H140-'Touch 1 1'!$AA140-('Touch 1 1'!H$2- 12.5)*'Touch 1 1'!$AC140</f>
        <v>-12.29507871708779</v>
      </c>
      <c r="I140" s="1">
        <f>'Touch 1 1'!I140-'Touch 1 1'!$AA140-('Touch 1 1'!I$2- 12.5)*'Touch 1 1'!$AC140</f>
        <v>-33.9990037988224</v>
      </c>
      <c r="J140" s="1">
        <f>'Touch 1 1'!J140-'Touch 1 1'!$AA140-('Touch 1 1'!J$2- 12.5)*'Touch 1 1'!$AC140</f>
        <v>14.297071119443103</v>
      </c>
      <c r="K140" s="1">
        <f>'Touch 1 1'!K140-'Touch 1 1'!$AA140-('Touch 1 1'!K$2- 12.5)*'Touch 1 1'!$AC140</f>
        <v>-77.406853962291507</v>
      </c>
      <c r="L140" s="1">
        <f>'Touch 1 1'!L140-'Touch 1 1'!$AA140-('Touch 1 1'!L$2- 12.5)*'Touch 1 1'!$AC140</f>
        <v>-9.1107790440260032</v>
      </c>
      <c r="M140" s="1">
        <f>'Touch 1 1'!M140-'Touch 1 1'!$AA140-('Touch 1 1'!M$2- 12.5)*'Touch 1 1'!$AC140</f>
        <v>9.1852958742394151</v>
      </c>
      <c r="N140" s="1">
        <f>'Touch 1 1'!N140-'Touch 1 1'!$AA140-('Touch 1 1'!N$2- 12.5)*'Touch 1 1'!$AC140</f>
        <v>57.481370792504862</v>
      </c>
      <c r="O140" s="1">
        <f>'Touch 1 1'!O140-'Touch 1 1'!$AA140-('Touch 1 1'!O$2- 12.5)*'Touch 1 1'!$AC140</f>
        <v>25.77744571077028</v>
      </c>
      <c r="P140" s="1">
        <f>'Touch 1 1'!P140-'Touch 1 1'!$AA140-('Touch 1 1'!P$2- 12.5)*'Touch 1 1'!$AC140</f>
        <v>-15.926479370964216</v>
      </c>
      <c r="Q140" s="1">
        <f>'Touch 1 1'!Q140-'Touch 1 1'!$AA140-('Touch 1 1'!Q$2- 12.5)*'Touch 1 1'!$AC140</f>
        <v>-7.6304044526988264</v>
      </c>
      <c r="R140" s="1">
        <f>'Touch 1 1'!R140-'Touch 1 1'!$AA140-('Touch 1 1'!R$2- 12.5)*'Touch 1 1'!$AC140</f>
        <v>-39.334329534433323</v>
      </c>
      <c r="S140" s="1">
        <f>'Touch 1 1'!S140-'Touch 1 1'!$AA140-('Touch 1 1'!S$2- 12.5)*'Touch 1 1'!$AC140</f>
        <v>-31.038254616167933</v>
      </c>
      <c r="T140" s="1">
        <f>'Touch 1 1'!T140-'Touch 1 1'!$AA140-('Touch 1 1'!T$2- 12.5)*'Touch 1 1'!$AC140</f>
        <v>-22.742179697902429</v>
      </c>
      <c r="U140" s="1">
        <f>'Touch 1 1'!U140-'Touch 1 1'!$AA140-('Touch 1 1'!U$2- 12.5)*'Touch 1 1'!$AC140</f>
        <v>5.5538952203630743</v>
      </c>
      <c r="V140" s="1">
        <f>'Touch 1 1'!V140-'Touch 1 1'!$AA140-('Touch 1 1'!V$2- 12.5)*'Touch 1 1'!$AC140</f>
        <v>-6.1500298613716495</v>
      </c>
      <c r="W140" s="1">
        <f>'Touch 1 1'!W140-'Touch 1 1'!$AA140-('Touch 1 1'!W$2- 12.5)*'Touch 1 1'!$AC140</f>
        <v>72.146045056893854</v>
      </c>
      <c r="X140" s="1">
        <f>'Touch 1 1'!X140-'Touch 1 1'!$AA140-('Touch 1 1'!X$2- 12.5)*'Touch 1 1'!$AC140</f>
        <v>-9.5578800248408697</v>
      </c>
      <c r="Y140" s="1">
        <f>'Touch 1 1'!Y140-'Touch 1 1'!$AA140-('Touch 1 1'!Y$2- 12.5)*'Touch 1 1'!$AC140</f>
        <v>68.738194893424861</v>
      </c>
      <c r="AB140" s="1">
        <f>STDEV(B140:Y140)</f>
        <v>38.984586778359365</v>
      </c>
      <c r="AD140" s="11" t="s">
        <v>45</v>
      </c>
      <c r="AE140" s="11">
        <v>5</v>
      </c>
      <c r="AF140" s="11">
        <v>3</v>
      </c>
      <c r="AG140" s="11" t="s">
        <v>44</v>
      </c>
      <c r="AH140" s="11">
        <v>7</v>
      </c>
      <c r="AI140" s="11">
        <v>9</v>
      </c>
      <c r="AJ140" s="11">
        <v>1</v>
      </c>
      <c r="AK140" s="11" t="s">
        <v>46</v>
      </c>
      <c r="AL140" s="11">
        <v>8</v>
      </c>
      <c r="AM140" s="11">
        <v>6</v>
      </c>
      <c r="AN140" s="11">
        <v>2</v>
      </c>
      <c r="AO140" s="11">
        <v>4</v>
      </c>
      <c r="AP140" s="11" t="s">
        <v>45</v>
      </c>
      <c r="AQ140" s="11">
        <v>3</v>
      </c>
      <c r="AR140" s="11">
        <v>5</v>
      </c>
      <c r="AS140" s="11">
        <v>7</v>
      </c>
      <c r="AT140" s="11" t="s">
        <v>44</v>
      </c>
      <c r="AU140" s="11">
        <v>9</v>
      </c>
      <c r="AV140" s="11" t="s">
        <v>46</v>
      </c>
      <c r="AW140" s="11">
        <v>1</v>
      </c>
      <c r="AX140" s="11">
        <v>8</v>
      </c>
      <c r="AY140" s="11">
        <v>2</v>
      </c>
      <c r="AZ140" s="11">
        <v>6</v>
      </c>
      <c r="BA140" s="11">
        <v>4</v>
      </c>
      <c r="BB140" s="5"/>
      <c r="BC140" s="1">
        <f ca="1">OFFSET(A140,0, 7) -0</f>
        <v>-12.29507871708779</v>
      </c>
      <c r="BD140" s="1">
        <f ca="1">OFFSET(A140,0, 11) -0</f>
        <v>-9.1107790440260032</v>
      </c>
      <c r="BE140" s="1">
        <f ca="1">OFFSET(A140,0, 3) -0</f>
        <v>24.520621609850423</v>
      </c>
      <c r="BF140" s="1">
        <f ca="1">OFFSET(A140,0, 12) -0</f>
        <v>9.1852958742394151</v>
      </c>
      <c r="BG140" s="1">
        <f ca="1">OFFSET(A140,0, 2) -0</f>
        <v>-53.775453308414853</v>
      </c>
      <c r="BH140" s="1">
        <f ca="1">OFFSET(A140,0, 10) -0</f>
        <v>-77.406853962291507</v>
      </c>
      <c r="BI140" s="1">
        <f ca="1">OFFSET(A140,0, 5) -0</f>
        <v>11.112771446381203</v>
      </c>
      <c r="BJ140" s="1">
        <f ca="1">OFFSET(A140,0, 9) -0</f>
        <v>14.297071119443103</v>
      </c>
      <c r="BK140" s="1">
        <f ca="1">OFFSET(A140,0, 6) -0</f>
        <v>-40.591153635353294</v>
      </c>
      <c r="BL140" s="1">
        <f ca="1">OFFSET(A140,0, 4) -0</f>
        <v>2.8166965281159264</v>
      </c>
      <c r="BM140" s="1">
        <f ca="1">OFFSET(A140,0, 1) -0</f>
        <v>67.928471773319416</v>
      </c>
      <c r="BN140" s="1">
        <f ca="1">OFFSET(A140,0, 8) -0</f>
        <v>-33.9990037988224</v>
      </c>
      <c r="BO140" s="1">
        <f ca="1">OFFSET(A140,0, 20) -0</f>
        <v>5.5538952203630743</v>
      </c>
      <c r="BP140" s="1">
        <f ca="1">OFFSET(A140,0, 22) -0</f>
        <v>72.146045056893854</v>
      </c>
      <c r="BQ140" s="1">
        <f ca="1">OFFSET(A140,0, 14) -0</f>
        <v>25.77744571077028</v>
      </c>
      <c r="BR140" s="1">
        <f ca="1">OFFSET(A140,0, 24) -0</f>
        <v>68.738194893424861</v>
      </c>
      <c r="BS140" s="1">
        <f ca="1">OFFSET(A140,0, 15) -0</f>
        <v>-15.926479370964216</v>
      </c>
      <c r="BT140" s="1">
        <f ca="1">OFFSET(A140,0, 23) -0</f>
        <v>-9.5578800248408697</v>
      </c>
      <c r="BU140" s="1">
        <f ca="1">OFFSET(A140,0, 16) -0</f>
        <v>-7.6304044526988264</v>
      </c>
      <c r="BV140" s="1">
        <f ca="1">OFFSET(A140,0, 21) -0</f>
        <v>-6.1500298613716495</v>
      </c>
      <c r="BW140" s="1">
        <f ca="1">OFFSET(A140,0, 18) -0</f>
        <v>-31.038254616167933</v>
      </c>
      <c r="BX140" s="1">
        <f ca="1">OFFSET(A140,0, 17) -0</f>
        <v>-39.334329534433323</v>
      </c>
      <c r="BY140" s="1">
        <f ca="1">OFFSET(A140,0, 13) -0</f>
        <v>57.481370792504862</v>
      </c>
      <c r="BZ140" s="1">
        <f ca="1">OFFSET(A140,0, 19) -0</f>
        <v>-22.742179697902429</v>
      </c>
      <c r="CB140" s="1">
        <f>COUNTIF(B140,"&lt;-75")</f>
        <v>0</v>
      </c>
      <c r="CC140" s="1">
        <f ca="1">COUNTIF(BC140:BN140,"&lt;-53")</f>
        <v>2</v>
      </c>
      <c r="CD140" s="1">
        <f ca="1">COUNTIF(BC140:BN140,"&gt;+53")</f>
        <v>1</v>
      </c>
      <c r="CE140" s="1">
        <f ca="1">COUNTIF(BO140:BZ140,"&lt;-53")</f>
        <v>0</v>
      </c>
      <c r="CF140" s="1">
        <f ca="1">COUNTIF(BO140:BZ140,"&gt;+53")</f>
        <v>3</v>
      </c>
    </row>
    <row r="141" spans="1:84">
      <c r="A141" s="1">
        <v>138</v>
      </c>
      <c r="B141" s="1">
        <f>'Touch 1 1'!B141-'Touch 1 1'!$AA141-('Touch 1 1'!B$2- 12.5)*'Touch 1 1'!$AC141</f>
        <v>-3.8173619448048157</v>
      </c>
      <c r="C141" s="1">
        <f>'Touch 1 1'!C141-'Touch 1 1'!$AA141-('Touch 1 1'!C$2- 12.5)*'Touch 1 1'!$AC141</f>
        <v>13.76095938373237</v>
      </c>
      <c r="D141" s="1">
        <f>'Touch 1 1'!D141-'Touch 1 1'!$AA141-('Touch 1 1'!D$2- 12.5)*'Touch 1 1'!$AC141</f>
        <v>-8.6607192877306716</v>
      </c>
      <c r="E141" s="1">
        <f>'Touch 1 1'!E141-'Touch 1 1'!$AA141-('Touch 1 1'!E$2- 12.5)*'Touch 1 1'!$AC141</f>
        <v>-41.082397959193486</v>
      </c>
      <c r="F141" s="1">
        <f>'Touch 1 1'!F141-'Touch 1 1'!$AA141-('Touch 1 1'!F$2- 12.5)*'Touch 1 1'!$AC141</f>
        <v>-73.5040766306563</v>
      </c>
      <c r="G141" s="1">
        <f>'Touch 1 1'!G141-'Touch 1 1'!$AA141-('Touch 1 1'!G$2- 12.5)*'Touch 1 1'!$AC141</f>
        <v>-45.925755302119114</v>
      </c>
      <c r="H141" s="1">
        <f>'Touch 1 1'!H141-'Touch 1 1'!$AA141-('Touch 1 1'!H$2- 12.5)*'Touch 1 1'!$AC141</f>
        <v>61.652566026417844</v>
      </c>
      <c r="I141" s="1">
        <f>'Touch 1 1'!I141-'Touch 1 1'!$AA141-('Touch 1 1'!I$2- 12.5)*'Touch 1 1'!$AC141</f>
        <v>19.23088735495503</v>
      </c>
      <c r="J141" s="1">
        <f>'Touch 1 1'!J141-'Touch 1 1'!$AA141-('Touch 1 1'!J$2- 12.5)*'Touch 1 1'!$AC141</f>
        <v>16.809208683492216</v>
      </c>
      <c r="K141" s="1">
        <f>'Touch 1 1'!K141-'Touch 1 1'!$AA141-('Touch 1 1'!K$2- 12.5)*'Touch 1 1'!$AC141</f>
        <v>14.387530012029288</v>
      </c>
      <c r="L141" s="1">
        <f>'Touch 1 1'!L141-'Touch 1 1'!$AA141-('Touch 1 1'!L$2- 12.5)*'Touch 1 1'!$AC141</f>
        <v>1.9658513405664735</v>
      </c>
      <c r="M141" s="1">
        <f>'Touch 1 1'!M141-'Touch 1 1'!$AA141-('Touch 1 1'!M$2- 12.5)*'Touch 1 1'!$AC141</f>
        <v>-10.455827330896426</v>
      </c>
      <c r="N141" s="1">
        <f>'Touch 1 1'!N141-'Touch 1 1'!$AA141-('Touch 1 1'!N$2- 12.5)*'Touch 1 1'!$AC141</f>
        <v>37.122493997640703</v>
      </c>
      <c r="O141" s="1">
        <f>'Touch 1 1'!O141-'Touch 1 1'!$AA141-('Touch 1 1'!O$2- 12.5)*'Touch 1 1'!$AC141</f>
        <v>54.700815326177803</v>
      </c>
      <c r="P141" s="1">
        <f>'Touch 1 1'!P141-'Touch 1 1'!$AA141-('Touch 1 1'!P$2- 12.5)*'Touch 1 1'!$AC141</f>
        <v>-47.720863345285011</v>
      </c>
      <c r="Q141" s="1">
        <f>'Touch 1 1'!Q141-'Touch 1 1'!$AA141-('Touch 1 1'!Q$2- 12.5)*'Touch 1 1'!$AC141</f>
        <v>-20.142542016747939</v>
      </c>
      <c r="R141" s="1">
        <f>'Touch 1 1'!R141-'Touch 1 1'!$AA141-('Touch 1 1'!R$2- 12.5)*'Touch 1 1'!$AC141</f>
        <v>-42.564220688210753</v>
      </c>
      <c r="S141" s="1">
        <f>'Touch 1 1'!S141-'Touch 1 1'!$AA141-('Touch 1 1'!S$2- 12.5)*'Touch 1 1'!$AC141</f>
        <v>35.014100640326433</v>
      </c>
      <c r="T141" s="1">
        <f>'Touch 1 1'!T141-'Touch 1 1'!$AA141-('Touch 1 1'!T$2- 12.5)*'Touch 1 1'!$AC141</f>
        <v>-77.407578031136609</v>
      </c>
      <c r="U141" s="1">
        <f>'Touch 1 1'!U141-'Touch 1 1'!$AA141-('Touch 1 1'!U$2- 12.5)*'Touch 1 1'!$AC141</f>
        <v>-29.829256702599423</v>
      </c>
      <c r="V141" s="1">
        <f>'Touch 1 1'!V141-'Touch 1 1'!$AA141-('Touch 1 1'!V$2- 12.5)*'Touch 1 1'!$AC141</f>
        <v>17.749064625937763</v>
      </c>
      <c r="W141" s="1">
        <f>'Touch 1 1'!W141-'Touch 1 1'!$AA141-('Touch 1 1'!W$2- 12.5)*'Touch 1 1'!$AC141</f>
        <v>45.327385954474948</v>
      </c>
      <c r="X141" s="1">
        <f>'Touch 1 1'!X141-'Touch 1 1'!$AA141-('Touch 1 1'!X$2- 12.5)*'Touch 1 1'!$AC141</f>
        <v>32.905707283011907</v>
      </c>
      <c r="Y141" s="1">
        <f>'Touch 1 1'!Y141-'Touch 1 1'!$AA141-('Touch 1 1'!Y$2- 12.5)*'Touch 1 1'!$AC141</f>
        <v>50.484028611549093</v>
      </c>
      <c r="AB141" s="1">
        <f>STDEV(B141:Y141)</f>
        <v>40.23087753131464</v>
      </c>
      <c r="AD141" s="11">
        <v>3</v>
      </c>
      <c r="AE141" s="11" t="s">
        <v>45</v>
      </c>
      <c r="AF141" s="11">
        <v>7</v>
      </c>
      <c r="AG141" s="11">
        <v>5</v>
      </c>
      <c r="AH141" s="11">
        <v>9</v>
      </c>
      <c r="AI141" s="11" t="s">
        <v>44</v>
      </c>
      <c r="AJ141" s="11">
        <v>1</v>
      </c>
      <c r="AK141" s="11" t="s">
        <v>46</v>
      </c>
      <c r="AL141" s="11">
        <v>2</v>
      </c>
      <c r="AM141" s="11">
        <v>8</v>
      </c>
      <c r="AN141" s="11">
        <v>4</v>
      </c>
      <c r="AO141" s="11">
        <v>6</v>
      </c>
      <c r="AP141" s="11" t="s">
        <v>45</v>
      </c>
      <c r="AQ141" s="11">
        <v>3</v>
      </c>
      <c r="AR141" s="11">
        <v>5</v>
      </c>
      <c r="AS141" s="11">
        <v>7</v>
      </c>
      <c r="AT141" s="11">
        <v>9</v>
      </c>
      <c r="AU141" s="11">
        <v>1</v>
      </c>
      <c r="AV141" s="11" t="s">
        <v>44</v>
      </c>
      <c r="AW141" s="11" t="s">
        <v>46</v>
      </c>
      <c r="AX141" s="11">
        <v>8</v>
      </c>
      <c r="AY141" s="11">
        <v>2</v>
      </c>
      <c r="AZ141" s="11">
        <v>6</v>
      </c>
      <c r="BA141" s="11">
        <v>4</v>
      </c>
      <c r="BB141" s="5"/>
      <c r="BC141" s="1">
        <f ca="1">OFFSET(A141,0, 7) -0</f>
        <v>61.652566026417844</v>
      </c>
      <c r="BD141" s="1">
        <f ca="1">OFFSET(A141,0, 9) -0</f>
        <v>16.809208683492216</v>
      </c>
      <c r="BE141" s="1">
        <f ca="1">OFFSET(A141,0, 1) -0</f>
        <v>-3.8173619448048157</v>
      </c>
      <c r="BF141" s="1">
        <f ca="1">OFFSET(A141,0, 11) -0</f>
        <v>1.9658513405664735</v>
      </c>
      <c r="BG141" s="1">
        <f ca="1">OFFSET(A141,0, 4) -0</f>
        <v>-41.082397959193486</v>
      </c>
      <c r="BH141" s="1">
        <f ca="1">OFFSET(A141,0, 12) -0</f>
        <v>-10.455827330896426</v>
      </c>
      <c r="BI141" s="1">
        <f ca="1">OFFSET(A141,0, 3) -0</f>
        <v>-8.6607192877306716</v>
      </c>
      <c r="BJ141" s="1">
        <f ca="1">OFFSET(A141,0, 10) -0</f>
        <v>14.387530012029288</v>
      </c>
      <c r="BK141" s="1">
        <f ca="1">OFFSET(A141,0, 5) -0</f>
        <v>-73.5040766306563</v>
      </c>
      <c r="BL141" s="1">
        <f ca="1">OFFSET(A141,0, 6) -0</f>
        <v>-45.925755302119114</v>
      </c>
      <c r="BM141" s="1">
        <f ca="1">OFFSET(A141,0, 2) -0</f>
        <v>13.76095938373237</v>
      </c>
      <c r="BN141" s="1">
        <f ca="1">OFFSET(A141,0, 8) -0</f>
        <v>19.23088735495503</v>
      </c>
      <c r="BO141" s="1">
        <f ca="1">OFFSET(A141,0, 18) -0</f>
        <v>35.014100640326433</v>
      </c>
      <c r="BP141" s="1">
        <f ca="1">OFFSET(A141,0, 22) -0</f>
        <v>45.327385954474948</v>
      </c>
      <c r="BQ141" s="1">
        <f ca="1">OFFSET(A141,0, 14) -0</f>
        <v>54.700815326177803</v>
      </c>
      <c r="BR141" s="1">
        <f ca="1">OFFSET(A141,0, 24) -0</f>
        <v>50.484028611549093</v>
      </c>
      <c r="BS141" s="1">
        <f ca="1">OFFSET(A141,0, 15) -0</f>
        <v>-47.720863345285011</v>
      </c>
      <c r="BT141" s="1">
        <f ca="1">OFFSET(A141,0, 23) -0</f>
        <v>32.905707283011907</v>
      </c>
      <c r="BU141" s="1">
        <f ca="1">OFFSET(A141,0, 16) -0</f>
        <v>-20.142542016747939</v>
      </c>
      <c r="BV141" s="1">
        <f ca="1">OFFSET(A141,0, 21) -0</f>
        <v>17.749064625937763</v>
      </c>
      <c r="BW141" s="1">
        <f ca="1">OFFSET(A141,0, 17) -0</f>
        <v>-42.564220688210753</v>
      </c>
      <c r="BX141" s="1">
        <f ca="1">OFFSET(A141,0, 19) -0</f>
        <v>-77.407578031136609</v>
      </c>
      <c r="BY141" s="1">
        <f ca="1">OFFSET(A141,0, 13) -0</f>
        <v>37.122493997640703</v>
      </c>
      <c r="BZ141" s="1">
        <f ca="1">OFFSET(A141,0, 20) -0</f>
        <v>-29.829256702599423</v>
      </c>
      <c r="CB141" s="1">
        <f>COUNTIF(B141,"&lt;-75")</f>
        <v>0</v>
      </c>
      <c r="CC141" s="1">
        <f ca="1">COUNTIF(BC141:BN141,"&lt;-53")</f>
        <v>1</v>
      </c>
      <c r="CD141" s="1">
        <f ca="1">COUNTIF(BC141:BN141,"&gt;+53")</f>
        <v>1</v>
      </c>
      <c r="CE141" s="1">
        <f ca="1">COUNTIF(BO141:BZ141,"&lt;-53")</f>
        <v>1</v>
      </c>
      <c r="CF141" s="1">
        <f ca="1">COUNTIF(BO141:BZ141,"&gt;+53")</f>
        <v>1</v>
      </c>
    </row>
    <row r="142" spans="1:84">
      <c r="A142" s="1">
        <v>139</v>
      </c>
      <c r="B142" s="1">
        <f>'Touch 1 1'!B142-'Touch 1 1'!$AA142-('Touch 1 1'!B$2- 12.5)*'Touch 1 1'!$AC142</f>
        <v>44.829827807657239</v>
      </c>
      <c r="C142" s="1">
        <f>'Touch 1 1'!C142-'Touch 1 1'!$AA142-('Touch 1 1'!C$2- 12.5)*'Touch 1 1'!$AC142</f>
        <v>42.091002201197625</v>
      </c>
      <c r="D142" s="1">
        <f>'Touch 1 1'!D142-'Touch 1 1'!$AA142-('Touch 1 1'!D$2- 12.5)*'Touch 1 1'!$AC142</f>
        <v>79.352176594738012</v>
      </c>
      <c r="E142" s="1">
        <f>'Touch 1 1'!E142-'Touch 1 1'!$AA142-('Touch 1 1'!E$2- 12.5)*'Touch 1 1'!$AC142</f>
        <v>6.6133509882783983</v>
      </c>
      <c r="F142" s="1">
        <f>'Touch 1 1'!F142-'Touch 1 1'!$AA142-('Touch 1 1'!F$2- 12.5)*'Touch 1 1'!$AC142</f>
        <v>13.874525381818785</v>
      </c>
      <c r="G142" s="1">
        <f>'Touch 1 1'!G142-'Touch 1 1'!$AA142-('Touch 1 1'!G$2- 12.5)*'Touch 1 1'!$AC142</f>
        <v>-108.86430022464083</v>
      </c>
      <c r="H142" s="1">
        <f>'Touch 1 1'!H142-'Touch 1 1'!$AA142-('Touch 1 1'!H$2- 12.5)*'Touch 1 1'!$AC142</f>
        <v>-71.603125831100215</v>
      </c>
      <c r="I142" s="1">
        <f>'Touch 1 1'!I142-'Touch 1 1'!$AA142-('Touch 1 1'!I$2- 12.5)*'Touch 1 1'!$AC142</f>
        <v>-74.341951437559828</v>
      </c>
      <c r="J142" s="1">
        <f>'Touch 1 1'!J142-'Touch 1 1'!$AA142-('Touch 1 1'!J$2- 12.5)*'Touch 1 1'!$AC142</f>
        <v>-17.080777044019442</v>
      </c>
      <c r="K142" s="1">
        <f>'Touch 1 1'!K142-'Touch 1 1'!$AA142-('Touch 1 1'!K$2- 12.5)*'Touch 1 1'!$AC142</f>
        <v>10.180397349521058</v>
      </c>
      <c r="L142" s="1">
        <f>'Touch 1 1'!L142-'Touch 1 1'!$AA142-('Touch 1 1'!L$2- 12.5)*'Touch 1 1'!$AC142</f>
        <v>7.441571743061445</v>
      </c>
      <c r="M142" s="1">
        <f>'Touch 1 1'!M142-'Touch 1 1'!$AA142-('Touch 1 1'!M$2- 12.5)*'Touch 1 1'!$AC142</f>
        <v>34.702746136601917</v>
      </c>
      <c r="N142" s="1">
        <f>'Touch 1 1'!N142-'Touch 1 1'!$AA142-('Touch 1 1'!N$2- 12.5)*'Touch 1 1'!$AC142</f>
        <v>61.96392053014236</v>
      </c>
      <c r="O142" s="1">
        <f>'Touch 1 1'!O142-'Touch 1 1'!$AA142-('Touch 1 1'!O$2- 12.5)*'Touch 1 1'!$AC142</f>
        <v>19.225094923682832</v>
      </c>
      <c r="P142" s="1">
        <f>'Touch 1 1'!P142-'Touch 1 1'!$AA142-('Touch 1 1'!P$2- 12.5)*'Touch 1 1'!$AC142</f>
        <v>-13.513730682776782</v>
      </c>
      <c r="Q142" s="1">
        <f>'Touch 1 1'!Q142-'Touch 1 1'!$AA142-('Touch 1 1'!Q$2- 12.5)*'Touch 1 1'!$AC142</f>
        <v>-76.252556289236281</v>
      </c>
      <c r="R142" s="1">
        <f>'Touch 1 1'!R142-'Touch 1 1'!$AA142-('Touch 1 1'!R$2- 12.5)*'Touch 1 1'!$AC142</f>
        <v>-8.9913818956958949</v>
      </c>
      <c r="S142" s="1">
        <f>'Touch 1 1'!S142-'Touch 1 1'!$AA142-('Touch 1 1'!S$2- 12.5)*'Touch 1 1'!$AC142</f>
        <v>28.269792497844492</v>
      </c>
      <c r="T142" s="1">
        <f>'Touch 1 1'!T142-'Touch 1 1'!$AA142-('Touch 1 1'!T$2- 12.5)*'Touch 1 1'!$AC142</f>
        <v>-44.469033108614894</v>
      </c>
      <c r="U142" s="1">
        <f>'Touch 1 1'!U142-'Touch 1 1'!$AA142-('Touch 1 1'!U$2- 12.5)*'Touch 1 1'!$AC142</f>
        <v>22.792141284925492</v>
      </c>
      <c r="V142" s="1">
        <f>'Touch 1 1'!V142-'Touch 1 1'!$AA142-('Touch 1 1'!V$2- 12.5)*'Touch 1 1'!$AC142</f>
        <v>-29.946684321534121</v>
      </c>
      <c r="W142" s="1">
        <f>'Touch 1 1'!W142-'Touch 1 1'!$AA142-('Touch 1 1'!W$2- 12.5)*'Touch 1 1'!$AC142</f>
        <v>-12.685509927993735</v>
      </c>
      <c r="X142" s="1">
        <f>'Touch 1 1'!X142-'Touch 1 1'!$AA142-('Touch 1 1'!X$2- 12.5)*'Touch 1 1'!$AC142</f>
        <v>14.575664465546652</v>
      </c>
      <c r="Y142" s="1">
        <f>'Touch 1 1'!Y142-'Touch 1 1'!$AA142-('Touch 1 1'!Y$2- 12.5)*'Touch 1 1'!$AC142</f>
        <v>71.836838859087038</v>
      </c>
      <c r="AB142" s="1">
        <f>STDEV(B142:Y142)</f>
        <v>48.673047695614869</v>
      </c>
      <c r="AD142" s="11">
        <v>3</v>
      </c>
      <c r="AE142" s="11" t="s">
        <v>45</v>
      </c>
      <c r="AF142" s="11">
        <v>7</v>
      </c>
      <c r="AG142" s="11">
        <v>5</v>
      </c>
      <c r="AH142" s="11">
        <v>1</v>
      </c>
      <c r="AI142" s="11">
        <v>9</v>
      </c>
      <c r="AJ142" s="11" t="s">
        <v>46</v>
      </c>
      <c r="AK142" s="11" t="s">
        <v>44</v>
      </c>
      <c r="AL142" s="11">
        <v>2</v>
      </c>
      <c r="AM142" s="11">
        <v>8</v>
      </c>
      <c r="AN142" s="11">
        <v>4</v>
      </c>
      <c r="AO142" s="11">
        <v>6</v>
      </c>
      <c r="AP142" s="11">
        <v>3</v>
      </c>
      <c r="AQ142" s="11">
        <v>7</v>
      </c>
      <c r="AR142" s="11" t="s">
        <v>45</v>
      </c>
      <c r="AS142" s="11">
        <v>5</v>
      </c>
      <c r="AT142" s="11">
        <v>9</v>
      </c>
      <c r="AU142" s="11">
        <v>1</v>
      </c>
      <c r="AV142" s="11" t="s">
        <v>46</v>
      </c>
      <c r="AW142" s="11">
        <v>2</v>
      </c>
      <c r="AX142" s="11" t="s">
        <v>44</v>
      </c>
      <c r="AY142" s="11">
        <v>4</v>
      </c>
      <c r="AZ142" s="11">
        <v>8</v>
      </c>
      <c r="BA142" s="11">
        <v>6</v>
      </c>
      <c r="BB142" s="5"/>
      <c r="BC142" s="1">
        <f ca="1">OFFSET(A142,0, 5) -0</f>
        <v>13.874525381818785</v>
      </c>
      <c r="BD142" s="1">
        <f ca="1">OFFSET(A142,0, 9) -0</f>
        <v>-17.080777044019442</v>
      </c>
      <c r="BE142" s="1">
        <f ca="1">OFFSET(A142,0, 1) -0</f>
        <v>44.829827807657239</v>
      </c>
      <c r="BF142" s="1">
        <f ca="1">OFFSET(A142,0, 11) -0</f>
        <v>7.441571743061445</v>
      </c>
      <c r="BG142" s="1">
        <f ca="1">OFFSET(A142,0, 4) -0</f>
        <v>6.6133509882783983</v>
      </c>
      <c r="BH142" s="1">
        <f ca="1">OFFSET(A142,0, 12) -0</f>
        <v>34.702746136601917</v>
      </c>
      <c r="BI142" s="1">
        <f ca="1">OFFSET(A142,0, 3) -0</f>
        <v>79.352176594738012</v>
      </c>
      <c r="BJ142" s="1">
        <f ca="1">OFFSET(A142,0, 10) -0</f>
        <v>10.180397349521058</v>
      </c>
      <c r="BK142" s="1">
        <f ca="1">OFFSET(A142,0, 6) -0</f>
        <v>-108.86430022464083</v>
      </c>
      <c r="BL142" s="1">
        <f ca="1">OFFSET(A142,0, 8) -0</f>
        <v>-74.341951437559828</v>
      </c>
      <c r="BM142" s="1">
        <f ca="1">OFFSET(A142,0, 2) -0</f>
        <v>42.091002201197625</v>
      </c>
      <c r="BN142" s="1">
        <f ca="1">OFFSET(A142,0, 7) -0</f>
        <v>-71.603125831100215</v>
      </c>
      <c r="BO142" s="1">
        <f ca="1">OFFSET(A142,0, 18) -0</f>
        <v>28.269792497844492</v>
      </c>
      <c r="BP142" s="1">
        <f ca="1">OFFSET(A142,0, 20) -0</f>
        <v>22.792141284925492</v>
      </c>
      <c r="BQ142" s="1">
        <f ca="1">OFFSET(A142,0, 13) -0</f>
        <v>61.96392053014236</v>
      </c>
      <c r="BR142" s="1">
        <f ca="1">OFFSET(A142,0, 22) -0</f>
        <v>-12.685509927993735</v>
      </c>
      <c r="BS142" s="1">
        <f ca="1">OFFSET(A142,0, 16) -0</f>
        <v>-76.252556289236281</v>
      </c>
      <c r="BT142" s="1">
        <f ca="1">OFFSET(A142,0, 24) -0</f>
        <v>71.836838859087038</v>
      </c>
      <c r="BU142" s="1">
        <f ca="1">OFFSET(A142,0, 14) -0</f>
        <v>19.225094923682832</v>
      </c>
      <c r="BV142" s="1">
        <f ca="1">OFFSET(A142,0, 23) -0</f>
        <v>14.575664465546652</v>
      </c>
      <c r="BW142" s="1">
        <f ca="1">OFFSET(A142,0, 17) -0</f>
        <v>-8.9913818956958949</v>
      </c>
      <c r="BX142" s="1">
        <f ca="1">OFFSET(A142,0, 21) -0</f>
        <v>-29.946684321534121</v>
      </c>
      <c r="BY142" s="1">
        <f ca="1">OFFSET(A142,0, 15) -0</f>
        <v>-13.513730682776782</v>
      </c>
      <c r="BZ142" s="1">
        <f ca="1">OFFSET(A142,0, 19) -0</f>
        <v>-44.469033108614894</v>
      </c>
      <c r="CB142" s="1">
        <f>COUNTIF(B142,"&lt;-75")</f>
        <v>0</v>
      </c>
      <c r="CC142" s="1">
        <f ca="1">COUNTIF(BC142:BN142,"&lt;-53")</f>
        <v>3</v>
      </c>
      <c r="CD142" s="1">
        <f ca="1">COUNTIF(BC142:BN142,"&gt;+53")</f>
        <v>1</v>
      </c>
      <c r="CE142" s="1">
        <f ca="1">COUNTIF(BO142:BZ142,"&lt;-53")</f>
        <v>1</v>
      </c>
      <c r="CF142" s="1">
        <f ca="1">COUNTIF(BO142:BZ142,"&gt;+53")</f>
        <v>2</v>
      </c>
    </row>
    <row r="143" spans="1:84">
      <c r="A143" s="1">
        <v>140</v>
      </c>
      <c r="B143" s="1">
        <f>'Touch 1 1'!B143-'Touch 1 1'!$AA143-('Touch 1 1'!B$2- 12.5)*'Touch 1 1'!$AC143</f>
        <v>110.43617463972669</v>
      </c>
      <c r="C143" s="1">
        <f>'Touch 1 1'!C143-'Touch 1 1'!$AA143-('Touch 1 1'!C$2- 12.5)*'Touch 1 1'!$AC143</f>
        <v>87.572159453663517</v>
      </c>
      <c r="D143" s="1">
        <f>'Touch 1 1'!D143-'Touch 1 1'!$AA143-('Touch 1 1'!D$2- 12.5)*'Touch 1 1'!$AC143</f>
        <v>-5.2918557323996538</v>
      </c>
      <c r="E143" s="1">
        <f>'Touch 1 1'!E143-'Touch 1 1'!$AA143-('Touch 1 1'!E$2- 12.5)*'Touch 1 1'!$AC143</f>
        <v>11.844129081537176</v>
      </c>
      <c r="F143" s="1">
        <f>'Touch 1 1'!F143-'Touch 1 1'!$AA143-('Touch 1 1'!F$2- 12.5)*'Touch 1 1'!$AC143</f>
        <v>68.980113895474005</v>
      </c>
      <c r="G143" s="1">
        <f>'Touch 1 1'!G143-'Touch 1 1'!$AA143-('Touch 1 1'!G$2- 12.5)*'Touch 1 1'!$AC143</f>
        <v>-53.883901290589165</v>
      </c>
      <c r="H143" s="1">
        <f>'Touch 1 1'!H143-'Touch 1 1'!$AA143-('Touch 1 1'!H$2- 12.5)*'Touch 1 1'!$AC143</f>
        <v>3.2520835233476646</v>
      </c>
      <c r="I143" s="1">
        <f>'Touch 1 1'!I143-'Touch 1 1'!$AA143-('Touch 1 1'!I$2- 12.5)*'Touch 1 1'!$AC143</f>
        <v>-49.611931662715619</v>
      </c>
      <c r="J143" s="1">
        <f>'Touch 1 1'!J143-'Touch 1 1'!$AA143-('Touch 1 1'!J$2- 12.5)*'Touch 1 1'!$AC143</f>
        <v>-52.47594684877879</v>
      </c>
      <c r="K143" s="1">
        <f>'Touch 1 1'!K143-'Touch 1 1'!$AA143-('Touch 1 1'!K$2- 12.5)*'Touch 1 1'!$AC143</f>
        <v>-55.33996203484196</v>
      </c>
      <c r="L143" s="1">
        <f>'Touch 1 1'!L143-'Touch 1 1'!$AA143-('Touch 1 1'!L$2- 12.5)*'Touch 1 1'!$AC143</f>
        <v>-68.203977220905188</v>
      </c>
      <c r="M143" s="1">
        <f>'Touch 1 1'!M143-'Touch 1 1'!$AA143-('Touch 1 1'!M$2- 12.5)*'Touch 1 1'!$AC143</f>
        <v>8.9320075930315994</v>
      </c>
      <c r="N143" s="1">
        <f>'Touch 1 1'!N143-'Touch 1 1'!$AA143-('Touch 1 1'!N$2- 12.5)*'Touch 1 1'!$AC143</f>
        <v>66.067992406968401</v>
      </c>
      <c r="O143" s="1">
        <f>'Touch 1 1'!O143-'Touch 1 1'!$AA143-('Touch 1 1'!O$2- 12.5)*'Touch 1 1'!$AC143</f>
        <v>43.203977220905188</v>
      </c>
      <c r="P143" s="1">
        <f>'Touch 1 1'!P143-'Touch 1 1'!$AA143-('Touch 1 1'!P$2- 12.5)*'Touch 1 1'!$AC143</f>
        <v>-39.66003796515804</v>
      </c>
      <c r="Q143" s="1">
        <f>'Touch 1 1'!Q143-'Touch 1 1'!$AA143-('Touch 1 1'!Q$2- 12.5)*'Touch 1 1'!$AC143</f>
        <v>67.47594684877879</v>
      </c>
      <c r="R143" s="1">
        <f>'Touch 1 1'!R143-'Touch 1 1'!$AA143-('Touch 1 1'!R$2- 12.5)*'Touch 1 1'!$AC143</f>
        <v>14.611931662715619</v>
      </c>
      <c r="S143" s="1">
        <f>'Touch 1 1'!S143-'Touch 1 1'!$AA143-('Touch 1 1'!S$2- 12.5)*'Touch 1 1'!$AC143</f>
        <v>41.747916476652335</v>
      </c>
      <c r="T143" s="1">
        <f>'Touch 1 1'!T143-'Touch 1 1'!$AA143-('Touch 1 1'!T$2- 12.5)*'Touch 1 1'!$AC143</f>
        <v>-21.116098709410835</v>
      </c>
      <c r="U143" s="1">
        <f>'Touch 1 1'!U143-'Touch 1 1'!$AA143-('Touch 1 1'!U$2- 12.5)*'Touch 1 1'!$AC143</f>
        <v>-143.98011389547401</v>
      </c>
      <c r="V143" s="1">
        <f>'Touch 1 1'!V143-'Touch 1 1'!$AA143-('Touch 1 1'!V$2- 12.5)*'Touch 1 1'!$AC143</f>
        <v>-36.844129081537176</v>
      </c>
      <c r="W143" s="1">
        <f>'Touch 1 1'!W143-'Touch 1 1'!$AA143-('Touch 1 1'!W$2- 12.5)*'Touch 1 1'!$AC143</f>
        <v>10.291855732399654</v>
      </c>
      <c r="X143" s="1">
        <f>'Touch 1 1'!X143-'Touch 1 1'!$AA143-('Touch 1 1'!X$2- 12.5)*'Touch 1 1'!$AC143</f>
        <v>-32.572159453663517</v>
      </c>
      <c r="Y143" s="1">
        <f>'Touch 1 1'!Y143-'Touch 1 1'!$AA143-('Touch 1 1'!Y$2- 12.5)*'Touch 1 1'!$AC143</f>
        <v>24.563825360273313</v>
      </c>
      <c r="AB143" s="1">
        <f>STDEV(B143:Y143)</f>
        <v>58.73024320133802</v>
      </c>
      <c r="AD143" s="11">
        <v>7</v>
      </c>
      <c r="AE143" s="11">
        <v>3</v>
      </c>
      <c r="AF143" s="11">
        <v>5</v>
      </c>
      <c r="AG143" s="11" t="s">
        <v>45</v>
      </c>
      <c r="AH143" s="11">
        <v>1</v>
      </c>
      <c r="AI143" s="11">
        <v>9</v>
      </c>
      <c r="AJ143" s="11">
        <v>2</v>
      </c>
      <c r="AK143" s="11" t="s">
        <v>46</v>
      </c>
      <c r="AL143" s="11">
        <v>4</v>
      </c>
      <c r="AM143" s="11" t="s">
        <v>44</v>
      </c>
      <c r="AN143" s="11">
        <v>6</v>
      </c>
      <c r="AO143" s="11">
        <v>8</v>
      </c>
      <c r="AP143" s="11">
        <v>3</v>
      </c>
      <c r="AQ143" s="11">
        <v>7</v>
      </c>
      <c r="AR143" s="11">
        <v>5</v>
      </c>
      <c r="AS143" s="11">
        <v>1</v>
      </c>
      <c r="AT143" s="11" t="s">
        <v>45</v>
      </c>
      <c r="AU143" s="11">
        <v>9</v>
      </c>
      <c r="AV143" s="11" t="s">
        <v>46</v>
      </c>
      <c r="AW143" s="11">
        <v>2</v>
      </c>
      <c r="AX143" s="11" t="s">
        <v>44</v>
      </c>
      <c r="AY143" s="11">
        <v>4</v>
      </c>
      <c r="AZ143" s="11">
        <v>8</v>
      </c>
      <c r="BA143" s="11">
        <v>6</v>
      </c>
      <c r="BB143" s="5"/>
      <c r="BC143" s="1">
        <f ca="1">OFFSET(A143,0, 5) -0</f>
        <v>68.980113895474005</v>
      </c>
      <c r="BD143" s="1">
        <f ca="1">OFFSET(A143,0, 7) -0</f>
        <v>3.2520835233476646</v>
      </c>
      <c r="BE143" s="1">
        <f ca="1">OFFSET(A143,0, 2) -0</f>
        <v>87.572159453663517</v>
      </c>
      <c r="BF143" s="1">
        <f ca="1">OFFSET(A143,0, 9) -0</f>
        <v>-52.47594684877879</v>
      </c>
      <c r="BG143" s="1">
        <f ca="1">OFFSET(A143,0, 3) -0</f>
        <v>-5.2918557323996538</v>
      </c>
      <c r="BH143" s="1">
        <f ca="1">OFFSET(A143,0, 11) -0</f>
        <v>-68.203977220905188</v>
      </c>
      <c r="BI143" s="1">
        <f ca="1">OFFSET(A143,0, 1) -0</f>
        <v>110.43617463972669</v>
      </c>
      <c r="BJ143" s="1">
        <f ca="1">OFFSET(A143,0, 12) -0</f>
        <v>8.9320075930315994</v>
      </c>
      <c r="BK143" s="1">
        <f ca="1">OFFSET(A143,0, 6) -0</f>
        <v>-53.883901290589165</v>
      </c>
      <c r="BL143" s="1">
        <f ca="1">OFFSET(A143,0, 10) -0</f>
        <v>-55.33996203484196</v>
      </c>
      <c r="BM143" s="1">
        <f ca="1">OFFSET(A143,0, 4) -0</f>
        <v>11.844129081537176</v>
      </c>
      <c r="BN143" s="1">
        <f ca="1">OFFSET(A143,0, 8) -0</f>
        <v>-49.611931662715619</v>
      </c>
      <c r="BO143" s="1">
        <f ca="1">OFFSET(A143,0, 16) -0</f>
        <v>67.47594684877879</v>
      </c>
      <c r="BP143" s="1">
        <f ca="1">OFFSET(A143,0, 20) -0</f>
        <v>-143.98011389547401</v>
      </c>
      <c r="BQ143" s="1">
        <f ca="1">OFFSET(A143,0, 13) -0</f>
        <v>66.067992406968401</v>
      </c>
      <c r="BR143" s="1">
        <f ca="1">OFFSET(A143,0, 22) -0</f>
        <v>10.291855732399654</v>
      </c>
      <c r="BS143" s="1">
        <f ca="1">OFFSET(A143,0, 15) -0</f>
        <v>-39.66003796515804</v>
      </c>
      <c r="BT143" s="1">
        <f ca="1">OFFSET(A143,0, 24) -0</f>
        <v>24.563825360273313</v>
      </c>
      <c r="BU143" s="1">
        <f ca="1">OFFSET(A143,0, 14) -0</f>
        <v>43.203977220905188</v>
      </c>
      <c r="BV143" s="1">
        <f ca="1">OFFSET(A143,0, 23) -0</f>
        <v>-32.572159453663517</v>
      </c>
      <c r="BW143" s="1">
        <f ca="1">OFFSET(A143,0, 18) -0</f>
        <v>41.747916476652335</v>
      </c>
      <c r="BX143" s="1">
        <f ca="1">OFFSET(A143,0, 21) -0</f>
        <v>-36.844129081537176</v>
      </c>
      <c r="BY143" s="1">
        <f ca="1">OFFSET(A143,0, 17) -0</f>
        <v>14.611931662715619</v>
      </c>
      <c r="BZ143" s="1">
        <f ca="1">OFFSET(A143,0, 19) -0</f>
        <v>-21.116098709410835</v>
      </c>
      <c r="CB143" s="1">
        <f>COUNTIF(B143,"&lt;-75")</f>
        <v>0</v>
      </c>
      <c r="CC143" s="1">
        <f ca="1">COUNTIF(BC143:BN143,"&lt;-53")</f>
        <v>3</v>
      </c>
      <c r="CD143" s="1">
        <f ca="1">COUNTIF(BC143:BN143,"&gt;+53")</f>
        <v>3</v>
      </c>
      <c r="CE143" s="1">
        <f ca="1">COUNTIF(BO143:BZ143,"&lt;-53")</f>
        <v>1</v>
      </c>
      <c r="CF143" s="1">
        <f ca="1">COUNTIF(BO143:BZ143,"&gt;+53")</f>
        <v>2</v>
      </c>
    </row>
    <row r="144" spans="1:84">
      <c r="A144" s="1">
        <v>141</v>
      </c>
      <c r="B144" s="1">
        <f>'Touch 1 1'!B144-'Touch 1 1'!$AA144-('Touch 1 1'!B$2- 12.5)*'Touch 1 1'!$AC144</f>
        <v>20.7218334828558</v>
      </c>
      <c r="C144" s="1">
        <f>'Touch 1 1'!C144-'Touch 1 1'!$AA144-('Touch 1 1'!C$2- 12.5)*'Touch 1 1'!$AC144</f>
        <v>-2.275717254783558</v>
      </c>
      <c r="D144" s="1">
        <f>'Touch 1 1'!D144-'Touch 1 1'!$AA144-('Touch 1 1'!D$2- 12.5)*'Touch 1 1'!$AC144</f>
        <v>-5.2732679924233707</v>
      </c>
      <c r="E144" s="1">
        <f>'Touch 1 1'!E144-'Touch 1 1'!$AA144-('Touch 1 1'!E$2- 12.5)*'Touch 1 1'!$AC144</f>
        <v>41.729181269937044</v>
      </c>
      <c r="F144" s="1">
        <f>'Touch 1 1'!F144-'Touch 1 1'!$AA144-('Touch 1 1'!F$2- 12.5)*'Touch 1 1'!$AC144</f>
        <v>38.731630532297231</v>
      </c>
      <c r="G144" s="1">
        <f>'Touch 1 1'!G144-'Touch 1 1'!$AA144-('Touch 1 1'!G$2- 12.5)*'Touch 1 1'!$AC144</f>
        <v>-34.265920205342354</v>
      </c>
      <c r="H144" s="1">
        <f>'Touch 1 1'!H144-'Touch 1 1'!$AA144-('Touch 1 1'!H$2- 12.5)*'Touch 1 1'!$AC144</f>
        <v>52.73652905701806</v>
      </c>
      <c r="I144" s="1">
        <f>'Touch 1 1'!I144-'Touch 1 1'!$AA144-('Touch 1 1'!I$2- 12.5)*'Touch 1 1'!$AC144</f>
        <v>-0.26102168062163855</v>
      </c>
      <c r="J144" s="1">
        <f>'Touch 1 1'!J144-'Touch 1 1'!$AA144-('Touch 1 1'!J$2- 12.5)*'Touch 1 1'!$AC144</f>
        <v>6.7414275817387761</v>
      </c>
      <c r="K144" s="1">
        <f>'Touch 1 1'!K144-'Touch 1 1'!$AA144-('Touch 1 1'!K$2- 12.5)*'Touch 1 1'!$AC144</f>
        <v>-56.256123155900923</v>
      </c>
      <c r="L144" s="1">
        <f>'Touch 1 1'!L144-'Touch 1 1'!$AA144-('Touch 1 1'!L$2- 12.5)*'Touch 1 1'!$AC144</f>
        <v>-9.2536738935405083</v>
      </c>
      <c r="M144" s="1">
        <f>'Touch 1 1'!M144-'Touch 1 1'!$AA144-('Touch 1 1'!M$2- 12.5)*'Touch 1 1'!$AC144</f>
        <v>27.748775368819821</v>
      </c>
      <c r="N144" s="1">
        <f>'Touch 1 1'!N144-'Touch 1 1'!$AA144-('Touch 1 1'!N$2- 12.5)*'Touch 1 1'!$AC144</f>
        <v>-35.248775368819821</v>
      </c>
      <c r="O144" s="1">
        <f>'Touch 1 1'!O144-'Touch 1 1'!$AA144-('Touch 1 1'!O$2- 12.5)*'Touch 1 1'!$AC144</f>
        <v>-28.246326106459492</v>
      </c>
      <c r="P144" s="1">
        <f>'Touch 1 1'!P144-'Touch 1 1'!$AA144-('Touch 1 1'!P$2- 12.5)*'Touch 1 1'!$AC144</f>
        <v>8.7561231559009229</v>
      </c>
      <c r="Q144" s="1">
        <f>'Touch 1 1'!Q144-'Touch 1 1'!$AA144-('Touch 1 1'!Q$2- 12.5)*'Touch 1 1'!$AC144</f>
        <v>45.758572418261224</v>
      </c>
      <c r="R144" s="1">
        <f>'Touch 1 1'!R144-'Touch 1 1'!$AA144-('Touch 1 1'!R$2- 12.5)*'Touch 1 1'!$AC144</f>
        <v>32.761021680621639</v>
      </c>
      <c r="S144" s="1">
        <f>'Touch 1 1'!S144-'Touch 1 1'!$AA144-('Touch 1 1'!S$2- 12.5)*'Touch 1 1'!$AC144</f>
        <v>29.76347094298194</v>
      </c>
      <c r="T144" s="1">
        <f>'Touch 1 1'!T144-'Touch 1 1'!$AA144-('Touch 1 1'!T$2- 12.5)*'Touch 1 1'!$AC144</f>
        <v>-93.234079794657646</v>
      </c>
      <c r="U144" s="1">
        <f>'Touch 1 1'!U144-'Touch 1 1'!$AA144-('Touch 1 1'!U$2- 12.5)*'Touch 1 1'!$AC144</f>
        <v>3.7683694677027688</v>
      </c>
      <c r="V144" s="1">
        <f>'Touch 1 1'!V144-'Touch 1 1'!$AA144-('Touch 1 1'!V$2- 12.5)*'Touch 1 1'!$AC144</f>
        <v>-9.2291812699370439</v>
      </c>
      <c r="W144" s="1">
        <f>'Touch 1 1'!W144-'Touch 1 1'!$AA144-('Touch 1 1'!W$2- 12.5)*'Touch 1 1'!$AC144</f>
        <v>-22.226732007576629</v>
      </c>
      <c r="X144" s="1">
        <f>'Touch 1 1'!X144-'Touch 1 1'!$AA144-('Touch 1 1'!X$2- 12.5)*'Touch 1 1'!$AC144</f>
        <v>-35.224282745216442</v>
      </c>
      <c r="Y144" s="1">
        <f>'Touch 1 1'!Y144-'Touch 1 1'!$AA144-('Touch 1 1'!Y$2- 12.5)*'Touch 1 1'!$AC144</f>
        <v>21.7781665171442</v>
      </c>
      <c r="AB144" s="1">
        <f>STDEV(B144:Y144)</f>
        <v>35.445037267585029</v>
      </c>
      <c r="AD144" s="11">
        <v>7</v>
      </c>
      <c r="AE144" s="11">
        <v>3</v>
      </c>
      <c r="AF144" s="11">
        <v>1</v>
      </c>
      <c r="AG144" s="11">
        <v>5</v>
      </c>
      <c r="AH144" s="11">
        <v>9</v>
      </c>
      <c r="AI144" s="11" t="s">
        <v>45</v>
      </c>
      <c r="AJ144" s="11">
        <v>2</v>
      </c>
      <c r="AK144" s="11" t="s">
        <v>46</v>
      </c>
      <c r="AL144" s="11">
        <v>4</v>
      </c>
      <c r="AM144" s="11" t="s">
        <v>44</v>
      </c>
      <c r="AN144" s="11">
        <v>6</v>
      </c>
      <c r="AO144" s="11">
        <v>8</v>
      </c>
      <c r="AP144" s="11">
        <v>7</v>
      </c>
      <c r="AQ144" s="11">
        <v>3</v>
      </c>
      <c r="AR144" s="11">
        <v>5</v>
      </c>
      <c r="AS144" s="11">
        <v>1</v>
      </c>
      <c r="AT144" s="11">
        <v>9</v>
      </c>
      <c r="AU144" s="11">
        <v>2</v>
      </c>
      <c r="AV144" s="11" t="s">
        <v>45</v>
      </c>
      <c r="AW144" s="11">
        <v>4</v>
      </c>
      <c r="AX144" s="11" t="s">
        <v>46</v>
      </c>
      <c r="AY144" s="11">
        <v>6</v>
      </c>
      <c r="AZ144" s="11" t="s">
        <v>44</v>
      </c>
      <c r="BA144" s="11">
        <v>8</v>
      </c>
      <c r="BB144" s="5"/>
      <c r="BC144" s="1">
        <f ca="1">OFFSET(A144,0, 3) -0</f>
        <v>-5.2732679924233707</v>
      </c>
      <c r="BD144" s="1">
        <f ca="1">OFFSET(A144,0, 7) -0</f>
        <v>52.73652905701806</v>
      </c>
      <c r="BE144" s="1">
        <f ca="1">OFFSET(A144,0, 2) -0</f>
        <v>-2.275717254783558</v>
      </c>
      <c r="BF144" s="1">
        <f ca="1">OFFSET(A144,0, 9) -0</f>
        <v>6.7414275817387761</v>
      </c>
      <c r="BG144" s="1">
        <f ca="1">OFFSET(A144,0, 4) -0</f>
        <v>41.729181269937044</v>
      </c>
      <c r="BH144" s="1">
        <f ca="1">OFFSET(A144,0, 11) -0</f>
        <v>-9.2536738935405083</v>
      </c>
      <c r="BI144" s="1">
        <f ca="1">OFFSET(A144,0, 1) -0</f>
        <v>20.7218334828558</v>
      </c>
      <c r="BJ144" s="1">
        <f ca="1">OFFSET(A144,0, 12) -0</f>
        <v>27.748775368819821</v>
      </c>
      <c r="BK144" s="1">
        <f ca="1">OFFSET(A144,0, 5) -0</f>
        <v>38.731630532297231</v>
      </c>
      <c r="BL144" s="1">
        <f ca="1">OFFSET(A144,0, 10) -0</f>
        <v>-56.256123155900923</v>
      </c>
      <c r="BM144" s="1">
        <f ca="1">OFFSET(A144,0, 6) -0</f>
        <v>-34.265920205342354</v>
      </c>
      <c r="BN144" s="1">
        <f ca="1">OFFSET(A144,0, 8) -0</f>
        <v>-0.26102168062163855</v>
      </c>
      <c r="BO144" s="1">
        <f ca="1">OFFSET(A144,0, 16) -0</f>
        <v>45.758572418261224</v>
      </c>
      <c r="BP144" s="1">
        <f ca="1">OFFSET(A144,0, 18) -0</f>
        <v>29.76347094298194</v>
      </c>
      <c r="BQ144" s="1">
        <f ca="1">OFFSET(A144,0, 14) -0</f>
        <v>-28.246326106459492</v>
      </c>
      <c r="BR144" s="1">
        <f ca="1">OFFSET(A144,0, 20) -0</f>
        <v>3.7683694677027688</v>
      </c>
      <c r="BS144" s="1">
        <f ca="1">OFFSET(A144,0, 15) -0</f>
        <v>8.7561231559009229</v>
      </c>
      <c r="BT144" s="1">
        <f ca="1">OFFSET(A144,0, 22) -0</f>
        <v>-22.226732007576629</v>
      </c>
      <c r="BU144" s="1">
        <f ca="1">OFFSET(A144,0, 13) -0</f>
        <v>-35.248775368819821</v>
      </c>
      <c r="BV144" s="1">
        <f ca="1">OFFSET(A144,0, 24) -0</f>
        <v>21.7781665171442</v>
      </c>
      <c r="BW144" s="1">
        <f ca="1">OFFSET(A144,0, 17) -0</f>
        <v>32.761021680621639</v>
      </c>
      <c r="BX144" s="1">
        <f ca="1">OFFSET(A144,0, 23) -0</f>
        <v>-35.224282745216442</v>
      </c>
      <c r="BY144" s="1">
        <f ca="1">OFFSET(A144,0, 19) -0</f>
        <v>-93.234079794657646</v>
      </c>
      <c r="BZ144" s="1">
        <f ca="1">OFFSET(A144,0, 21) -0</f>
        <v>-9.2291812699370439</v>
      </c>
      <c r="CB144" s="1">
        <f>COUNTIF(B144,"&lt;-75")</f>
        <v>0</v>
      </c>
      <c r="CC144" s="1">
        <f ca="1">COUNTIF(BC144:BN144,"&lt;-53")</f>
        <v>1</v>
      </c>
      <c r="CD144" s="1">
        <f ca="1">COUNTIF(BC144:BN144,"&gt;+53")</f>
        <v>0</v>
      </c>
      <c r="CE144" s="1">
        <f ca="1">COUNTIF(BO144:BZ144,"&lt;-53")</f>
        <v>1</v>
      </c>
      <c r="CF144" s="1">
        <f ca="1">COUNTIF(BO144:BZ144,"&gt;+53")</f>
        <v>0</v>
      </c>
    </row>
    <row r="145" spans="1:84">
      <c r="A145" s="1">
        <v>142</v>
      </c>
      <c r="B145" s="1">
        <f>'Touch 1 1'!B145-'Touch 1 1'!$AA145-('Touch 1 1'!B$2- 12.5)*'Touch 1 1'!$AC145</f>
        <v>86.014323895836242</v>
      </c>
      <c r="C145" s="1">
        <f>'Touch 1 1'!C145-'Touch 1 1'!$AA145-('Touch 1 1'!C$2- 12.5)*'Touch 1 1'!$AC145</f>
        <v>103.20873051358967</v>
      </c>
      <c r="D145" s="1">
        <f>'Touch 1 1'!D145-'Touch 1 1'!$AA145-('Touch 1 1'!D$2- 12.5)*'Touch 1 1'!$AC145</f>
        <v>-9.5968628686571265</v>
      </c>
      <c r="E145" s="1">
        <f>'Touch 1 1'!E145-'Touch 1 1'!$AA145-('Touch 1 1'!E$2- 12.5)*'Touch 1 1'!$AC145</f>
        <v>37.597543749096303</v>
      </c>
      <c r="F145" s="1">
        <f>'Touch 1 1'!F145-'Touch 1 1'!$AA145-('Touch 1 1'!F$2- 12.5)*'Touch 1 1'!$AC145</f>
        <v>34.791950366849733</v>
      </c>
      <c r="G145" s="1">
        <f>'Touch 1 1'!G145-'Touch 1 1'!$AA145-('Touch 1 1'!G$2- 12.5)*'Touch 1 1'!$AC145</f>
        <v>-18.013643015396838</v>
      </c>
      <c r="H145" s="1">
        <f>'Touch 1 1'!H145-'Touch 1 1'!$AA145-('Touch 1 1'!H$2- 12.5)*'Touch 1 1'!$AC145</f>
        <v>-20.819236397643635</v>
      </c>
      <c r="I145" s="1">
        <f>'Touch 1 1'!I145-'Touch 1 1'!$AA145-('Touch 1 1'!I$2- 12.5)*'Touch 1 1'!$AC145</f>
        <v>-3.6248297798902058</v>
      </c>
      <c r="J145" s="1">
        <f>'Touch 1 1'!J145-'Touch 1 1'!$AA145-('Touch 1 1'!J$2- 12.5)*'Touch 1 1'!$AC145</f>
        <v>-16.430423162136776</v>
      </c>
      <c r="K145" s="1">
        <f>'Touch 1 1'!K145-'Touch 1 1'!$AA145-('Touch 1 1'!K$2- 12.5)*'Touch 1 1'!$AC145</f>
        <v>-69.23601654438346</v>
      </c>
      <c r="L145" s="1">
        <f>'Touch 1 1'!L145-'Touch 1 1'!$AA145-('Touch 1 1'!L$2- 12.5)*'Touch 1 1'!$AC145</f>
        <v>-22.041609926630031</v>
      </c>
      <c r="M145" s="1">
        <f>'Touch 1 1'!M145-'Touch 1 1'!$AA145-('Touch 1 1'!M$2- 12.5)*'Touch 1 1'!$AC145</f>
        <v>-64.847203308876686</v>
      </c>
      <c r="N145" s="1">
        <f>'Touch 1 1'!N145-'Touch 1 1'!$AA145-('Touch 1 1'!N$2- 12.5)*'Touch 1 1'!$AC145</f>
        <v>12.347203308876686</v>
      </c>
      <c r="O145" s="1">
        <f>'Touch 1 1'!O145-'Touch 1 1'!$AA145-('Touch 1 1'!O$2- 12.5)*'Touch 1 1'!$AC145</f>
        <v>59.541609926630031</v>
      </c>
      <c r="P145" s="1">
        <f>'Touch 1 1'!P145-'Touch 1 1'!$AA145-('Touch 1 1'!P$2- 12.5)*'Touch 1 1'!$AC145</f>
        <v>-13.26398345561654</v>
      </c>
      <c r="Q145" s="1">
        <f>'Touch 1 1'!Q145-'Touch 1 1'!$AA145-('Touch 1 1'!Q$2- 12.5)*'Touch 1 1'!$AC145</f>
        <v>-96.069576837863224</v>
      </c>
      <c r="R145" s="1">
        <f>'Touch 1 1'!R145-'Touch 1 1'!$AA145-('Touch 1 1'!R$2- 12.5)*'Touch 1 1'!$AC145</f>
        <v>41.124829779890206</v>
      </c>
      <c r="S145" s="1">
        <f>'Touch 1 1'!S145-'Touch 1 1'!$AA145-('Touch 1 1'!S$2- 12.5)*'Touch 1 1'!$AC145</f>
        <v>18.319236397643635</v>
      </c>
      <c r="T145" s="1">
        <f>'Touch 1 1'!T145-'Touch 1 1'!$AA145-('Touch 1 1'!T$2- 12.5)*'Touch 1 1'!$AC145</f>
        <v>25.513643015396838</v>
      </c>
      <c r="U145" s="1">
        <f>'Touch 1 1'!U145-'Touch 1 1'!$AA145-('Touch 1 1'!U$2- 12.5)*'Touch 1 1'!$AC145</f>
        <v>12.708049633150267</v>
      </c>
      <c r="V145" s="1">
        <f>'Touch 1 1'!V145-'Touch 1 1'!$AA145-('Touch 1 1'!V$2- 12.5)*'Touch 1 1'!$AC145</f>
        <v>-40.097543749096303</v>
      </c>
      <c r="W145" s="1">
        <f>'Touch 1 1'!W145-'Touch 1 1'!$AA145-('Touch 1 1'!W$2- 12.5)*'Touch 1 1'!$AC145</f>
        <v>-52.903137131342874</v>
      </c>
      <c r="X145" s="1">
        <f>'Touch 1 1'!X145-'Touch 1 1'!$AA145-('Touch 1 1'!X$2- 12.5)*'Touch 1 1'!$AC145</f>
        <v>-25.708730513589671</v>
      </c>
      <c r="Y145" s="1">
        <f>'Touch 1 1'!Y145-'Touch 1 1'!$AA145-('Touch 1 1'!Y$2- 12.5)*'Touch 1 1'!$AC145</f>
        <v>21.485676104163758</v>
      </c>
      <c r="AB145" s="1">
        <f>STDEV(B145:Y145)</f>
        <v>47.896481444845854</v>
      </c>
      <c r="AD145" s="11">
        <v>3</v>
      </c>
      <c r="AE145" s="11">
        <v>7</v>
      </c>
      <c r="AF145" s="11">
        <v>1</v>
      </c>
      <c r="AG145" s="11">
        <v>5</v>
      </c>
      <c r="AH145" s="11">
        <v>2</v>
      </c>
      <c r="AI145" s="11">
        <v>9</v>
      </c>
      <c r="AJ145" s="11">
        <v>4</v>
      </c>
      <c r="AK145" s="11" t="s">
        <v>45</v>
      </c>
      <c r="AL145" s="11">
        <v>6</v>
      </c>
      <c r="AM145" s="11" t="s">
        <v>46</v>
      </c>
      <c r="AN145" s="11">
        <v>8</v>
      </c>
      <c r="AO145" s="11" t="s">
        <v>44</v>
      </c>
      <c r="AP145" s="11">
        <v>3</v>
      </c>
      <c r="AQ145" s="11">
        <v>1</v>
      </c>
      <c r="AR145" s="11">
        <v>7</v>
      </c>
      <c r="AS145" s="11">
        <v>5</v>
      </c>
      <c r="AT145" s="11">
        <v>9</v>
      </c>
      <c r="AU145" s="11">
        <v>2</v>
      </c>
      <c r="AV145" s="11" t="s">
        <v>45</v>
      </c>
      <c r="AW145" s="11">
        <v>4</v>
      </c>
      <c r="AX145" s="11" t="s">
        <v>46</v>
      </c>
      <c r="AY145" s="11">
        <v>6</v>
      </c>
      <c r="AZ145" s="11" t="s">
        <v>44</v>
      </c>
      <c r="BA145" s="11">
        <v>8</v>
      </c>
      <c r="BB145" s="5"/>
      <c r="BC145" s="1">
        <f ca="1">OFFSET(A145,0, 3) -0</f>
        <v>-9.5968628686571265</v>
      </c>
      <c r="BD145" s="1">
        <f ca="1">OFFSET(A145,0, 5) -0</f>
        <v>34.791950366849733</v>
      </c>
      <c r="BE145" s="1">
        <f ca="1">OFFSET(A145,0, 1) -0</f>
        <v>86.014323895836242</v>
      </c>
      <c r="BF145" s="1">
        <f ca="1">OFFSET(A145,0, 7) -0</f>
        <v>-20.819236397643635</v>
      </c>
      <c r="BG145" s="1">
        <f ca="1">OFFSET(A145,0, 4) -0</f>
        <v>37.597543749096303</v>
      </c>
      <c r="BH145" s="1">
        <f ca="1">OFFSET(A145,0, 9) -0</f>
        <v>-16.430423162136776</v>
      </c>
      <c r="BI145" s="1">
        <f ca="1">OFFSET(A145,0, 2) -0</f>
        <v>103.20873051358967</v>
      </c>
      <c r="BJ145" s="1">
        <f ca="1">OFFSET(A145,0, 11) -0</f>
        <v>-22.041609926630031</v>
      </c>
      <c r="BK145" s="1">
        <f ca="1">OFFSET(A145,0, 6) -0</f>
        <v>-18.013643015396838</v>
      </c>
      <c r="BL145" s="1">
        <f ca="1">OFFSET(A145,0, 12) -0</f>
        <v>-64.847203308876686</v>
      </c>
      <c r="BM145" s="1">
        <f ca="1">OFFSET(A145,0, 8) -0</f>
        <v>-3.6248297798902058</v>
      </c>
      <c r="BN145" s="1">
        <f ca="1">OFFSET(A145,0, 10) -0</f>
        <v>-69.23601654438346</v>
      </c>
      <c r="BO145" s="1">
        <f ca="1">OFFSET(A145,0, 14) -0</f>
        <v>59.541609926630031</v>
      </c>
      <c r="BP145" s="1">
        <f ca="1">OFFSET(A145,0, 18) -0</f>
        <v>18.319236397643635</v>
      </c>
      <c r="BQ145" s="1">
        <f ca="1">OFFSET(A145,0, 13) -0</f>
        <v>12.347203308876686</v>
      </c>
      <c r="BR145" s="1">
        <f ca="1">OFFSET(A145,0, 20) -0</f>
        <v>12.708049633150267</v>
      </c>
      <c r="BS145" s="1">
        <f ca="1">OFFSET(A145,0, 16) -0</f>
        <v>-96.069576837863224</v>
      </c>
      <c r="BT145" s="1">
        <f ca="1">OFFSET(A145,0, 22) -0</f>
        <v>-52.903137131342874</v>
      </c>
      <c r="BU145" s="1">
        <f ca="1">OFFSET(A145,0, 15) -0</f>
        <v>-13.26398345561654</v>
      </c>
      <c r="BV145" s="1">
        <f ca="1">OFFSET(A145,0, 24) -0</f>
        <v>21.485676104163758</v>
      </c>
      <c r="BW145" s="1">
        <f ca="1">OFFSET(A145,0, 17) -0</f>
        <v>41.124829779890206</v>
      </c>
      <c r="BX145" s="1">
        <f ca="1">OFFSET(A145,0, 23) -0</f>
        <v>-25.708730513589671</v>
      </c>
      <c r="BY145" s="1">
        <f ca="1">OFFSET(A145,0, 19) -0</f>
        <v>25.513643015396838</v>
      </c>
      <c r="BZ145" s="1">
        <f ca="1">OFFSET(A145,0, 21) -0</f>
        <v>-40.097543749096303</v>
      </c>
      <c r="CB145" s="1">
        <f>COUNTIF(B145,"&lt;-75")</f>
        <v>0</v>
      </c>
      <c r="CC145" s="1">
        <f ca="1">COUNTIF(BC145:BN145,"&lt;-53")</f>
        <v>2</v>
      </c>
      <c r="CD145" s="1">
        <f ca="1">COUNTIF(BC145:BN145,"&gt;+53")</f>
        <v>2</v>
      </c>
      <c r="CE145" s="1">
        <f ca="1">COUNTIF(BO145:BZ145,"&lt;-53")</f>
        <v>1</v>
      </c>
      <c r="CF145" s="1">
        <f ca="1">COUNTIF(BO145:BZ145,"&gt;+53")</f>
        <v>1</v>
      </c>
    </row>
    <row r="146" spans="1:84">
      <c r="A146" s="1">
        <v>143</v>
      </c>
      <c r="B146" s="1">
        <f>'Touch 1 1'!B146-'Touch 1 1'!$AA146-('Touch 1 1'!B$2- 12.5)*'Touch 1 1'!$AC146</f>
        <v>72.889759544172648</v>
      </c>
      <c r="C146" s="1">
        <f>'Touch 1 1'!C146-'Touch 1 1'!$AA146-('Touch 1 1'!C$2- 12.5)*'Touch 1 1'!$AC146</f>
        <v>89.341374656276912</v>
      </c>
      <c r="D146" s="1">
        <f>'Touch 1 1'!D146-'Touch 1 1'!$AA146-('Touch 1 1'!D$2- 12.5)*'Touch 1 1'!$AC146</f>
        <v>65.792989768381176</v>
      </c>
      <c r="E146" s="1">
        <f>'Touch 1 1'!E146-'Touch 1 1'!$AA146-('Touch 1 1'!E$2- 12.5)*'Touch 1 1'!$AC146</f>
        <v>-37.75539511951456</v>
      </c>
      <c r="F146" s="1">
        <f>'Touch 1 1'!F146-'Touch 1 1'!$AA146-('Touch 1 1'!F$2- 12.5)*'Touch 1 1'!$AC146</f>
        <v>-11.303780007410296</v>
      </c>
      <c r="G146" s="1">
        <f>'Touch 1 1'!G146-'Touch 1 1'!$AA146-('Touch 1 1'!G$2- 12.5)*'Touch 1 1'!$AC146</f>
        <v>-34.852164895306032</v>
      </c>
      <c r="H146" s="1">
        <f>'Touch 1 1'!H146-'Touch 1 1'!$AA146-('Touch 1 1'!H$2- 12.5)*'Touch 1 1'!$AC146</f>
        <v>11.599450216798459</v>
      </c>
      <c r="I146" s="1">
        <f>'Touch 1 1'!I146-'Touch 1 1'!$AA146-('Touch 1 1'!I$2- 12.5)*'Touch 1 1'!$AC146</f>
        <v>98.051065328902723</v>
      </c>
      <c r="J146" s="1">
        <f>'Touch 1 1'!J146-'Touch 1 1'!$AA146-('Touch 1 1'!J$2- 12.5)*'Touch 1 1'!$AC146</f>
        <v>24.502680441006987</v>
      </c>
      <c r="K146" s="1">
        <f>'Touch 1 1'!K146-'Touch 1 1'!$AA146-('Touch 1 1'!K$2- 12.5)*'Touch 1 1'!$AC146</f>
        <v>10.954295553111365</v>
      </c>
      <c r="L146" s="1">
        <f>'Touch 1 1'!L146-'Touch 1 1'!$AA146-('Touch 1 1'!L$2- 12.5)*'Touch 1 1'!$AC146</f>
        <v>-22.594089334784371</v>
      </c>
      <c r="M146" s="1">
        <f>'Touch 1 1'!M146-'Touch 1 1'!$AA146-('Touch 1 1'!M$2- 12.5)*'Touch 1 1'!$AC146</f>
        <v>-56.142474222680022</v>
      </c>
      <c r="N146" s="1">
        <f>'Touch 1 1'!N146-'Touch 1 1'!$AA146-('Touch 1 1'!N$2- 12.5)*'Touch 1 1'!$AC146</f>
        <v>50.309140889424299</v>
      </c>
      <c r="O146" s="1">
        <f>'Touch 1 1'!O146-'Touch 1 1'!$AA146-('Touch 1 1'!O$2- 12.5)*'Touch 1 1'!$AC146</f>
        <v>6.7607560015286481</v>
      </c>
      <c r="P146" s="1">
        <f>'Touch 1 1'!P146-'Touch 1 1'!$AA146-('Touch 1 1'!P$2- 12.5)*'Touch 1 1'!$AC146</f>
        <v>-36.787628886367088</v>
      </c>
      <c r="Q146" s="1">
        <f>'Touch 1 1'!Q146-'Touch 1 1'!$AA146-('Touch 1 1'!Q$2- 12.5)*'Touch 1 1'!$AC146</f>
        <v>9.6639862257372897</v>
      </c>
      <c r="R146" s="1">
        <f>'Touch 1 1'!R146-'Touch 1 1'!$AA146-('Touch 1 1'!R$2- 12.5)*'Touch 1 1'!$AC146</f>
        <v>-83.884398662158446</v>
      </c>
      <c r="S146" s="1">
        <f>'Touch 1 1'!S146-'Touch 1 1'!$AA146-('Touch 1 1'!S$2- 12.5)*'Touch 1 1'!$AC146</f>
        <v>32.567216449945818</v>
      </c>
      <c r="T146" s="1">
        <f>'Touch 1 1'!T146-'Touch 1 1'!$AA146-('Touch 1 1'!T$2- 12.5)*'Touch 1 1'!$AC146</f>
        <v>-40.981168437949691</v>
      </c>
      <c r="U146" s="1">
        <f>'Touch 1 1'!U146-'Touch 1 1'!$AA146-('Touch 1 1'!U$2- 12.5)*'Touch 1 1'!$AC146</f>
        <v>-54.529553325845427</v>
      </c>
      <c r="V146" s="1">
        <f>'Touch 1 1'!V146-'Touch 1 1'!$AA146-('Touch 1 1'!V$2- 12.5)*'Touch 1 1'!$AC146</f>
        <v>-18.077938213741163</v>
      </c>
      <c r="W146" s="1">
        <f>'Touch 1 1'!W146-'Touch 1 1'!$AA146-('Touch 1 1'!W$2- 12.5)*'Touch 1 1'!$AC146</f>
        <v>-41.626323101636899</v>
      </c>
      <c r="X146" s="1">
        <f>'Touch 1 1'!X146-'Touch 1 1'!$AA146-('Touch 1 1'!X$2- 12.5)*'Touch 1 1'!$AC146</f>
        <v>-35.174707989532635</v>
      </c>
      <c r="Y146" s="1">
        <f>'Touch 1 1'!Y146-'Touch 1 1'!$AA146-('Touch 1 1'!Y$2- 12.5)*'Touch 1 1'!$AC146</f>
        <v>1.2769071225716289</v>
      </c>
      <c r="AB146" s="1">
        <f>STDEV(B146:Y146)</f>
        <v>48.720533383417205</v>
      </c>
      <c r="AD146" s="11">
        <v>1</v>
      </c>
      <c r="AE146" s="11">
        <v>3</v>
      </c>
      <c r="AF146" s="11">
        <v>5</v>
      </c>
      <c r="AG146" s="11">
        <v>7</v>
      </c>
      <c r="AH146" s="11">
        <v>2</v>
      </c>
      <c r="AI146" s="11">
        <v>9</v>
      </c>
      <c r="AJ146" s="11">
        <v>4</v>
      </c>
      <c r="AK146" s="11" t="s">
        <v>45</v>
      </c>
      <c r="AL146" s="11">
        <v>6</v>
      </c>
      <c r="AM146" s="11" t="s">
        <v>46</v>
      </c>
      <c r="AN146" s="11">
        <v>8</v>
      </c>
      <c r="AO146" s="11" t="s">
        <v>44</v>
      </c>
      <c r="AP146" s="11">
        <v>3</v>
      </c>
      <c r="AQ146" s="11">
        <v>1</v>
      </c>
      <c r="AR146" s="11">
        <v>5</v>
      </c>
      <c r="AS146" s="11">
        <v>2</v>
      </c>
      <c r="AT146" s="11">
        <v>7</v>
      </c>
      <c r="AU146" s="11">
        <v>4</v>
      </c>
      <c r="AV146" s="11">
        <v>9</v>
      </c>
      <c r="AW146" s="11">
        <v>6</v>
      </c>
      <c r="AX146" s="11" t="s">
        <v>45</v>
      </c>
      <c r="AY146" s="11">
        <v>8</v>
      </c>
      <c r="AZ146" s="11" t="s">
        <v>46</v>
      </c>
      <c r="BA146" s="11" t="s">
        <v>44</v>
      </c>
      <c r="BB146" s="5"/>
      <c r="BC146" s="1">
        <f ca="1">OFFSET(A146,0, 1) -0</f>
        <v>72.889759544172648</v>
      </c>
      <c r="BD146" s="1">
        <f ca="1">OFFSET(A146,0, 5) -0</f>
        <v>-11.303780007410296</v>
      </c>
      <c r="BE146" s="1">
        <f ca="1">OFFSET(A146,0, 2) -0</f>
        <v>89.341374656276912</v>
      </c>
      <c r="BF146" s="1">
        <f ca="1">OFFSET(A146,0, 7) -0</f>
        <v>11.599450216798459</v>
      </c>
      <c r="BG146" s="1">
        <f ca="1">OFFSET(A146,0, 3) -0</f>
        <v>65.792989768381176</v>
      </c>
      <c r="BH146" s="1">
        <f ca="1">OFFSET(A146,0, 9) -0</f>
        <v>24.502680441006987</v>
      </c>
      <c r="BI146" s="1">
        <f ca="1">OFFSET(A146,0, 4) -0</f>
        <v>-37.75539511951456</v>
      </c>
      <c r="BJ146" s="1">
        <f ca="1">OFFSET(A146,0, 11) -0</f>
        <v>-22.594089334784371</v>
      </c>
      <c r="BK146" s="1">
        <f ca="1">OFFSET(A146,0, 6) -0</f>
        <v>-34.852164895306032</v>
      </c>
      <c r="BL146" s="1">
        <f ca="1">OFFSET(A146,0, 12) -0</f>
        <v>-56.142474222680022</v>
      </c>
      <c r="BM146" s="1">
        <f ca="1">OFFSET(A146,0, 8) -0</f>
        <v>98.051065328902723</v>
      </c>
      <c r="BN146" s="1">
        <f ca="1">OFFSET(A146,0, 10) -0</f>
        <v>10.954295553111365</v>
      </c>
      <c r="BO146" s="1">
        <f ca="1">OFFSET(A146,0, 14) -0</f>
        <v>6.7607560015286481</v>
      </c>
      <c r="BP146" s="1">
        <f ca="1">OFFSET(A146,0, 16) -0</f>
        <v>9.6639862257372897</v>
      </c>
      <c r="BQ146" s="1">
        <f ca="1">OFFSET(A146,0, 13) -0</f>
        <v>50.309140889424299</v>
      </c>
      <c r="BR146" s="1">
        <f ca="1">OFFSET(A146,0, 18) -0</f>
        <v>32.567216449945818</v>
      </c>
      <c r="BS146" s="1">
        <f ca="1">OFFSET(A146,0, 15) -0</f>
        <v>-36.787628886367088</v>
      </c>
      <c r="BT146" s="1">
        <f ca="1">OFFSET(A146,0, 20) -0</f>
        <v>-54.529553325845427</v>
      </c>
      <c r="BU146" s="1">
        <f ca="1">OFFSET(A146,0, 17) -0</f>
        <v>-83.884398662158446</v>
      </c>
      <c r="BV146" s="1">
        <f ca="1">OFFSET(A146,0, 22) -0</f>
        <v>-41.626323101636899</v>
      </c>
      <c r="BW146" s="1">
        <f ca="1">OFFSET(A146,0, 19) -0</f>
        <v>-40.981168437949691</v>
      </c>
      <c r="BX146" s="1">
        <f ca="1">OFFSET(A146,0, 24) -0</f>
        <v>1.2769071225716289</v>
      </c>
      <c r="BY146" s="1">
        <f ca="1">OFFSET(A146,0, 21) -0</f>
        <v>-18.077938213741163</v>
      </c>
      <c r="BZ146" s="1">
        <f ca="1">OFFSET(A146,0, 23) -0</f>
        <v>-35.174707989532635</v>
      </c>
      <c r="CB146" s="1">
        <f>COUNTIF(B146,"&lt;-76")</f>
        <v>0</v>
      </c>
      <c r="CC146" s="1">
        <f ca="1">COUNTIF(BC146:BN146,"&lt;-53")</f>
        <v>1</v>
      </c>
      <c r="CD146" s="1">
        <f ca="1">COUNTIF(BC146:BN146,"&gt;+53")</f>
        <v>4</v>
      </c>
      <c r="CE146" s="1">
        <f ca="1">COUNTIF(BO146:BZ146,"&lt;-53")</f>
        <v>2</v>
      </c>
      <c r="CF146" s="1">
        <f ca="1">COUNTIF(BO146:BZ146,"&gt;+53")</f>
        <v>0</v>
      </c>
    </row>
    <row r="147" spans="1:84">
      <c r="A147" s="1">
        <v>144</v>
      </c>
      <c r="B147" s="1">
        <f>'Touch 1 1'!B147-'Touch 1 1'!$AA147-('Touch 1 1'!B$2- 12.5)*'Touch 1 1'!$AC147</f>
        <v>49.641018938744764</v>
      </c>
      <c r="C147" s="1">
        <f>'Touch 1 1'!C147-'Touch 1 1'!$AA147-('Touch 1 1'!C$2- 12.5)*'Touch 1 1'!$AC147</f>
        <v>65.541799900593105</v>
      </c>
      <c r="D147" s="1">
        <f>'Touch 1 1'!D147-'Touch 1 1'!$AA147-('Touch 1 1'!D$2- 12.5)*'Touch 1 1'!$AC147</f>
        <v>31.442580862441218</v>
      </c>
      <c r="E147" s="1">
        <f>'Touch 1 1'!E147-'Touch 1 1'!$AA147-('Touch 1 1'!E$2- 12.5)*'Touch 1 1'!$AC147</f>
        <v>7.3433618242895591</v>
      </c>
      <c r="F147" s="1">
        <f>'Touch 1 1'!F147-'Touch 1 1'!$AA147-('Touch 1 1'!F$2- 12.5)*'Touch 1 1'!$AC147</f>
        <v>63.2441427861379</v>
      </c>
      <c r="G147" s="1">
        <f>'Touch 1 1'!G147-'Touch 1 1'!$AA147-('Touch 1 1'!G$2- 12.5)*'Touch 1 1'!$AC147</f>
        <v>19.14492374798624</v>
      </c>
      <c r="H147" s="1">
        <f>'Touch 1 1'!H147-'Touch 1 1'!$AA147-('Touch 1 1'!H$2- 12.5)*'Touch 1 1'!$AC147</f>
        <v>-24.954295290165646</v>
      </c>
      <c r="I147" s="1">
        <f>'Touch 1 1'!I147-'Touch 1 1'!$AA147-('Touch 1 1'!I$2- 12.5)*'Touch 1 1'!$AC147</f>
        <v>-49.053514328317306</v>
      </c>
      <c r="J147" s="1">
        <f>'Touch 1 1'!J147-'Touch 1 1'!$AA147-('Touch 1 1'!J$2- 12.5)*'Touch 1 1'!$AC147</f>
        <v>-53.152733366468965</v>
      </c>
      <c r="K147" s="1">
        <f>'Touch 1 1'!K147-'Touch 1 1'!$AA147-('Touch 1 1'!K$2- 12.5)*'Touch 1 1'!$AC147</f>
        <v>42.748047595379262</v>
      </c>
      <c r="L147" s="1">
        <f>'Touch 1 1'!L147-'Touch 1 1'!$AA147-('Touch 1 1'!L$2- 12.5)*'Touch 1 1'!$AC147</f>
        <v>-31.351171442772397</v>
      </c>
      <c r="M147" s="1">
        <f>'Touch 1 1'!M147-'Touch 1 1'!$AA147-('Touch 1 1'!M$2- 12.5)*'Touch 1 1'!$AC147</f>
        <v>-55.450390480924142</v>
      </c>
      <c r="N147" s="1">
        <f>'Touch 1 1'!N147-'Touch 1 1'!$AA147-('Touch 1 1'!N$2- 12.5)*'Touch 1 1'!$AC147</f>
        <v>50.450390480924142</v>
      </c>
      <c r="O147" s="1">
        <f>'Touch 1 1'!O147-'Touch 1 1'!$AA147-('Touch 1 1'!O$2- 12.5)*'Touch 1 1'!$AC147</f>
        <v>36.351171442772397</v>
      </c>
      <c r="P147" s="1">
        <f>'Touch 1 1'!P147-'Touch 1 1'!$AA147-('Touch 1 1'!P$2- 12.5)*'Touch 1 1'!$AC147</f>
        <v>32.251952404620738</v>
      </c>
      <c r="Q147" s="1">
        <f>'Touch 1 1'!Q147-'Touch 1 1'!$AA147-('Touch 1 1'!Q$2- 12.5)*'Touch 1 1'!$AC147</f>
        <v>8.152733366468965</v>
      </c>
      <c r="R147" s="1">
        <f>'Touch 1 1'!R147-'Touch 1 1'!$AA147-('Touch 1 1'!R$2- 12.5)*'Touch 1 1'!$AC147</f>
        <v>-5.9464856716826944</v>
      </c>
      <c r="S147" s="1">
        <f>'Touch 1 1'!S147-'Touch 1 1'!$AA147-('Touch 1 1'!S$2- 12.5)*'Touch 1 1'!$AC147</f>
        <v>-4.5704709834353707E-2</v>
      </c>
      <c r="T147" s="1">
        <f>'Touch 1 1'!T147-'Touch 1 1'!$AA147-('Touch 1 1'!T$2- 12.5)*'Touch 1 1'!$AC147</f>
        <v>15.85507625201376</v>
      </c>
      <c r="U147" s="1">
        <f>'Touch 1 1'!U147-'Touch 1 1'!$AA147-('Touch 1 1'!U$2- 12.5)*'Touch 1 1'!$AC147</f>
        <v>-18.2441427861379</v>
      </c>
      <c r="V147" s="1">
        <f>'Touch 1 1'!V147-'Touch 1 1'!$AA147-('Touch 1 1'!V$2- 12.5)*'Touch 1 1'!$AC147</f>
        <v>-92.343361824289559</v>
      </c>
      <c r="W147" s="1">
        <f>'Touch 1 1'!W147-'Touch 1 1'!$AA147-('Touch 1 1'!W$2- 12.5)*'Touch 1 1'!$AC147</f>
        <v>-76.442580862441218</v>
      </c>
      <c r="X147" s="1">
        <f>'Touch 1 1'!X147-'Touch 1 1'!$AA147-('Touch 1 1'!X$2- 12.5)*'Touch 1 1'!$AC147</f>
        <v>-10.541799900593105</v>
      </c>
      <c r="Y147" s="1">
        <f>'Touch 1 1'!Y147-'Touch 1 1'!$AA147-('Touch 1 1'!Y$2- 12.5)*'Touch 1 1'!$AC147</f>
        <v>-4.6410189387447645</v>
      </c>
      <c r="AB147" s="1">
        <f>STDEV(B147:Y147)</f>
        <v>43.7405476197575</v>
      </c>
      <c r="AD147" s="11">
        <v>1</v>
      </c>
      <c r="AE147" s="11">
        <v>3</v>
      </c>
      <c r="AF147" s="11">
        <v>2</v>
      </c>
      <c r="AG147" s="11">
        <v>5</v>
      </c>
      <c r="AH147" s="11">
        <v>4</v>
      </c>
      <c r="AI147" s="11">
        <v>7</v>
      </c>
      <c r="AJ147" s="11">
        <v>6</v>
      </c>
      <c r="AK147" s="11">
        <v>9</v>
      </c>
      <c r="AL147" s="11">
        <v>8</v>
      </c>
      <c r="AM147" s="11" t="s">
        <v>45</v>
      </c>
      <c r="AN147" s="11" t="s">
        <v>44</v>
      </c>
      <c r="AO147" s="11" t="s">
        <v>46</v>
      </c>
      <c r="AP147" s="11">
        <v>1</v>
      </c>
      <c r="AQ147" s="11">
        <v>2</v>
      </c>
      <c r="AR147" s="11">
        <v>3</v>
      </c>
      <c r="AS147" s="11">
        <v>4</v>
      </c>
      <c r="AT147" s="11">
        <v>5</v>
      </c>
      <c r="AU147" s="11">
        <v>6</v>
      </c>
      <c r="AV147" s="11">
        <v>7</v>
      </c>
      <c r="AW147" s="11">
        <v>8</v>
      </c>
      <c r="AX147" s="11">
        <v>9</v>
      </c>
      <c r="AY147" s="11" t="s">
        <v>44</v>
      </c>
      <c r="AZ147" s="11" t="s">
        <v>45</v>
      </c>
      <c r="BA147" s="11" t="s">
        <v>46</v>
      </c>
      <c r="BB147" s="5"/>
      <c r="BC147" s="1">
        <f ca="1">OFFSET(A147,0, 1) -0</f>
        <v>49.641018938744764</v>
      </c>
      <c r="BD147" s="1">
        <f ca="1">OFFSET(A147,0, 3) -0</f>
        <v>31.442580862441218</v>
      </c>
      <c r="BE147" s="1">
        <f ca="1">OFFSET(A147,0, 2) -0</f>
        <v>65.541799900593105</v>
      </c>
      <c r="BF147" s="1">
        <f ca="1">OFFSET(A147,0, 5) -0</f>
        <v>63.2441427861379</v>
      </c>
      <c r="BG147" s="1">
        <f ca="1">OFFSET(A147,0, 4) -0</f>
        <v>7.3433618242895591</v>
      </c>
      <c r="BH147" s="1">
        <f ca="1">OFFSET(A147,0, 7) -0</f>
        <v>-24.954295290165646</v>
      </c>
      <c r="BI147" s="1">
        <f ca="1">OFFSET(A147,0, 6) -0</f>
        <v>19.14492374798624</v>
      </c>
      <c r="BJ147" s="1">
        <f ca="1">OFFSET(A147,0, 9) -0</f>
        <v>-53.152733366468965</v>
      </c>
      <c r="BK147" s="1">
        <f ca="1">OFFSET(A147,0, 8) -0</f>
        <v>-49.053514328317306</v>
      </c>
      <c r="BL147" s="1">
        <f ca="1">OFFSET(A147,0, 11) -0</f>
        <v>-31.351171442772397</v>
      </c>
      <c r="BM147" s="1">
        <f ca="1">OFFSET(A147,0, 10) -0</f>
        <v>42.748047595379262</v>
      </c>
      <c r="BN147" s="1">
        <f ca="1">OFFSET(A147,0, 12) -0</f>
        <v>-55.450390480924142</v>
      </c>
      <c r="BO147" s="1">
        <f ca="1">OFFSET(A147,0, 13) -0</f>
        <v>50.450390480924142</v>
      </c>
      <c r="BP147" s="1">
        <f ca="1">OFFSET(A147,0, 14) -0</f>
        <v>36.351171442772397</v>
      </c>
      <c r="BQ147" s="1">
        <f ca="1">OFFSET(A147,0, 15) -0</f>
        <v>32.251952404620738</v>
      </c>
      <c r="BR147" s="1">
        <f ca="1">OFFSET(A147,0, 16) -0</f>
        <v>8.152733366468965</v>
      </c>
      <c r="BS147" s="1">
        <f ca="1">OFFSET(A147,0, 17) -0</f>
        <v>-5.9464856716826944</v>
      </c>
      <c r="BT147" s="1">
        <f ca="1">OFFSET(A147,0, 18) -0</f>
        <v>-4.5704709834353707E-2</v>
      </c>
      <c r="BU147" s="1">
        <f ca="1">OFFSET(A147,0, 19) -0</f>
        <v>15.85507625201376</v>
      </c>
      <c r="BV147" s="1">
        <f ca="1">OFFSET(A147,0, 20) -0</f>
        <v>-18.2441427861379</v>
      </c>
      <c r="BW147" s="1">
        <f ca="1">OFFSET(A147,0, 21) -0</f>
        <v>-92.343361824289559</v>
      </c>
      <c r="BX147" s="1">
        <f ca="1">OFFSET(A147,0, 22) -0</f>
        <v>-76.442580862441218</v>
      </c>
      <c r="BY147" s="1">
        <f ca="1">OFFSET(A147,0, 23) -0</f>
        <v>-10.541799900593105</v>
      </c>
      <c r="BZ147" s="1">
        <f ca="1">OFFSET(A147,0, 24) -0</f>
        <v>-4.6410189387447645</v>
      </c>
      <c r="CB147" s="1">
        <f>COUNTIF(B147,"&lt;-76")</f>
        <v>0</v>
      </c>
      <c r="CC147" s="1">
        <f ca="1">COUNTIF(BC147:BN147,"&lt;-54")</f>
        <v>1</v>
      </c>
      <c r="CD147" s="1">
        <f ca="1">COUNTIF(BC147:BN147,"&gt;+54")</f>
        <v>2</v>
      </c>
      <c r="CE147" s="1">
        <f ca="1">COUNTIF(BO147:BZ147,"&lt;-54")</f>
        <v>2</v>
      </c>
      <c r="CF147" s="1">
        <f ca="1">COUNTIF(BO147:BZ147,"&gt;+54")</f>
        <v>0</v>
      </c>
    </row>
    <row r="148" spans="1:84"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  <c r="BB148" s="5"/>
    </row>
    <row r="149" spans="1:84">
      <c r="A149" s="1" t="s">
        <v>48</v>
      </c>
      <c r="B149" s="1">
        <f>AVERAGE(B4:B147)</f>
        <v>15.685801567202073</v>
      </c>
      <c r="C149" s="1">
        <f>AVERAGE(C4:C147)</f>
        <v>8.0743349252879213</v>
      </c>
      <c r="D149" s="1">
        <f>AVERAGE(D4:D147)</f>
        <v>13.44897939448486</v>
      </c>
      <c r="E149" s="1">
        <f>AVERAGE(E4:E147)</f>
        <v>13.684734974792924</v>
      </c>
      <c r="F149" s="1">
        <f>AVERAGE(F4:F147)</f>
        <v>7.6010461106565117</v>
      </c>
      <c r="G149" s="1">
        <f>AVERAGE(G4:G147)</f>
        <v>5.5451350242979078</v>
      </c>
      <c r="H149" s="1">
        <f>AVERAGE(H4:H147)</f>
        <v>0.36422393793930358</v>
      </c>
      <c r="I149" s="1">
        <f>AVERAGE(I4:I147)</f>
        <v>-1.3444649261970933</v>
      </c>
      <c r="J149" s="1">
        <f>AVERAGE(J4:J147)</f>
        <v>-10.761487123666814</v>
      </c>
      <c r="K149" s="1">
        <f>AVERAGE(K4:K147)</f>
        <v>-18.44239821002542</v>
      </c>
      <c r="L149" s="1">
        <f>AVERAGE(L4:L147)</f>
        <v>-16.887198185272918</v>
      </c>
      <c r="M149" s="1">
        <f>AVERAGE(M4:M147)</f>
        <v>-10.887553716075976</v>
      </c>
      <c r="N149" s="1">
        <f>AVERAGE(N4:N147)</f>
        <v>18.86209075312096</v>
      </c>
      <c r="O149" s="1">
        <f>AVERAGE(O4:O147)</f>
        <v>11.597846333429016</v>
      </c>
      <c r="P149" s="1">
        <f>AVERAGE(P4:P147)</f>
        <v>9.7490802625963449E-2</v>
      </c>
      <c r="Q149" s="1">
        <f>AVERAGE(Q4:Q147)</f>
        <v>4.708246382934016</v>
      </c>
      <c r="R149" s="1">
        <f>AVERAGE(R4:R147)</f>
        <v>8.2890852130968862E-2</v>
      </c>
      <c r="S149" s="1">
        <f>AVERAGE(S4:S147)</f>
        <v>-0.30635356756098353</v>
      </c>
      <c r="T149" s="1">
        <f>AVERAGE(T4:T147)</f>
        <v>-12.362264653919588</v>
      </c>
      <c r="U149" s="1">
        <f>AVERAGE(U4:U147)</f>
        <v>-4.7653979625004137</v>
      </c>
      <c r="V149" s="1">
        <f>AVERAGE(V4:V147)</f>
        <v>-19.946309048859046</v>
      </c>
      <c r="W149" s="1">
        <f>AVERAGE(W4:W147)</f>
        <v>-7.974442357439874</v>
      </c>
      <c r="X149" s="1">
        <f>AVERAGE(X4:X147)</f>
        <v>-11.558131221576268</v>
      </c>
      <c r="Y149" s="1">
        <f>AVERAGE(Y4:Y147)</f>
        <v>15.483179914287357</v>
      </c>
      <c r="AB149" s="1">
        <f ca="1">(DEVSQ(BC4:BZ147)/(144*23))^0.5</f>
        <v>44.708805151551424</v>
      </c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/>
      <c r="BB149" s="5" t="s">
        <v>48</v>
      </c>
      <c r="BC149" s="1">
        <f ca="1">AVERAGE(BC4:BC147)</f>
        <v>15.271905066202432</v>
      </c>
      <c r="BD149" s="1">
        <f ca="1">AVERAGE(BD4:BD147)</f>
        <v>7.1485445506506489</v>
      </c>
      <c r="BE149" s="1">
        <f ca="1">AVERAGE(BE4:BE147)</f>
        <v>30.457237026002556</v>
      </c>
      <c r="BF149" s="1">
        <f ca="1">AVERAGE(BF4:BF147)</f>
        <v>20.002862331551917</v>
      </c>
      <c r="BG149" s="1">
        <f ca="1">AVERAGE(BG4:BG147)</f>
        <v>-17.333484514784175</v>
      </c>
      <c r="BH149" s="1">
        <f ca="1">AVERAGE(BH4:BH147)</f>
        <v>8.9087569569326703</v>
      </c>
      <c r="BI149" s="1">
        <f ca="1">AVERAGE(BI4:BI147)</f>
        <v>-0.45857318022172205</v>
      </c>
      <c r="BJ149" s="1">
        <f ca="1">AVERAGE(BJ4:BJ147)</f>
        <v>11.73970113643488</v>
      </c>
      <c r="BK149" s="1">
        <f ca="1">AVERAGE(BK4:BK147)</f>
        <v>-28.252300661170821</v>
      </c>
      <c r="BL149" s="1">
        <f ca="1">AVERAGE(BL4:BL147)</f>
        <v>-34.880185097293243</v>
      </c>
      <c r="BM149" s="1">
        <f ca="1">AVERAGE(BM4:BM147)</f>
        <v>30.416258346401062</v>
      </c>
      <c r="BN149" s="1">
        <f ca="1">AVERAGE(BN4:BN147)</f>
        <v>-36.93956818728298</v>
      </c>
      <c r="BO149" s="1">
        <f ca="1">AVERAGE(BO4:BO147)</f>
        <v>37.39742815767795</v>
      </c>
      <c r="BP149" s="1">
        <f ca="1">AVERAGE(BP4:BP147)</f>
        <v>12.499668093621576</v>
      </c>
      <c r="BQ149" s="1">
        <f ca="1">AVERAGE(BQ4:BQ147)</f>
        <v>16.441429682306964</v>
      </c>
      <c r="BR149" s="1">
        <f ca="1">AVERAGE(BR4:BR147)</f>
        <v>14.490061092999055</v>
      </c>
      <c r="BS149" s="1">
        <f ca="1">AVERAGE(BS4:BS147)</f>
        <v>-33.456032664851591</v>
      </c>
      <c r="BT149" s="1">
        <f ca="1">AVERAGE(BT4:BT147)</f>
        <v>6.052367415935298</v>
      </c>
      <c r="BU149" s="1">
        <f ca="1">AVERAGE(BU4:BU147)</f>
        <v>-23.77579175180604</v>
      </c>
      <c r="BV149" s="1">
        <f ca="1">AVERAGE(BV4:BV147)</f>
        <v>-6.1848129928347131</v>
      </c>
      <c r="BW149" s="1">
        <f ca="1">AVERAGE(BW4:BW147)</f>
        <v>7.3613139882519825</v>
      </c>
      <c r="BX149" s="1">
        <f ca="1">AVERAGE(BX4:BX147)</f>
        <v>-22.233893769269272</v>
      </c>
      <c r="BY149" s="1">
        <f ca="1">AVERAGE(BY4:BY147)</f>
        <v>12.280428843411554</v>
      </c>
      <c r="BZ149" s="1">
        <f ca="1">AVERAGE(BZ4:BZ147)</f>
        <v>-26.953319868770645</v>
      </c>
      <c r="CB149" s="1">
        <f>SUM(CB4:CB147)</f>
        <v>2</v>
      </c>
      <c r="CC149" s="1">
        <f ca="1">SUM(CC4:CC147)</f>
        <v>202</v>
      </c>
      <c r="CD149" s="1">
        <f ca="1">SUM(CD4:CD147)</f>
        <v>183</v>
      </c>
      <c r="CE149" s="1">
        <f ca="1">SUM(CE4:CE147)</f>
        <v>190</v>
      </c>
      <c r="CF149" s="1">
        <f ca="1">SUM(CF4:CF147)</f>
        <v>154</v>
      </c>
    </row>
    <row r="150" spans="1:84">
      <c r="A150" s="1" t="s">
        <v>66</v>
      </c>
      <c r="B150" s="1">
        <f>STDEV(B4:B147)</f>
        <v>42.800154725061127</v>
      </c>
      <c r="C150" s="1">
        <f>STDEV(C4:C147)</f>
        <v>52.8230729291882</v>
      </c>
      <c r="D150" s="1">
        <f>STDEV(D4:D147)</f>
        <v>42.558532704896692</v>
      </c>
      <c r="E150" s="1">
        <f>STDEV(E4:E147)</f>
        <v>40.140802956857023</v>
      </c>
      <c r="F150" s="1">
        <f>STDEV(F4:F147)</f>
        <v>39.821106997185503</v>
      </c>
      <c r="G150" s="1">
        <f>STDEV(G4:G147)</f>
        <v>41.764789487731264</v>
      </c>
      <c r="H150" s="1">
        <f>STDEV(H4:H147)</f>
        <v>38.749428316812129</v>
      </c>
      <c r="I150" s="1">
        <f>STDEV(I4:I147)</f>
        <v>46.114616851172407</v>
      </c>
      <c r="J150" s="1">
        <f>STDEV(J4:J147)</f>
        <v>36.425072117140338</v>
      </c>
      <c r="K150" s="1">
        <f>STDEV(K4:K147)</f>
        <v>39.665691156272381</v>
      </c>
      <c r="L150" s="1">
        <f>STDEV(L4:L147)</f>
        <v>36.997289768804251</v>
      </c>
      <c r="M150" s="1">
        <f>STDEV(M4:M147)</f>
        <v>43.977249997673013</v>
      </c>
      <c r="N150" s="1">
        <f>STDEV(N4:N147)</f>
        <v>44.688242788232735</v>
      </c>
      <c r="O150" s="1">
        <f>STDEV(O4:O147)</f>
        <v>44.011558638145367</v>
      </c>
      <c r="P150" s="1">
        <f>STDEV(P4:P147)</f>
        <v>40.594913185619077</v>
      </c>
      <c r="Q150" s="1">
        <f>STDEV(Q4:Q147)</f>
        <v>40.663606466590757</v>
      </c>
      <c r="R150" s="1">
        <f>STDEV(R4:R147)</f>
        <v>34.875374717013088</v>
      </c>
      <c r="S150" s="1">
        <f>STDEV(S4:S147)</f>
        <v>42.300705581246632</v>
      </c>
      <c r="T150" s="1">
        <f>STDEV(T4:T147)</f>
        <v>46.492420842081941</v>
      </c>
      <c r="U150" s="1">
        <f>STDEV(U4:U147)</f>
        <v>42.559551962592671</v>
      </c>
      <c r="V150" s="1">
        <f>STDEV(V4:V147)</f>
        <v>48.200262943290923</v>
      </c>
      <c r="W150" s="1">
        <f>STDEV(W4:W147)</f>
        <v>48.866434833628723</v>
      </c>
      <c r="X150" s="1">
        <f>STDEV(X4:X147)</f>
        <v>39.581327635814148</v>
      </c>
      <c r="Y150" s="1">
        <f>STDEV(Y4:Y147)</f>
        <v>37.731502272723084</v>
      </c>
      <c r="AA150" s="1">
        <f>MIN(B4:Y147)</f>
        <v>-305.72472993750512</v>
      </c>
      <c r="AB150" s="1">
        <f>'Touch 1 1'!AE151</f>
        <v>20.557259241057668</v>
      </c>
      <c r="BB150" s="1" t="s">
        <v>66</v>
      </c>
      <c r="BC150" s="1">
        <f ca="1">STDEV(BC4:BC147)</f>
        <v>38.764393719082783</v>
      </c>
      <c r="BD150" s="1">
        <f ca="1">STDEV(BD4:BD147)</f>
        <v>29.459466346930174</v>
      </c>
      <c r="BE150" s="1">
        <f ca="1">STDEV(BE4:BE147)</f>
        <v>30.997850701959013</v>
      </c>
      <c r="BF150" s="1">
        <f ca="1">STDEV(BF4:BF147)</f>
        <v>34.59956399780647</v>
      </c>
      <c r="BG150" s="1">
        <f ca="1">STDEV(BG4:BG147)</f>
        <v>39.126376202354066</v>
      </c>
      <c r="BH150" s="1">
        <f ca="1">STDEV(BH4:BH147)</f>
        <v>38.220452877025323</v>
      </c>
      <c r="BI150" s="1">
        <f ca="1">STDEV(BI4:BI147)</f>
        <v>46.26970394896405</v>
      </c>
      <c r="BJ150" s="1">
        <f ca="1">STDEV(BJ4:BJ147)</f>
        <v>33.277940733323852</v>
      </c>
      <c r="BK150" s="1">
        <f ca="1">STDEV(BK4:BK147)</f>
        <v>38.603618862555223</v>
      </c>
      <c r="BL150" s="1">
        <f ca="1">STDEV(BL4:BL147)</f>
        <v>34.894284244257982</v>
      </c>
      <c r="BM150" s="1">
        <f ca="1">STDEV(BM4:BM147)</f>
        <v>40.296874775619195</v>
      </c>
      <c r="BN150" s="1">
        <f ca="1">STDEV(BN4:BN147)</f>
        <v>35.594130110924674</v>
      </c>
      <c r="BO150" s="1">
        <f ca="1">STDEV(BO4:BO147)</f>
        <v>38.021794926163551</v>
      </c>
      <c r="BP150" s="1">
        <f ca="1">STDEV(BP4:BP147)</f>
        <v>46.408713108986255</v>
      </c>
      <c r="BQ150" s="1">
        <f ca="1">STDEV(BQ4:BQ147)</f>
        <v>29.964359951602443</v>
      </c>
      <c r="BR150" s="1">
        <f ca="1">STDEV(BR4:BR147)</f>
        <v>27.060528251027222</v>
      </c>
      <c r="BS150" s="1">
        <f ca="1">STDEV(BS4:BS147)</f>
        <v>53.842882992612061</v>
      </c>
      <c r="BT150" s="1">
        <f ca="1">STDEV(BT4:BT147)</f>
        <v>37.606762859649358</v>
      </c>
      <c r="BU150" s="1">
        <f ca="1">STDEV(BU4:BU147)</f>
        <v>48.462825525306712</v>
      </c>
      <c r="BV150" s="1">
        <f ca="1">STDEV(BV4:BV147)</f>
        <v>31.411307977837296</v>
      </c>
      <c r="BW150" s="1">
        <f ca="1">STDEV(BW4:BW147)</f>
        <v>35.975116338194496</v>
      </c>
      <c r="BX150" s="1">
        <f ca="1">STDEV(BX4:BX147)</f>
        <v>37.918727047558534</v>
      </c>
      <c r="BY150" s="1">
        <f ca="1">STDEV(BY4:BY147)</f>
        <v>40.35627554882992</v>
      </c>
      <c r="BZ150" s="1">
        <f ca="1">STDEV(BZ4:BZ147)</f>
        <v>30.875925061373671</v>
      </c>
    </row>
    <row r="151" spans="1:84" s="6" customFormat="1">
      <c r="A151" s="6" t="s">
        <v>67</v>
      </c>
      <c r="C151" s="6">
        <f>CORREL(B4:B147,C4:C147)</f>
        <v>0.55126871414204726</v>
      </c>
      <c r="D151" s="6">
        <f>CORREL(C4:C147,D4:D147)</f>
        <v>0.34442645133016969</v>
      </c>
      <c r="E151" s="6">
        <f>CORREL(D4:D147,E4:E147)</f>
        <v>0.3771678605254466</v>
      </c>
      <c r="F151" s="6">
        <f>CORREL(E4:E147,F4:F147)</f>
        <v>0.12714335516581377</v>
      </c>
      <c r="G151" s="6">
        <f>CORREL(F4:F147,G4:G147)</f>
        <v>0.3097666133830026</v>
      </c>
      <c r="H151" s="6">
        <f>CORREL(G4:G147,H4:H147)</f>
        <v>0.15255836293925754</v>
      </c>
      <c r="I151" s="6">
        <f>CORREL(H4:H147,I4:I147)</f>
        <v>0.24409399466270301</v>
      </c>
      <c r="J151" s="6">
        <f>CORREL(I4:I147,J4:J147)</f>
        <v>0.32711964893086748</v>
      </c>
      <c r="K151" s="6">
        <f>CORREL(J4:J147,K4:K147)</f>
        <v>0.28635484689800333</v>
      </c>
      <c r="L151" s="6">
        <f>CORREL(K4:K147,L4:L147)</f>
        <v>0.26374040197727222</v>
      </c>
      <c r="M151" s="6">
        <f>CORREL(L4:L147,M4:M147)</f>
        <v>0.28127429861978809</v>
      </c>
      <c r="N151" s="6">
        <f>CORREL(M4:M147,N4:N147)</f>
        <v>-7.4550706227762015E-3</v>
      </c>
      <c r="O151" s="6">
        <f>CORREL(N4:N147,O4:O147)</f>
        <v>0.31014692013628015</v>
      </c>
      <c r="P151" s="6">
        <f>CORREL(O4:O147,P4:P147)</f>
        <v>0.13453908907839618</v>
      </c>
      <c r="Q151" s="6">
        <f>CORREL(P4:P147,Q4:Q147)</f>
        <v>0.3609699618091089</v>
      </c>
      <c r="R151" s="6">
        <f>CORREL(Q4:Q147,R4:R147)</f>
        <v>0.13944973924158865</v>
      </c>
      <c r="S151" s="6">
        <f>CORREL(R4:R147,S4:S147)</f>
        <v>6.4357512633484756E-2</v>
      </c>
      <c r="T151" s="6">
        <f>CORREL(S4:S147,T4:T147)</f>
        <v>0.23413347101993789</v>
      </c>
      <c r="U151" s="6">
        <f>CORREL(T4:T147,U4:U147)</f>
        <v>0.12726817653918188</v>
      </c>
      <c r="V151" s="6">
        <f>CORREL(U4:U147,V4:V147)</f>
        <v>0.27448534278748615</v>
      </c>
      <c r="W151" s="6">
        <f>CORREL(V4:V147,W4:W147)</f>
        <v>0.41562181381990276</v>
      </c>
      <c r="X151" s="6">
        <f>CORREL(W4:W147,X4:X147)</f>
        <v>0.13150055431489743</v>
      </c>
      <c r="Y151" s="6">
        <f>CORREL(X4:X147,Y4:Y147)</f>
        <v>0.4884003463879833</v>
      </c>
      <c r="AA151" s="1">
        <f>MAX(B4:Y147)</f>
        <v>226.08578808090715</v>
      </c>
      <c r="AB151" s="6">
        <f ca="1">IF(AB149&lt;AB150,((AB150^2-AB149^2)/4)^0.5,0)</f>
        <v>0</v>
      </c>
      <c r="BB151" s="6" t="s">
        <v>71</v>
      </c>
      <c r="BO151" s="6">
        <f ca="1">((BC150^2+BO150^2)/2)^0.5</f>
        <v>38.394889697818513</v>
      </c>
      <c r="BP151" s="6">
        <f ca="1">((BD150^2+BP150^2)/2)^0.5</f>
        <v>38.869196093295422</v>
      </c>
      <c r="BQ151" s="6">
        <f ca="1">((BE150^2+BQ150^2)/2)^0.5</f>
        <v>30.48548519746846</v>
      </c>
      <c r="BR151" s="6">
        <f ca="1">((BF150^2+BR150^2)/2)^0.5</f>
        <v>31.059636331281698</v>
      </c>
      <c r="BS151" s="6">
        <f ca="1">((BG150^2+BS150^2)/2)^0.5</f>
        <v>47.063411285648705</v>
      </c>
      <c r="BT151" s="6">
        <f ca="1">((BH150^2+BT150^2)/2)^0.5</f>
        <v>37.914849537528269</v>
      </c>
      <c r="BU151" s="6">
        <f ca="1">((BI150^2+BU150^2)/2)^0.5</f>
        <v>47.378956095618541</v>
      </c>
      <c r="BV151" s="6">
        <f ca="1">((BJ150^2+BV150^2)/2)^0.5</f>
        <v>32.358087152435012</v>
      </c>
      <c r="BW151" s="6">
        <f ca="1">((BK150^2+BW150^2)/2)^0.5</f>
        <v>37.31252058513374</v>
      </c>
      <c r="BX151" s="6">
        <f ca="1">((BL150^2+BX150^2)/2)^0.5</f>
        <v>36.437898771926449</v>
      </c>
      <c r="BY151" s="6">
        <f ca="1">((BM150^2+BY150^2)/2)^0.5</f>
        <v>40.326586099340361</v>
      </c>
      <c r="BZ151" s="6">
        <f ca="1">((BN150^2+BZ150^2)/2)^0.5</f>
        <v>33.318649783184469</v>
      </c>
    </row>
    <row r="152" spans="1:84">
      <c r="AB152" s="1">
        <f ca="1">(AB149^2+AB151^2)^0.5</f>
        <v>44.708805151551424</v>
      </c>
    </row>
    <row r="153" spans="1:84">
      <c r="A153" s="1" t="s">
        <v>68</v>
      </c>
      <c r="BB153" s="1" t="s">
        <v>68</v>
      </c>
    </row>
    <row r="154" spans="1:84">
      <c r="A154" s="1" t="s">
        <v>69</v>
      </c>
      <c r="B154" s="1">
        <f>SUMIF(B4:B147,"&lt;0")</f>
        <v>-1344.3511753979574</v>
      </c>
      <c r="C154" s="1">
        <f>SUMIF(C4:C147,"&lt;0")</f>
        <v>-2387.018544587168</v>
      </c>
      <c r="D154" s="1">
        <f>SUMIF(D4:D147,"&lt;0")</f>
        <v>-1644.7656163806373</v>
      </c>
      <c r="E154" s="1">
        <f>SUMIF(E4:E147,"&lt;0")</f>
        <v>-1440.6615416355899</v>
      </c>
      <c r="F154" s="1">
        <f>SUMIF(F4:F147,"&lt;0")</f>
        <v>-1769.3056524524789</v>
      </c>
      <c r="G154" s="1">
        <f>SUMIF(G4:G147,"&lt;0")</f>
        <v>-2073.1021522157271</v>
      </c>
      <c r="H154" s="1">
        <f>SUMIF(H4:H147,"&lt;0")</f>
        <v>-2222.2636440428118</v>
      </c>
      <c r="I154" s="1">
        <f>SUMIF(I4:I147,"&lt;0")</f>
        <v>-2886.406967346426</v>
      </c>
      <c r="J154" s="1">
        <f>SUMIF(J4:J147,"&lt;0")</f>
        <v>-2948.1514396860484</v>
      </c>
      <c r="K154" s="1">
        <f>SUMIF(K4:K147,"&lt;0")</f>
        <v>-3835.7934988510215</v>
      </c>
      <c r="L154" s="1">
        <f>SUMIF(L4:L147,"&lt;0")</f>
        <v>-3542.0622389572632</v>
      </c>
      <c r="M154" s="1">
        <f>SUMIF(M4:M147,"&lt;0")</f>
        <v>-3267.9878454780883</v>
      </c>
      <c r="N154" s="1">
        <f>SUMIF(N4:N147,"&lt;0")</f>
        <v>-1387.2152912055694</v>
      </c>
      <c r="O154" s="1">
        <f>SUMIF(O4:O147,"&lt;0")</f>
        <v>-1892.5525053878864</v>
      </c>
      <c r="P154" s="1">
        <f>SUMIF(P4:P147,"&lt;0")</f>
        <v>-2412.0759292241573</v>
      </c>
      <c r="Q154" s="1">
        <f>SUMIF(Q4:Q147,"&lt;0")</f>
        <v>-1943.1397832413425</v>
      </c>
      <c r="R154" s="1">
        <f>SUMIF(R4:R147,"&lt;0")</f>
        <v>-2048.7853343561542</v>
      </c>
      <c r="S154" s="1">
        <f>SUMIF(S4:S147,"&lt;0")</f>
        <v>-2367.4441760723157</v>
      </c>
      <c r="T154" s="1">
        <f>SUMIF(T4:T147,"&lt;0")</f>
        <v>-3309.1727813971338</v>
      </c>
      <c r="U154" s="1">
        <f>SUMIF(U4:U147,"&lt;0")</f>
        <v>-2644.3800955492343</v>
      </c>
      <c r="V154" s="1">
        <f>SUMIF(V4:V147,"&lt;0")</f>
        <v>-4156.1127639171491</v>
      </c>
      <c r="W154" s="1">
        <f>SUMIF(W4:W147,"&lt;0")</f>
        <v>-3132.9663839293917</v>
      </c>
      <c r="X154" s="1">
        <f>SUMIF(X4:X147,"&lt;0")</f>
        <v>-3192.9077926703576</v>
      </c>
      <c r="Y154" s="1">
        <f>SUMIF(Y4:Y147,"&lt;0")</f>
        <v>-1232.5055905905656</v>
      </c>
      <c r="BB154" s="1" t="s">
        <v>69</v>
      </c>
      <c r="BC154" s="1">
        <f ca="1">SUMIF(BC4:BC147,"&lt;0")</f>
        <v>-1297.5633968940037</v>
      </c>
      <c r="BD154" s="1">
        <f ca="1">SUMIF(BD4:BD147,"&lt;0")</f>
        <v>-1222.3827380120356</v>
      </c>
      <c r="BE154" s="1">
        <f ca="1">SUMIF(BE4:BE147,"&lt;0")</f>
        <v>-319.13273605236338</v>
      </c>
      <c r="BF154" s="1">
        <f ca="1">SUMIF(BF4:BF147,"&lt;0")</f>
        <v>-741.43618822704047</v>
      </c>
      <c r="BG154" s="1">
        <f ca="1">SUMIF(BG4:BG147,"&lt;0")</f>
        <v>-3752.6106384722129</v>
      </c>
      <c r="BH154" s="1">
        <f ca="1">SUMIF(BH4:BH147,"&lt;0")</f>
        <v>-1618.4960731540352</v>
      </c>
      <c r="BI154" s="1">
        <f ca="1">SUMIF(BI4:BI147,"&lt;0")</f>
        <v>-2684.5344253446588</v>
      </c>
      <c r="BJ154" s="1">
        <f ca="1">SUMIF(BJ4:BJ147,"&lt;0")</f>
        <v>-1136.26141947013</v>
      </c>
      <c r="BK154" s="1">
        <f ca="1">SUMIF(BK4:BK147,"&lt;0")</f>
        <v>-4753.6022094097061</v>
      </c>
      <c r="BL154" s="1">
        <f ca="1">SUMIF(BL4:BL147,"&lt;0")</f>
        <v>-5397.4915132527967</v>
      </c>
      <c r="BM154" s="1">
        <f ca="1">SUMIF(BM4:BM147,"&lt;0")</f>
        <v>-670.27014334654507</v>
      </c>
      <c r="BN154" s="1">
        <f ca="1">SUMIF(BN4:BN147,"&lt;0")</f>
        <v>-5768.0888353956934</v>
      </c>
      <c r="BO154" s="1">
        <f ca="1">SUMIF(BO4:BO147,"&lt;0")</f>
        <v>-433.26910499688688</v>
      </c>
      <c r="BP154" s="1">
        <f ca="1">SUMIF(BP4:BP147,"&lt;0")</f>
        <v>-1659.2083845761319</v>
      </c>
      <c r="BQ154" s="1">
        <f ca="1">SUMIF(BQ4:BQ147,"&lt;0")</f>
        <v>-817.8550836490715</v>
      </c>
      <c r="BR154" s="1">
        <f ca="1">SUMIF(BR4:BR147,"&lt;0")</f>
        <v>-731.56012917928012</v>
      </c>
      <c r="BS154" s="1">
        <f ca="1">SUMIF(BS4:BS147,"&lt;0")</f>
        <v>-5885.2527103639495</v>
      </c>
      <c r="BT154" s="1">
        <f ca="1">SUMIF(BT4:BT147,"&lt;0")</f>
        <v>-1744.0298959287238</v>
      </c>
      <c r="BU154" s="1">
        <f ca="1">SUMIF(BU4:BU147,"&lt;0")</f>
        <v>-4683.0368482921976</v>
      </c>
      <c r="BV154" s="1">
        <f ca="1">SUMIF(BV4:BV147,"&lt;0")</f>
        <v>-2261.9227710961923</v>
      </c>
      <c r="BW154" s="1">
        <f ca="1">SUMIF(BW4:BW147,"&lt;0")</f>
        <v>-1537.9128068978134</v>
      </c>
      <c r="BX154" s="1">
        <f ca="1">SUMIF(BX4:BX147,"&lt;0")</f>
        <v>-4133.3395572298923</v>
      </c>
      <c r="BY154" s="1">
        <f ca="1">SUMIF(BY4:BY147,"&lt;0")</f>
        <v>-1448.6631702349159</v>
      </c>
      <c r="BZ154" s="1">
        <f ca="1">SUMIF(BZ4:BZ147,"&lt;0")</f>
        <v>-4383.2079650962041</v>
      </c>
    </row>
    <row r="155" spans="1:84">
      <c r="A155" s="1" t="s">
        <v>70</v>
      </c>
      <c r="B155" s="1">
        <f>SUMIF(B4:B147,"&gt;0")</f>
        <v>3603.106601075056</v>
      </c>
      <c r="C155" s="1">
        <f>SUMIF(C4:C147,"&gt;0")</f>
        <v>3549.7227738286288</v>
      </c>
      <c r="D155" s="1">
        <f>SUMIF(D4:D147,"&gt;0")</f>
        <v>3581.4186491864557</v>
      </c>
      <c r="E155" s="1">
        <f>SUMIF(E4:E147,"&gt;0")</f>
        <v>3411.2633780057713</v>
      </c>
      <c r="F155" s="1">
        <f>SUMIF(F4:F147,"&gt;0")</f>
        <v>2863.8562923870159</v>
      </c>
      <c r="G155" s="1">
        <f>SUMIF(G4:G147,"&gt;0")</f>
        <v>2871.6015957146255</v>
      </c>
      <c r="H155" s="1">
        <f>SUMIF(H4:H147,"&gt;0")</f>
        <v>2274.7118911060716</v>
      </c>
      <c r="I155" s="1">
        <f>SUMIF(I4:I147,"&gt;0")</f>
        <v>2692.8040179740437</v>
      </c>
      <c r="J155" s="1">
        <f>SUMIF(J4:J147,"&gt;0")</f>
        <v>1398.4972938780286</v>
      </c>
      <c r="K155" s="1">
        <f>SUMIF(K4:K147,"&gt;0")</f>
        <v>1180.0881566073631</v>
      </c>
      <c r="L155" s="1">
        <f>SUMIF(L4:L147,"&gt;0")</f>
        <v>1110.3057002779642</v>
      </c>
      <c r="M155" s="1">
        <f>SUMIF(M4:M147,"&gt;0")</f>
        <v>1700.1801103631483</v>
      </c>
      <c r="N155" s="1">
        <f>SUMIF(N4:N147,"&gt;0")</f>
        <v>4103.3563596549866</v>
      </c>
      <c r="O155" s="1">
        <f>SUMIF(O4:O147,"&gt;0")</f>
        <v>3562.6423774016635</v>
      </c>
      <c r="P155" s="1">
        <f>SUMIF(P4:P147,"&gt;0")</f>
        <v>2426.1146048022961</v>
      </c>
      <c r="Q155" s="1">
        <f>SUMIF(Q4:Q147,"&gt;0")</f>
        <v>2621.1272623838413</v>
      </c>
      <c r="R155" s="1">
        <f>SUMIF(R4:R147,"&gt;0")</f>
        <v>2060.721617063014</v>
      </c>
      <c r="S155" s="1">
        <f>SUMIF(S4:S147,"&gt;0")</f>
        <v>2323.3292623435345</v>
      </c>
      <c r="T155" s="1">
        <f>SUMIF(T4:T147,"&gt;0")</f>
        <v>1529.0066712327136</v>
      </c>
      <c r="U155" s="1">
        <f>SUMIF(U4:U147,"&gt;0")</f>
        <v>1958.162788949176</v>
      </c>
      <c r="V155" s="1">
        <f>SUMIF(V4:V147,"&gt;0")</f>
        <v>1283.8442608814478</v>
      </c>
      <c r="W155" s="1">
        <f>SUMIF(W4:W147,"&gt;0")</f>
        <v>1984.6466844580514</v>
      </c>
      <c r="X155" s="1">
        <f>SUMIF(X4:X147,"&gt;0")</f>
        <v>1528.5368967633749</v>
      </c>
      <c r="Y155" s="1">
        <f>SUMIF(Y4:Y147,"&gt;0")</f>
        <v>3462.083498247945</v>
      </c>
      <c r="BB155" s="1" t="s">
        <v>70</v>
      </c>
      <c r="BC155" s="1">
        <f ca="1">SUMIF(BC4:BC147,"&gt;0")</f>
        <v>3496.7177264271536</v>
      </c>
      <c r="BD155" s="1">
        <f ca="1">SUMIF(BD4:BD147,"&gt;0")</f>
        <v>2251.7731533057286</v>
      </c>
      <c r="BE155" s="1">
        <f ca="1">SUMIF(BE4:BE147,"&gt;0")</f>
        <v>4704.9748677967327</v>
      </c>
      <c r="BF155" s="1">
        <f ca="1">SUMIF(BF4:BF147,"&gt;0")</f>
        <v>3621.8483639705173</v>
      </c>
      <c r="BG155" s="1">
        <f ca="1">SUMIF(BG4:BG147,"&gt;0")</f>
        <v>1256.5888683432922</v>
      </c>
      <c r="BH155" s="1">
        <f ca="1">SUMIF(BH4:BH147,"&gt;0")</f>
        <v>2901.3570749523406</v>
      </c>
      <c r="BI155" s="1">
        <f ca="1">SUMIF(BI4:BI147,"&gt;0")</f>
        <v>2618.4998873927307</v>
      </c>
      <c r="BJ155" s="1">
        <f ca="1">SUMIF(BJ4:BJ147,"&gt;0")</f>
        <v>2826.7783831167512</v>
      </c>
      <c r="BK155" s="1">
        <f ca="1">SUMIF(BK4:BK147,"&gt;0")</f>
        <v>685.27091420111083</v>
      </c>
      <c r="BL155" s="1">
        <f ca="1">SUMIF(BL4:BL147,"&gt;0")</f>
        <v>374.74485924257164</v>
      </c>
      <c r="BM155" s="1">
        <f ca="1">SUMIF(BM4:BM147,"&gt;0")</f>
        <v>5050.2113452283002</v>
      </c>
      <c r="BN155" s="1">
        <f ca="1">SUMIF(BN4:BN147,"&gt;0")</f>
        <v>448.79101642694638</v>
      </c>
      <c r="BO155" s="1">
        <f ca="1">SUMIF(BO4:BO147,"&gt;0")</f>
        <v>5818.4987597025101</v>
      </c>
      <c r="BP155" s="1">
        <f ca="1">SUMIF(BP4:BP147,"&gt;0")</f>
        <v>3459.1605900576396</v>
      </c>
      <c r="BQ155" s="1">
        <f ca="1">SUMIF(BQ4:BQ147,"&gt;0")</f>
        <v>3185.4209579012736</v>
      </c>
      <c r="BR155" s="1">
        <f ca="1">SUMIF(BR4:BR147,"&gt;0")</f>
        <v>2818.128926571143</v>
      </c>
      <c r="BS155" s="1">
        <f ca="1">SUMIF(BS4:BS147,"&gt;0")</f>
        <v>1067.5840066253238</v>
      </c>
      <c r="BT155" s="1">
        <f ca="1">SUMIF(BT4:BT147,"&gt;0")</f>
        <v>2615.5708038234065</v>
      </c>
      <c r="BU155" s="1">
        <f ca="1">SUMIF(BU4:BU147,"&gt;0")</f>
        <v>1259.3228360321268</v>
      </c>
      <c r="BV155" s="1">
        <f ca="1">SUMIF(BV4:BV147,"&gt;0")</f>
        <v>1371.3097001279932</v>
      </c>
      <c r="BW155" s="1">
        <f ca="1">SUMIF(BW4:BW147,"&gt;0")</f>
        <v>2597.9420212060991</v>
      </c>
      <c r="BX155" s="1">
        <f ca="1">SUMIF(BX4:BX147,"&gt;0")</f>
        <v>931.65885445511788</v>
      </c>
      <c r="BY155" s="1">
        <f ca="1">SUMIF(BY4:BY147,"&gt;0")</f>
        <v>3217.0449236861796</v>
      </c>
      <c r="BZ155" s="1">
        <f ca="1">SUMIF(BZ4:BZ147,"&gt;0")</f>
        <v>501.92990399323384</v>
      </c>
    </row>
    <row r="156" spans="1:84">
      <c r="A156" s="1" t="s">
        <v>71</v>
      </c>
      <c r="B156" s="1">
        <f>-B154+B155</f>
        <v>4947.4577764730129</v>
      </c>
      <c r="C156" s="1">
        <f>-C154+C155</f>
        <v>5936.7413184157967</v>
      </c>
      <c r="D156" s="1">
        <f>-D154+D155</f>
        <v>5226.1842655670935</v>
      </c>
      <c r="E156" s="1">
        <f>-E154+E155</f>
        <v>4851.9249196413612</v>
      </c>
      <c r="F156" s="1">
        <f>-F154+F155</f>
        <v>4633.1619448394949</v>
      </c>
      <c r="G156" s="1">
        <f>-G154+G155</f>
        <v>4944.7037479303526</v>
      </c>
      <c r="H156" s="1">
        <f>-H154+H155</f>
        <v>4496.9755351488839</v>
      </c>
      <c r="I156" s="1">
        <f>-I154+I155</f>
        <v>5579.2109853204693</v>
      </c>
      <c r="J156" s="1">
        <f>-J154+J155</f>
        <v>4346.6487335640768</v>
      </c>
      <c r="K156" s="1">
        <f>-K154+K155</f>
        <v>5015.8816554583846</v>
      </c>
      <c r="L156" s="1">
        <f>-L154+L155</f>
        <v>4652.3679392352278</v>
      </c>
      <c r="M156" s="1">
        <f>-M154+M155</f>
        <v>4968.1679558412361</v>
      </c>
      <c r="N156" s="1">
        <f>-N154+N155</f>
        <v>5490.5716508605565</v>
      </c>
      <c r="O156" s="1">
        <f>-O154+O155</f>
        <v>5455.1948827895503</v>
      </c>
      <c r="P156" s="1">
        <f>-P154+P155</f>
        <v>4838.190534026453</v>
      </c>
      <c r="Q156" s="1">
        <f>-Q154+Q155</f>
        <v>4564.2670456251835</v>
      </c>
      <c r="R156" s="1">
        <f>-R154+R155</f>
        <v>4109.5069514191682</v>
      </c>
      <c r="S156" s="1">
        <f>-S154+S155</f>
        <v>4690.7734384158503</v>
      </c>
      <c r="T156" s="1">
        <f>-T154+T155</f>
        <v>4838.1794526298472</v>
      </c>
      <c r="U156" s="1">
        <f>-U154+U155</f>
        <v>4602.5428844984108</v>
      </c>
      <c r="V156" s="1">
        <f>-V154+V155</f>
        <v>5439.9570247985966</v>
      </c>
      <c r="W156" s="1">
        <f>-W154+W155</f>
        <v>5117.6130683874435</v>
      </c>
      <c r="X156" s="1">
        <f>-X154+X155</f>
        <v>4721.4446894337325</v>
      </c>
      <c r="Y156" s="1">
        <f>-Y154+Y155</f>
        <v>4694.5890888385111</v>
      </c>
      <c r="BB156" s="1" t="s">
        <v>71</v>
      </c>
      <c r="BC156" s="1">
        <f ca="1">-BC154 + BC155</f>
        <v>4794.2811233211578</v>
      </c>
      <c r="BD156" s="1">
        <f ca="1">-BD154 + BD155</f>
        <v>3474.1558913177641</v>
      </c>
      <c r="BE156" s="1">
        <f ca="1">-BE154 + BE155</f>
        <v>5024.1076038490964</v>
      </c>
      <c r="BF156" s="1">
        <f ca="1">-BF154 + BF155</f>
        <v>4363.2845521975578</v>
      </c>
      <c r="BG156" s="1">
        <f ca="1">-BG154 + BG155</f>
        <v>5009.1995068155047</v>
      </c>
      <c r="BH156" s="1">
        <f ca="1">-BH154 + BH155</f>
        <v>4519.8531481063756</v>
      </c>
      <c r="BI156" s="1">
        <f ca="1">-BI154 + BI155</f>
        <v>5303.034312737389</v>
      </c>
      <c r="BJ156" s="1">
        <f ca="1">-BJ154 + BJ155</f>
        <v>3963.0398025868813</v>
      </c>
      <c r="BK156" s="1">
        <f ca="1">-BK154 + BK155</f>
        <v>5438.8731236108169</v>
      </c>
      <c r="BL156" s="1">
        <f ca="1">-BL154 + BL155</f>
        <v>5772.2363724953684</v>
      </c>
      <c r="BM156" s="1">
        <f ca="1">-BM154 + BM155</f>
        <v>5720.4814885748456</v>
      </c>
      <c r="BN156" s="1">
        <f ca="1">-BN154 + BN155</f>
        <v>6216.8798518226395</v>
      </c>
      <c r="BO156" s="1">
        <f ca="1">-BO154 + BO155</f>
        <v>6251.7678646993973</v>
      </c>
      <c r="BP156" s="1">
        <f ca="1">-BP154 + BP155</f>
        <v>5118.3689746337714</v>
      </c>
      <c r="BQ156" s="1">
        <f ca="1">-BQ154 + BQ155</f>
        <v>4003.2760415503453</v>
      </c>
      <c r="BR156" s="1">
        <f ca="1">-BR154 + BR155</f>
        <v>3549.689055750423</v>
      </c>
      <c r="BS156" s="1">
        <f ca="1">-BS154 + BS155</f>
        <v>6952.8367169892736</v>
      </c>
      <c r="BT156" s="1">
        <f ca="1">-BT154 + BT155</f>
        <v>4359.6006997521308</v>
      </c>
      <c r="BU156" s="1">
        <f ca="1">-BU154 + BU155</f>
        <v>5942.3596843243249</v>
      </c>
      <c r="BV156" s="1">
        <f ca="1">-BV154 + BV155</f>
        <v>3633.2324712241852</v>
      </c>
      <c r="BW156" s="1">
        <f ca="1">-BW154 + BW155</f>
        <v>4135.854828103913</v>
      </c>
      <c r="BX156" s="1">
        <f ca="1">-BX154 + BX155</f>
        <v>5064.9984116850101</v>
      </c>
      <c r="BY156" s="1">
        <f ca="1">-BY154 + BY155</f>
        <v>4665.7080939210955</v>
      </c>
      <c r="BZ156" s="1">
        <f ca="1">-BZ154 + BZ155</f>
        <v>4885.137869089438</v>
      </c>
    </row>
    <row r="157" spans="1:84">
      <c r="BB157" s="1" t="s">
        <v>72</v>
      </c>
      <c r="BO157" s="1">
        <f ca="1">BC156+BO156</f>
        <v>11046.048988020555</v>
      </c>
      <c r="BP157" s="1">
        <f ca="1">BD156+BP156</f>
        <v>8592.5248659515346</v>
      </c>
      <c r="BQ157" s="1">
        <f ca="1">BE156+BQ156</f>
        <v>9027.3836453994409</v>
      </c>
      <c r="BR157" s="1">
        <f ca="1">BF156+BR156</f>
        <v>7912.9736079479808</v>
      </c>
      <c r="BS157" s="1">
        <f ca="1">BG156+BS156</f>
        <v>11962.036223804778</v>
      </c>
      <c r="BT157" s="1">
        <f ca="1">BH156+BT156</f>
        <v>8879.4538478585055</v>
      </c>
      <c r="BU157" s="1">
        <f ca="1">BI156+BU156</f>
        <v>11245.393997061714</v>
      </c>
      <c r="BV157" s="1">
        <f ca="1">BJ156+BV156</f>
        <v>7596.272273811066</v>
      </c>
      <c r="BW157" s="1">
        <f ca="1">BK156+BW156</f>
        <v>9574.727951714729</v>
      </c>
      <c r="BX157" s="1">
        <f ca="1">BL156+BX156</f>
        <v>10837.234784180378</v>
      </c>
      <c r="BY157" s="1">
        <f ca="1">BM156+BY156</f>
        <v>10386.189582495941</v>
      </c>
      <c r="BZ157" s="1">
        <f ca="1">BN156+BZ156</f>
        <v>11102.017720912077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56"/>
  <dimension ref="A1:N50"/>
  <sheetViews>
    <sheetView workbookViewId="0">
      <selection activeCell="B14" sqref="B14"/>
    </sheetView>
  </sheetViews>
  <sheetFormatPr defaultRowHeight="12.75"/>
  <cols>
    <col min="1" max="1" width="33.85546875" style="1" bestFit="1" customWidth="1"/>
    <col min="2" max="2" width="9.140625" style="1" customWidth="1"/>
    <col min="3" max="16384" width="9.140625" style="1"/>
  </cols>
  <sheetData>
    <row r="1" spans="1:14">
      <c r="A1" s="1" t="s">
        <v>40</v>
      </c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</row>
    <row r="2" spans="1:14"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</row>
    <row r="3" spans="1:14">
      <c r="B3" s="5" t="s">
        <v>37</v>
      </c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</row>
    <row r="4" spans="1:14">
      <c r="A4" s="1" t="s">
        <v>78</v>
      </c>
      <c r="B4" s="5">
        <f>'Touch 1 1'!AA151</f>
        <v>210.86654589372009</v>
      </c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</row>
    <row r="5" spans="1:14">
      <c r="A5" s="1" t="s">
        <v>79</v>
      </c>
      <c r="B5" s="5">
        <f>'Touch 1 1'!AG150</f>
        <v>413.49650349650352</v>
      </c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</row>
    <row r="6" spans="1:14">
      <c r="A6" s="1" t="s">
        <v>80</v>
      </c>
      <c r="B6" s="5" t="str">
        <f>SecondsToHoursAndMinutes(($B$4*23+$B$5)*5040/(2*1000))</f>
        <v>3h 41m</v>
      </c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</row>
    <row r="7" spans="1:14">
      <c r="A7" s="1" t="s">
        <v>81</v>
      </c>
      <c r="B7" s="14">
        <f ca="1">'Touch 1 2'!AB152</f>
        <v>44.708805151551424</v>
      </c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</row>
    <row r="8" spans="1:14">
      <c r="A8" s="1" t="s">
        <v>82</v>
      </c>
      <c r="B8" s="18">
        <f ca="1">$B$7/$B$4</f>
        <v>0.21202417368796533</v>
      </c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</row>
    <row r="9" spans="1:14">
      <c r="A9" s="1" t="s">
        <v>83</v>
      </c>
      <c r="B9" s="18">
        <f ca="1">1-4*(1-NORMSDIST(0.25/$B$8))</f>
        <v>0.5232919087987673</v>
      </c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</row>
    <row r="10" spans="1:14"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</row>
    <row r="11" spans="1:14"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</row>
    <row r="12" spans="1:14"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</row>
    <row r="13" spans="1:14"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</row>
    <row r="14" spans="1:14">
      <c r="A14" s="1" t="s">
        <v>84</v>
      </c>
      <c r="B14" s="5">
        <f ca="1">'Touch 1 2'!CC149</f>
        <v>202</v>
      </c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</row>
    <row r="15" spans="1:14">
      <c r="A15" s="1" t="s">
        <v>85</v>
      </c>
      <c r="B15" s="5">
        <f ca="1">'Touch 1 2'!CD149</f>
        <v>183</v>
      </c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</row>
    <row r="16" spans="1:14">
      <c r="A16" s="1" t="s">
        <v>86</v>
      </c>
      <c r="B16" s="5">
        <f ca="1">'Touch 1 2'!CE149</f>
        <v>190</v>
      </c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</row>
    <row r="17" spans="1:14">
      <c r="A17" s="1" t="s">
        <v>87</v>
      </c>
      <c r="B17" s="5">
        <f ca="1">'Touch 1 2'!CF149</f>
        <v>154</v>
      </c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</row>
    <row r="18" spans="1:14">
      <c r="A18" s="1" t="s">
        <v>88</v>
      </c>
      <c r="B18" s="5">
        <f ca="1">SUM(B$14:B$17)</f>
        <v>729</v>
      </c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</row>
    <row r="19" spans="1:14"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</row>
    <row r="20" spans="1:14"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</row>
    <row r="21" spans="1:14"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</row>
    <row r="22" spans="1:14"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</row>
    <row r="23" spans="1:14"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</row>
    <row r="24" spans="1:14"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</row>
    <row r="25" spans="1:14"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</row>
    <row r="26" spans="1:14"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</row>
    <row r="27" spans="1:14"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</row>
    <row r="28" spans="1:14"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</row>
    <row r="29" spans="1:14"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</row>
    <row r="30" spans="1:14"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</row>
    <row r="31" spans="1:14"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</row>
    <row r="32" spans="1:14"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</row>
    <row r="33" spans="2:14"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</row>
    <row r="34" spans="2:14"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</row>
    <row r="35" spans="2:14"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</row>
    <row r="36" spans="2:14"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</row>
    <row r="37" spans="2:14"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</row>
    <row r="38" spans="2:14"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</row>
    <row r="39" spans="2:14"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</row>
    <row r="40" spans="2:14"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</row>
    <row r="41" spans="2:14"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</row>
    <row r="42" spans="2:14"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</row>
    <row r="43" spans="2:14"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</row>
    <row r="44" spans="2:14"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</row>
    <row r="45" spans="2:14"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</row>
    <row r="46" spans="2:14"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</row>
    <row r="47" spans="2:14"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</row>
    <row r="48" spans="2:14"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</row>
    <row r="49" spans="2:14"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</row>
    <row r="50" spans="2:14"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</row>
  </sheetData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62"/>
  <dimension ref="A1:A2"/>
  <sheetViews>
    <sheetView workbookViewId="0">
      <selection activeCell="B14" sqref="B14"/>
    </sheetView>
  </sheetViews>
  <sheetFormatPr defaultRowHeight="12.75"/>
  <cols>
    <col min="1" max="1" width="76.28515625" style="24" bestFit="1" customWidth="1"/>
    <col min="2" max="16384" width="9.140625" style="24"/>
  </cols>
  <sheetData>
    <row r="1" spans="1:1" ht="16.5">
      <c r="A1" s="26" t="s">
        <v>102</v>
      </c>
    </row>
    <row r="2" spans="1:1" ht="409.5">
      <c r="A2" s="25" t="s">
        <v>101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57"/>
  <dimension ref="A1:J35"/>
  <sheetViews>
    <sheetView tabSelected="1" workbookViewId="0">
      <selection activeCell="A2" sqref="A2:C2"/>
    </sheetView>
  </sheetViews>
  <sheetFormatPr defaultRowHeight="12.75"/>
  <cols>
    <col min="1" max="1" width="4.5703125" bestFit="1" customWidth="1"/>
    <col min="2" max="3" width="12" bestFit="1" customWidth="1"/>
    <col min="7" max="7" width="4.5703125" bestFit="1" customWidth="1"/>
    <col min="8" max="8" width="11.140625" bestFit="1" customWidth="1"/>
    <col min="9" max="9" width="10.85546875" bestFit="1" customWidth="1"/>
  </cols>
  <sheetData>
    <row r="1" spans="1:10" ht="18.75">
      <c r="A1" s="20" t="s">
        <v>37</v>
      </c>
      <c r="B1" s="20"/>
      <c r="C1" s="20"/>
      <c r="D1" s="20"/>
      <c r="E1" s="20"/>
      <c r="F1" s="20"/>
      <c r="G1" s="20"/>
      <c r="H1" s="20"/>
      <c r="I1" s="20"/>
      <c r="J1" s="20"/>
    </row>
    <row r="2" spans="1:10" ht="18.75">
      <c r="A2" s="20" t="s">
        <v>91</v>
      </c>
      <c r="B2" s="19"/>
      <c r="C2" s="19"/>
      <c r="G2" s="20" t="s">
        <v>95</v>
      </c>
      <c r="H2" s="19"/>
      <c r="I2" s="19"/>
    </row>
    <row r="3" spans="1:10">
      <c r="A3" s="21" t="s">
        <v>20</v>
      </c>
      <c r="B3" s="22" t="s">
        <v>22</v>
      </c>
      <c r="C3" s="22" t="s">
        <v>23</v>
      </c>
      <c r="G3" s="21" t="s">
        <v>20</v>
      </c>
      <c r="H3" s="23" t="s">
        <v>22</v>
      </c>
      <c r="I3" s="23" t="s">
        <v>23</v>
      </c>
    </row>
    <row r="4" spans="1:10">
      <c r="A4">
        <v>1</v>
      </c>
      <c r="B4" s="6">
        <v>15.271905066202432</v>
      </c>
      <c r="C4" s="6">
        <v>37.39742815767795</v>
      </c>
      <c r="G4">
        <v>1</v>
      </c>
      <c r="H4" s="1">
        <v>4794.2811233211578</v>
      </c>
      <c r="I4" s="1">
        <v>6251.7678646993973</v>
      </c>
    </row>
    <row r="5" spans="1:10">
      <c r="A5">
        <v>2</v>
      </c>
      <c r="B5" s="6">
        <v>7.1485445506506489</v>
      </c>
      <c r="C5" s="6">
        <v>12.499668093621576</v>
      </c>
      <c r="G5">
        <v>2</v>
      </c>
      <c r="H5" s="1">
        <v>3474.1558913177641</v>
      </c>
      <c r="I5" s="1">
        <v>5118.3689746337714</v>
      </c>
    </row>
    <row r="6" spans="1:10">
      <c r="A6">
        <v>3</v>
      </c>
      <c r="B6" s="6">
        <v>30.457237026002556</v>
      </c>
      <c r="C6" s="6">
        <v>16.441429682306964</v>
      </c>
      <c r="G6">
        <v>3</v>
      </c>
      <c r="H6" s="1">
        <v>5024.1076038490964</v>
      </c>
      <c r="I6" s="1">
        <v>4003.2760415503453</v>
      </c>
    </row>
    <row r="7" spans="1:10">
      <c r="A7">
        <v>4</v>
      </c>
      <c r="B7" s="6">
        <v>20.002862331551917</v>
      </c>
      <c r="C7" s="6">
        <v>14.490061092999055</v>
      </c>
      <c r="G7">
        <v>4</v>
      </c>
      <c r="H7" s="1">
        <v>4363.2845521975578</v>
      </c>
      <c r="I7" s="1">
        <v>3549.689055750423</v>
      </c>
    </row>
    <row r="8" spans="1:10">
      <c r="A8">
        <v>5</v>
      </c>
      <c r="B8" s="6">
        <v>-17.333484514784175</v>
      </c>
      <c r="C8" s="6">
        <v>-33.456032664851591</v>
      </c>
      <c r="G8">
        <v>5</v>
      </c>
      <c r="H8" s="1">
        <v>5009.1995068155047</v>
      </c>
      <c r="I8" s="1">
        <v>6952.8367169892736</v>
      </c>
    </row>
    <row r="9" spans="1:10">
      <c r="A9">
        <v>6</v>
      </c>
      <c r="B9" s="6">
        <v>8.9087569569326703</v>
      </c>
      <c r="C9" s="6">
        <v>6.052367415935298</v>
      </c>
      <c r="G9">
        <v>6</v>
      </c>
      <c r="H9" s="1">
        <v>4519.8531481063756</v>
      </c>
      <c r="I9" s="1">
        <v>4359.6006997521308</v>
      </c>
    </row>
    <row r="10" spans="1:10">
      <c r="A10">
        <v>7</v>
      </c>
      <c r="B10" s="6">
        <v>-0.45857318022172205</v>
      </c>
      <c r="C10" s="6">
        <v>-23.77579175180604</v>
      </c>
      <c r="G10">
        <v>7</v>
      </c>
      <c r="H10" s="1">
        <v>5303.034312737389</v>
      </c>
      <c r="I10" s="1">
        <v>5942.3596843243249</v>
      </c>
    </row>
    <row r="11" spans="1:10">
      <c r="A11">
        <v>8</v>
      </c>
      <c r="B11" s="6">
        <v>11.73970113643488</v>
      </c>
      <c r="C11" s="6">
        <v>-6.1848129928347131</v>
      </c>
      <c r="G11">
        <v>8</v>
      </c>
      <c r="H11" s="1">
        <v>3963.0398025868813</v>
      </c>
      <c r="I11" s="1">
        <v>3633.2324712241852</v>
      </c>
    </row>
    <row r="12" spans="1:10">
      <c r="A12">
        <v>9</v>
      </c>
      <c r="B12" s="6">
        <v>-28.252300661170821</v>
      </c>
      <c r="C12" s="6">
        <v>7.3613139882519825</v>
      </c>
      <c r="G12">
        <v>9</v>
      </c>
      <c r="H12" s="1">
        <v>5438.8731236108169</v>
      </c>
      <c r="I12" s="1">
        <v>4135.854828103913</v>
      </c>
    </row>
    <row r="13" spans="1:10">
      <c r="A13">
        <v>10</v>
      </c>
      <c r="B13" s="6">
        <v>-34.880185097293243</v>
      </c>
      <c r="C13" s="6">
        <v>-22.233893769269272</v>
      </c>
      <c r="G13">
        <v>10</v>
      </c>
      <c r="H13" s="1">
        <v>5772.2363724953684</v>
      </c>
      <c r="I13" s="1">
        <v>5064.9984116850101</v>
      </c>
    </row>
    <row r="14" spans="1:10">
      <c r="A14">
        <v>11</v>
      </c>
      <c r="B14" s="6">
        <v>30.416258346401062</v>
      </c>
      <c r="C14" s="6">
        <v>12.280428843411554</v>
      </c>
      <c r="G14">
        <v>11</v>
      </c>
      <c r="H14" s="1">
        <v>5720.4814885748456</v>
      </c>
      <c r="I14" s="1">
        <v>4665.7080939210955</v>
      </c>
    </row>
    <row r="15" spans="1:10">
      <c r="A15">
        <v>12</v>
      </c>
      <c r="B15" s="6">
        <v>-36.93956818728298</v>
      </c>
      <c r="C15" s="6">
        <v>-26.953319868770645</v>
      </c>
      <c r="G15">
        <v>12</v>
      </c>
      <c r="H15" s="1">
        <v>6216.8798518226395</v>
      </c>
      <c r="I15" s="1">
        <v>4885.137869089438</v>
      </c>
    </row>
    <row r="22" spans="1:9" ht="18.75">
      <c r="A22" s="20" t="s">
        <v>93</v>
      </c>
      <c r="B22" s="19"/>
      <c r="C22" s="19"/>
      <c r="G22" s="20" t="s">
        <v>97</v>
      </c>
      <c r="H22" s="19"/>
      <c r="I22" s="19"/>
    </row>
    <row r="23" spans="1:9">
      <c r="A23" s="21" t="s">
        <v>20</v>
      </c>
      <c r="B23" s="22" t="s">
        <v>22</v>
      </c>
      <c r="C23" s="22" t="s">
        <v>23</v>
      </c>
      <c r="G23" s="21" t="s">
        <v>20</v>
      </c>
      <c r="H23" s="23" t="s">
        <v>98</v>
      </c>
      <c r="I23" s="23" t="s">
        <v>99</v>
      </c>
    </row>
    <row r="24" spans="1:9">
      <c r="A24">
        <v>1</v>
      </c>
      <c r="B24" s="6">
        <v>38.764393719082783</v>
      </c>
      <c r="C24" s="6">
        <v>38.021794926163551</v>
      </c>
      <c r="G24">
        <v>1</v>
      </c>
      <c r="H24" s="1">
        <v>7</v>
      </c>
      <c r="I24" s="1">
        <v>74</v>
      </c>
    </row>
    <row r="25" spans="1:9">
      <c r="A25">
        <v>2</v>
      </c>
      <c r="B25" s="6">
        <v>29.459466346930174</v>
      </c>
      <c r="C25" s="6">
        <v>46.408713108986255</v>
      </c>
      <c r="G25">
        <v>2</v>
      </c>
      <c r="H25" s="1">
        <v>13</v>
      </c>
      <c r="I25" s="1">
        <v>25</v>
      </c>
    </row>
    <row r="26" spans="1:9">
      <c r="A26">
        <v>3</v>
      </c>
      <c r="B26" s="6">
        <v>30.997850701959013</v>
      </c>
      <c r="C26" s="6">
        <v>29.964359951602443</v>
      </c>
      <c r="G26">
        <v>3</v>
      </c>
      <c r="H26" s="1">
        <v>2</v>
      </c>
      <c r="I26" s="1">
        <v>53</v>
      </c>
    </row>
    <row r="27" spans="1:9">
      <c r="A27">
        <v>4</v>
      </c>
      <c r="B27" s="6">
        <v>34.59956399780647</v>
      </c>
      <c r="C27" s="6">
        <v>27.060528251027222</v>
      </c>
      <c r="G27">
        <v>4</v>
      </c>
      <c r="H27" s="1">
        <v>1</v>
      </c>
      <c r="I27" s="1">
        <v>30</v>
      </c>
    </row>
    <row r="28" spans="1:9">
      <c r="A28">
        <v>5</v>
      </c>
      <c r="B28" s="6">
        <v>39.126376202354066</v>
      </c>
      <c r="C28" s="6">
        <v>53.842882992612061</v>
      </c>
      <c r="G28">
        <v>5</v>
      </c>
      <c r="H28" s="1">
        <v>78</v>
      </c>
      <c r="I28" s="1">
        <v>11</v>
      </c>
    </row>
    <row r="29" spans="1:9">
      <c r="A29">
        <v>6</v>
      </c>
      <c r="B29" s="6">
        <v>38.220452877025323</v>
      </c>
      <c r="C29" s="6">
        <v>37.606762859649358</v>
      </c>
      <c r="G29">
        <v>6</v>
      </c>
      <c r="H29" s="1">
        <v>18</v>
      </c>
      <c r="I29" s="1">
        <v>33</v>
      </c>
    </row>
    <row r="30" spans="1:9">
      <c r="A30">
        <v>7</v>
      </c>
      <c r="B30" s="6">
        <v>46.26970394896405</v>
      </c>
      <c r="C30" s="6">
        <v>48.462825525306712</v>
      </c>
      <c r="G30">
        <v>7</v>
      </c>
      <c r="H30" s="1">
        <v>61</v>
      </c>
      <c r="I30" s="1">
        <v>24</v>
      </c>
    </row>
    <row r="31" spans="1:9">
      <c r="A31">
        <v>8</v>
      </c>
      <c r="B31" s="6">
        <v>33.277940733323852</v>
      </c>
      <c r="C31" s="6">
        <v>31.411307977837296</v>
      </c>
      <c r="G31">
        <v>8</v>
      </c>
      <c r="H31" s="1">
        <v>16</v>
      </c>
      <c r="I31" s="1">
        <v>16</v>
      </c>
    </row>
    <row r="32" spans="1:9">
      <c r="A32">
        <v>9</v>
      </c>
      <c r="B32" s="6">
        <v>38.603618862555223</v>
      </c>
      <c r="C32" s="6">
        <v>35.975116338194496</v>
      </c>
      <c r="G32">
        <v>9</v>
      </c>
      <c r="H32" s="1">
        <v>40</v>
      </c>
      <c r="I32" s="1">
        <v>13</v>
      </c>
    </row>
    <row r="33" spans="1:9">
      <c r="A33">
        <v>10</v>
      </c>
      <c r="B33" s="6">
        <v>34.894284244257982</v>
      </c>
      <c r="C33" s="6">
        <v>37.918727047558534</v>
      </c>
      <c r="G33">
        <v>10</v>
      </c>
      <c r="H33" s="1">
        <v>80</v>
      </c>
      <c r="I33" s="1">
        <v>4</v>
      </c>
    </row>
    <row r="34" spans="1:9">
      <c r="A34">
        <v>11</v>
      </c>
      <c r="B34" s="6">
        <v>40.296874775619195</v>
      </c>
      <c r="C34" s="6">
        <v>40.35627554882992</v>
      </c>
      <c r="G34">
        <v>11</v>
      </c>
      <c r="H34" s="1">
        <v>9</v>
      </c>
      <c r="I34" s="1">
        <v>57</v>
      </c>
    </row>
    <row r="35" spans="1:9">
      <c r="A35">
        <v>12</v>
      </c>
      <c r="B35" s="6">
        <v>35.594130110924674</v>
      </c>
      <c r="C35" s="6">
        <v>30.875925061373671</v>
      </c>
      <c r="G35">
        <v>12</v>
      </c>
      <c r="H35" s="1">
        <v>68</v>
      </c>
      <c r="I35" s="1">
        <v>2</v>
      </c>
    </row>
  </sheetData>
  <mergeCells count="5">
    <mergeCell ref="A1:J1"/>
    <mergeCell ref="A2:C2"/>
    <mergeCell ref="A22:C22"/>
    <mergeCell ref="G2:I2"/>
    <mergeCell ref="G22:I22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8</vt:i4>
      </vt:variant>
      <vt:variant>
        <vt:lpstr>Charts</vt:lpstr>
      </vt:variant>
      <vt:variant>
        <vt:i4>4</vt:i4>
      </vt:variant>
      <vt:variant>
        <vt:lpstr>Named Ranges</vt:lpstr>
      </vt:variant>
      <vt:variant>
        <vt:i4>15</vt:i4>
      </vt:variant>
    </vt:vector>
  </HeadingPairs>
  <TitlesOfParts>
    <vt:vector size="27" baseType="lpstr">
      <vt:lpstr>Front</vt:lpstr>
      <vt:lpstr>Settings</vt:lpstr>
      <vt:lpstr>ProgrammaticSheets</vt:lpstr>
      <vt:lpstr>Touch 1 1</vt:lpstr>
      <vt:lpstr>Touch 1 2</vt:lpstr>
      <vt:lpstr>SUMMARY</vt:lpstr>
      <vt:lpstr>Flockton Touch 1</vt:lpstr>
      <vt:lpstr>Touch 1 Charts</vt:lpstr>
      <vt:lpstr>Touch 1 AD Chart</vt:lpstr>
      <vt:lpstr>Touch 1 SD Chart</vt:lpstr>
      <vt:lpstr>Touch 1 AE Chart</vt:lpstr>
      <vt:lpstr>Touch 1 Fault Chart</vt:lpstr>
      <vt:lpstr>AnalyseLabel</vt:lpstr>
      <vt:lpstr>flocktonBaseDir</vt:lpstr>
      <vt:lpstr>optAnalysisFaultPct</vt:lpstr>
      <vt:lpstr>optAnalysisOpeningRounds</vt:lpstr>
      <vt:lpstr>optAnalysisQuickHandstrokeLeadPct</vt:lpstr>
      <vt:lpstr>optDevProfile</vt:lpstr>
      <vt:lpstr>optDisplayHideQuickLeads</vt:lpstr>
      <vt:lpstr>optDisplayHighlighting</vt:lpstr>
      <vt:lpstr>optPresMode</vt:lpstr>
      <vt:lpstr>SoundFileLabel</vt:lpstr>
      <vt:lpstr>strikeBaseDir</vt:lpstr>
      <vt:lpstr>StrikeFileLabel</vt:lpstr>
      <vt:lpstr>TeamNameLabel</vt:lpstr>
      <vt:lpstr>touchFile</vt:lpstr>
      <vt:lpstr>touchLength</vt:lpstr>
    </vt:vector>
  </TitlesOfParts>
  <Company>IBM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IBM_USER</dc:creator>
  <cp:lastModifiedBy>David Richards</cp:lastModifiedBy>
  <cp:lastPrinted>2015-04-01T00:33:17Z</cp:lastPrinted>
  <dcterms:created xsi:type="dcterms:W3CDTF">2008-06-10T10:32:31Z</dcterms:created>
  <dcterms:modified xsi:type="dcterms:W3CDTF">2015-04-01T00:38:18Z</dcterms:modified>
</cp:coreProperties>
</file>